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PAC/"/>
    </mc:Choice>
  </mc:AlternateContent>
  <xr:revisionPtr revIDLastSave="0" documentId="13_ncr:1_{F1740429-641E-9346-A080-1629A6F5E9CF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2_Q2" sheetId="2" r:id="rId1"/>
    <sheet name="2. Disconnections 2022_Q2" sheetId="3" r:id="rId2"/>
    <sheet name="3. Fees 2022_Q2" sheetId="4" r:id="rId3"/>
    <sheet name="4. Payment Arrangements 2022_Q2" sheetId="5" r:id="rId4"/>
    <sheet name="5. Medical Certificates 2022_Q2" sheetId="6" r:id="rId5"/>
    <sheet name="6. Deposits 2022_Q2" sheetId="7" r:id="rId6"/>
    <sheet name="DEP_WKSHT" sheetId="35" state="hidden" r:id="rId7"/>
    <sheet name="7. Bill Assistance 2022_Q2" sheetId="8" r:id="rId8"/>
    <sheet name="BA_WRKSHT" sheetId="36" state="hidden" r:id="rId9"/>
    <sheet name="8.ARREARS NEW 2022_Q2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2022_Q2'!$J$4:$J$141</definedName>
    <definedName name="_xlnm._FilterDatabase" localSheetId="1" hidden="1">'2. Disconnections 2022_Q2'!$A$2:$R$599</definedName>
    <definedName name="_xlnm._FilterDatabase" localSheetId="2" hidden="1">'3. Fees 2022_Q2'!$A$2:$Z$68</definedName>
    <definedName name="_xlnm._FilterDatabase" localSheetId="5" hidden="1">'6. Deposits 2022_Q2'!$A$1:$B$61</definedName>
    <definedName name="_xlnm._FilterDatabase" localSheetId="7" hidden="1">'7. Bill Assistance 2022_Q2'!$A$2:$M$34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11" r:id="rId18"/>
    <pivotCache cacheId="12" r:id="rId19"/>
    <pivotCache cacheId="13" r:id="rId20"/>
    <pivotCache cacheId="14" r:id="rId21"/>
    <pivotCache cacheId="15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X40" i="38" l="1"/>
  <c r="DV40" i="38"/>
  <c r="DT40" i="38"/>
  <c r="DR40" i="38"/>
  <c r="DP40" i="38"/>
  <c r="DN40" i="38"/>
  <c r="DL40" i="38"/>
  <c r="DI40" i="38"/>
  <c r="DF40" i="38"/>
  <c r="BM58" i="38"/>
  <c r="BN58" i="38"/>
  <c r="BO58" i="38"/>
  <c r="BP58" i="38"/>
  <c r="BQ58" i="38"/>
  <c r="BT58" i="38"/>
  <c r="BU58" i="38"/>
  <c r="BV58" i="38"/>
  <c r="BW58" i="38"/>
  <c r="BX58" i="38"/>
  <c r="BG58" i="38"/>
  <c r="BH58" i="38"/>
  <c r="BI58" i="38"/>
  <c r="BJ58" i="38"/>
  <c r="BF58" i="38"/>
  <c r="D77" i="38"/>
  <c r="E77" i="38" l="1"/>
  <c r="F77" i="38"/>
  <c r="G77" i="38"/>
  <c r="J77" i="38"/>
  <c r="K77" i="38"/>
  <c r="L77" i="38"/>
  <c r="M77" i="38"/>
  <c r="N77" i="38"/>
  <c r="Q77" i="38"/>
  <c r="R77" i="38"/>
  <c r="S77" i="38"/>
  <c r="T77" i="38"/>
  <c r="U77" i="38"/>
  <c r="C77" i="38"/>
  <c r="CH77" i="38"/>
  <c r="Q35" i="8" l="1"/>
  <c r="S35" i="8"/>
  <c r="O35" i="8"/>
  <c r="CN71" i="38" l="1"/>
  <c r="CO71" i="38"/>
  <c r="CP71" i="38"/>
  <c r="CN72" i="38"/>
  <c r="CO72" i="38"/>
  <c r="CP72" i="38"/>
  <c r="CN73" i="38"/>
  <c r="CO73" i="38"/>
  <c r="CP73" i="38"/>
  <c r="CN74" i="38"/>
  <c r="CO74" i="38"/>
  <c r="CP74" i="38"/>
  <c r="CN75" i="38"/>
  <c r="CO75" i="38"/>
  <c r="CP75" i="38"/>
  <c r="CN76" i="38"/>
  <c r="CO76" i="38"/>
  <c r="CP76" i="38"/>
  <c r="CK70" i="38"/>
  <c r="CL70" i="38"/>
  <c r="CM70" i="38"/>
  <c r="CK71" i="38"/>
  <c r="CL71" i="38"/>
  <c r="CM71" i="38"/>
  <c r="CK72" i="38"/>
  <c r="CL72" i="38"/>
  <c r="CM72" i="38"/>
  <c r="CK73" i="38"/>
  <c r="CL73" i="38"/>
  <c r="CM73" i="38"/>
  <c r="CK74" i="38"/>
  <c r="CL74" i="38"/>
  <c r="CM74" i="38"/>
  <c r="CK75" i="38"/>
  <c r="CL75" i="38"/>
  <c r="CM75" i="38"/>
  <c r="CK76" i="38"/>
  <c r="CL76" i="38"/>
  <c r="CM76" i="38"/>
  <c r="CH71" i="38"/>
  <c r="CI71" i="38"/>
  <c r="CJ71" i="38"/>
  <c r="CH72" i="38"/>
  <c r="CI72" i="38"/>
  <c r="CJ72" i="38"/>
  <c r="CH73" i="38"/>
  <c r="CI73" i="38"/>
  <c r="CJ73" i="38"/>
  <c r="CH74" i="38"/>
  <c r="CI74" i="38"/>
  <c r="CJ74" i="38"/>
  <c r="CH75" i="38"/>
  <c r="CI75" i="38"/>
  <c r="CJ75" i="38"/>
  <c r="CH76" i="38"/>
  <c r="CI76" i="38"/>
  <c r="CJ76" i="38"/>
  <c r="CJ70" i="38"/>
  <c r="CJ5" i="38"/>
  <c r="X8" i="2"/>
  <c r="X7" i="2"/>
  <c r="X6" i="2"/>
  <c r="X5" i="2"/>
  <c r="CN6" i="38"/>
  <c r="CO6" i="38"/>
  <c r="CP6" i="38"/>
  <c r="CN7" i="38"/>
  <c r="CO7" i="38"/>
  <c r="CP7" i="38"/>
  <c r="CN8" i="38"/>
  <c r="CO8" i="38"/>
  <c r="CP8" i="38"/>
  <c r="CN9" i="38"/>
  <c r="CO9" i="38"/>
  <c r="CP9" i="38"/>
  <c r="CN10" i="38"/>
  <c r="CO10" i="38"/>
  <c r="CP10" i="38"/>
  <c r="CN11" i="38"/>
  <c r="CO11" i="38"/>
  <c r="CP11" i="38"/>
  <c r="CN12" i="38"/>
  <c r="CO12" i="38"/>
  <c r="CP12" i="38"/>
  <c r="CN13" i="38"/>
  <c r="CO13" i="38"/>
  <c r="CP13" i="38"/>
  <c r="CN14" i="38"/>
  <c r="CO14" i="38"/>
  <c r="CP14" i="38"/>
  <c r="CN15" i="38"/>
  <c r="CO15" i="38"/>
  <c r="CP15" i="38"/>
  <c r="CN16" i="38"/>
  <c r="CO16" i="38"/>
  <c r="CP16" i="38"/>
  <c r="CN17" i="38"/>
  <c r="CO17" i="38"/>
  <c r="CP17" i="38"/>
  <c r="CN18" i="38"/>
  <c r="CO18" i="38"/>
  <c r="CP18" i="38"/>
  <c r="CN19" i="38"/>
  <c r="CO19" i="38"/>
  <c r="CP19" i="38"/>
  <c r="CN20" i="38"/>
  <c r="CO20" i="38"/>
  <c r="CP20" i="38"/>
  <c r="CN21" i="38"/>
  <c r="CO21" i="38"/>
  <c r="CP21" i="38"/>
  <c r="CN22" i="38"/>
  <c r="CO22" i="38"/>
  <c r="CP22" i="38"/>
  <c r="CN23" i="38"/>
  <c r="CO23" i="38"/>
  <c r="CP23" i="38"/>
  <c r="CN24" i="38"/>
  <c r="CO24" i="38"/>
  <c r="CP24" i="38"/>
  <c r="CN25" i="38"/>
  <c r="CO25" i="38"/>
  <c r="CP25" i="38"/>
  <c r="CN26" i="38"/>
  <c r="CO26" i="38"/>
  <c r="CP26" i="38"/>
  <c r="CN27" i="38"/>
  <c r="CO27" i="38"/>
  <c r="CP27" i="38"/>
  <c r="CN28" i="38"/>
  <c r="CO28" i="38"/>
  <c r="CP28" i="38"/>
  <c r="CN29" i="38"/>
  <c r="CO29" i="38"/>
  <c r="CP29" i="38"/>
  <c r="CN30" i="38"/>
  <c r="CO30" i="38"/>
  <c r="CP30" i="38"/>
  <c r="CN31" i="38"/>
  <c r="CO31" i="38"/>
  <c r="CP31" i="38"/>
  <c r="CN32" i="38"/>
  <c r="CO32" i="38"/>
  <c r="CP32" i="38"/>
  <c r="CN33" i="38"/>
  <c r="CO33" i="38"/>
  <c r="CP33" i="38"/>
  <c r="CN34" i="38"/>
  <c r="CO34" i="38"/>
  <c r="CP34" i="38"/>
  <c r="CN35" i="38"/>
  <c r="CO35" i="38"/>
  <c r="CP35" i="38"/>
  <c r="CN36" i="38"/>
  <c r="CO36" i="38"/>
  <c r="CP36" i="38"/>
  <c r="CN37" i="38"/>
  <c r="CO37" i="38"/>
  <c r="CP37" i="38"/>
  <c r="CN38" i="38"/>
  <c r="CO38" i="38"/>
  <c r="CP38" i="38"/>
  <c r="CN39" i="38"/>
  <c r="CO39" i="38"/>
  <c r="CP39" i="38"/>
  <c r="CN40" i="38"/>
  <c r="CO40" i="38"/>
  <c r="CP40" i="38"/>
  <c r="CN41" i="38"/>
  <c r="CO41" i="38"/>
  <c r="CP41" i="38"/>
  <c r="CN42" i="38"/>
  <c r="CO42" i="38"/>
  <c r="CP42" i="38"/>
  <c r="CN43" i="38"/>
  <c r="CO43" i="38"/>
  <c r="CP43" i="38"/>
  <c r="CN44" i="38"/>
  <c r="CO44" i="38"/>
  <c r="CP44" i="38"/>
  <c r="CN45" i="38"/>
  <c r="CO45" i="38"/>
  <c r="CP45" i="38"/>
  <c r="CN46" i="38"/>
  <c r="CO46" i="38"/>
  <c r="CP46" i="38"/>
  <c r="CN47" i="38"/>
  <c r="CO47" i="38"/>
  <c r="CP47" i="38"/>
  <c r="CN48" i="38"/>
  <c r="CO48" i="38"/>
  <c r="CP48" i="38"/>
  <c r="CN49" i="38"/>
  <c r="CO49" i="38"/>
  <c r="CP49" i="38"/>
  <c r="CN50" i="38"/>
  <c r="CO50" i="38"/>
  <c r="CP50" i="38"/>
  <c r="CN51" i="38"/>
  <c r="CO51" i="38"/>
  <c r="CP51" i="38"/>
  <c r="CN52" i="38"/>
  <c r="CO52" i="38"/>
  <c r="CP52" i="38"/>
  <c r="CN53" i="38"/>
  <c r="CO53" i="38"/>
  <c r="CP53" i="38"/>
  <c r="CN54" i="38"/>
  <c r="CO54" i="38"/>
  <c r="CP54" i="38"/>
  <c r="CN55" i="38"/>
  <c r="CO55" i="38"/>
  <c r="CP55" i="38"/>
  <c r="CN56" i="38"/>
  <c r="CO56" i="38"/>
  <c r="CP56" i="38"/>
  <c r="CN57" i="38"/>
  <c r="CO57" i="38"/>
  <c r="CP57" i="38"/>
  <c r="CN58" i="38"/>
  <c r="CO58" i="38"/>
  <c r="CP58" i="38"/>
  <c r="CN59" i="38"/>
  <c r="CO59" i="38"/>
  <c r="CP59" i="38"/>
  <c r="CN60" i="38"/>
  <c r="CO60" i="38"/>
  <c r="CP60" i="38"/>
  <c r="CN61" i="38"/>
  <c r="CO61" i="38"/>
  <c r="CP61" i="38"/>
  <c r="CN62" i="38"/>
  <c r="CO62" i="38"/>
  <c r="CP62" i="38"/>
  <c r="CN63" i="38"/>
  <c r="CO63" i="38"/>
  <c r="CP63" i="38"/>
  <c r="CN64" i="38"/>
  <c r="CO64" i="38"/>
  <c r="CP64" i="38"/>
  <c r="CN65" i="38"/>
  <c r="CO65" i="38"/>
  <c r="CP65" i="38"/>
  <c r="CN66" i="38"/>
  <c r="CO66" i="38"/>
  <c r="CP66" i="38"/>
  <c r="CN67" i="38"/>
  <c r="CO67" i="38"/>
  <c r="CP67" i="38"/>
  <c r="CN68" i="38"/>
  <c r="CO68" i="38"/>
  <c r="CP68" i="38"/>
  <c r="CN69" i="38"/>
  <c r="CO69" i="38"/>
  <c r="CP69" i="38"/>
  <c r="CN70" i="38"/>
  <c r="CO70" i="38"/>
  <c r="CP70" i="38"/>
  <c r="CP5" i="38"/>
  <c r="CO5" i="38"/>
  <c r="CN5" i="38"/>
  <c r="CK6" i="38"/>
  <c r="CL6" i="38"/>
  <c r="CM6" i="38"/>
  <c r="CK7" i="38"/>
  <c r="CL7" i="38"/>
  <c r="CM7" i="38"/>
  <c r="CK8" i="38"/>
  <c r="CL8" i="38"/>
  <c r="CM8" i="38"/>
  <c r="CK9" i="38"/>
  <c r="CL9" i="38"/>
  <c r="CM9" i="38"/>
  <c r="CK10" i="38"/>
  <c r="CL10" i="38"/>
  <c r="CM10" i="38"/>
  <c r="CK11" i="38"/>
  <c r="CL11" i="38"/>
  <c r="CM11" i="38"/>
  <c r="CK12" i="38"/>
  <c r="CL12" i="38"/>
  <c r="CM12" i="38"/>
  <c r="CK13" i="38"/>
  <c r="CL13" i="38"/>
  <c r="CM13" i="38"/>
  <c r="CK14" i="38"/>
  <c r="CL14" i="38"/>
  <c r="CM14" i="38"/>
  <c r="CK15" i="38"/>
  <c r="CL15" i="38"/>
  <c r="CM15" i="38"/>
  <c r="CK16" i="38"/>
  <c r="CL16" i="38"/>
  <c r="CM16" i="38"/>
  <c r="CK17" i="38"/>
  <c r="CL17" i="38"/>
  <c r="CM17" i="38"/>
  <c r="CK18" i="38"/>
  <c r="CL18" i="38"/>
  <c r="CM18" i="38"/>
  <c r="CK19" i="38"/>
  <c r="CL19" i="38"/>
  <c r="CM19" i="38"/>
  <c r="CK20" i="38"/>
  <c r="CL20" i="38"/>
  <c r="CM20" i="38"/>
  <c r="CK21" i="38"/>
  <c r="CL21" i="38"/>
  <c r="CM21" i="38"/>
  <c r="CK22" i="38"/>
  <c r="CL22" i="38"/>
  <c r="CM22" i="38"/>
  <c r="CK23" i="38"/>
  <c r="CL23" i="38"/>
  <c r="CM23" i="38"/>
  <c r="CK24" i="38"/>
  <c r="CL24" i="38"/>
  <c r="CM24" i="38"/>
  <c r="CK25" i="38"/>
  <c r="CL25" i="38"/>
  <c r="CM25" i="38"/>
  <c r="CK26" i="38"/>
  <c r="CL26" i="38"/>
  <c r="CM26" i="38"/>
  <c r="CK27" i="38"/>
  <c r="CL27" i="38"/>
  <c r="CM27" i="38"/>
  <c r="CK28" i="38"/>
  <c r="CL28" i="38"/>
  <c r="CM28" i="38"/>
  <c r="CK29" i="38"/>
  <c r="CL29" i="38"/>
  <c r="CM29" i="38"/>
  <c r="CK30" i="38"/>
  <c r="CL30" i="38"/>
  <c r="CM30" i="38"/>
  <c r="CK31" i="38"/>
  <c r="CL31" i="38"/>
  <c r="CM31" i="38"/>
  <c r="CK32" i="38"/>
  <c r="CL32" i="38"/>
  <c r="CM32" i="38"/>
  <c r="CK33" i="38"/>
  <c r="CL33" i="38"/>
  <c r="CM33" i="38"/>
  <c r="CK34" i="38"/>
  <c r="CL34" i="38"/>
  <c r="CM34" i="38"/>
  <c r="CK35" i="38"/>
  <c r="CL35" i="38"/>
  <c r="CM35" i="38"/>
  <c r="CK36" i="38"/>
  <c r="CL36" i="38"/>
  <c r="CM36" i="38"/>
  <c r="CK37" i="38"/>
  <c r="CL37" i="38"/>
  <c r="CM37" i="38"/>
  <c r="CK38" i="38"/>
  <c r="CL38" i="38"/>
  <c r="CM38" i="38"/>
  <c r="CK39" i="38"/>
  <c r="CL39" i="38"/>
  <c r="CM39" i="38"/>
  <c r="CK40" i="38"/>
  <c r="CL40" i="38"/>
  <c r="CM40" i="38"/>
  <c r="CK41" i="38"/>
  <c r="CL41" i="38"/>
  <c r="CM41" i="38"/>
  <c r="CK42" i="38"/>
  <c r="CL42" i="38"/>
  <c r="CM42" i="38"/>
  <c r="CK43" i="38"/>
  <c r="CL43" i="38"/>
  <c r="CM43" i="38"/>
  <c r="CK44" i="38"/>
  <c r="CL44" i="38"/>
  <c r="CM44" i="38"/>
  <c r="CK45" i="38"/>
  <c r="CL45" i="38"/>
  <c r="CM45" i="38"/>
  <c r="CK46" i="38"/>
  <c r="CL46" i="38"/>
  <c r="CM46" i="38"/>
  <c r="CK47" i="38"/>
  <c r="CL47" i="38"/>
  <c r="CM47" i="38"/>
  <c r="CK48" i="38"/>
  <c r="CL48" i="38"/>
  <c r="CM48" i="38"/>
  <c r="CK49" i="38"/>
  <c r="CL49" i="38"/>
  <c r="CM49" i="38"/>
  <c r="CK50" i="38"/>
  <c r="CL50" i="38"/>
  <c r="CM50" i="38"/>
  <c r="CK51" i="38"/>
  <c r="CL51" i="38"/>
  <c r="CM51" i="38"/>
  <c r="CK52" i="38"/>
  <c r="CL52" i="38"/>
  <c r="CM52" i="38"/>
  <c r="CK53" i="38"/>
  <c r="CL53" i="38"/>
  <c r="CM53" i="38"/>
  <c r="CK54" i="38"/>
  <c r="CL54" i="38"/>
  <c r="CM54" i="38"/>
  <c r="CK55" i="38"/>
  <c r="CL55" i="38"/>
  <c r="CM55" i="38"/>
  <c r="CK56" i="38"/>
  <c r="CL56" i="38"/>
  <c r="CM56" i="38"/>
  <c r="CK57" i="38"/>
  <c r="CL57" i="38"/>
  <c r="CM57" i="38"/>
  <c r="CK58" i="38"/>
  <c r="CL58" i="38"/>
  <c r="CM58" i="38"/>
  <c r="CK59" i="38"/>
  <c r="CL59" i="38"/>
  <c r="CM59" i="38"/>
  <c r="CK60" i="38"/>
  <c r="CL60" i="38"/>
  <c r="CM60" i="38"/>
  <c r="CK61" i="38"/>
  <c r="CL61" i="38"/>
  <c r="CM61" i="38"/>
  <c r="CK62" i="38"/>
  <c r="CL62" i="38"/>
  <c r="CM62" i="38"/>
  <c r="CK63" i="38"/>
  <c r="CL63" i="38"/>
  <c r="CM63" i="38"/>
  <c r="CK64" i="38"/>
  <c r="CL64" i="38"/>
  <c r="CM64" i="38"/>
  <c r="CK65" i="38"/>
  <c r="CL65" i="38"/>
  <c r="CM65" i="38"/>
  <c r="CK66" i="38"/>
  <c r="CL66" i="38"/>
  <c r="CM66" i="38"/>
  <c r="CK67" i="38"/>
  <c r="CL67" i="38"/>
  <c r="CM67" i="38"/>
  <c r="CK68" i="38"/>
  <c r="CL68" i="38"/>
  <c r="CM68" i="38"/>
  <c r="CK69" i="38"/>
  <c r="CL69" i="38"/>
  <c r="CM69" i="38"/>
  <c r="CM5" i="38"/>
  <c r="CL5" i="38"/>
  <c r="CK5" i="38"/>
  <c r="CH6" i="38"/>
  <c r="CI6" i="38"/>
  <c r="CJ6" i="38"/>
  <c r="CH7" i="38"/>
  <c r="CI7" i="38"/>
  <c r="CJ7" i="38"/>
  <c r="CH8" i="38"/>
  <c r="CI8" i="38"/>
  <c r="CJ8" i="38"/>
  <c r="CH9" i="38"/>
  <c r="CI9" i="38"/>
  <c r="CJ9" i="38"/>
  <c r="CH10" i="38"/>
  <c r="CI10" i="38"/>
  <c r="CJ10" i="38"/>
  <c r="CH11" i="38"/>
  <c r="CI11" i="38"/>
  <c r="CJ11" i="38"/>
  <c r="CH12" i="38"/>
  <c r="CI12" i="38"/>
  <c r="CJ12" i="38"/>
  <c r="CH13" i="38"/>
  <c r="CI13" i="38"/>
  <c r="CJ13" i="38"/>
  <c r="CH14" i="38"/>
  <c r="CI14" i="38"/>
  <c r="CJ14" i="38"/>
  <c r="CH15" i="38"/>
  <c r="CI15" i="38"/>
  <c r="CJ15" i="38"/>
  <c r="CH16" i="38"/>
  <c r="CI16" i="38"/>
  <c r="CJ16" i="38"/>
  <c r="CH17" i="38"/>
  <c r="CI17" i="38"/>
  <c r="CJ17" i="38"/>
  <c r="CH18" i="38"/>
  <c r="CI18" i="38"/>
  <c r="CJ18" i="38"/>
  <c r="CH19" i="38"/>
  <c r="CI19" i="38"/>
  <c r="CJ19" i="38"/>
  <c r="CH20" i="38"/>
  <c r="CI20" i="38"/>
  <c r="CJ20" i="38"/>
  <c r="CH21" i="38"/>
  <c r="CI21" i="38"/>
  <c r="CJ21" i="38"/>
  <c r="CH22" i="38"/>
  <c r="CI22" i="38"/>
  <c r="CJ22" i="38"/>
  <c r="CH23" i="38"/>
  <c r="CI23" i="38"/>
  <c r="CJ23" i="38"/>
  <c r="CH24" i="38"/>
  <c r="CI24" i="38"/>
  <c r="CJ24" i="38"/>
  <c r="CH25" i="38"/>
  <c r="CI25" i="38"/>
  <c r="CJ25" i="38"/>
  <c r="CH26" i="38"/>
  <c r="CI26" i="38"/>
  <c r="CJ26" i="38"/>
  <c r="CH27" i="38"/>
  <c r="CI27" i="38"/>
  <c r="CJ27" i="38"/>
  <c r="CH28" i="38"/>
  <c r="CI28" i="38"/>
  <c r="CJ28" i="38"/>
  <c r="CH29" i="38"/>
  <c r="CI29" i="38"/>
  <c r="CJ29" i="38"/>
  <c r="CH30" i="38"/>
  <c r="CI30" i="38"/>
  <c r="CJ30" i="38"/>
  <c r="CH31" i="38"/>
  <c r="CI31" i="38"/>
  <c r="CJ31" i="38"/>
  <c r="CH32" i="38"/>
  <c r="CI32" i="38"/>
  <c r="CJ32" i="38"/>
  <c r="CH33" i="38"/>
  <c r="CI33" i="38"/>
  <c r="CJ33" i="38"/>
  <c r="CH34" i="38"/>
  <c r="CI34" i="38"/>
  <c r="CJ34" i="38"/>
  <c r="CH35" i="38"/>
  <c r="CI35" i="38"/>
  <c r="CJ35" i="38"/>
  <c r="CH36" i="38"/>
  <c r="CI36" i="38"/>
  <c r="CJ36" i="38"/>
  <c r="CH37" i="38"/>
  <c r="CI37" i="38"/>
  <c r="CJ37" i="38"/>
  <c r="CH38" i="38"/>
  <c r="CI38" i="38"/>
  <c r="CJ38" i="38"/>
  <c r="CH39" i="38"/>
  <c r="CI39" i="38"/>
  <c r="CJ39" i="38"/>
  <c r="CH40" i="38"/>
  <c r="CI40" i="38"/>
  <c r="CJ40" i="38"/>
  <c r="CH41" i="38"/>
  <c r="CI41" i="38"/>
  <c r="CJ41" i="38"/>
  <c r="CH42" i="38"/>
  <c r="CI42" i="38"/>
  <c r="CJ42" i="38"/>
  <c r="CH43" i="38"/>
  <c r="CI43" i="38"/>
  <c r="CJ43" i="38"/>
  <c r="CH44" i="38"/>
  <c r="CI44" i="38"/>
  <c r="CJ44" i="38"/>
  <c r="CH45" i="38"/>
  <c r="CI45" i="38"/>
  <c r="CJ45" i="38"/>
  <c r="CH46" i="38"/>
  <c r="CI46" i="38"/>
  <c r="CJ46" i="38"/>
  <c r="CH47" i="38"/>
  <c r="CI47" i="38"/>
  <c r="CJ47" i="38"/>
  <c r="CH48" i="38"/>
  <c r="CI48" i="38"/>
  <c r="CJ48" i="38"/>
  <c r="CH49" i="38"/>
  <c r="CI49" i="38"/>
  <c r="CJ49" i="38"/>
  <c r="CH50" i="38"/>
  <c r="CI50" i="38"/>
  <c r="CJ50" i="38"/>
  <c r="CH51" i="38"/>
  <c r="CI51" i="38"/>
  <c r="CJ51" i="38"/>
  <c r="CH52" i="38"/>
  <c r="CI52" i="38"/>
  <c r="CJ52" i="38"/>
  <c r="CH53" i="38"/>
  <c r="CI53" i="38"/>
  <c r="CJ53" i="38"/>
  <c r="CH54" i="38"/>
  <c r="CI54" i="38"/>
  <c r="CJ54" i="38"/>
  <c r="CH55" i="38"/>
  <c r="CI55" i="38"/>
  <c r="CJ55" i="38"/>
  <c r="CH56" i="38"/>
  <c r="CI56" i="38"/>
  <c r="CJ56" i="38"/>
  <c r="CH57" i="38"/>
  <c r="CI57" i="38"/>
  <c r="CJ57" i="38"/>
  <c r="CH58" i="38"/>
  <c r="CI58" i="38"/>
  <c r="CJ58" i="38"/>
  <c r="CH59" i="38"/>
  <c r="CI59" i="38"/>
  <c r="CJ59" i="38"/>
  <c r="CH60" i="38"/>
  <c r="CI60" i="38"/>
  <c r="CJ60" i="38"/>
  <c r="CH61" i="38"/>
  <c r="CI61" i="38"/>
  <c r="CJ61" i="38"/>
  <c r="CH62" i="38"/>
  <c r="CI62" i="38"/>
  <c r="CJ62" i="38"/>
  <c r="CH63" i="38"/>
  <c r="CI63" i="38"/>
  <c r="CJ63" i="38"/>
  <c r="CH64" i="38"/>
  <c r="CI64" i="38"/>
  <c r="CJ64" i="38"/>
  <c r="CH65" i="38"/>
  <c r="CI65" i="38"/>
  <c r="CJ65" i="38"/>
  <c r="CH66" i="38"/>
  <c r="CI66" i="38"/>
  <c r="CJ66" i="38"/>
  <c r="CH67" i="38"/>
  <c r="CI67" i="38"/>
  <c r="CJ67" i="38"/>
  <c r="CH68" i="38"/>
  <c r="CI68" i="38"/>
  <c r="CJ68" i="38"/>
  <c r="CH69" i="38"/>
  <c r="CI69" i="38"/>
  <c r="CJ69" i="38"/>
  <c r="CH70" i="38"/>
  <c r="CI70" i="38"/>
  <c r="CP77" i="38" l="1"/>
  <c r="CM77" i="38"/>
  <c r="CJ77" i="38"/>
  <c r="CI5" i="38"/>
  <c r="CH5" i="38"/>
  <c r="O9" i="2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</authors>
  <commentList>
    <comment ref="A1" authorId="0" shapeId="0" xr:uid="{29E6C49C-4542-4DCA-8AFA-7DD1B8935E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  <comment ref="H1" authorId="1" shapeId="0" xr:uid="{5C2FC0E8-9CCF-48C1-A9B5-4BC1FB5DA7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  </r>
      </text>
    </comment>
    <comment ref="L1" authorId="2" shapeId="0" xr:uid="{ABCD4D32-22CD-4BEF-8375-3AECD1BBEF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  </r>
      </text>
    </comment>
    <comment ref="P1" authorId="3" shapeId="0" xr:uid="{D6F4FB4F-9D1E-4047-909F-380B59235A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  </r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  </r>
      </text>
    </comment>
    <comment ref="P1" authorId="3" shapeId="0" xr:uid="{BED26B28-B838-4B2E-B6BF-6AD5A97F88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CQ1" authorId="0" shapeId="0" xr:uid="{70C2B88C-F2AE-4E6B-9F86-2C87149FCA7C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WA_TERM_WOF</t>
        </r>
      </text>
    </comment>
    <comment ref="DD1" authorId="1" shapeId="0" xr:uid="{58686200-3B6D-4071-B60A-3FB2EEC1164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  </r>
      </text>
    </comment>
    <comment ref="DM1" authorId="2" shapeId="0" xr:uid="{93E06C06-51A0-474A-BF23-F708C6B183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  </r>
      </text>
    </comment>
    <comment ref="DS1" authorId="3" shapeId="0" xr:uid="{ACF410E0-7564-4295-857B-D4CAB0CE5D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  </r>
      </text>
    </comment>
  </commentList>
</comments>
</file>

<file path=xl/sharedStrings.xml><?xml version="1.0" encoding="utf-8"?>
<sst xmlns="http://schemas.openxmlformats.org/spreadsheetml/2006/main" count="9261" uniqueCount="282">
  <si>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</si>
  <si>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</si>
  <si>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</si>
  <si>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</si>
  <si>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</si>
  <si>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</si>
  <si>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</si>
  <si>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</si>
  <si>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</si>
  <si>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</si>
  <si>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</si>
  <si>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</si>
  <si>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</si>
  <si>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</si>
  <si>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</si>
  <si>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</si>
  <si>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</si>
  <si>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</si>
  <si>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</si>
  <si>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</si>
  <si>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</si>
  <si>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</si>
  <si>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</si>
  <si>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</si>
  <si>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</si>
  <si>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</si>
  <si>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</si>
  <si>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</si>
  <si>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</si>
  <si>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</si>
  <si>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</si>
  <si>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</si>
  <si>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</si>
  <si>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</si>
  <si>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</si>
  <si>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</si>
  <si>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</si>
  <si>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</si>
  <si>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</si>
  <si>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</si>
  <si>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</si>
  <si>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</si>
  <si>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</si>
  <si>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</si>
  <si>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</si>
  <si>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</si>
  <si>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</si>
  <si>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</si>
  <si>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</si>
  <si>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</si>
  <si>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</si>
  <si>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</si>
  <si>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</si>
  <si>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</si>
  <si>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</si>
  <si>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</si>
  <si>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</si>
  <si>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</si>
  <si>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</si>
  <si>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</si>
  <si>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</si>
  <si>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</si>
  <si>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</si>
  <si>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</si>
  <si>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</si>
  <si>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</si>
  <si>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</si>
  <si>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</si>
  <si>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</si>
  <si>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</si>
  <si>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</si>
  <si>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</si>
  <si>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</si>
  <si>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</si>
  <si>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</si>
  <si>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</si>
  <si>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</si>
  <si>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</si>
  <si>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</si>
  <si>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</si>
  <si>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</si>
  <si>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</si>
  <si>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</si>
  <si>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</si>
  <si>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</si>
  <si>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</si>
  <si>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</si>
  <si>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</si>
  <si>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</si>
  <si>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</si>
  <si>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</si>
  <si>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</si>
  <si>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</si>
  <si>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</si>
  <si>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</si>
  <si>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</si>
  <si>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</si>
  <si>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</si>
  <si>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</si>
  <si>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</si>
  <si>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</si>
  <si>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</si>
  <si>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</si>
  <si>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</si>
  <si>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</si>
  <si>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</si>
  <si>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</si>
  <si>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</si>
  <si>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</si>
  <si>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</si>
  <si>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</si>
  <si>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</si>
  <si>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</si>
  <si>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</si>
  <si>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</si>
  <si>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</si>
  <si>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</si>
  <si>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</si>
  <si>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</si>
  <si>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</si>
  <si>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</si>
  <si>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</si>
  <si>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</si>
  <si>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</si>
  <si>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</si>
  <si>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</si>
  <si>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</si>
  <si>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</si>
  <si>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</si>
  <si>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</si>
  <si>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</si>
  <si>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</si>
  <si>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</si>
  <si>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</si>
  <si>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</si>
  <si>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</si>
  <si>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</si>
  <si>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</si>
  <si>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</si>
  <si>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</si>
  <si>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</si>
  <si>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</si>
  <si>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</si>
  <si>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</si>
  <si>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</si>
  <si>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</si>
  <si>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</si>
  <si>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</si>
  <si>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</si>
  <si>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</si>
  <si>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</si>
  <si>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</si>
  <si>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</si>
  <si>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</si>
  <si>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</si>
  <si>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</si>
  <si>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</si>
  <si>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</si>
  <si>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</si>
  <si>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</si>
  <si>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</si>
  <si>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</si>
  <si>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</si>
  <si>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</si>
  <si>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</si>
  <si>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</si>
  <si>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</si>
  <si>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</si>
  <si>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</si>
  <si>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</si>
  <si>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</si>
  <si>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</si>
  <si>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</si>
  <si>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</si>
  <si>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</si>
  <si>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</si>
  <si>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</si>
  <si>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</si>
  <si>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</si>
  <si>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</si>
  <si>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</si>
  <si>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</si>
  <si>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</si>
  <si>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</si>
  <si>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</si>
  <si>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</si>
  <si>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</si>
  <si>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</si>
  <si>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</si>
  <si>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</si>
  <si>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</si>
  <si>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</si>
  <si>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</si>
  <si>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</si>
  <si>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</si>
  <si>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</si>
  <si>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Days 31 60</t>
  </si>
  <si>
    <t>Days 61 90</t>
  </si>
  <si>
    <t>Days 91+</t>
  </si>
  <si>
    <t>Arrears</t>
  </si>
  <si>
    <t>ZIP</t>
  </si>
  <si>
    <t>Sum of SumOfDays 31 60</t>
  </si>
  <si>
    <t>Sum of SumOfDays 61 90</t>
  </si>
  <si>
    <t>Sum of SumOfDays 91+</t>
  </si>
  <si>
    <t>Sum of SumOfArrears</t>
  </si>
  <si>
    <t>EAP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</si>
  <si>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</si>
  <si>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</si>
  <si>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</si>
  <si>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</si>
  <si>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</si>
  <si>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</si>
  <si>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</si>
  <si>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</si>
  <si>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</si>
  <si>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</si>
  <si>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</si>
  <si>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</si>
  <si>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</si>
  <si>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</si>
  <si>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</si>
  <si>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</si>
  <si>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</si>
  <si>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</si>
  <si>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</si>
  <si>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</si>
  <si>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</si>
  <si>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</si>
  <si>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98930COM</t>
  </si>
  <si>
    <t>98932COM</t>
  </si>
  <si>
    <t>98944COM</t>
  </si>
  <si>
    <t>DAYS 31 60</t>
  </si>
  <si>
    <t>DAYS 61 90</t>
  </si>
  <si>
    <t>DAYS 91+</t>
  </si>
  <si>
    <t>ARREARS</t>
  </si>
  <si>
    <t>98936COM</t>
  </si>
  <si>
    <t>ZIP/CLASS</t>
  </si>
  <si>
    <t>Revenue Class Cd</t>
  </si>
  <si>
    <t>General 2022</t>
  </si>
  <si>
    <t>99328COM</t>
  </si>
  <si>
    <t>BAD DEBT</t>
  </si>
  <si>
    <t>Concat Agreement Number</t>
  </si>
  <si>
    <t>Totals Q2</t>
  </si>
  <si>
    <t xml:space="preserve"> 98901  </t>
  </si>
  <si>
    <t xml:space="preserve"> 98902  </t>
  </si>
  <si>
    <t xml:space="preserve"> 98903  </t>
  </si>
  <si>
    <t xml:space="preserve"> 98904  </t>
  </si>
  <si>
    <t xml:space="preserve"> 98907  </t>
  </si>
  <si>
    <t xml:space="preserve"> 98908  </t>
  </si>
  <si>
    <t xml:space="preserve"> 98920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</si>
  <si>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</si>
  <si>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</si>
  <si>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</si>
  <si>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</si>
  <si>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</si>
  <si>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</si>
  <si>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</si>
  <si>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</si>
  <si>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</si>
  <si>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</si>
  <si>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</si>
  <si>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</si>
  <si>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</si>
  <si>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</si>
  <si>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</si>
  <si>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</si>
  <si>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</si>
  <si>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99301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</si>
  <si>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</si>
  <si>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</si>
  <si>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</si>
  <si>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</si>
  <si>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</si>
  <si>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</si>
  <si>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</si>
  <si>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</si>
  <si>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</si>
  <si>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</si>
  <si>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 WA    </t>
  </si>
  <si>
    <t xml:space="preserve"> 98603  </t>
  </si>
  <si>
    <t xml:space="preserve"> 99350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</si>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</sst>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;\-#,##0.00;0.00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7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2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43" fontId="3" fillId="0" borderId="0" applyFont="0" applyFill="0" applyBorder="0" applyAlignment="0" applyProtection="0"/>
  </cellStyleXfs>
  <cellXfs count="16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8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0" fillId="4" borderId="6" xfId="7" applyFont="1" applyFill="1" applyBorder="1" applyAlignment="1">
      <alignment horizontal="center"/>
    </xf>
    <xf numFmtId="0" fontId="10" fillId="0" borderId="5" xfId="7" applyFont="1" applyBorder="1" applyAlignment="1">
      <alignment wrapText="1"/>
    </xf>
    <xf numFmtId="0" fontId="10" fillId="0" borderId="5" xfId="7" applyFont="1" applyBorder="1" applyAlignment="1">
      <alignment horizontal="right" wrapText="1"/>
    </xf>
    <xf numFmtId="0" fontId="0" fillId="0" borderId="0" xfId="0" pivotButton="1"/>
    <xf numFmtId="0" fontId="10" fillId="4" borderId="6" xfId="8" applyFont="1" applyFill="1" applyBorder="1" applyAlignment="1">
      <alignment horizontal="center"/>
    </xf>
    <xf numFmtId="0" fontId="10" fillId="0" borderId="5" xfId="8" applyFont="1" applyBorder="1" applyAlignment="1">
      <alignment wrapText="1"/>
    </xf>
    <xf numFmtId="0" fontId="10" fillId="0" borderId="5" xfId="8" applyFont="1" applyBorder="1" applyAlignment="1">
      <alignment horizontal="right" wrapText="1"/>
    </xf>
    <xf numFmtId="0" fontId="10" fillId="4" borderId="6" xfId="9" applyFont="1" applyFill="1" applyBorder="1" applyAlignment="1">
      <alignment horizontal="center"/>
    </xf>
    <xf numFmtId="165" fontId="10" fillId="0" borderId="5" xfId="9" applyNumberFormat="1" applyFont="1" applyBorder="1" applyAlignment="1">
      <alignment horizontal="right" wrapText="1"/>
    </xf>
    <xf numFmtId="0" fontId="10" fillId="0" borderId="5" xfId="9" applyFont="1" applyBorder="1" applyAlignment="1">
      <alignment wrapText="1"/>
    </xf>
    <xf numFmtId="0" fontId="10" fillId="0" borderId="5" xfId="9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2" fillId="6" borderId="1" xfId="0" applyNumberFormat="1" applyFont="1" applyFill="1" applyBorder="1" applyAlignment="1">
      <alignment horizontal="left"/>
    </xf>
    <xf numFmtId="49" fontId="13" fillId="7" borderId="18" xfId="0" applyNumberFormat="1" applyFont="1" applyFill="1" applyBorder="1" applyAlignment="1">
      <alignment horizontal="left"/>
    </xf>
    <xf numFmtId="0" fontId="13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3" fillId="7" borderId="1" xfId="0" applyNumberFormat="1" applyFont="1" applyFill="1" applyBorder="1" applyAlignment="1">
      <alignment horizontal="left"/>
    </xf>
    <xf numFmtId="0" fontId="13" fillId="7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0" fontId="16" fillId="0" borderId="0" xfId="0" applyFont="1"/>
    <xf numFmtId="0" fontId="16" fillId="0" borderId="19" xfId="0" applyFont="1" applyBorder="1"/>
    <xf numFmtId="17" fontId="2" fillId="0" borderId="2" xfId="0" applyNumberFormat="1" applyFont="1" applyBorder="1"/>
    <xf numFmtId="0" fontId="6" fillId="0" borderId="20" xfId="6" applyFont="1" applyBorder="1" applyAlignment="1">
      <alignment horizontal="right" wrapText="1"/>
    </xf>
    <xf numFmtId="17" fontId="2" fillId="0" borderId="4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17" fontId="2" fillId="0" borderId="23" xfId="0" applyNumberFormat="1" applyFont="1" applyBorder="1"/>
    <xf numFmtId="49" fontId="13" fillId="6" borderId="24" xfId="0" applyNumberFormat="1" applyFont="1" applyFill="1" applyBorder="1" applyAlignment="1">
      <alignment horizontal="left"/>
    </xf>
    <xf numFmtId="0" fontId="13" fillId="7" borderId="25" xfId="0" applyFont="1" applyFill="1" applyBorder="1" applyAlignment="1">
      <alignment horizontal="right"/>
    </xf>
    <xf numFmtId="0" fontId="6" fillId="0" borderId="26" xfId="6" applyFont="1" applyBorder="1" applyAlignment="1">
      <alignment horizontal="right" wrapText="1"/>
    </xf>
    <xf numFmtId="0" fontId="0" fillId="0" borderId="27" xfId="0" applyBorder="1"/>
    <xf numFmtId="0" fontId="2" fillId="3" borderId="1" xfId="0" applyFont="1" applyFill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0" fontId="20" fillId="4" borderId="6" xfId="10" applyFont="1" applyFill="1" applyBorder="1" applyAlignment="1">
      <alignment horizontal="center"/>
    </xf>
    <xf numFmtId="0" fontId="20" fillId="0" borderId="5" xfId="10" applyFont="1" applyBorder="1" applyAlignment="1">
      <alignment wrapText="1"/>
    </xf>
    <xf numFmtId="0" fontId="20" fillId="0" borderId="5" xfId="10" applyFont="1" applyBorder="1" applyAlignment="1">
      <alignment horizontal="right" wrapText="1"/>
    </xf>
    <xf numFmtId="0" fontId="20" fillId="4" borderId="0" xfId="10" applyFont="1" applyFill="1" applyAlignment="1">
      <alignment horizontal="center"/>
    </xf>
    <xf numFmtId="0" fontId="20" fillId="0" borderId="0" xfId="10" applyFont="1" applyAlignment="1">
      <alignment horizontal="right" wrapText="1"/>
    </xf>
    <xf numFmtId="49" fontId="19" fillId="6" borderId="18" xfId="0" applyNumberFormat="1" applyFont="1" applyFill="1" applyBorder="1" applyAlignment="1">
      <alignment horizontal="left"/>
    </xf>
    <xf numFmtId="166" fontId="0" fillId="0" borderId="0" xfId="0" applyNumberFormat="1"/>
    <xf numFmtId="0" fontId="0" fillId="0" borderId="1" xfId="0" applyBorder="1" applyAlignment="1">
      <alignment horizontal="left"/>
    </xf>
    <xf numFmtId="0" fontId="2" fillId="3" borderId="4" xfId="0" applyFont="1" applyFill="1" applyBorder="1"/>
    <xf numFmtId="167" fontId="0" fillId="0" borderId="0" xfId="11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0" fillId="4" borderId="35" xfId="10" applyFont="1" applyFill="1" applyBorder="1" applyAlignment="1">
      <alignment horizontal="center"/>
    </xf>
    <xf numFmtId="0" fontId="20" fillId="0" borderId="36" xfId="10" applyFont="1" applyBorder="1" applyAlignment="1">
      <alignment wrapText="1"/>
    </xf>
    <xf numFmtId="166" fontId="3" fillId="0" borderId="0" xfId="1" applyNumberFormat="1" applyFont="1" applyFill="1" applyBorder="1"/>
    <xf numFmtId="16" fontId="2" fillId="0" borderId="1" xfId="0" applyNumberFormat="1" applyFont="1" applyBorder="1" applyAlignment="1">
      <alignment horizontal="left" wrapText="1"/>
    </xf>
    <xf numFmtId="49" fontId="22" fillId="6" borderId="18" xfId="0" applyNumberFormat="1" applyFont="1" applyFill="1" applyBorder="1" applyAlignment="1">
      <alignment horizontal="left"/>
    </xf>
    <xf numFmtId="49" fontId="22" fillId="7" borderId="18" xfId="0" applyNumberFormat="1" applyFont="1" applyFill="1" applyBorder="1" applyAlignment="1">
      <alignment horizontal="left"/>
    </xf>
    <xf numFmtId="0" fontId="22" fillId="7" borderId="18" xfId="0" applyFont="1" applyFill="1" applyBorder="1" applyAlignment="1">
      <alignment horizontal="right"/>
    </xf>
    <xf numFmtId="168" fontId="22" fillId="7" borderId="18" xfId="0" applyNumberFormat="1" applyFont="1" applyFill="1" applyBorder="1" applyAlignment="1">
      <alignment horizontal="right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39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165" fontId="19" fillId="9" borderId="10" xfId="0" applyNumberFormat="1" applyFont="1" applyFill="1" applyBorder="1" applyAlignment="1">
      <alignment horizontal="center"/>
    </xf>
    <xf numFmtId="165" fontId="19" fillId="9" borderId="0" xfId="0" applyNumberFormat="1" applyFont="1" applyFill="1" applyAlignment="1">
      <alignment horizontal="center"/>
    </xf>
    <xf numFmtId="165" fontId="19" fillId="9" borderId="33" xfId="0" applyNumberFormat="1" applyFont="1" applyFill="1" applyBorder="1" applyAlignment="1">
      <alignment horizontal="center"/>
    </xf>
    <xf numFmtId="165" fontId="19" fillId="9" borderId="28" xfId="0" applyNumberFormat="1" applyFont="1" applyFill="1" applyBorder="1" applyAlignment="1">
      <alignment horizontal="center"/>
    </xf>
    <xf numFmtId="165" fontId="19" fillId="9" borderId="29" xfId="0" applyNumberFormat="1" applyFont="1" applyFill="1" applyBorder="1" applyAlignment="1">
      <alignment horizontal="center"/>
    </xf>
    <xf numFmtId="165" fontId="19" fillId="9" borderId="30" xfId="0" applyNumberFormat="1" applyFont="1" applyFill="1" applyBorder="1" applyAlignment="1">
      <alignment horizontal="center"/>
    </xf>
    <xf numFmtId="165" fontId="19" fillId="9" borderId="31" xfId="0" applyNumberFormat="1" applyFont="1" applyFill="1" applyBorder="1" applyAlignment="1">
      <alignment horizontal="center"/>
    </xf>
    <xf numFmtId="165" fontId="19" fillId="9" borderId="32" xfId="0" applyNumberFormat="1" applyFont="1" applyFill="1" applyBorder="1" applyAlignment="1">
      <alignment horizontal="center"/>
    </xf>
    <xf numFmtId="165" fontId="19" fillId="9" borderId="3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0" borderId="40" xfId="0" applyBorder="1"/>
    <xf numFmtId="0" fontId="0" fillId="0" borderId="40" xfId="0" applyBorder="1" applyAlignment="1">
      <alignment horizontal="left"/>
    </xf>
    <xf numFmtId="0" fontId="2" fillId="10" borderId="14" xfId="0" applyFont="1" applyFill="1" applyBorder="1"/>
    <xf numFmtId="0" fontId="2" fillId="10" borderId="15" xfId="0" applyFont="1" applyFill="1" applyBorder="1"/>
    <xf numFmtId="49" fontId="22" fillId="6" borderId="41" xfId="0" applyNumberFormat="1" applyFont="1" applyFill="1" applyBorder="1" applyAlignment="1">
      <alignment horizontal="left"/>
    </xf>
    <xf numFmtId="0" fontId="22" fillId="7" borderId="41" xfId="0" applyFont="1" applyFill="1" applyBorder="1" applyAlignment="1">
      <alignment horizontal="right"/>
    </xf>
    <xf numFmtId="168" fontId="22" fillId="7" borderId="41" xfId="0" applyNumberFormat="1" applyFont="1" applyFill="1" applyBorder="1" applyAlignment="1">
      <alignment horizontal="right"/>
    </xf>
    <xf numFmtId="166" fontId="2" fillId="10" borderId="15" xfId="0" applyNumberFormat="1" applyFont="1" applyFill="1" applyBorder="1"/>
    <xf numFmtId="167" fontId="2" fillId="0" borderId="0" xfId="11" applyNumberFormat="1" applyFont="1"/>
    <xf numFmtId="167" fontId="0" fillId="0" borderId="0" xfId="11" applyNumberFormat="1" applyFont="1"/>
    <xf numFmtId="167" fontId="2" fillId="10" borderId="15" xfId="11" applyNumberFormat="1" applyFont="1" applyFill="1" applyBorder="1"/>
    <xf numFmtId="167" fontId="22" fillId="7" borderId="18" xfId="11" applyNumberFormat="1" applyFont="1" applyFill="1" applyBorder="1" applyAlignment="1">
      <alignment horizontal="right"/>
    </xf>
    <xf numFmtId="167" fontId="22" fillId="7" borderId="41" xfId="11" applyNumberFormat="1" applyFont="1" applyFill="1" applyBorder="1" applyAlignment="1">
      <alignment horizontal="right"/>
    </xf>
    <xf numFmtId="166" fontId="2" fillId="10" borderId="15" xfId="1" applyNumberFormat="1" applyFont="1" applyFill="1" applyBorder="1"/>
    <xf numFmtId="166" fontId="2" fillId="10" borderId="16" xfId="1" applyNumberFormat="1" applyFont="1" applyFill="1" applyBorder="1"/>
  </cellXfs>
  <cellStyles count="12">
    <cellStyle name="Comma" xfId="11" builtinId="3"/>
    <cellStyle name="Currency" xfId="1" builtinId="4"/>
    <cellStyle name="Normal" xfId="0" builtinId="0"/>
    <cellStyle name="Normal_7. Bill Assistance 2020" xfId="6" xr:uid="{00000000-0005-0000-0000-000003000000}"/>
    <cellStyle name="Normal_8.ARREARS NEW_Q4" xfId="10" xr:uid="{D52A84F4-4ED9-45D8-917A-CCDF82B79A49}"/>
    <cellStyle name="Normal_BA_WRKSHT" xfId="8" xr:uid="{2EABDF8C-E610-4E7C-A37C-12A2B0CDA556}"/>
    <cellStyle name="Normal_DEP_WKSHT" xfId="7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9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 (PacifiCorp)" id="{7FEE7FE4-C577-483D-BBE2-18B321D48DF8}" userId="S::Gustavo.Velasco@pacificorp.com::bd83c284-4e36-4d1c-b6bd-7f543d9b1d7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14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1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1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1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Q1" dT="2022-01-27T20:55:31.77" personId="{7FEE7FE4-C577-483D-BBE2-18B321D48DF8}" id="{70C2B88C-F2AE-4E6B-9F86-2C87149FCA7C}">
    <text>WA_TERM_WOF</text>
  </threadedComment>
  <threadedComment ref="DD1" dT="2022-01-27T21:04:09.29" personId="{7FEE7FE4-C577-483D-BBE2-18B321D48DF8}" id="{58686200-3B6D-4071-B60A-3FB2EEC11640}">
    <text>WA_TERM_ASG</text>
  </threadedComment>
  <threadedComment ref="DM1" dT="2022-01-27T21:38:17.59" personId="{7FEE7FE4-C577-483D-BBE2-18B321D48DF8}" id="{93E06C06-51A0-474A-BF23-F708C6B1831F}">
    <text>WA_TERM_ASG and WA_TERM_ASG_PAID and DB</text>
  </threadedComment>
  <threadedComment ref="DS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Y143"/>
  <sheetViews>
    <sheetView zoomScale="106" zoomScaleNormal="106" workbookViewId="0">
      <selection activeCell="P12" sqref="P12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7" width="6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33203125" bestFit="1" customWidth="1"/>
  </cols>
  <sheetData>
    <row r="1" spans="1:25" x14ac:dyDescent="0.2">
      <c r="A1" s="5" t="s">
        <v>222</v>
      </c>
      <c r="J1" s="5"/>
    </row>
    <row r="2" spans="1:25" x14ac:dyDescent="0.2">
      <c r="A2" s="5" t="s">
        <v>145</v>
      </c>
      <c r="B2" s="5"/>
      <c r="C2" s="5"/>
      <c r="D2" s="5"/>
      <c r="J2" s="5"/>
    </row>
    <row r="3" spans="1:25" x14ac:dyDescent="0.2">
      <c r="A3" s="103" t="s">
        <v>238</v>
      </c>
      <c r="B3" s="103"/>
      <c r="C3" s="103"/>
      <c r="D3" s="103"/>
      <c r="J3" s="53"/>
    </row>
    <row r="4" spans="1:25" ht="32" x14ac:dyDescent="0.2">
      <c r="A4" s="101">
        <v>44652</v>
      </c>
      <c r="B4" s="102"/>
      <c r="C4" s="102"/>
      <c r="D4" s="101">
        <v>44682</v>
      </c>
      <c r="E4" s="102"/>
      <c r="F4" s="102"/>
      <c r="G4" s="101">
        <v>44713</v>
      </c>
      <c r="H4" s="102"/>
      <c r="I4" s="102"/>
      <c r="J4" s="54"/>
      <c r="K4" s="31" t="s">
        <v>125</v>
      </c>
      <c r="L4" s="31" t="s">
        <v>134</v>
      </c>
      <c r="M4" s="31" t="s">
        <v>135</v>
      </c>
      <c r="N4" s="31" t="s">
        <v>136</v>
      </c>
      <c r="O4" s="96">
        <v>44652</v>
      </c>
      <c r="P4" s="96">
        <v>44682</v>
      </c>
      <c r="Q4" s="96">
        <v>44713</v>
      </c>
      <c r="R4" s="31" t="s">
        <v>134</v>
      </c>
      <c r="S4" s="31" t="s">
        <v>135</v>
      </c>
      <c r="T4" s="31" t="s">
        <v>136</v>
      </c>
      <c r="U4" s="31" t="s">
        <v>137</v>
      </c>
      <c r="V4" s="31" t="s">
        <v>138</v>
      </c>
      <c r="W4" s="31" t="s">
        <v>139</v>
      </c>
      <c r="X4" s="31" t="s">
        <v>242</v>
      </c>
    </row>
    <row r="5" spans="1:25" x14ac:dyDescent="0.2">
      <c r="A5" s="50" t="s">
        <v>221</v>
      </c>
      <c r="B5" s="50" t="s">
        <v>220</v>
      </c>
      <c r="C5" s="50" t="s">
        <v>219</v>
      </c>
      <c r="D5" s="50" t="s">
        <v>221</v>
      </c>
      <c r="E5" s="50" t="s">
        <v>220</v>
      </c>
      <c r="F5" s="50" t="s">
        <v>219</v>
      </c>
      <c r="G5" s="50" t="s">
        <v>221</v>
      </c>
      <c r="H5" s="50" t="s">
        <v>220</v>
      </c>
      <c r="I5" s="50" t="s">
        <v>219</v>
      </c>
      <c r="K5" s="57" t="s">
        <v>126</v>
      </c>
      <c r="L5" s="58">
        <v>149454803</v>
      </c>
      <c r="M5" s="58">
        <v>144341255</v>
      </c>
      <c r="N5" s="58">
        <v>106642496</v>
      </c>
      <c r="O5" s="58">
        <v>117639312</v>
      </c>
      <c r="P5" s="58">
        <v>105770932</v>
      </c>
      <c r="Q5" s="58">
        <v>92158912</v>
      </c>
      <c r="R5" s="58"/>
      <c r="S5" s="58"/>
      <c r="T5" s="58"/>
      <c r="U5" s="58"/>
      <c r="V5" s="58"/>
      <c r="W5" s="58"/>
      <c r="X5" s="59">
        <f>SUM(O5:Q5)</f>
        <v>315569156</v>
      </c>
    </row>
    <row r="6" spans="1:25" x14ac:dyDescent="0.2">
      <c r="A6" s="55" t="s">
        <v>35</v>
      </c>
      <c r="B6" s="55" t="s">
        <v>34</v>
      </c>
      <c r="C6" s="56">
        <v>2121</v>
      </c>
      <c r="D6" s="55" t="s">
        <v>35</v>
      </c>
      <c r="E6" s="55" t="s">
        <v>34</v>
      </c>
      <c r="F6" s="56">
        <v>2118</v>
      </c>
      <c r="G6" s="55" t="s">
        <v>35</v>
      </c>
      <c r="H6" s="55" t="s">
        <v>34</v>
      </c>
      <c r="I6" s="56">
        <v>2132</v>
      </c>
      <c r="K6" s="57" t="s">
        <v>127</v>
      </c>
      <c r="L6" s="58">
        <v>140404042</v>
      </c>
      <c r="M6" s="58">
        <v>148198213</v>
      </c>
      <c r="N6" s="58">
        <v>131511808</v>
      </c>
      <c r="O6" s="58">
        <v>110239574</v>
      </c>
      <c r="P6" s="58">
        <v>106749804</v>
      </c>
      <c r="Q6" s="58">
        <v>111946253</v>
      </c>
      <c r="R6" s="58"/>
      <c r="S6" s="58"/>
      <c r="T6" s="58"/>
      <c r="U6" s="58"/>
      <c r="V6" s="58"/>
      <c r="W6" s="58"/>
      <c r="X6" s="59">
        <f>SUM(O6:Q6)</f>
        <v>328935631</v>
      </c>
    </row>
    <row r="7" spans="1:25" x14ac:dyDescent="0.2">
      <c r="A7" s="55" t="s">
        <v>36</v>
      </c>
      <c r="B7" s="55" t="s">
        <v>34</v>
      </c>
      <c r="C7" s="56">
        <v>2550</v>
      </c>
      <c r="D7" s="55" t="s">
        <v>36</v>
      </c>
      <c r="E7" s="55" t="s">
        <v>34</v>
      </c>
      <c r="F7" s="56">
        <v>2533</v>
      </c>
      <c r="G7" s="55" t="s">
        <v>36</v>
      </c>
      <c r="H7" s="55" t="s">
        <v>34</v>
      </c>
      <c r="I7" s="56">
        <v>2545</v>
      </c>
      <c r="K7" s="57" t="s">
        <v>140</v>
      </c>
      <c r="L7" s="58">
        <v>72533895</v>
      </c>
      <c r="M7" s="58">
        <v>71622459</v>
      </c>
      <c r="N7" s="58">
        <v>72818621</v>
      </c>
      <c r="O7" s="58">
        <v>67776438</v>
      </c>
      <c r="P7" s="58">
        <v>110717833</v>
      </c>
      <c r="Q7" s="58">
        <v>24110397</v>
      </c>
      <c r="R7" s="58"/>
      <c r="S7" s="58"/>
      <c r="T7" s="58"/>
      <c r="U7" s="58"/>
      <c r="V7" s="58"/>
      <c r="W7" s="58"/>
      <c r="X7" s="59">
        <f>SUM(O7:Q7)</f>
        <v>202604668</v>
      </c>
    </row>
    <row r="8" spans="1:25" x14ac:dyDescent="0.2">
      <c r="A8" s="55" t="s">
        <v>37</v>
      </c>
      <c r="B8" s="55" t="s">
        <v>34</v>
      </c>
      <c r="C8" s="56">
        <v>1615</v>
      </c>
      <c r="D8" s="55" t="s">
        <v>37</v>
      </c>
      <c r="E8" s="55" t="s">
        <v>34</v>
      </c>
      <c r="F8" s="56">
        <v>1618</v>
      </c>
      <c r="G8" s="55" t="s">
        <v>37</v>
      </c>
      <c r="H8" s="55" t="s">
        <v>34</v>
      </c>
      <c r="I8" s="56">
        <v>1613</v>
      </c>
      <c r="K8" s="57" t="s">
        <v>141</v>
      </c>
      <c r="L8" s="58">
        <v>36860793</v>
      </c>
      <c r="M8" s="58">
        <v>39164393</v>
      </c>
      <c r="N8" s="58">
        <v>25760901</v>
      </c>
      <c r="O8" s="58">
        <v>6980502</v>
      </c>
      <c r="P8" s="58">
        <v>12323026</v>
      </c>
      <c r="Q8" s="58">
        <v>17003255</v>
      </c>
      <c r="R8" s="58"/>
      <c r="S8" s="58"/>
      <c r="T8" s="58"/>
      <c r="U8" s="58"/>
      <c r="V8" s="58"/>
      <c r="W8" s="58"/>
      <c r="X8" s="59">
        <f>SUM(O8:Q8)</f>
        <v>36306783</v>
      </c>
    </row>
    <row r="9" spans="1:25" x14ac:dyDescent="0.2">
      <c r="A9" s="55" t="s">
        <v>38</v>
      </c>
      <c r="B9" s="55" t="s">
        <v>34</v>
      </c>
      <c r="C9" s="56">
        <v>2</v>
      </c>
      <c r="D9" s="55" t="s">
        <v>38</v>
      </c>
      <c r="E9" s="55" t="s">
        <v>34</v>
      </c>
      <c r="F9" s="56">
        <v>2</v>
      </c>
      <c r="G9" s="55" t="s">
        <v>38</v>
      </c>
      <c r="H9" s="55" t="s">
        <v>34</v>
      </c>
      <c r="I9" s="56">
        <v>2</v>
      </c>
      <c r="K9" s="60" t="s">
        <v>142</v>
      </c>
      <c r="L9" s="59">
        <f>SUM(L5:L8)</f>
        <v>399253533</v>
      </c>
      <c r="M9" s="59">
        <f>SUM(M5:M8)</f>
        <v>403326320</v>
      </c>
      <c r="N9" s="59">
        <f>SUM(N5:N8)</f>
        <v>336733826</v>
      </c>
      <c r="O9" s="59">
        <f t="shared" ref="O9:U9" si="0">SUM(O5:O8)</f>
        <v>302635826</v>
      </c>
      <c r="P9" s="59">
        <f t="shared" si="0"/>
        <v>335561595</v>
      </c>
      <c r="Q9" s="59">
        <f t="shared" si="0"/>
        <v>245218817</v>
      </c>
      <c r="R9" s="59">
        <f t="shared" si="0"/>
        <v>0</v>
      </c>
      <c r="S9" s="59">
        <f t="shared" si="0"/>
        <v>0</v>
      </c>
      <c r="T9" s="59">
        <f t="shared" si="0"/>
        <v>0</v>
      </c>
      <c r="U9" s="59">
        <f t="shared" si="0"/>
        <v>0</v>
      </c>
      <c r="V9" s="59">
        <f>SUM(V5:V8)</f>
        <v>0</v>
      </c>
      <c r="W9" s="59">
        <f>SUM(W5:W8)</f>
        <v>0</v>
      </c>
      <c r="X9" s="59">
        <f>SUM(X5:X8)</f>
        <v>883416238</v>
      </c>
      <c r="Y9" s="26"/>
    </row>
    <row r="10" spans="1:25" x14ac:dyDescent="0.2">
      <c r="A10" s="55" t="s">
        <v>39</v>
      </c>
      <c r="B10" s="55" t="s">
        <v>34</v>
      </c>
      <c r="C10" s="56">
        <v>2</v>
      </c>
      <c r="D10" s="55" t="s">
        <v>39</v>
      </c>
      <c r="E10" s="55" t="s">
        <v>34</v>
      </c>
      <c r="F10" s="56">
        <v>2</v>
      </c>
      <c r="G10" s="55" t="s">
        <v>39</v>
      </c>
      <c r="H10" s="55" t="s">
        <v>34</v>
      </c>
      <c r="I10" s="56">
        <v>2</v>
      </c>
      <c r="U10" s="27"/>
      <c r="V10" s="27"/>
      <c r="W10" s="27"/>
      <c r="X10" s="27"/>
      <c r="Y10" s="27"/>
    </row>
    <row r="11" spans="1:25" x14ac:dyDescent="0.2">
      <c r="A11" s="55" t="s">
        <v>40</v>
      </c>
      <c r="B11" s="55" t="s">
        <v>34</v>
      </c>
      <c r="C11" s="56">
        <v>1526</v>
      </c>
      <c r="D11" s="55" t="s">
        <v>40</v>
      </c>
      <c r="E11" s="55" t="s">
        <v>34</v>
      </c>
      <c r="F11" s="56">
        <v>1527</v>
      </c>
      <c r="G11" s="55" t="s">
        <v>40</v>
      </c>
      <c r="H11" s="55" t="s">
        <v>34</v>
      </c>
      <c r="I11" s="56">
        <v>1535</v>
      </c>
      <c r="U11" s="27"/>
      <c r="V11" s="27"/>
      <c r="W11" s="27"/>
      <c r="X11" s="27"/>
      <c r="Y11" s="27"/>
    </row>
    <row r="12" spans="1:25" x14ac:dyDescent="0.2">
      <c r="A12" s="55" t="s">
        <v>41</v>
      </c>
      <c r="B12" s="55" t="s">
        <v>34</v>
      </c>
      <c r="C12" s="56">
        <v>4</v>
      </c>
      <c r="D12" s="55" t="s">
        <v>41</v>
      </c>
      <c r="E12" s="55" t="s">
        <v>34</v>
      </c>
      <c r="F12" s="56">
        <v>4</v>
      </c>
      <c r="G12" s="55" t="s">
        <v>41</v>
      </c>
      <c r="H12" s="55" t="s">
        <v>34</v>
      </c>
      <c r="I12" s="56">
        <v>4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5" t="s">
        <v>42</v>
      </c>
      <c r="B13" s="55" t="s">
        <v>34</v>
      </c>
      <c r="C13" s="56">
        <v>26</v>
      </c>
      <c r="D13" s="55" t="s">
        <v>42</v>
      </c>
      <c r="E13" s="55" t="s">
        <v>34</v>
      </c>
      <c r="F13" s="56">
        <v>26</v>
      </c>
      <c r="G13" s="55" t="s">
        <v>42</v>
      </c>
      <c r="H13" s="55" t="s">
        <v>34</v>
      </c>
      <c r="I13" s="56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5" t="s">
        <v>43</v>
      </c>
      <c r="B14" s="55" t="s">
        <v>34</v>
      </c>
      <c r="C14" s="56">
        <v>107</v>
      </c>
      <c r="D14" s="55" t="s">
        <v>43</v>
      </c>
      <c r="E14" s="55" t="s">
        <v>34</v>
      </c>
      <c r="F14" s="56">
        <v>107</v>
      </c>
      <c r="G14" s="55" t="s">
        <v>43</v>
      </c>
      <c r="H14" s="55" t="s">
        <v>34</v>
      </c>
      <c r="I14" s="56">
        <v>107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5" t="s">
        <v>44</v>
      </c>
      <c r="B15" s="55" t="s">
        <v>34</v>
      </c>
      <c r="C15" s="56">
        <v>619</v>
      </c>
      <c r="D15" s="55" t="s">
        <v>44</v>
      </c>
      <c r="E15" s="55" t="s">
        <v>34</v>
      </c>
      <c r="F15" s="56">
        <v>620</v>
      </c>
      <c r="G15" s="55" t="s">
        <v>44</v>
      </c>
      <c r="H15" s="55" t="s">
        <v>34</v>
      </c>
      <c r="I15" s="56">
        <v>624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5" t="s">
        <v>45</v>
      </c>
      <c r="B16" s="55" t="s">
        <v>34</v>
      </c>
      <c r="C16" s="56">
        <v>226</v>
      </c>
      <c r="D16" s="55" t="s">
        <v>45</v>
      </c>
      <c r="E16" s="55" t="s">
        <v>34</v>
      </c>
      <c r="F16" s="56">
        <v>228</v>
      </c>
      <c r="G16" s="55" t="s">
        <v>45</v>
      </c>
      <c r="H16" s="55" t="s">
        <v>34</v>
      </c>
      <c r="I16" s="56">
        <v>227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5" t="s">
        <v>46</v>
      </c>
      <c r="B17" s="55" t="s">
        <v>34</v>
      </c>
      <c r="C17" s="56">
        <v>73</v>
      </c>
      <c r="D17" s="55" t="s">
        <v>46</v>
      </c>
      <c r="E17" s="55" t="s">
        <v>34</v>
      </c>
      <c r="F17" s="56">
        <v>72</v>
      </c>
      <c r="G17" s="55" t="s">
        <v>46</v>
      </c>
      <c r="H17" s="55" t="s">
        <v>34</v>
      </c>
      <c r="I17" s="56">
        <v>74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5" t="s">
        <v>47</v>
      </c>
      <c r="B18" s="55" t="s">
        <v>34</v>
      </c>
      <c r="C18" s="56">
        <v>135</v>
      </c>
      <c r="D18" s="55" t="s">
        <v>47</v>
      </c>
      <c r="E18" s="55" t="s">
        <v>34</v>
      </c>
      <c r="F18" s="56">
        <v>136</v>
      </c>
      <c r="G18" s="55" t="s">
        <v>47</v>
      </c>
      <c r="H18" s="55" t="s">
        <v>34</v>
      </c>
      <c r="I18" s="56">
        <v>138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5" t="s">
        <v>48</v>
      </c>
      <c r="B19" s="55" t="s">
        <v>34</v>
      </c>
      <c r="C19" s="56">
        <v>349</v>
      </c>
      <c r="D19" s="55" t="s">
        <v>48</v>
      </c>
      <c r="E19" s="55" t="s">
        <v>34</v>
      </c>
      <c r="F19" s="56">
        <v>348</v>
      </c>
      <c r="G19" s="55" t="s">
        <v>48</v>
      </c>
      <c r="H19" s="55" t="s">
        <v>34</v>
      </c>
      <c r="I19" s="56">
        <v>348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5" t="s">
        <v>49</v>
      </c>
      <c r="B20" s="55" t="s">
        <v>34</v>
      </c>
      <c r="C20" s="56">
        <v>389</v>
      </c>
      <c r="D20" s="55" t="s">
        <v>49</v>
      </c>
      <c r="E20" s="55" t="s">
        <v>34</v>
      </c>
      <c r="F20" s="56">
        <v>390</v>
      </c>
      <c r="G20" s="55" t="s">
        <v>49</v>
      </c>
      <c r="H20" s="55" t="s">
        <v>34</v>
      </c>
      <c r="I20" s="56">
        <v>388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5" t="s">
        <v>50</v>
      </c>
      <c r="B21" s="55" t="s">
        <v>34</v>
      </c>
      <c r="C21" s="56">
        <v>154</v>
      </c>
      <c r="D21" s="55" t="s">
        <v>50</v>
      </c>
      <c r="E21" s="55" t="s">
        <v>34</v>
      </c>
      <c r="F21" s="56">
        <v>157</v>
      </c>
      <c r="G21" s="55" t="s">
        <v>50</v>
      </c>
      <c r="H21" s="55" t="s">
        <v>34</v>
      </c>
      <c r="I21" s="56">
        <v>157</v>
      </c>
    </row>
    <row r="22" spans="1:23" x14ac:dyDescent="0.2">
      <c r="A22" s="55" t="s">
        <v>51</v>
      </c>
      <c r="B22" s="55" t="s">
        <v>34</v>
      </c>
      <c r="C22" s="56">
        <v>19</v>
      </c>
      <c r="D22" s="55" t="s">
        <v>51</v>
      </c>
      <c r="E22" s="55" t="s">
        <v>34</v>
      </c>
      <c r="F22" s="56">
        <v>19</v>
      </c>
      <c r="G22" s="55" t="s">
        <v>51</v>
      </c>
      <c r="H22" s="55" t="s">
        <v>34</v>
      </c>
      <c r="I22" s="56">
        <v>19</v>
      </c>
    </row>
    <row r="23" spans="1:23" x14ac:dyDescent="0.2">
      <c r="A23" s="55" t="s">
        <v>52</v>
      </c>
      <c r="B23" s="55" t="s">
        <v>34</v>
      </c>
      <c r="C23" s="56">
        <v>885</v>
      </c>
      <c r="D23" s="55" t="s">
        <v>52</v>
      </c>
      <c r="E23" s="55" t="s">
        <v>34</v>
      </c>
      <c r="F23" s="56">
        <v>885</v>
      </c>
      <c r="G23" s="55" t="s">
        <v>52</v>
      </c>
      <c r="H23" s="55" t="s">
        <v>34</v>
      </c>
      <c r="I23" s="56">
        <v>891</v>
      </c>
    </row>
    <row r="24" spans="1:23" x14ac:dyDescent="0.2">
      <c r="A24" s="55" t="s">
        <v>53</v>
      </c>
      <c r="B24" s="55" t="s">
        <v>34</v>
      </c>
      <c r="C24" s="56">
        <v>1285</v>
      </c>
      <c r="D24" s="55" t="s">
        <v>53</v>
      </c>
      <c r="E24" s="55" t="s">
        <v>34</v>
      </c>
      <c r="F24" s="56">
        <v>1288</v>
      </c>
      <c r="G24" s="55" t="s">
        <v>53</v>
      </c>
      <c r="H24" s="55" t="s">
        <v>34</v>
      </c>
      <c r="I24" s="56">
        <v>1291</v>
      </c>
    </row>
    <row r="25" spans="1:23" x14ac:dyDescent="0.2">
      <c r="A25" s="55" t="s">
        <v>54</v>
      </c>
      <c r="B25" s="55" t="s">
        <v>34</v>
      </c>
      <c r="C25" s="56">
        <v>209</v>
      </c>
      <c r="D25" s="55" t="s">
        <v>54</v>
      </c>
      <c r="E25" s="55" t="s">
        <v>34</v>
      </c>
      <c r="F25" s="56">
        <v>210</v>
      </c>
      <c r="G25" s="55" t="s">
        <v>54</v>
      </c>
      <c r="H25" s="55" t="s">
        <v>34</v>
      </c>
      <c r="I25" s="56">
        <v>210</v>
      </c>
    </row>
    <row r="26" spans="1:23" x14ac:dyDescent="0.2">
      <c r="A26" s="55" t="s">
        <v>55</v>
      </c>
      <c r="B26" s="55" t="s">
        <v>34</v>
      </c>
      <c r="C26" s="56">
        <v>694</v>
      </c>
      <c r="D26" s="55" t="s">
        <v>55</v>
      </c>
      <c r="E26" s="55" t="s">
        <v>34</v>
      </c>
      <c r="F26" s="56">
        <v>690</v>
      </c>
      <c r="G26" s="55" t="s">
        <v>55</v>
      </c>
      <c r="H26" s="55" t="s">
        <v>34</v>
      </c>
      <c r="I26" s="56">
        <v>690</v>
      </c>
    </row>
    <row r="27" spans="1:23" x14ac:dyDescent="0.2">
      <c r="A27" s="55" t="s">
        <v>56</v>
      </c>
      <c r="B27" s="55" t="s">
        <v>34</v>
      </c>
      <c r="C27" s="56">
        <v>751</v>
      </c>
      <c r="D27" s="55" t="s">
        <v>56</v>
      </c>
      <c r="E27" s="55" t="s">
        <v>34</v>
      </c>
      <c r="F27" s="56">
        <v>753</v>
      </c>
      <c r="G27" s="55" t="s">
        <v>56</v>
      </c>
      <c r="H27" s="55" t="s">
        <v>34</v>
      </c>
      <c r="I27" s="56">
        <v>751</v>
      </c>
    </row>
    <row r="28" spans="1:23" x14ac:dyDescent="0.2">
      <c r="A28" s="55" t="s">
        <v>57</v>
      </c>
      <c r="B28" s="55" t="s">
        <v>34</v>
      </c>
      <c r="C28" s="56">
        <v>63</v>
      </c>
      <c r="D28" s="55" t="s">
        <v>57</v>
      </c>
      <c r="E28" s="55" t="s">
        <v>34</v>
      </c>
      <c r="F28" s="56">
        <v>63</v>
      </c>
      <c r="G28" s="55" t="s">
        <v>57</v>
      </c>
      <c r="H28" s="55" t="s">
        <v>34</v>
      </c>
      <c r="I28" s="56">
        <v>64</v>
      </c>
    </row>
    <row r="29" spans="1:23" x14ac:dyDescent="0.2">
      <c r="A29" s="55" t="s">
        <v>58</v>
      </c>
      <c r="B29" s="55" t="s">
        <v>34</v>
      </c>
      <c r="C29" s="56">
        <v>524</v>
      </c>
      <c r="D29" s="55" t="s">
        <v>58</v>
      </c>
      <c r="E29" s="55" t="s">
        <v>34</v>
      </c>
      <c r="F29" s="56">
        <v>529</v>
      </c>
      <c r="G29" s="55" t="s">
        <v>58</v>
      </c>
      <c r="H29" s="55" t="s">
        <v>34</v>
      </c>
      <c r="I29" s="56">
        <v>525</v>
      </c>
    </row>
    <row r="30" spans="1:23" x14ac:dyDescent="0.2">
      <c r="A30" s="55" t="s">
        <v>59</v>
      </c>
      <c r="B30" s="55" t="s">
        <v>34</v>
      </c>
      <c r="C30" s="56">
        <v>4</v>
      </c>
      <c r="D30" s="55" t="s">
        <v>59</v>
      </c>
      <c r="E30" s="55" t="s">
        <v>34</v>
      </c>
      <c r="F30" s="56">
        <v>4</v>
      </c>
      <c r="G30" s="55" t="s">
        <v>59</v>
      </c>
      <c r="H30" s="55" t="s">
        <v>34</v>
      </c>
      <c r="I30" s="56">
        <v>4</v>
      </c>
    </row>
    <row r="31" spans="1:23" x14ac:dyDescent="0.2">
      <c r="A31" s="55" t="s">
        <v>60</v>
      </c>
      <c r="B31" s="55" t="s">
        <v>34</v>
      </c>
      <c r="C31" s="56">
        <v>103</v>
      </c>
      <c r="D31" s="55" t="s">
        <v>60</v>
      </c>
      <c r="E31" s="55" t="s">
        <v>34</v>
      </c>
      <c r="F31" s="56">
        <v>103</v>
      </c>
      <c r="G31" s="55" t="s">
        <v>60</v>
      </c>
      <c r="H31" s="55" t="s">
        <v>34</v>
      </c>
      <c r="I31" s="56">
        <v>105</v>
      </c>
    </row>
    <row r="32" spans="1:23" x14ac:dyDescent="0.2">
      <c r="A32" s="55" t="s">
        <v>61</v>
      </c>
      <c r="B32" s="55" t="s">
        <v>34</v>
      </c>
      <c r="C32" s="56">
        <v>177</v>
      </c>
      <c r="D32" s="55" t="s">
        <v>61</v>
      </c>
      <c r="E32" s="55" t="s">
        <v>34</v>
      </c>
      <c r="F32" s="56">
        <v>178</v>
      </c>
      <c r="G32" s="55" t="s">
        <v>61</v>
      </c>
      <c r="H32" s="55" t="s">
        <v>34</v>
      </c>
      <c r="I32" s="56">
        <v>178</v>
      </c>
    </row>
    <row r="33" spans="1:9" x14ac:dyDescent="0.2">
      <c r="A33" s="55" t="s">
        <v>62</v>
      </c>
      <c r="B33" s="55" t="s">
        <v>34</v>
      </c>
      <c r="C33" s="56">
        <v>385</v>
      </c>
      <c r="D33" s="55" t="s">
        <v>62</v>
      </c>
      <c r="E33" s="55" t="s">
        <v>34</v>
      </c>
      <c r="F33" s="56">
        <v>386</v>
      </c>
      <c r="G33" s="55" t="s">
        <v>62</v>
      </c>
      <c r="H33" s="55" t="s">
        <v>34</v>
      </c>
      <c r="I33" s="56">
        <v>386</v>
      </c>
    </row>
    <row r="34" spans="1:9" x14ac:dyDescent="0.2">
      <c r="A34" s="55" t="s">
        <v>63</v>
      </c>
      <c r="B34" s="55" t="s">
        <v>34</v>
      </c>
      <c r="C34" s="56">
        <v>36</v>
      </c>
      <c r="D34" s="55" t="s">
        <v>63</v>
      </c>
      <c r="E34" s="55" t="s">
        <v>34</v>
      </c>
      <c r="F34" s="56">
        <v>36</v>
      </c>
      <c r="G34" s="55" t="s">
        <v>63</v>
      </c>
      <c r="H34" s="55" t="s">
        <v>34</v>
      </c>
      <c r="I34" s="56">
        <v>37</v>
      </c>
    </row>
    <row r="35" spans="1:9" x14ac:dyDescent="0.2">
      <c r="A35" s="55" t="s">
        <v>64</v>
      </c>
      <c r="B35" s="55" t="s">
        <v>34</v>
      </c>
      <c r="C35" s="56">
        <v>287</v>
      </c>
      <c r="D35" s="55" t="s">
        <v>64</v>
      </c>
      <c r="E35" s="55" t="s">
        <v>34</v>
      </c>
      <c r="F35" s="56">
        <v>286</v>
      </c>
      <c r="G35" s="55" t="s">
        <v>64</v>
      </c>
      <c r="H35" s="55" t="s">
        <v>34</v>
      </c>
      <c r="I35" s="56">
        <v>286</v>
      </c>
    </row>
    <row r="36" spans="1:9" x14ac:dyDescent="0.2">
      <c r="A36" s="55" t="s">
        <v>65</v>
      </c>
      <c r="B36" s="55" t="s">
        <v>34</v>
      </c>
      <c r="C36" s="56">
        <v>48</v>
      </c>
      <c r="D36" s="55" t="s">
        <v>65</v>
      </c>
      <c r="E36" s="55" t="s">
        <v>34</v>
      </c>
      <c r="F36" s="56">
        <v>49</v>
      </c>
      <c r="G36" s="55" t="s">
        <v>65</v>
      </c>
      <c r="H36" s="55" t="s">
        <v>34</v>
      </c>
      <c r="I36" s="56">
        <v>48</v>
      </c>
    </row>
    <row r="37" spans="1:9" x14ac:dyDescent="0.2">
      <c r="A37" s="55" t="s">
        <v>67</v>
      </c>
      <c r="B37" s="55" t="s">
        <v>34</v>
      </c>
      <c r="C37" s="56">
        <v>128</v>
      </c>
      <c r="D37" s="55" t="s">
        <v>67</v>
      </c>
      <c r="E37" s="55" t="s">
        <v>34</v>
      </c>
      <c r="F37" s="56">
        <v>128</v>
      </c>
      <c r="G37" s="55" t="s">
        <v>67</v>
      </c>
      <c r="H37" s="55" t="s">
        <v>34</v>
      </c>
      <c r="I37" s="56">
        <v>128</v>
      </c>
    </row>
    <row r="38" spans="1:9" x14ac:dyDescent="0.2">
      <c r="A38" s="55" t="s">
        <v>68</v>
      </c>
      <c r="B38" s="55" t="s">
        <v>34</v>
      </c>
      <c r="C38" s="56">
        <v>143</v>
      </c>
      <c r="D38" s="55" t="s">
        <v>68</v>
      </c>
      <c r="E38" s="55" t="s">
        <v>34</v>
      </c>
      <c r="F38" s="56">
        <v>140</v>
      </c>
      <c r="G38" s="55" t="s">
        <v>68</v>
      </c>
      <c r="H38" s="55" t="s">
        <v>34</v>
      </c>
      <c r="I38" s="56">
        <v>141</v>
      </c>
    </row>
    <row r="39" spans="1:9" x14ac:dyDescent="0.2">
      <c r="A39" s="55" t="s">
        <v>69</v>
      </c>
      <c r="B39" s="55" t="s">
        <v>34</v>
      </c>
      <c r="C39" s="56">
        <v>2614</v>
      </c>
      <c r="D39" s="55" t="s">
        <v>69</v>
      </c>
      <c r="E39" s="55" t="s">
        <v>34</v>
      </c>
      <c r="F39" s="56">
        <v>2619</v>
      </c>
      <c r="G39" s="55" t="s">
        <v>69</v>
      </c>
      <c r="H39" s="55" t="s">
        <v>34</v>
      </c>
      <c r="I39" s="56">
        <v>2615</v>
      </c>
    </row>
    <row r="40" spans="1:9" x14ac:dyDescent="0.2">
      <c r="A40" s="55" t="s">
        <v>70</v>
      </c>
      <c r="B40" s="55" t="s">
        <v>34</v>
      </c>
      <c r="C40" s="56">
        <v>72</v>
      </c>
      <c r="D40" s="55" t="s">
        <v>70</v>
      </c>
      <c r="E40" s="55" t="s">
        <v>34</v>
      </c>
      <c r="F40" s="56">
        <v>74</v>
      </c>
      <c r="G40" s="55" t="s">
        <v>70</v>
      </c>
      <c r="H40" s="55" t="s">
        <v>34</v>
      </c>
      <c r="I40" s="56">
        <v>73</v>
      </c>
    </row>
    <row r="41" spans="1:9" x14ac:dyDescent="0.2">
      <c r="A41" s="55"/>
      <c r="B41" s="55" t="s">
        <v>34</v>
      </c>
      <c r="C41" s="56">
        <v>1</v>
      </c>
      <c r="D41" s="55"/>
      <c r="E41" s="55" t="s">
        <v>34</v>
      </c>
      <c r="F41" s="56">
        <v>1</v>
      </c>
      <c r="G41" s="55"/>
      <c r="H41" s="55" t="s">
        <v>34</v>
      </c>
      <c r="I41" s="56">
        <v>1</v>
      </c>
    </row>
    <row r="42" spans="1:9" x14ac:dyDescent="0.2">
      <c r="A42" s="55" t="s">
        <v>35</v>
      </c>
      <c r="B42" s="55" t="s">
        <v>71</v>
      </c>
      <c r="C42" s="56">
        <v>48</v>
      </c>
      <c r="D42" s="55" t="s">
        <v>35</v>
      </c>
      <c r="E42" s="55" t="s">
        <v>71</v>
      </c>
      <c r="F42" s="56">
        <v>48</v>
      </c>
      <c r="G42" s="55" t="s">
        <v>35</v>
      </c>
      <c r="H42" s="55" t="s">
        <v>71</v>
      </c>
      <c r="I42" s="56">
        <v>48</v>
      </c>
    </row>
    <row r="43" spans="1:9" x14ac:dyDescent="0.2">
      <c r="A43" s="55" t="s">
        <v>36</v>
      </c>
      <c r="B43" s="55" t="s">
        <v>71</v>
      </c>
      <c r="C43" s="56">
        <v>85</v>
      </c>
      <c r="D43" s="55" t="s">
        <v>36</v>
      </c>
      <c r="E43" s="55" t="s">
        <v>71</v>
      </c>
      <c r="F43" s="56">
        <v>85</v>
      </c>
      <c r="G43" s="55" t="s">
        <v>36</v>
      </c>
      <c r="H43" s="55" t="s">
        <v>71</v>
      </c>
      <c r="I43" s="56">
        <v>85</v>
      </c>
    </row>
    <row r="44" spans="1:9" x14ac:dyDescent="0.2">
      <c r="A44" s="55" t="s">
        <v>37</v>
      </c>
      <c r="B44" s="55" t="s">
        <v>71</v>
      </c>
      <c r="C44" s="56">
        <v>64</v>
      </c>
      <c r="D44" s="55" t="s">
        <v>37</v>
      </c>
      <c r="E44" s="55" t="s">
        <v>71</v>
      </c>
      <c r="F44" s="56">
        <v>64</v>
      </c>
      <c r="G44" s="55" t="s">
        <v>37</v>
      </c>
      <c r="H44" s="55" t="s">
        <v>71</v>
      </c>
      <c r="I44" s="56">
        <v>64</v>
      </c>
    </row>
    <row r="45" spans="1:9" x14ac:dyDescent="0.2">
      <c r="A45" s="55" t="s">
        <v>40</v>
      </c>
      <c r="B45" s="55" t="s">
        <v>71</v>
      </c>
      <c r="C45" s="56">
        <v>17</v>
      </c>
      <c r="D45" s="55" t="s">
        <v>40</v>
      </c>
      <c r="E45" s="55" t="s">
        <v>71</v>
      </c>
      <c r="F45" s="56">
        <v>17</v>
      </c>
      <c r="G45" s="55" t="s">
        <v>40</v>
      </c>
      <c r="H45" s="55" t="s">
        <v>71</v>
      </c>
      <c r="I45" s="56">
        <v>17</v>
      </c>
    </row>
    <row r="46" spans="1:9" x14ac:dyDescent="0.2">
      <c r="A46" s="55" t="s">
        <v>42</v>
      </c>
      <c r="B46" s="55" t="s">
        <v>71</v>
      </c>
      <c r="C46" s="56">
        <v>1</v>
      </c>
      <c r="D46" s="55" t="s">
        <v>42</v>
      </c>
      <c r="E46" s="55" t="s">
        <v>71</v>
      </c>
      <c r="F46" s="56">
        <v>1</v>
      </c>
      <c r="G46" s="55" t="s">
        <v>42</v>
      </c>
      <c r="H46" s="55" t="s">
        <v>71</v>
      </c>
      <c r="I46" s="56">
        <v>1</v>
      </c>
    </row>
    <row r="47" spans="1:9" x14ac:dyDescent="0.2">
      <c r="A47" s="55" t="s">
        <v>43</v>
      </c>
      <c r="B47" s="55" t="s">
        <v>71</v>
      </c>
      <c r="C47" s="56">
        <v>4</v>
      </c>
      <c r="D47" s="55" t="s">
        <v>43</v>
      </c>
      <c r="E47" s="55" t="s">
        <v>71</v>
      </c>
      <c r="F47" s="56">
        <v>4</v>
      </c>
      <c r="G47" s="55" t="s">
        <v>43</v>
      </c>
      <c r="H47" s="55" t="s">
        <v>71</v>
      </c>
      <c r="I47" s="56">
        <v>4</v>
      </c>
    </row>
    <row r="48" spans="1:9" x14ac:dyDescent="0.2">
      <c r="A48" s="55" t="s">
        <v>44</v>
      </c>
      <c r="B48" s="55" t="s">
        <v>71</v>
      </c>
      <c r="C48" s="56">
        <v>26</v>
      </c>
      <c r="D48" s="55" t="s">
        <v>44</v>
      </c>
      <c r="E48" s="55" t="s">
        <v>71</v>
      </c>
      <c r="F48" s="56">
        <v>26</v>
      </c>
      <c r="G48" s="55" t="s">
        <v>44</v>
      </c>
      <c r="H48" s="55" t="s">
        <v>71</v>
      </c>
      <c r="I48" s="56">
        <v>26</v>
      </c>
    </row>
    <row r="49" spans="1:9" x14ac:dyDescent="0.2">
      <c r="A49" s="55" t="s">
        <v>45</v>
      </c>
      <c r="B49" s="55" t="s">
        <v>71</v>
      </c>
      <c r="C49" s="56">
        <v>12</v>
      </c>
      <c r="D49" s="55" t="s">
        <v>45</v>
      </c>
      <c r="E49" s="55" t="s">
        <v>71</v>
      </c>
      <c r="F49" s="56">
        <v>12</v>
      </c>
      <c r="G49" s="55" t="s">
        <v>45</v>
      </c>
      <c r="H49" s="55" t="s">
        <v>71</v>
      </c>
      <c r="I49" s="56">
        <v>12</v>
      </c>
    </row>
    <row r="50" spans="1:9" x14ac:dyDescent="0.2">
      <c r="A50" s="55" t="s">
        <v>46</v>
      </c>
      <c r="B50" s="55" t="s">
        <v>71</v>
      </c>
      <c r="C50" s="56">
        <v>1</v>
      </c>
      <c r="D50" s="55" t="s">
        <v>46</v>
      </c>
      <c r="E50" s="55" t="s">
        <v>71</v>
      </c>
      <c r="F50" s="56">
        <v>1</v>
      </c>
      <c r="G50" s="55" t="s">
        <v>46</v>
      </c>
      <c r="H50" s="55" t="s">
        <v>71</v>
      </c>
      <c r="I50" s="56">
        <v>1</v>
      </c>
    </row>
    <row r="51" spans="1:9" x14ac:dyDescent="0.2">
      <c r="A51" s="55" t="s">
        <v>47</v>
      </c>
      <c r="B51" s="55" t="s">
        <v>71</v>
      </c>
      <c r="C51" s="56">
        <v>3</v>
      </c>
      <c r="D51" s="55" t="s">
        <v>47</v>
      </c>
      <c r="E51" s="55" t="s">
        <v>71</v>
      </c>
      <c r="F51" s="56">
        <v>3</v>
      </c>
      <c r="G51" s="55" t="s">
        <v>47</v>
      </c>
      <c r="H51" s="55" t="s">
        <v>71</v>
      </c>
      <c r="I51" s="56">
        <v>3</v>
      </c>
    </row>
    <row r="52" spans="1:9" x14ac:dyDescent="0.2">
      <c r="A52" s="55" t="s">
        <v>48</v>
      </c>
      <c r="B52" s="55" t="s">
        <v>71</v>
      </c>
      <c r="C52" s="56">
        <v>18</v>
      </c>
      <c r="D52" s="55" t="s">
        <v>48</v>
      </c>
      <c r="E52" s="55" t="s">
        <v>71</v>
      </c>
      <c r="F52" s="56">
        <v>18</v>
      </c>
      <c r="G52" s="55" t="s">
        <v>48</v>
      </c>
      <c r="H52" s="55" t="s">
        <v>71</v>
      </c>
      <c r="I52" s="56">
        <v>18</v>
      </c>
    </row>
    <row r="53" spans="1:9" x14ac:dyDescent="0.2">
      <c r="A53" s="55" t="s">
        <v>49</v>
      </c>
      <c r="B53" s="55" t="s">
        <v>71</v>
      </c>
      <c r="C53" s="56">
        <v>11</v>
      </c>
      <c r="D53" s="55" t="s">
        <v>49</v>
      </c>
      <c r="E53" s="55" t="s">
        <v>71</v>
      </c>
      <c r="F53" s="56">
        <v>11</v>
      </c>
      <c r="G53" s="55" t="s">
        <v>49</v>
      </c>
      <c r="H53" s="55" t="s">
        <v>71</v>
      </c>
      <c r="I53" s="56">
        <v>11</v>
      </c>
    </row>
    <row r="54" spans="1:9" x14ac:dyDescent="0.2">
      <c r="A54" s="55" t="s">
        <v>50</v>
      </c>
      <c r="B54" s="55" t="s">
        <v>71</v>
      </c>
      <c r="C54" s="56">
        <v>3</v>
      </c>
      <c r="D54" s="55" t="s">
        <v>50</v>
      </c>
      <c r="E54" s="55" t="s">
        <v>71</v>
      </c>
      <c r="F54" s="56">
        <v>3</v>
      </c>
      <c r="G54" s="55" t="s">
        <v>50</v>
      </c>
      <c r="H54" s="55" t="s">
        <v>71</v>
      </c>
      <c r="I54" s="56">
        <v>3</v>
      </c>
    </row>
    <row r="55" spans="1:9" x14ac:dyDescent="0.2">
      <c r="A55" s="55" t="s">
        <v>51</v>
      </c>
      <c r="B55" s="55" t="s">
        <v>71</v>
      </c>
      <c r="C55" s="56">
        <v>1</v>
      </c>
      <c r="D55" s="55" t="s">
        <v>51</v>
      </c>
      <c r="E55" s="55" t="s">
        <v>71</v>
      </c>
      <c r="F55" s="56">
        <v>1</v>
      </c>
      <c r="G55" s="55" t="s">
        <v>51</v>
      </c>
      <c r="H55" s="55" t="s">
        <v>71</v>
      </c>
      <c r="I55" s="56">
        <v>1</v>
      </c>
    </row>
    <row r="56" spans="1:9" x14ac:dyDescent="0.2">
      <c r="A56" s="55" t="s">
        <v>52</v>
      </c>
      <c r="B56" s="55" t="s">
        <v>71</v>
      </c>
      <c r="C56" s="56">
        <v>29</v>
      </c>
      <c r="D56" s="55" t="s">
        <v>52</v>
      </c>
      <c r="E56" s="55" t="s">
        <v>71</v>
      </c>
      <c r="F56" s="56">
        <v>28</v>
      </c>
      <c r="G56" s="55" t="s">
        <v>52</v>
      </c>
      <c r="H56" s="55" t="s">
        <v>71</v>
      </c>
      <c r="I56" s="56">
        <v>28</v>
      </c>
    </row>
    <row r="57" spans="1:9" x14ac:dyDescent="0.2">
      <c r="A57" s="55" t="s">
        <v>53</v>
      </c>
      <c r="B57" s="55" t="s">
        <v>71</v>
      </c>
      <c r="C57" s="56">
        <v>53</v>
      </c>
      <c r="D57" s="55" t="s">
        <v>53</v>
      </c>
      <c r="E57" s="55" t="s">
        <v>71</v>
      </c>
      <c r="F57" s="56">
        <v>53</v>
      </c>
      <c r="G57" s="55" t="s">
        <v>53</v>
      </c>
      <c r="H57" s="55" t="s">
        <v>71</v>
      </c>
      <c r="I57" s="56">
        <v>55</v>
      </c>
    </row>
    <row r="58" spans="1:9" x14ac:dyDescent="0.2">
      <c r="A58" s="55" t="s">
        <v>54</v>
      </c>
      <c r="B58" s="55" t="s">
        <v>71</v>
      </c>
      <c r="C58" s="56">
        <v>1</v>
      </c>
      <c r="D58" s="55" t="s">
        <v>54</v>
      </c>
      <c r="E58" s="55" t="s">
        <v>71</v>
      </c>
      <c r="F58" s="56">
        <v>1</v>
      </c>
      <c r="G58" s="55" t="s">
        <v>54</v>
      </c>
      <c r="H58" s="55" t="s">
        <v>71</v>
      </c>
      <c r="I58" s="56">
        <v>1</v>
      </c>
    </row>
    <row r="59" spans="1:9" x14ac:dyDescent="0.2">
      <c r="A59" s="55" t="s">
        <v>55</v>
      </c>
      <c r="B59" s="55" t="s">
        <v>71</v>
      </c>
      <c r="C59" s="56">
        <v>26</v>
      </c>
      <c r="D59" s="55" t="s">
        <v>55</v>
      </c>
      <c r="E59" s="55" t="s">
        <v>71</v>
      </c>
      <c r="F59" s="56">
        <v>26</v>
      </c>
      <c r="G59" s="55" t="s">
        <v>55</v>
      </c>
      <c r="H59" s="55" t="s">
        <v>71</v>
      </c>
      <c r="I59" s="56">
        <v>26</v>
      </c>
    </row>
    <row r="60" spans="1:9" x14ac:dyDescent="0.2">
      <c r="A60" s="55" t="s">
        <v>56</v>
      </c>
      <c r="B60" s="55" t="s">
        <v>71</v>
      </c>
      <c r="C60" s="56">
        <v>32</v>
      </c>
      <c r="D60" s="55" t="s">
        <v>56</v>
      </c>
      <c r="E60" s="55" t="s">
        <v>71</v>
      </c>
      <c r="F60" s="56">
        <v>32</v>
      </c>
      <c r="G60" s="55" t="s">
        <v>56</v>
      </c>
      <c r="H60" s="55" t="s">
        <v>71</v>
      </c>
      <c r="I60" s="56">
        <v>32</v>
      </c>
    </row>
    <row r="61" spans="1:9" x14ac:dyDescent="0.2">
      <c r="A61" s="55" t="s">
        <v>57</v>
      </c>
      <c r="B61" s="55" t="s">
        <v>71</v>
      </c>
      <c r="C61" s="56">
        <v>6</v>
      </c>
      <c r="D61" s="55" t="s">
        <v>57</v>
      </c>
      <c r="E61" s="55" t="s">
        <v>71</v>
      </c>
      <c r="F61" s="56">
        <v>6</v>
      </c>
      <c r="G61" s="55" t="s">
        <v>57</v>
      </c>
      <c r="H61" s="55" t="s">
        <v>71</v>
      </c>
      <c r="I61" s="56">
        <v>6</v>
      </c>
    </row>
    <row r="62" spans="1:9" x14ac:dyDescent="0.2">
      <c r="A62" s="55" t="s">
        <v>58</v>
      </c>
      <c r="B62" s="55" t="s">
        <v>71</v>
      </c>
      <c r="C62" s="56">
        <v>14</v>
      </c>
      <c r="D62" s="55" t="s">
        <v>58</v>
      </c>
      <c r="E62" s="55" t="s">
        <v>71</v>
      </c>
      <c r="F62" s="56">
        <v>14</v>
      </c>
      <c r="G62" s="55" t="s">
        <v>58</v>
      </c>
      <c r="H62" s="55" t="s">
        <v>71</v>
      </c>
      <c r="I62" s="56">
        <v>14</v>
      </c>
    </row>
    <row r="63" spans="1:9" x14ac:dyDescent="0.2">
      <c r="A63" s="55" t="s">
        <v>60</v>
      </c>
      <c r="B63" s="55" t="s">
        <v>71</v>
      </c>
      <c r="C63" s="56">
        <v>7</v>
      </c>
      <c r="D63" s="55" t="s">
        <v>60</v>
      </c>
      <c r="E63" s="55" t="s">
        <v>71</v>
      </c>
      <c r="F63" s="56">
        <v>7</v>
      </c>
      <c r="G63" s="55" t="s">
        <v>60</v>
      </c>
      <c r="H63" s="55" t="s">
        <v>71</v>
      </c>
      <c r="I63" s="56">
        <v>7</v>
      </c>
    </row>
    <row r="64" spans="1:9" x14ac:dyDescent="0.2">
      <c r="A64" s="55" t="s">
        <v>62</v>
      </c>
      <c r="B64" s="55" t="s">
        <v>71</v>
      </c>
      <c r="C64" s="56">
        <v>9</v>
      </c>
      <c r="D64" s="55" t="s">
        <v>62</v>
      </c>
      <c r="E64" s="55" t="s">
        <v>71</v>
      </c>
      <c r="F64" s="56">
        <v>9</v>
      </c>
      <c r="G64" s="55" t="s">
        <v>62</v>
      </c>
      <c r="H64" s="55" t="s">
        <v>71</v>
      </c>
      <c r="I64" s="56">
        <v>9</v>
      </c>
    </row>
    <row r="65" spans="1:9" x14ac:dyDescent="0.2">
      <c r="A65" s="55" t="s">
        <v>67</v>
      </c>
      <c r="B65" s="55" t="s">
        <v>71</v>
      </c>
      <c r="C65" s="56">
        <v>2</v>
      </c>
      <c r="D65" s="55" t="s">
        <v>67</v>
      </c>
      <c r="E65" s="55" t="s">
        <v>71</v>
      </c>
      <c r="F65" s="56">
        <v>2</v>
      </c>
      <c r="G65" s="55" t="s">
        <v>67</v>
      </c>
      <c r="H65" s="55" t="s">
        <v>71</v>
      </c>
      <c r="I65" s="56">
        <v>2</v>
      </c>
    </row>
    <row r="66" spans="1:9" x14ac:dyDescent="0.2">
      <c r="A66" s="55" t="s">
        <v>68</v>
      </c>
      <c r="B66" s="55" t="s">
        <v>71</v>
      </c>
      <c r="C66" s="56">
        <v>1</v>
      </c>
      <c r="D66" s="55" t="s">
        <v>68</v>
      </c>
      <c r="E66" s="55" t="s">
        <v>71</v>
      </c>
      <c r="F66" s="56">
        <v>1</v>
      </c>
      <c r="G66" s="55" t="s">
        <v>68</v>
      </c>
      <c r="H66" s="55" t="s">
        <v>71</v>
      </c>
      <c r="I66" s="56">
        <v>1</v>
      </c>
    </row>
    <row r="67" spans="1:9" x14ac:dyDescent="0.2">
      <c r="A67" s="55" t="s">
        <v>69</v>
      </c>
      <c r="B67" s="55" t="s">
        <v>71</v>
      </c>
      <c r="C67" s="56">
        <v>25</v>
      </c>
      <c r="D67" s="55" t="s">
        <v>69</v>
      </c>
      <c r="E67" s="55" t="s">
        <v>71</v>
      </c>
      <c r="F67" s="56">
        <v>25</v>
      </c>
      <c r="G67" s="55" t="s">
        <v>69</v>
      </c>
      <c r="H67" s="55" t="s">
        <v>71</v>
      </c>
      <c r="I67" s="56">
        <v>25</v>
      </c>
    </row>
    <row r="68" spans="1:9" x14ac:dyDescent="0.2">
      <c r="A68" s="55" t="s">
        <v>70</v>
      </c>
      <c r="B68" s="55" t="s">
        <v>71</v>
      </c>
      <c r="C68" s="56">
        <v>5</v>
      </c>
      <c r="D68" s="55" t="s">
        <v>70</v>
      </c>
      <c r="E68" s="55" t="s">
        <v>71</v>
      </c>
      <c r="F68" s="56">
        <v>5</v>
      </c>
      <c r="G68" s="55" t="s">
        <v>70</v>
      </c>
      <c r="H68" s="55" t="s">
        <v>71</v>
      </c>
      <c r="I68" s="56">
        <v>5</v>
      </c>
    </row>
    <row r="69" spans="1:9" x14ac:dyDescent="0.2">
      <c r="A69" s="55" t="s">
        <v>35</v>
      </c>
      <c r="B69" s="55" t="s">
        <v>72</v>
      </c>
      <c r="C69" s="56">
        <v>247</v>
      </c>
      <c r="D69" s="55" t="s">
        <v>35</v>
      </c>
      <c r="E69" s="55" t="s">
        <v>72</v>
      </c>
      <c r="F69" s="56">
        <v>247</v>
      </c>
      <c r="G69" s="55" t="s">
        <v>35</v>
      </c>
      <c r="H69" s="55" t="s">
        <v>72</v>
      </c>
      <c r="I69" s="56">
        <v>249</v>
      </c>
    </row>
    <row r="70" spans="1:9" x14ac:dyDescent="0.2">
      <c r="A70" s="55" t="s">
        <v>36</v>
      </c>
      <c r="B70" s="55" t="s">
        <v>72</v>
      </c>
      <c r="C70" s="56">
        <v>59</v>
      </c>
      <c r="D70" s="55" t="s">
        <v>36</v>
      </c>
      <c r="E70" s="55" t="s">
        <v>72</v>
      </c>
      <c r="F70" s="56">
        <v>59</v>
      </c>
      <c r="G70" s="55" t="s">
        <v>36</v>
      </c>
      <c r="H70" s="55" t="s">
        <v>72</v>
      </c>
      <c r="I70" s="56">
        <v>59</v>
      </c>
    </row>
    <row r="71" spans="1:9" x14ac:dyDescent="0.2">
      <c r="A71" s="55" t="s">
        <v>37</v>
      </c>
      <c r="B71" s="55" t="s">
        <v>72</v>
      </c>
      <c r="C71" s="56">
        <v>211</v>
      </c>
      <c r="D71" s="55" t="s">
        <v>37</v>
      </c>
      <c r="E71" s="55" t="s">
        <v>72</v>
      </c>
      <c r="F71" s="56">
        <v>211</v>
      </c>
      <c r="G71" s="55" t="s">
        <v>37</v>
      </c>
      <c r="H71" s="55" t="s">
        <v>72</v>
      </c>
      <c r="I71" s="56">
        <v>211</v>
      </c>
    </row>
    <row r="72" spans="1:9" x14ac:dyDescent="0.2">
      <c r="A72" s="55" t="s">
        <v>38</v>
      </c>
      <c r="B72" s="55" t="s">
        <v>72</v>
      </c>
      <c r="C72" s="56">
        <v>1</v>
      </c>
      <c r="D72" s="55" t="s">
        <v>38</v>
      </c>
      <c r="E72" s="55" t="s">
        <v>72</v>
      </c>
      <c r="F72" s="56">
        <v>1</v>
      </c>
      <c r="G72" s="55" t="s">
        <v>38</v>
      </c>
      <c r="H72" s="55" t="s">
        <v>72</v>
      </c>
      <c r="I72" s="56">
        <v>1</v>
      </c>
    </row>
    <row r="73" spans="1:9" x14ac:dyDescent="0.2">
      <c r="A73" s="55" t="s">
        <v>39</v>
      </c>
      <c r="B73" s="55" t="s">
        <v>72</v>
      </c>
      <c r="C73" s="56">
        <v>3</v>
      </c>
      <c r="D73" s="55" t="s">
        <v>39</v>
      </c>
      <c r="E73" s="55" t="s">
        <v>72</v>
      </c>
      <c r="F73" s="56">
        <v>3</v>
      </c>
      <c r="G73" s="55" t="s">
        <v>39</v>
      </c>
      <c r="H73" s="55" t="s">
        <v>72</v>
      </c>
      <c r="I73" s="56">
        <v>3</v>
      </c>
    </row>
    <row r="74" spans="1:9" x14ac:dyDescent="0.2">
      <c r="A74" s="55" t="s">
        <v>40</v>
      </c>
      <c r="B74" s="55" t="s">
        <v>72</v>
      </c>
      <c r="C74" s="56">
        <v>232</v>
      </c>
      <c r="D74" s="55" t="s">
        <v>40</v>
      </c>
      <c r="E74" s="55" t="s">
        <v>72</v>
      </c>
      <c r="F74" s="56">
        <v>232</v>
      </c>
      <c r="G74" s="55" t="s">
        <v>40</v>
      </c>
      <c r="H74" s="55" t="s">
        <v>72</v>
      </c>
      <c r="I74" s="56">
        <v>233</v>
      </c>
    </row>
    <row r="75" spans="1:9" x14ac:dyDescent="0.2">
      <c r="A75" s="55" t="s">
        <v>73</v>
      </c>
      <c r="B75" s="55" t="s">
        <v>72</v>
      </c>
      <c r="C75" s="56">
        <v>3</v>
      </c>
      <c r="D75" s="55" t="s">
        <v>73</v>
      </c>
      <c r="E75" s="55" t="s">
        <v>72</v>
      </c>
      <c r="F75" s="56">
        <v>3</v>
      </c>
      <c r="G75" s="55" t="s">
        <v>73</v>
      </c>
      <c r="H75" s="55" t="s">
        <v>72</v>
      </c>
      <c r="I75" s="56">
        <v>3</v>
      </c>
    </row>
    <row r="76" spans="1:9" x14ac:dyDescent="0.2">
      <c r="A76" s="55" t="s">
        <v>41</v>
      </c>
      <c r="B76" s="55" t="s">
        <v>72</v>
      </c>
      <c r="C76" s="56">
        <v>6</v>
      </c>
      <c r="D76" s="55" t="s">
        <v>41</v>
      </c>
      <c r="E76" s="55" t="s">
        <v>72</v>
      </c>
      <c r="F76" s="56">
        <v>8</v>
      </c>
      <c r="G76" s="55" t="s">
        <v>41</v>
      </c>
      <c r="H76" s="55" t="s">
        <v>72</v>
      </c>
      <c r="I76" s="56">
        <v>6</v>
      </c>
    </row>
    <row r="77" spans="1:9" x14ac:dyDescent="0.2">
      <c r="A77" s="55" t="s">
        <v>42</v>
      </c>
      <c r="B77" s="55" t="s">
        <v>72</v>
      </c>
      <c r="C77" s="56">
        <v>14</v>
      </c>
      <c r="D77" s="55" t="s">
        <v>42</v>
      </c>
      <c r="E77" s="55" t="s">
        <v>72</v>
      </c>
      <c r="F77" s="56">
        <v>14</v>
      </c>
      <c r="G77" s="55" t="s">
        <v>42</v>
      </c>
      <c r="H77" s="55" t="s">
        <v>72</v>
      </c>
      <c r="I77" s="56">
        <v>14</v>
      </c>
    </row>
    <row r="78" spans="1:9" x14ac:dyDescent="0.2">
      <c r="A78" s="55" t="s">
        <v>43</v>
      </c>
      <c r="B78" s="55" t="s">
        <v>72</v>
      </c>
      <c r="C78" s="56">
        <v>45</v>
      </c>
      <c r="D78" s="55" t="s">
        <v>43</v>
      </c>
      <c r="E78" s="55" t="s">
        <v>72</v>
      </c>
      <c r="F78" s="56">
        <v>46</v>
      </c>
      <c r="G78" s="55" t="s">
        <v>43</v>
      </c>
      <c r="H78" s="55" t="s">
        <v>72</v>
      </c>
      <c r="I78" s="56">
        <v>45</v>
      </c>
    </row>
    <row r="79" spans="1:9" x14ac:dyDescent="0.2">
      <c r="A79" s="55" t="s">
        <v>44</v>
      </c>
      <c r="B79" s="55" t="s">
        <v>72</v>
      </c>
      <c r="C79" s="56">
        <v>270</v>
      </c>
      <c r="D79" s="55" t="s">
        <v>44</v>
      </c>
      <c r="E79" s="55" t="s">
        <v>72</v>
      </c>
      <c r="F79" s="56">
        <v>274</v>
      </c>
      <c r="G79" s="55" t="s">
        <v>44</v>
      </c>
      <c r="H79" s="55" t="s">
        <v>72</v>
      </c>
      <c r="I79" s="56">
        <v>272</v>
      </c>
    </row>
    <row r="80" spans="1:9" x14ac:dyDescent="0.2">
      <c r="A80" s="55" t="s">
        <v>45</v>
      </c>
      <c r="B80" s="55" t="s">
        <v>72</v>
      </c>
      <c r="C80" s="56">
        <v>144</v>
      </c>
      <c r="D80" s="55" t="s">
        <v>45</v>
      </c>
      <c r="E80" s="55" t="s">
        <v>72</v>
      </c>
      <c r="F80" s="56">
        <v>144</v>
      </c>
      <c r="G80" s="55" t="s">
        <v>45</v>
      </c>
      <c r="H80" s="55" t="s">
        <v>72</v>
      </c>
      <c r="I80" s="56">
        <v>144</v>
      </c>
    </row>
    <row r="81" spans="1:9" x14ac:dyDescent="0.2">
      <c r="A81" s="55" t="s">
        <v>46</v>
      </c>
      <c r="B81" s="55" t="s">
        <v>72</v>
      </c>
      <c r="C81" s="56">
        <v>43</v>
      </c>
      <c r="D81" s="55" t="s">
        <v>46</v>
      </c>
      <c r="E81" s="55" t="s">
        <v>72</v>
      </c>
      <c r="F81" s="56">
        <v>43</v>
      </c>
      <c r="G81" s="55" t="s">
        <v>46</v>
      </c>
      <c r="H81" s="55" t="s">
        <v>72</v>
      </c>
      <c r="I81" s="56">
        <v>43</v>
      </c>
    </row>
    <row r="82" spans="1:9" x14ac:dyDescent="0.2">
      <c r="A82" s="55" t="s">
        <v>47</v>
      </c>
      <c r="B82" s="55" t="s">
        <v>72</v>
      </c>
      <c r="C82" s="56">
        <v>130</v>
      </c>
      <c r="D82" s="55" t="s">
        <v>47</v>
      </c>
      <c r="E82" s="55" t="s">
        <v>72</v>
      </c>
      <c r="F82" s="56">
        <v>130</v>
      </c>
      <c r="G82" s="55" t="s">
        <v>47</v>
      </c>
      <c r="H82" s="55" t="s">
        <v>72</v>
      </c>
      <c r="I82" s="56">
        <v>130</v>
      </c>
    </row>
    <row r="83" spans="1:9" x14ac:dyDescent="0.2">
      <c r="A83" s="55" t="s">
        <v>48</v>
      </c>
      <c r="B83" s="55" t="s">
        <v>72</v>
      </c>
      <c r="C83" s="56">
        <v>313</v>
      </c>
      <c r="D83" s="55" t="s">
        <v>48</v>
      </c>
      <c r="E83" s="55" t="s">
        <v>72</v>
      </c>
      <c r="F83" s="56">
        <v>314</v>
      </c>
      <c r="G83" s="55" t="s">
        <v>48</v>
      </c>
      <c r="H83" s="55" t="s">
        <v>72</v>
      </c>
      <c r="I83" s="56">
        <v>314</v>
      </c>
    </row>
    <row r="84" spans="1:9" x14ac:dyDescent="0.2">
      <c r="A84" s="55" t="s">
        <v>49</v>
      </c>
      <c r="B84" s="55" t="s">
        <v>72</v>
      </c>
      <c r="C84" s="56">
        <v>201</v>
      </c>
      <c r="D84" s="55" t="s">
        <v>49</v>
      </c>
      <c r="E84" s="55" t="s">
        <v>72</v>
      </c>
      <c r="F84" s="56">
        <v>202</v>
      </c>
      <c r="G84" s="55" t="s">
        <v>49</v>
      </c>
      <c r="H84" s="55" t="s">
        <v>72</v>
      </c>
      <c r="I84" s="56">
        <v>202</v>
      </c>
    </row>
    <row r="85" spans="1:9" x14ac:dyDescent="0.2">
      <c r="A85" s="55" t="s">
        <v>50</v>
      </c>
      <c r="B85" s="55" t="s">
        <v>72</v>
      </c>
      <c r="C85" s="56">
        <v>138</v>
      </c>
      <c r="D85" s="55" t="s">
        <v>50</v>
      </c>
      <c r="E85" s="55" t="s">
        <v>72</v>
      </c>
      <c r="F85" s="56">
        <v>136</v>
      </c>
      <c r="G85" s="55" t="s">
        <v>50</v>
      </c>
      <c r="H85" s="55" t="s">
        <v>72</v>
      </c>
      <c r="I85" s="56">
        <v>136</v>
      </c>
    </row>
    <row r="86" spans="1:9" x14ac:dyDescent="0.2">
      <c r="A86" s="55" t="s">
        <v>51</v>
      </c>
      <c r="B86" s="55" t="s">
        <v>72</v>
      </c>
      <c r="C86" s="56">
        <v>4</v>
      </c>
      <c r="D86" s="55" t="s">
        <v>51</v>
      </c>
      <c r="E86" s="55" t="s">
        <v>72</v>
      </c>
      <c r="F86" s="56">
        <v>4</v>
      </c>
      <c r="G86" s="55" t="s">
        <v>51</v>
      </c>
      <c r="H86" s="55" t="s">
        <v>72</v>
      </c>
      <c r="I86" s="56">
        <v>4</v>
      </c>
    </row>
    <row r="87" spans="1:9" x14ac:dyDescent="0.2">
      <c r="A87" s="55" t="s">
        <v>52</v>
      </c>
      <c r="B87" s="55" t="s">
        <v>72</v>
      </c>
      <c r="C87" s="56">
        <v>323</v>
      </c>
      <c r="D87" s="55" t="s">
        <v>52</v>
      </c>
      <c r="E87" s="55" t="s">
        <v>72</v>
      </c>
      <c r="F87" s="56">
        <v>323</v>
      </c>
      <c r="G87" s="55" t="s">
        <v>52</v>
      </c>
      <c r="H87" s="55" t="s">
        <v>72</v>
      </c>
      <c r="I87" s="56">
        <v>324</v>
      </c>
    </row>
    <row r="88" spans="1:9" x14ac:dyDescent="0.2">
      <c r="A88" s="55" t="s">
        <v>53</v>
      </c>
      <c r="B88" s="55" t="s">
        <v>72</v>
      </c>
      <c r="C88" s="56">
        <v>420</v>
      </c>
      <c r="D88" s="55" t="s">
        <v>53</v>
      </c>
      <c r="E88" s="55" t="s">
        <v>72</v>
      </c>
      <c r="F88" s="56">
        <v>421</v>
      </c>
      <c r="G88" s="55" t="s">
        <v>53</v>
      </c>
      <c r="H88" s="55" t="s">
        <v>72</v>
      </c>
      <c r="I88" s="56">
        <v>416</v>
      </c>
    </row>
    <row r="89" spans="1:9" x14ac:dyDescent="0.2">
      <c r="A89" s="55" t="s">
        <v>54</v>
      </c>
      <c r="B89" s="55" t="s">
        <v>72</v>
      </c>
      <c r="C89" s="56">
        <v>52</v>
      </c>
      <c r="D89" s="55" t="s">
        <v>54</v>
      </c>
      <c r="E89" s="55" t="s">
        <v>72</v>
      </c>
      <c r="F89" s="56">
        <v>52</v>
      </c>
      <c r="G89" s="55" t="s">
        <v>54</v>
      </c>
      <c r="H89" s="55" t="s">
        <v>72</v>
      </c>
      <c r="I89" s="56">
        <v>52</v>
      </c>
    </row>
    <row r="90" spans="1:9" x14ac:dyDescent="0.2">
      <c r="A90" s="55" t="s">
        <v>55</v>
      </c>
      <c r="B90" s="55" t="s">
        <v>72</v>
      </c>
      <c r="C90" s="56">
        <v>149</v>
      </c>
      <c r="D90" s="55" t="s">
        <v>55</v>
      </c>
      <c r="E90" s="55" t="s">
        <v>72</v>
      </c>
      <c r="F90" s="56">
        <v>151</v>
      </c>
      <c r="G90" s="55" t="s">
        <v>55</v>
      </c>
      <c r="H90" s="55" t="s">
        <v>72</v>
      </c>
      <c r="I90" s="56">
        <v>150</v>
      </c>
    </row>
    <row r="91" spans="1:9" x14ac:dyDescent="0.2">
      <c r="A91" s="55" t="s">
        <v>56</v>
      </c>
      <c r="B91" s="55" t="s">
        <v>72</v>
      </c>
      <c r="C91" s="56">
        <v>818</v>
      </c>
      <c r="D91" s="55" t="s">
        <v>56</v>
      </c>
      <c r="E91" s="55" t="s">
        <v>72</v>
      </c>
      <c r="F91" s="56">
        <v>814</v>
      </c>
      <c r="G91" s="55" t="s">
        <v>56</v>
      </c>
      <c r="H91" s="55" t="s">
        <v>72</v>
      </c>
      <c r="I91" s="56">
        <v>815</v>
      </c>
    </row>
    <row r="92" spans="1:9" x14ac:dyDescent="0.2">
      <c r="A92" s="55" t="s">
        <v>57</v>
      </c>
      <c r="B92" s="55" t="s">
        <v>72</v>
      </c>
      <c r="C92" s="56">
        <v>13</v>
      </c>
      <c r="D92" s="55" t="s">
        <v>57</v>
      </c>
      <c r="E92" s="55" t="s">
        <v>72</v>
      </c>
      <c r="F92" s="56">
        <v>13</v>
      </c>
      <c r="G92" s="55" t="s">
        <v>57</v>
      </c>
      <c r="H92" s="55" t="s">
        <v>72</v>
      </c>
      <c r="I92" s="56">
        <v>13</v>
      </c>
    </row>
    <row r="93" spans="1:9" x14ac:dyDescent="0.2">
      <c r="A93" s="55" t="s">
        <v>58</v>
      </c>
      <c r="B93" s="55" t="s">
        <v>72</v>
      </c>
      <c r="C93" s="56">
        <v>467</v>
      </c>
      <c r="D93" s="55" t="s">
        <v>58</v>
      </c>
      <c r="E93" s="55" t="s">
        <v>72</v>
      </c>
      <c r="F93" s="56">
        <v>469</v>
      </c>
      <c r="G93" s="55" t="s">
        <v>58</v>
      </c>
      <c r="H93" s="55" t="s">
        <v>72</v>
      </c>
      <c r="I93" s="56">
        <v>472</v>
      </c>
    </row>
    <row r="94" spans="1:9" x14ac:dyDescent="0.2">
      <c r="A94" s="55" t="s">
        <v>59</v>
      </c>
      <c r="B94" s="55" t="s">
        <v>72</v>
      </c>
      <c r="C94" s="56">
        <v>1</v>
      </c>
      <c r="D94" s="55" t="s">
        <v>59</v>
      </c>
      <c r="E94" s="55" t="s">
        <v>72</v>
      </c>
      <c r="F94" s="56">
        <v>1</v>
      </c>
      <c r="G94" s="55" t="s">
        <v>59</v>
      </c>
      <c r="H94" s="55" t="s">
        <v>72</v>
      </c>
      <c r="I94" s="56">
        <v>1</v>
      </c>
    </row>
    <row r="95" spans="1:9" x14ac:dyDescent="0.2">
      <c r="A95" s="55" t="s">
        <v>60</v>
      </c>
      <c r="B95" s="55" t="s">
        <v>72</v>
      </c>
      <c r="C95" s="56">
        <v>44</v>
      </c>
      <c r="D95" s="55" t="s">
        <v>60</v>
      </c>
      <c r="E95" s="55" t="s">
        <v>72</v>
      </c>
      <c r="F95" s="56">
        <v>44</v>
      </c>
      <c r="G95" s="55" t="s">
        <v>60</v>
      </c>
      <c r="H95" s="55" t="s">
        <v>72</v>
      </c>
      <c r="I95" s="56">
        <v>44</v>
      </c>
    </row>
    <row r="96" spans="1:9" x14ac:dyDescent="0.2">
      <c r="A96" s="55" t="s">
        <v>61</v>
      </c>
      <c r="B96" s="55" t="s">
        <v>72</v>
      </c>
      <c r="C96" s="56">
        <v>32</v>
      </c>
      <c r="D96" s="55" t="s">
        <v>61</v>
      </c>
      <c r="E96" s="55" t="s">
        <v>72</v>
      </c>
      <c r="F96" s="56">
        <v>31</v>
      </c>
      <c r="G96" s="55" t="s">
        <v>61</v>
      </c>
      <c r="H96" s="55" t="s">
        <v>72</v>
      </c>
      <c r="I96" s="56">
        <v>31</v>
      </c>
    </row>
    <row r="97" spans="1:9" x14ac:dyDescent="0.2">
      <c r="A97" s="55" t="s">
        <v>62</v>
      </c>
      <c r="B97" s="55" t="s">
        <v>72</v>
      </c>
      <c r="C97" s="56">
        <v>41</v>
      </c>
      <c r="D97" s="55" t="s">
        <v>62</v>
      </c>
      <c r="E97" s="55" t="s">
        <v>72</v>
      </c>
      <c r="F97" s="56">
        <v>41</v>
      </c>
      <c r="G97" s="55" t="s">
        <v>62</v>
      </c>
      <c r="H97" s="55" t="s">
        <v>72</v>
      </c>
      <c r="I97" s="56">
        <v>41</v>
      </c>
    </row>
    <row r="98" spans="1:9" x14ac:dyDescent="0.2">
      <c r="A98" s="55" t="s">
        <v>63</v>
      </c>
      <c r="B98" s="55" t="s">
        <v>72</v>
      </c>
      <c r="C98" s="56">
        <v>5</v>
      </c>
      <c r="D98" s="55" t="s">
        <v>63</v>
      </c>
      <c r="E98" s="55" t="s">
        <v>72</v>
      </c>
      <c r="F98" s="56">
        <v>5</v>
      </c>
      <c r="G98" s="55" t="s">
        <v>63</v>
      </c>
      <c r="H98" s="55" t="s">
        <v>72</v>
      </c>
      <c r="I98" s="56">
        <v>5</v>
      </c>
    </row>
    <row r="99" spans="1:9" x14ac:dyDescent="0.2">
      <c r="A99" s="55" t="s">
        <v>74</v>
      </c>
      <c r="B99" s="55" t="s">
        <v>72</v>
      </c>
      <c r="C99" s="56">
        <v>1</v>
      </c>
      <c r="D99" s="55" t="s">
        <v>74</v>
      </c>
      <c r="E99" s="55" t="s">
        <v>72</v>
      </c>
      <c r="F99" s="56">
        <v>1</v>
      </c>
      <c r="G99" s="55" t="s">
        <v>74</v>
      </c>
      <c r="H99" s="55" t="s">
        <v>72</v>
      </c>
      <c r="I99" s="56">
        <v>1</v>
      </c>
    </row>
    <row r="100" spans="1:9" x14ac:dyDescent="0.2">
      <c r="A100" s="55" t="s">
        <v>64</v>
      </c>
      <c r="B100" s="55" t="s">
        <v>72</v>
      </c>
      <c r="C100" s="56">
        <v>36</v>
      </c>
      <c r="D100" s="55" t="s">
        <v>64</v>
      </c>
      <c r="E100" s="55" t="s">
        <v>72</v>
      </c>
      <c r="F100" s="56">
        <v>36</v>
      </c>
      <c r="G100" s="55" t="s">
        <v>64</v>
      </c>
      <c r="H100" s="55" t="s">
        <v>72</v>
      </c>
      <c r="I100" s="56">
        <v>36</v>
      </c>
    </row>
    <row r="101" spans="1:9" x14ac:dyDescent="0.2">
      <c r="A101" s="55" t="s">
        <v>65</v>
      </c>
      <c r="B101" s="55" t="s">
        <v>72</v>
      </c>
      <c r="C101" s="56">
        <v>8</v>
      </c>
      <c r="D101" s="55" t="s">
        <v>65</v>
      </c>
      <c r="E101" s="55" t="s">
        <v>72</v>
      </c>
      <c r="F101" s="56">
        <v>8</v>
      </c>
      <c r="G101" s="55" t="s">
        <v>65</v>
      </c>
      <c r="H101" s="55" t="s">
        <v>72</v>
      </c>
      <c r="I101" s="56">
        <v>8</v>
      </c>
    </row>
    <row r="102" spans="1:9" x14ac:dyDescent="0.2">
      <c r="A102" s="55" t="s">
        <v>66</v>
      </c>
      <c r="B102" s="55" t="s">
        <v>72</v>
      </c>
      <c r="C102" s="56">
        <v>6</v>
      </c>
      <c r="D102" s="55" t="s">
        <v>66</v>
      </c>
      <c r="E102" s="55" t="s">
        <v>72</v>
      </c>
      <c r="F102" s="56">
        <v>6</v>
      </c>
      <c r="G102" s="55" t="s">
        <v>66</v>
      </c>
      <c r="H102" s="55" t="s">
        <v>72</v>
      </c>
      <c r="I102" s="56">
        <v>6</v>
      </c>
    </row>
    <row r="103" spans="1:9" x14ac:dyDescent="0.2">
      <c r="A103" s="55" t="s">
        <v>67</v>
      </c>
      <c r="B103" s="55" t="s">
        <v>72</v>
      </c>
      <c r="C103" s="56">
        <v>217</v>
      </c>
      <c r="D103" s="55" t="s">
        <v>67</v>
      </c>
      <c r="E103" s="55" t="s">
        <v>72</v>
      </c>
      <c r="F103" s="56">
        <v>219</v>
      </c>
      <c r="G103" s="55" t="s">
        <v>67</v>
      </c>
      <c r="H103" s="55" t="s">
        <v>72</v>
      </c>
      <c r="I103" s="56">
        <v>217</v>
      </c>
    </row>
    <row r="104" spans="1:9" x14ac:dyDescent="0.2">
      <c r="A104" s="55" t="s">
        <v>68</v>
      </c>
      <c r="B104" s="55" t="s">
        <v>72</v>
      </c>
      <c r="C104" s="56">
        <v>11</v>
      </c>
      <c r="D104" s="55" t="s">
        <v>68</v>
      </c>
      <c r="E104" s="55" t="s">
        <v>72</v>
      </c>
      <c r="F104" s="56">
        <v>11</v>
      </c>
      <c r="G104" s="55" t="s">
        <v>68</v>
      </c>
      <c r="H104" s="55" t="s">
        <v>72</v>
      </c>
      <c r="I104" s="56">
        <v>11</v>
      </c>
    </row>
    <row r="105" spans="1:9" x14ac:dyDescent="0.2">
      <c r="A105" s="55" t="s">
        <v>69</v>
      </c>
      <c r="B105" s="55" t="s">
        <v>72</v>
      </c>
      <c r="C105" s="56">
        <v>418</v>
      </c>
      <c r="D105" s="55" t="s">
        <v>69</v>
      </c>
      <c r="E105" s="55" t="s">
        <v>72</v>
      </c>
      <c r="F105" s="56">
        <v>413</v>
      </c>
      <c r="G105" s="55" t="s">
        <v>69</v>
      </c>
      <c r="H105" s="55" t="s">
        <v>72</v>
      </c>
      <c r="I105" s="56">
        <v>415</v>
      </c>
    </row>
    <row r="106" spans="1:9" x14ac:dyDescent="0.2">
      <c r="A106" s="55" t="s">
        <v>70</v>
      </c>
      <c r="B106" s="55" t="s">
        <v>72</v>
      </c>
      <c r="C106" s="56">
        <v>10</v>
      </c>
      <c r="D106" s="55" t="s">
        <v>70</v>
      </c>
      <c r="E106" s="55" t="s">
        <v>72</v>
      </c>
      <c r="F106" s="56">
        <v>10</v>
      </c>
      <c r="G106" s="55" t="s">
        <v>70</v>
      </c>
      <c r="H106" s="55" t="s">
        <v>72</v>
      </c>
      <c r="I106" s="56">
        <v>10</v>
      </c>
    </row>
    <row r="107" spans="1:9" x14ac:dyDescent="0.2">
      <c r="A107" s="55" t="s">
        <v>76</v>
      </c>
      <c r="B107" s="55" t="s">
        <v>75</v>
      </c>
      <c r="C107" s="56">
        <v>9</v>
      </c>
      <c r="D107" s="55" t="s">
        <v>76</v>
      </c>
      <c r="E107" s="55" t="s">
        <v>75</v>
      </c>
      <c r="F107" s="56">
        <v>9</v>
      </c>
      <c r="G107" s="55" t="s">
        <v>76</v>
      </c>
      <c r="H107" s="55" t="s">
        <v>75</v>
      </c>
      <c r="I107" s="56">
        <v>9</v>
      </c>
    </row>
    <row r="108" spans="1:9" x14ac:dyDescent="0.2">
      <c r="A108" s="55" t="s">
        <v>35</v>
      </c>
      <c r="B108" s="55" t="s">
        <v>75</v>
      </c>
      <c r="C108" s="56">
        <v>13566</v>
      </c>
      <c r="D108" s="55" t="s">
        <v>35</v>
      </c>
      <c r="E108" s="55" t="s">
        <v>75</v>
      </c>
      <c r="F108" s="56">
        <v>13564</v>
      </c>
      <c r="G108" s="55" t="s">
        <v>35</v>
      </c>
      <c r="H108" s="55" t="s">
        <v>75</v>
      </c>
      <c r="I108" s="56">
        <v>13631</v>
      </c>
    </row>
    <row r="109" spans="1:9" x14ac:dyDescent="0.2">
      <c r="A109" s="55" t="s">
        <v>36</v>
      </c>
      <c r="B109" s="55" t="s">
        <v>75</v>
      </c>
      <c r="C109" s="56">
        <v>20053</v>
      </c>
      <c r="D109" s="55" t="s">
        <v>36</v>
      </c>
      <c r="E109" s="55" t="s">
        <v>75</v>
      </c>
      <c r="F109" s="56">
        <v>20050</v>
      </c>
      <c r="G109" s="55" t="s">
        <v>36</v>
      </c>
      <c r="H109" s="55" t="s">
        <v>75</v>
      </c>
      <c r="I109" s="56">
        <v>20008</v>
      </c>
    </row>
    <row r="110" spans="1:9" x14ac:dyDescent="0.2">
      <c r="A110" s="55" t="s">
        <v>37</v>
      </c>
      <c r="B110" s="55" t="s">
        <v>75</v>
      </c>
      <c r="C110" s="56">
        <v>7387</v>
      </c>
      <c r="D110" s="55" t="s">
        <v>37</v>
      </c>
      <c r="E110" s="55" t="s">
        <v>75</v>
      </c>
      <c r="F110" s="56">
        <v>7404</v>
      </c>
      <c r="G110" s="55" t="s">
        <v>37</v>
      </c>
      <c r="H110" s="55" t="s">
        <v>75</v>
      </c>
      <c r="I110" s="56">
        <v>7411</v>
      </c>
    </row>
    <row r="111" spans="1:9" x14ac:dyDescent="0.2">
      <c r="A111" s="55" t="s">
        <v>38</v>
      </c>
      <c r="B111" s="55" t="s">
        <v>75</v>
      </c>
      <c r="C111" s="56">
        <v>2</v>
      </c>
      <c r="D111" s="55" t="s">
        <v>38</v>
      </c>
      <c r="E111" s="55" t="s">
        <v>75</v>
      </c>
      <c r="F111" s="56">
        <v>2</v>
      </c>
      <c r="G111" s="55" t="s">
        <v>38</v>
      </c>
      <c r="H111" s="55" t="s">
        <v>75</v>
      </c>
      <c r="I111" s="56">
        <v>2</v>
      </c>
    </row>
    <row r="112" spans="1:9" x14ac:dyDescent="0.2">
      <c r="A112" s="55" t="s">
        <v>40</v>
      </c>
      <c r="B112" s="55" t="s">
        <v>75</v>
      </c>
      <c r="C112" s="56">
        <v>18831</v>
      </c>
      <c r="D112" s="55" t="s">
        <v>40</v>
      </c>
      <c r="E112" s="55" t="s">
        <v>75</v>
      </c>
      <c r="F112" s="56">
        <v>18842</v>
      </c>
      <c r="G112" s="55" t="s">
        <v>40</v>
      </c>
      <c r="H112" s="55" t="s">
        <v>75</v>
      </c>
      <c r="I112" s="56">
        <v>18844</v>
      </c>
    </row>
    <row r="113" spans="1:9" x14ac:dyDescent="0.2">
      <c r="A113" s="55" t="s">
        <v>41</v>
      </c>
      <c r="B113" s="55" t="s">
        <v>75</v>
      </c>
      <c r="C113" s="56">
        <v>3</v>
      </c>
      <c r="D113" s="55" t="s">
        <v>41</v>
      </c>
      <c r="E113" s="55" t="s">
        <v>75</v>
      </c>
      <c r="F113" s="56">
        <v>3</v>
      </c>
      <c r="G113" s="55" t="s">
        <v>41</v>
      </c>
      <c r="H113" s="55" t="s">
        <v>75</v>
      </c>
      <c r="I113" s="56">
        <v>3</v>
      </c>
    </row>
    <row r="114" spans="1:9" x14ac:dyDescent="0.2">
      <c r="A114" s="55" t="s">
        <v>42</v>
      </c>
      <c r="B114" s="55" t="s">
        <v>75</v>
      </c>
      <c r="C114" s="56">
        <v>245</v>
      </c>
      <c r="D114" s="55" t="s">
        <v>42</v>
      </c>
      <c r="E114" s="55" t="s">
        <v>75</v>
      </c>
      <c r="F114" s="56">
        <v>247</v>
      </c>
      <c r="G114" s="55" t="s">
        <v>42</v>
      </c>
      <c r="H114" s="55" t="s">
        <v>75</v>
      </c>
      <c r="I114" s="56">
        <v>244</v>
      </c>
    </row>
    <row r="115" spans="1:9" x14ac:dyDescent="0.2">
      <c r="A115" s="55" t="s">
        <v>43</v>
      </c>
      <c r="B115" s="55" t="s">
        <v>75</v>
      </c>
      <c r="C115" s="56">
        <v>540</v>
      </c>
      <c r="D115" s="55" t="s">
        <v>43</v>
      </c>
      <c r="E115" s="55" t="s">
        <v>75</v>
      </c>
      <c r="F115" s="56">
        <v>539</v>
      </c>
      <c r="G115" s="55" t="s">
        <v>43</v>
      </c>
      <c r="H115" s="55" t="s">
        <v>75</v>
      </c>
      <c r="I115" s="56">
        <v>533</v>
      </c>
    </row>
    <row r="116" spans="1:9" x14ac:dyDescent="0.2">
      <c r="A116" s="55" t="s">
        <v>44</v>
      </c>
      <c r="B116" s="55" t="s">
        <v>75</v>
      </c>
      <c r="C116" s="56">
        <v>4578</v>
      </c>
      <c r="D116" s="55" t="s">
        <v>44</v>
      </c>
      <c r="E116" s="55" t="s">
        <v>75</v>
      </c>
      <c r="F116" s="56">
        <v>4566</v>
      </c>
      <c r="G116" s="55" t="s">
        <v>44</v>
      </c>
      <c r="H116" s="55" t="s">
        <v>75</v>
      </c>
      <c r="I116" s="56">
        <v>4562</v>
      </c>
    </row>
    <row r="117" spans="1:9" x14ac:dyDescent="0.2">
      <c r="A117" s="55" t="s">
        <v>45</v>
      </c>
      <c r="B117" s="55" t="s">
        <v>75</v>
      </c>
      <c r="C117" s="56">
        <v>1681</v>
      </c>
      <c r="D117" s="55" t="s">
        <v>45</v>
      </c>
      <c r="E117" s="55" t="s">
        <v>75</v>
      </c>
      <c r="F117" s="56">
        <v>1677</v>
      </c>
      <c r="G117" s="55" t="s">
        <v>45</v>
      </c>
      <c r="H117" s="55" t="s">
        <v>75</v>
      </c>
      <c r="I117" s="56">
        <v>1677</v>
      </c>
    </row>
    <row r="118" spans="1:9" x14ac:dyDescent="0.2">
      <c r="A118" s="55" t="s">
        <v>46</v>
      </c>
      <c r="B118" s="55" t="s">
        <v>75</v>
      </c>
      <c r="C118" s="56">
        <v>286</v>
      </c>
      <c r="D118" s="55" t="s">
        <v>46</v>
      </c>
      <c r="E118" s="55" t="s">
        <v>75</v>
      </c>
      <c r="F118" s="56">
        <v>288</v>
      </c>
      <c r="G118" s="55" t="s">
        <v>46</v>
      </c>
      <c r="H118" s="55" t="s">
        <v>75</v>
      </c>
      <c r="I118" s="56">
        <v>289</v>
      </c>
    </row>
    <row r="119" spans="1:9" x14ac:dyDescent="0.2">
      <c r="A119" s="55" t="s">
        <v>47</v>
      </c>
      <c r="B119" s="55" t="s">
        <v>75</v>
      </c>
      <c r="C119" s="56">
        <v>913</v>
      </c>
      <c r="D119" s="55" t="s">
        <v>47</v>
      </c>
      <c r="E119" s="55" t="s">
        <v>75</v>
      </c>
      <c r="F119" s="56">
        <v>911</v>
      </c>
      <c r="G119" s="55" t="s">
        <v>47</v>
      </c>
      <c r="H119" s="55" t="s">
        <v>75</v>
      </c>
      <c r="I119" s="56">
        <v>910</v>
      </c>
    </row>
    <row r="120" spans="1:9" x14ac:dyDescent="0.2">
      <c r="A120" s="55" t="s">
        <v>48</v>
      </c>
      <c r="B120" s="55" t="s">
        <v>75</v>
      </c>
      <c r="C120" s="56">
        <v>2623</v>
      </c>
      <c r="D120" s="55" t="s">
        <v>48</v>
      </c>
      <c r="E120" s="55" t="s">
        <v>75</v>
      </c>
      <c r="F120" s="56">
        <v>2638</v>
      </c>
      <c r="G120" s="55" t="s">
        <v>48</v>
      </c>
      <c r="H120" s="55" t="s">
        <v>75</v>
      </c>
      <c r="I120" s="56">
        <v>2628</v>
      </c>
    </row>
    <row r="121" spans="1:9" x14ac:dyDescent="0.2">
      <c r="A121" s="55" t="s">
        <v>49</v>
      </c>
      <c r="B121" s="55" t="s">
        <v>75</v>
      </c>
      <c r="C121" s="56">
        <v>2301</v>
      </c>
      <c r="D121" s="55" t="s">
        <v>49</v>
      </c>
      <c r="E121" s="55" t="s">
        <v>75</v>
      </c>
      <c r="F121" s="56">
        <v>2301</v>
      </c>
      <c r="G121" s="55" t="s">
        <v>49</v>
      </c>
      <c r="H121" s="55" t="s">
        <v>75</v>
      </c>
      <c r="I121" s="56">
        <v>2291</v>
      </c>
    </row>
    <row r="122" spans="1:9" x14ac:dyDescent="0.2">
      <c r="A122" s="55" t="s">
        <v>50</v>
      </c>
      <c r="B122" s="55" t="s">
        <v>75</v>
      </c>
      <c r="C122" s="56">
        <v>582</v>
      </c>
      <c r="D122" s="55" t="s">
        <v>50</v>
      </c>
      <c r="E122" s="55" t="s">
        <v>75</v>
      </c>
      <c r="F122" s="56">
        <v>582</v>
      </c>
      <c r="G122" s="55" t="s">
        <v>50</v>
      </c>
      <c r="H122" s="55" t="s">
        <v>75</v>
      </c>
      <c r="I122" s="56">
        <v>585</v>
      </c>
    </row>
    <row r="123" spans="1:9" x14ac:dyDescent="0.2">
      <c r="A123" s="55" t="s">
        <v>51</v>
      </c>
      <c r="B123" s="55" t="s">
        <v>75</v>
      </c>
      <c r="C123" s="56">
        <v>92</v>
      </c>
      <c r="D123" s="55" t="s">
        <v>51</v>
      </c>
      <c r="E123" s="55" t="s">
        <v>75</v>
      </c>
      <c r="F123" s="56">
        <v>91</v>
      </c>
      <c r="G123" s="55" t="s">
        <v>51</v>
      </c>
      <c r="H123" s="55" t="s">
        <v>75</v>
      </c>
      <c r="I123" s="56">
        <v>92</v>
      </c>
    </row>
    <row r="124" spans="1:9" x14ac:dyDescent="0.2">
      <c r="A124" s="55" t="s">
        <v>52</v>
      </c>
      <c r="B124" s="55" t="s">
        <v>75</v>
      </c>
      <c r="C124" s="56">
        <v>8269</v>
      </c>
      <c r="D124" s="55" t="s">
        <v>52</v>
      </c>
      <c r="E124" s="55" t="s">
        <v>75</v>
      </c>
      <c r="F124" s="56">
        <v>8272</v>
      </c>
      <c r="G124" s="55" t="s">
        <v>52</v>
      </c>
      <c r="H124" s="55" t="s">
        <v>75</v>
      </c>
      <c r="I124" s="56">
        <v>8300</v>
      </c>
    </row>
    <row r="125" spans="1:9" x14ac:dyDescent="0.2">
      <c r="A125" s="55" t="s">
        <v>53</v>
      </c>
      <c r="B125" s="55" t="s">
        <v>75</v>
      </c>
      <c r="C125" s="56">
        <v>7268</v>
      </c>
      <c r="D125" s="55" t="s">
        <v>53</v>
      </c>
      <c r="E125" s="55" t="s">
        <v>75</v>
      </c>
      <c r="F125" s="56">
        <v>7273</v>
      </c>
      <c r="G125" s="55" t="s">
        <v>53</v>
      </c>
      <c r="H125" s="55" t="s">
        <v>75</v>
      </c>
      <c r="I125" s="56">
        <v>7255</v>
      </c>
    </row>
    <row r="126" spans="1:9" x14ac:dyDescent="0.2">
      <c r="A126" s="55" t="s">
        <v>54</v>
      </c>
      <c r="B126" s="55" t="s">
        <v>75</v>
      </c>
      <c r="C126" s="56">
        <v>1282</v>
      </c>
      <c r="D126" s="55" t="s">
        <v>54</v>
      </c>
      <c r="E126" s="55" t="s">
        <v>75</v>
      </c>
      <c r="F126" s="56">
        <v>1278</v>
      </c>
      <c r="G126" s="55" t="s">
        <v>54</v>
      </c>
      <c r="H126" s="55" t="s">
        <v>75</v>
      </c>
      <c r="I126" s="56">
        <v>1282</v>
      </c>
    </row>
    <row r="127" spans="1:9" x14ac:dyDescent="0.2">
      <c r="A127" s="55" t="s">
        <v>55</v>
      </c>
      <c r="B127" s="55" t="s">
        <v>75</v>
      </c>
      <c r="C127" s="56">
        <v>3467</v>
      </c>
      <c r="D127" s="55" t="s">
        <v>55</v>
      </c>
      <c r="E127" s="55" t="s">
        <v>75</v>
      </c>
      <c r="F127" s="56">
        <v>3447</v>
      </c>
      <c r="G127" s="55" t="s">
        <v>55</v>
      </c>
      <c r="H127" s="55" t="s">
        <v>75</v>
      </c>
      <c r="I127" s="56">
        <v>3442</v>
      </c>
    </row>
    <row r="128" spans="1:9" x14ac:dyDescent="0.2">
      <c r="A128" s="55" t="s">
        <v>77</v>
      </c>
      <c r="B128" s="55" t="s">
        <v>75</v>
      </c>
      <c r="C128" s="56">
        <v>1</v>
      </c>
      <c r="D128" s="55" t="s">
        <v>77</v>
      </c>
      <c r="E128" s="55" t="s">
        <v>75</v>
      </c>
      <c r="F128" s="56">
        <v>1</v>
      </c>
      <c r="G128" s="55" t="s">
        <v>77</v>
      </c>
      <c r="H128" s="55" t="s">
        <v>75</v>
      </c>
      <c r="I128" s="56">
        <v>1</v>
      </c>
    </row>
    <row r="129" spans="1:9" x14ac:dyDescent="0.2">
      <c r="A129" s="55" t="s">
        <v>56</v>
      </c>
      <c r="B129" s="55" t="s">
        <v>75</v>
      </c>
      <c r="C129" s="56">
        <v>3669</v>
      </c>
      <c r="D129" s="55" t="s">
        <v>56</v>
      </c>
      <c r="E129" s="55" t="s">
        <v>75</v>
      </c>
      <c r="F129" s="56">
        <v>3667</v>
      </c>
      <c r="G129" s="55" t="s">
        <v>56</v>
      </c>
      <c r="H129" s="55" t="s">
        <v>75</v>
      </c>
      <c r="I129" s="56">
        <v>3655</v>
      </c>
    </row>
    <row r="130" spans="1:9" x14ac:dyDescent="0.2">
      <c r="A130" s="55" t="s">
        <v>57</v>
      </c>
      <c r="B130" s="55" t="s">
        <v>75</v>
      </c>
      <c r="C130" s="56">
        <v>188</v>
      </c>
      <c r="D130" s="55" t="s">
        <v>57</v>
      </c>
      <c r="E130" s="55" t="s">
        <v>75</v>
      </c>
      <c r="F130" s="56">
        <v>188</v>
      </c>
      <c r="G130" s="55" t="s">
        <v>57</v>
      </c>
      <c r="H130" s="55" t="s">
        <v>75</v>
      </c>
      <c r="I130" s="56">
        <v>191</v>
      </c>
    </row>
    <row r="131" spans="1:9" x14ac:dyDescent="0.2">
      <c r="A131" s="55" t="s">
        <v>58</v>
      </c>
      <c r="B131" s="55" t="s">
        <v>75</v>
      </c>
      <c r="C131" s="56">
        <v>2607</v>
      </c>
      <c r="D131" s="55" t="s">
        <v>58</v>
      </c>
      <c r="E131" s="55" t="s">
        <v>75</v>
      </c>
      <c r="F131" s="56">
        <v>2618</v>
      </c>
      <c r="G131" s="55" t="s">
        <v>58</v>
      </c>
      <c r="H131" s="55" t="s">
        <v>75</v>
      </c>
      <c r="I131" s="56">
        <v>2602</v>
      </c>
    </row>
    <row r="132" spans="1:9" x14ac:dyDescent="0.2">
      <c r="A132" s="55" t="s">
        <v>59</v>
      </c>
      <c r="B132" s="55" t="s">
        <v>75</v>
      </c>
      <c r="C132" s="56">
        <v>2</v>
      </c>
      <c r="D132" s="55" t="s">
        <v>59</v>
      </c>
      <c r="E132" s="55" t="s">
        <v>75</v>
      </c>
      <c r="F132" s="56">
        <v>2</v>
      </c>
      <c r="G132" s="55" t="s">
        <v>59</v>
      </c>
      <c r="H132" s="55" t="s">
        <v>75</v>
      </c>
      <c r="I132" s="56">
        <v>2</v>
      </c>
    </row>
    <row r="133" spans="1:9" x14ac:dyDescent="0.2">
      <c r="A133" s="55" t="s">
        <v>60</v>
      </c>
      <c r="B133" s="55" t="s">
        <v>75</v>
      </c>
      <c r="C133" s="56">
        <v>877</v>
      </c>
      <c r="D133" s="55" t="s">
        <v>60</v>
      </c>
      <c r="E133" s="55" t="s">
        <v>75</v>
      </c>
      <c r="F133" s="56">
        <v>874</v>
      </c>
      <c r="G133" s="55" t="s">
        <v>60</v>
      </c>
      <c r="H133" s="55" t="s">
        <v>75</v>
      </c>
      <c r="I133" s="56">
        <v>879</v>
      </c>
    </row>
    <row r="134" spans="1:9" x14ac:dyDescent="0.2">
      <c r="A134" s="55" t="s">
        <v>61</v>
      </c>
      <c r="B134" s="55" t="s">
        <v>75</v>
      </c>
      <c r="C134" s="56">
        <v>3796</v>
      </c>
      <c r="D134" s="55" t="s">
        <v>61</v>
      </c>
      <c r="E134" s="55" t="s">
        <v>75</v>
      </c>
      <c r="F134" s="56">
        <v>3785</v>
      </c>
      <c r="G134" s="55" t="s">
        <v>61</v>
      </c>
      <c r="H134" s="55" t="s">
        <v>75</v>
      </c>
      <c r="I134" s="56">
        <v>3808</v>
      </c>
    </row>
    <row r="135" spans="1:9" x14ac:dyDescent="0.2">
      <c r="A135" s="55" t="s">
        <v>62</v>
      </c>
      <c r="B135" s="55" t="s">
        <v>75</v>
      </c>
      <c r="C135" s="56">
        <v>1714</v>
      </c>
      <c r="D135" s="55" t="s">
        <v>62</v>
      </c>
      <c r="E135" s="55" t="s">
        <v>75</v>
      </c>
      <c r="F135" s="56">
        <v>1707</v>
      </c>
      <c r="G135" s="55" t="s">
        <v>62</v>
      </c>
      <c r="H135" s="55" t="s">
        <v>75</v>
      </c>
      <c r="I135" s="56">
        <v>1716</v>
      </c>
    </row>
    <row r="136" spans="1:9" x14ac:dyDescent="0.2">
      <c r="A136" s="55" t="s">
        <v>63</v>
      </c>
      <c r="B136" s="55" t="s">
        <v>75</v>
      </c>
      <c r="C136" s="56">
        <v>116</v>
      </c>
      <c r="D136" s="55" t="s">
        <v>63</v>
      </c>
      <c r="E136" s="55" t="s">
        <v>75</v>
      </c>
      <c r="F136" s="56">
        <v>116</v>
      </c>
      <c r="G136" s="55" t="s">
        <v>63</v>
      </c>
      <c r="H136" s="55" t="s">
        <v>75</v>
      </c>
      <c r="I136" s="56">
        <v>116</v>
      </c>
    </row>
    <row r="137" spans="1:9" x14ac:dyDescent="0.2">
      <c r="A137" s="55" t="s">
        <v>64</v>
      </c>
      <c r="B137" s="55" t="s">
        <v>75</v>
      </c>
      <c r="C137" s="56">
        <v>913</v>
      </c>
      <c r="D137" s="55" t="s">
        <v>64</v>
      </c>
      <c r="E137" s="55" t="s">
        <v>75</v>
      </c>
      <c r="F137" s="56">
        <v>909</v>
      </c>
      <c r="G137" s="55" t="s">
        <v>64</v>
      </c>
      <c r="H137" s="55" t="s">
        <v>75</v>
      </c>
      <c r="I137" s="56">
        <v>909</v>
      </c>
    </row>
    <row r="138" spans="1:9" x14ac:dyDescent="0.2">
      <c r="A138" s="55" t="s">
        <v>65</v>
      </c>
      <c r="B138" s="55" t="s">
        <v>75</v>
      </c>
      <c r="C138" s="56">
        <v>198</v>
      </c>
      <c r="D138" s="55" t="s">
        <v>65</v>
      </c>
      <c r="E138" s="55" t="s">
        <v>75</v>
      </c>
      <c r="F138" s="56">
        <v>200</v>
      </c>
      <c r="G138" s="55" t="s">
        <v>65</v>
      </c>
      <c r="H138" s="55" t="s">
        <v>75</v>
      </c>
      <c r="I138" s="56">
        <v>201</v>
      </c>
    </row>
    <row r="139" spans="1:9" x14ac:dyDescent="0.2">
      <c r="A139" s="55" t="s">
        <v>66</v>
      </c>
      <c r="B139" s="55" t="s">
        <v>75</v>
      </c>
      <c r="C139" s="56">
        <v>46</v>
      </c>
      <c r="D139" s="55" t="s">
        <v>66</v>
      </c>
      <c r="E139" s="55" t="s">
        <v>75</v>
      </c>
      <c r="F139" s="56">
        <v>48</v>
      </c>
      <c r="G139" s="55" t="s">
        <v>66</v>
      </c>
      <c r="H139" s="55" t="s">
        <v>75</v>
      </c>
      <c r="I139" s="56">
        <v>47</v>
      </c>
    </row>
    <row r="140" spans="1:9" x14ac:dyDescent="0.2">
      <c r="A140" s="55" t="s">
        <v>67</v>
      </c>
      <c r="B140" s="55" t="s">
        <v>75</v>
      </c>
      <c r="C140" s="56">
        <v>402</v>
      </c>
      <c r="D140" s="55" t="s">
        <v>67</v>
      </c>
      <c r="E140" s="55" t="s">
        <v>75</v>
      </c>
      <c r="F140" s="56">
        <v>404</v>
      </c>
      <c r="G140" s="55" t="s">
        <v>67</v>
      </c>
      <c r="H140" s="55" t="s">
        <v>75</v>
      </c>
      <c r="I140" s="56">
        <v>405</v>
      </c>
    </row>
    <row r="141" spans="1:9" x14ac:dyDescent="0.2">
      <c r="A141" s="55" t="s">
        <v>68</v>
      </c>
      <c r="B141" s="55" t="s">
        <v>75</v>
      </c>
      <c r="C141" s="56">
        <v>672</v>
      </c>
      <c r="D141" s="55" t="s">
        <v>68</v>
      </c>
      <c r="E141" s="55" t="s">
        <v>75</v>
      </c>
      <c r="F141" s="56">
        <v>672</v>
      </c>
      <c r="G141" s="55" t="s">
        <v>68</v>
      </c>
      <c r="H141" s="55" t="s">
        <v>75</v>
      </c>
      <c r="I141" s="56">
        <v>671</v>
      </c>
    </row>
    <row r="142" spans="1:9" x14ac:dyDescent="0.2">
      <c r="A142" s="2" t="s">
        <v>69</v>
      </c>
      <c r="B142" s="2" t="s">
        <v>75</v>
      </c>
      <c r="C142" s="2">
        <v>18883</v>
      </c>
      <c r="D142" s="2" t="s">
        <v>69</v>
      </c>
      <c r="E142" s="2" t="s">
        <v>75</v>
      </c>
      <c r="F142" s="2">
        <v>18855</v>
      </c>
      <c r="G142" s="55" t="s">
        <v>69</v>
      </c>
      <c r="H142" s="55" t="s">
        <v>75</v>
      </c>
      <c r="I142" s="56">
        <v>18908</v>
      </c>
    </row>
    <row r="143" spans="1:9" x14ac:dyDescent="0.2">
      <c r="A143" s="2" t="s">
        <v>70</v>
      </c>
      <c r="B143" s="2" t="s">
        <v>75</v>
      </c>
      <c r="C143" s="2">
        <v>75</v>
      </c>
      <c r="D143" s="2" t="s">
        <v>70</v>
      </c>
      <c r="E143" s="2" t="s">
        <v>75</v>
      </c>
      <c r="F143" s="2">
        <v>74</v>
      </c>
      <c r="G143" s="2" t="s">
        <v>70</v>
      </c>
      <c r="H143" s="2" t="s">
        <v>75</v>
      </c>
      <c r="I143" s="2">
        <v>74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A1:R599"/>
  <sheetViews>
    <sheetView workbookViewId="0">
      <selection activeCell="D2" sqref="D2:F2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4" width="9.1640625" customWidth="1"/>
    <col min="5" max="6" width="15" customWidth="1"/>
    <col min="7" max="7" width="2.83203125" style="1" customWidth="1"/>
    <col min="8" max="8" width="9.1640625" customWidth="1"/>
    <col min="9" max="10" width="22.5" customWidth="1"/>
    <col min="11" max="11" width="2.6640625" style="1" customWidth="1"/>
    <col min="12" max="12" width="9.1640625" customWidth="1"/>
    <col min="13" max="14" width="17.5" customWidth="1"/>
    <col min="15" max="15" width="5.33203125" style="1" customWidth="1"/>
    <col min="16" max="16" width="9.1640625" customWidth="1"/>
    <col min="17" max="18" width="22" customWidth="1"/>
  </cols>
  <sheetData>
    <row r="1" spans="1:18" s="5" customFormat="1" ht="30" customHeight="1" x14ac:dyDescent="0.2">
      <c r="A1" s="106" t="s">
        <v>238</v>
      </c>
      <c r="B1" s="106"/>
      <c r="C1" s="23"/>
      <c r="D1" s="104" t="s">
        <v>15</v>
      </c>
      <c r="E1" s="104"/>
      <c r="F1" s="104"/>
      <c r="G1" s="23"/>
      <c r="H1" s="104" t="s">
        <v>115</v>
      </c>
      <c r="I1" s="104"/>
      <c r="J1" s="104"/>
      <c r="K1" s="23"/>
      <c r="L1" s="104" t="s">
        <v>16</v>
      </c>
      <c r="M1" s="104"/>
      <c r="N1" s="104"/>
      <c r="O1" s="23"/>
      <c r="P1" s="105" t="s">
        <v>17</v>
      </c>
      <c r="Q1" s="105"/>
      <c r="R1" s="105"/>
    </row>
    <row r="2" spans="1:18" s="5" customFormat="1" x14ac:dyDescent="0.2">
      <c r="A2" s="24" t="s">
        <v>0</v>
      </c>
      <c r="B2" s="24" t="s">
        <v>1</v>
      </c>
      <c r="C2" s="23"/>
      <c r="D2" s="22">
        <v>44652</v>
      </c>
      <c r="E2" s="22">
        <v>44682</v>
      </c>
      <c r="F2" s="22">
        <v>44713</v>
      </c>
      <c r="G2" s="23"/>
      <c r="H2" s="22">
        <v>44652</v>
      </c>
      <c r="I2" s="22">
        <v>44682</v>
      </c>
      <c r="J2" s="22">
        <v>44713</v>
      </c>
      <c r="K2" s="23"/>
      <c r="L2" s="22">
        <v>44652</v>
      </c>
      <c r="M2" s="22">
        <v>44682</v>
      </c>
      <c r="N2" s="22">
        <v>44713</v>
      </c>
      <c r="O2" s="23"/>
      <c r="P2" s="22">
        <v>44652</v>
      </c>
      <c r="Q2" s="22">
        <v>44682</v>
      </c>
      <c r="R2" s="22">
        <v>44713</v>
      </c>
    </row>
    <row r="3" spans="1:18" x14ac:dyDescent="0.2">
      <c r="A3" t="s">
        <v>223</v>
      </c>
      <c r="H3" s="7"/>
    </row>
    <row r="4" spans="1:18" x14ac:dyDescent="0.2">
      <c r="H4" s="7"/>
    </row>
    <row r="5" spans="1:18" x14ac:dyDescent="0.2">
      <c r="H5" s="7"/>
    </row>
    <row r="6" spans="1:18" x14ac:dyDescent="0.2">
      <c r="H6" s="7"/>
    </row>
    <row r="7" spans="1:18" x14ac:dyDescent="0.2">
      <c r="H7" s="7"/>
    </row>
    <row r="8" spans="1:18" x14ac:dyDescent="0.2">
      <c r="H8" s="7"/>
    </row>
    <row r="9" spans="1:18" x14ac:dyDescent="0.2">
      <c r="H9" s="7"/>
    </row>
    <row r="10" spans="1:18" x14ac:dyDescent="0.2">
      <c r="H10" s="7"/>
    </row>
    <row r="11" spans="1:18" x14ac:dyDescent="0.2">
      <c r="H11" s="7"/>
    </row>
    <row r="12" spans="1:18" x14ac:dyDescent="0.2">
      <c r="H12" s="7"/>
    </row>
    <row r="13" spans="1:18" x14ac:dyDescent="0.2">
      <c r="H13" s="7"/>
    </row>
    <row r="14" spans="1:18" x14ac:dyDescent="0.2">
      <c r="H14" s="7"/>
    </row>
    <row r="15" spans="1:18" x14ac:dyDescent="0.2">
      <c r="H15" s="7"/>
    </row>
    <row r="16" spans="1:18" x14ac:dyDescent="0.2">
      <c r="H16" s="7"/>
    </row>
    <row r="17" spans="8:8" x14ac:dyDescent="0.2">
      <c r="H17" s="7"/>
    </row>
    <row r="18" spans="8:8" x14ac:dyDescent="0.2">
      <c r="H18" s="7"/>
    </row>
    <row r="19" spans="8:8" x14ac:dyDescent="0.2">
      <c r="H19" s="7"/>
    </row>
    <row r="20" spans="8:8" x14ac:dyDescent="0.2">
      <c r="H20" s="7"/>
    </row>
    <row r="21" spans="8:8" x14ac:dyDescent="0.2">
      <c r="H21" s="7"/>
    </row>
    <row r="22" spans="8:8" x14ac:dyDescent="0.2">
      <c r="H22" s="7"/>
    </row>
    <row r="23" spans="8:8" x14ac:dyDescent="0.2">
      <c r="H23" s="7"/>
    </row>
    <row r="24" spans="8:8" x14ac:dyDescent="0.2">
      <c r="H24" s="7"/>
    </row>
    <row r="25" spans="8:8" x14ac:dyDescent="0.2">
      <c r="H25" s="7"/>
    </row>
    <row r="26" spans="8:8" x14ac:dyDescent="0.2">
      <c r="H26" s="7"/>
    </row>
    <row r="27" spans="8:8" x14ac:dyDescent="0.2">
      <c r="H27" s="7"/>
    </row>
    <row r="28" spans="8:8" x14ac:dyDescent="0.2">
      <c r="H28" s="7"/>
    </row>
    <row r="29" spans="8:8" x14ac:dyDescent="0.2">
      <c r="H29" s="7"/>
    </row>
    <row r="30" spans="8:8" x14ac:dyDescent="0.2">
      <c r="H30" s="7"/>
    </row>
    <row r="31" spans="8:8" x14ac:dyDescent="0.2">
      <c r="H31" s="7"/>
    </row>
    <row r="32" spans="8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168" spans="12:12" x14ac:dyDescent="0.2">
      <c r="L168" t="s">
        <v>81</v>
      </c>
    </row>
    <row r="169" spans="12:12" x14ac:dyDescent="0.2">
      <c r="L169" t="s">
        <v>81</v>
      </c>
    </row>
    <row r="170" spans="12:12" x14ac:dyDescent="0.2">
      <c r="L170" t="s">
        <v>81</v>
      </c>
    </row>
    <row r="171" spans="12:12" x14ac:dyDescent="0.2">
      <c r="L171" t="s">
        <v>81</v>
      </c>
    </row>
    <row r="172" spans="12:12" x14ac:dyDescent="0.2">
      <c r="L172" t="s">
        <v>81</v>
      </c>
    </row>
    <row r="173" spans="12:12" x14ac:dyDescent="0.2">
      <c r="L173" t="s">
        <v>81</v>
      </c>
    </row>
    <row r="174" spans="12:12" x14ac:dyDescent="0.2">
      <c r="L174" t="s">
        <v>81</v>
      </c>
    </row>
    <row r="175" spans="12:12" x14ac:dyDescent="0.2">
      <c r="L175" t="s">
        <v>81</v>
      </c>
    </row>
    <row r="176" spans="12:12" x14ac:dyDescent="0.2">
      <c r="L176" t="s">
        <v>81</v>
      </c>
    </row>
    <row r="177" spans="12:12" x14ac:dyDescent="0.2">
      <c r="L177" t="s">
        <v>81</v>
      </c>
    </row>
    <row r="178" spans="12:12" x14ac:dyDescent="0.2">
      <c r="L178" t="s">
        <v>81</v>
      </c>
    </row>
    <row r="179" spans="12:12" x14ac:dyDescent="0.2">
      <c r="L179" t="s">
        <v>81</v>
      </c>
    </row>
    <row r="180" spans="12:12" x14ac:dyDescent="0.2">
      <c r="L180" t="s">
        <v>81</v>
      </c>
    </row>
    <row r="181" spans="12:12" x14ac:dyDescent="0.2">
      <c r="L181" t="s">
        <v>81</v>
      </c>
    </row>
    <row r="182" spans="12:12" x14ac:dyDescent="0.2">
      <c r="L182" t="s">
        <v>81</v>
      </c>
    </row>
    <row r="183" spans="12:12" x14ac:dyDescent="0.2">
      <c r="L183" t="s">
        <v>81</v>
      </c>
    </row>
    <row r="184" spans="12:12" x14ac:dyDescent="0.2">
      <c r="L184" t="s">
        <v>81</v>
      </c>
    </row>
    <row r="185" spans="12:12" x14ac:dyDescent="0.2">
      <c r="L185" t="s">
        <v>81</v>
      </c>
    </row>
    <row r="186" spans="12:12" x14ac:dyDescent="0.2">
      <c r="L186" t="s">
        <v>81</v>
      </c>
    </row>
    <row r="187" spans="12:12" x14ac:dyDescent="0.2">
      <c r="L187" t="s">
        <v>81</v>
      </c>
    </row>
    <row r="188" spans="12:12" x14ac:dyDescent="0.2">
      <c r="L188" t="s">
        <v>81</v>
      </c>
    </row>
    <row r="189" spans="12:12" x14ac:dyDescent="0.2">
      <c r="L189" t="s">
        <v>81</v>
      </c>
    </row>
    <row r="190" spans="12:12" x14ac:dyDescent="0.2">
      <c r="L190" t="s">
        <v>81</v>
      </c>
    </row>
    <row r="191" spans="12:12" x14ac:dyDescent="0.2">
      <c r="L191" t="s">
        <v>81</v>
      </c>
    </row>
    <row r="192" spans="12:12" x14ac:dyDescent="0.2">
      <c r="L192" t="s">
        <v>81</v>
      </c>
    </row>
    <row r="193" spans="12:12" x14ac:dyDescent="0.2">
      <c r="L193" t="s">
        <v>81</v>
      </c>
    </row>
    <row r="194" spans="12:12" x14ac:dyDescent="0.2">
      <c r="L194" t="s">
        <v>81</v>
      </c>
    </row>
    <row r="195" spans="12:12" x14ac:dyDescent="0.2">
      <c r="L195" t="s">
        <v>81</v>
      </c>
    </row>
    <row r="196" spans="12:12" x14ac:dyDescent="0.2">
      <c r="L196" t="s">
        <v>81</v>
      </c>
    </row>
    <row r="197" spans="12:12" x14ac:dyDescent="0.2">
      <c r="L197" t="s">
        <v>81</v>
      </c>
    </row>
    <row r="198" spans="12:12" x14ac:dyDescent="0.2">
      <c r="L198" t="s">
        <v>81</v>
      </c>
    </row>
    <row r="199" spans="12:12" x14ac:dyDescent="0.2">
      <c r="L199" t="s">
        <v>81</v>
      </c>
    </row>
    <row r="200" spans="12:12" x14ac:dyDescent="0.2">
      <c r="L200" t="s">
        <v>81</v>
      </c>
    </row>
    <row r="201" spans="12:12" x14ac:dyDescent="0.2">
      <c r="L201" t="s">
        <v>81</v>
      </c>
    </row>
    <row r="202" spans="12:12" x14ac:dyDescent="0.2">
      <c r="L202" t="s">
        <v>81</v>
      </c>
    </row>
    <row r="203" spans="12:12" x14ac:dyDescent="0.2">
      <c r="L203" t="s">
        <v>81</v>
      </c>
    </row>
    <row r="204" spans="12:12" x14ac:dyDescent="0.2">
      <c r="L204" t="s">
        <v>81</v>
      </c>
    </row>
    <row r="205" spans="12:12" x14ac:dyDescent="0.2">
      <c r="L205" t="s">
        <v>81</v>
      </c>
    </row>
    <row r="206" spans="12:12" x14ac:dyDescent="0.2">
      <c r="L206" t="s">
        <v>81</v>
      </c>
    </row>
    <row r="207" spans="12:12" x14ac:dyDescent="0.2">
      <c r="L207" t="s">
        <v>81</v>
      </c>
    </row>
    <row r="208" spans="12:12" x14ac:dyDescent="0.2">
      <c r="L208" t="s">
        <v>81</v>
      </c>
    </row>
    <row r="209" spans="12:12" x14ac:dyDescent="0.2">
      <c r="L209" t="s">
        <v>81</v>
      </c>
    </row>
    <row r="210" spans="12:12" x14ac:dyDescent="0.2">
      <c r="L210" t="s">
        <v>81</v>
      </c>
    </row>
    <row r="211" spans="12:12" x14ac:dyDescent="0.2">
      <c r="L211" t="s">
        <v>81</v>
      </c>
    </row>
    <row r="212" spans="12:12" x14ac:dyDescent="0.2">
      <c r="L212" t="s">
        <v>81</v>
      </c>
    </row>
    <row r="213" spans="12:12" x14ac:dyDescent="0.2">
      <c r="L213" t="s">
        <v>81</v>
      </c>
    </row>
    <row r="214" spans="12:12" x14ac:dyDescent="0.2">
      <c r="L214" t="s">
        <v>81</v>
      </c>
    </row>
    <row r="215" spans="12:12" x14ac:dyDescent="0.2">
      <c r="L215" t="s">
        <v>81</v>
      </c>
    </row>
    <row r="216" spans="12:12" x14ac:dyDescent="0.2">
      <c r="L216" t="s">
        <v>81</v>
      </c>
    </row>
    <row r="217" spans="12:12" x14ac:dyDescent="0.2">
      <c r="L217" t="s">
        <v>81</v>
      </c>
    </row>
    <row r="218" spans="12:12" x14ac:dyDescent="0.2">
      <c r="L218" t="s">
        <v>81</v>
      </c>
    </row>
    <row r="219" spans="12:12" x14ac:dyDescent="0.2">
      <c r="L219" t="s">
        <v>81</v>
      </c>
    </row>
    <row r="220" spans="12:12" x14ac:dyDescent="0.2">
      <c r="L220" t="s">
        <v>81</v>
      </c>
    </row>
    <row r="221" spans="12:12" x14ac:dyDescent="0.2">
      <c r="L221" t="s">
        <v>81</v>
      </c>
    </row>
    <row r="222" spans="12:12" x14ac:dyDescent="0.2">
      <c r="L222" t="s">
        <v>81</v>
      </c>
    </row>
    <row r="223" spans="12:12" x14ac:dyDescent="0.2">
      <c r="L223" t="s">
        <v>81</v>
      </c>
    </row>
    <row r="224" spans="12:12" x14ac:dyDescent="0.2">
      <c r="L224" t="s">
        <v>81</v>
      </c>
    </row>
    <row r="225" spans="12:12" x14ac:dyDescent="0.2">
      <c r="L225" t="s">
        <v>81</v>
      </c>
    </row>
    <row r="226" spans="12:12" x14ac:dyDescent="0.2">
      <c r="L226" t="s">
        <v>81</v>
      </c>
    </row>
    <row r="227" spans="12:12" x14ac:dyDescent="0.2">
      <c r="L227" t="s">
        <v>81</v>
      </c>
    </row>
    <row r="228" spans="12:12" x14ac:dyDescent="0.2">
      <c r="L228" t="s">
        <v>81</v>
      </c>
    </row>
    <row r="229" spans="12:12" x14ac:dyDescent="0.2">
      <c r="L229" t="s">
        <v>81</v>
      </c>
    </row>
    <row r="230" spans="12:12" x14ac:dyDescent="0.2">
      <c r="L230" t="s">
        <v>81</v>
      </c>
    </row>
    <row r="231" spans="12:12" x14ac:dyDescent="0.2">
      <c r="L231" t="s">
        <v>81</v>
      </c>
    </row>
    <row r="232" spans="12:12" x14ac:dyDescent="0.2">
      <c r="L232" t="s">
        <v>81</v>
      </c>
    </row>
    <row r="233" spans="12:12" x14ac:dyDescent="0.2">
      <c r="L233" t="s">
        <v>81</v>
      </c>
    </row>
    <row r="234" spans="12:12" x14ac:dyDescent="0.2">
      <c r="L234" t="s">
        <v>81</v>
      </c>
    </row>
    <row r="235" spans="12:12" x14ac:dyDescent="0.2">
      <c r="L235" t="s">
        <v>81</v>
      </c>
    </row>
    <row r="236" spans="12:12" x14ac:dyDescent="0.2">
      <c r="L236" t="s">
        <v>81</v>
      </c>
    </row>
    <row r="237" spans="12:12" x14ac:dyDescent="0.2">
      <c r="L237" t="s">
        <v>81</v>
      </c>
    </row>
    <row r="238" spans="12:12" x14ac:dyDescent="0.2">
      <c r="L238" t="s">
        <v>81</v>
      </c>
    </row>
    <row r="239" spans="12:12" x14ac:dyDescent="0.2">
      <c r="L239" t="s">
        <v>81</v>
      </c>
    </row>
    <row r="240" spans="12:12" x14ac:dyDescent="0.2">
      <c r="L240" t="s">
        <v>81</v>
      </c>
    </row>
    <row r="241" spans="12:12" x14ac:dyDescent="0.2">
      <c r="L241" t="s">
        <v>81</v>
      </c>
    </row>
    <row r="242" spans="12:12" x14ac:dyDescent="0.2">
      <c r="L242" t="s">
        <v>81</v>
      </c>
    </row>
    <row r="243" spans="12:12" x14ac:dyDescent="0.2">
      <c r="L243" t="s">
        <v>81</v>
      </c>
    </row>
    <row r="244" spans="12:12" x14ac:dyDescent="0.2">
      <c r="L244" t="s">
        <v>81</v>
      </c>
    </row>
    <row r="245" spans="12:12" x14ac:dyDescent="0.2">
      <c r="L245" t="s">
        <v>81</v>
      </c>
    </row>
    <row r="246" spans="12:12" x14ac:dyDescent="0.2">
      <c r="L246" t="s">
        <v>81</v>
      </c>
    </row>
    <row r="247" spans="12:12" x14ac:dyDescent="0.2">
      <c r="L247" t="s">
        <v>81</v>
      </c>
    </row>
    <row r="248" spans="12:12" x14ac:dyDescent="0.2">
      <c r="L248" t="s">
        <v>81</v>
      </c>
    </row>
    <row r="249" spans="12:12" x14ac:dyDescent="0.2">
      <c r="L249" t="s">
        <v>81</v>
      </c>
    </row>
    <row r="250" spans="12:12" x14ac:dyDescent="0.2">
      <c r="L250" t="s">
        <v>81</v>
      </c>
    </row>
    <row r="251" spans="12:12" x14ac:dyDescent="0.2">
      <c r="L251" t="s">
        <v>81</v>
      </c>
    </row>
    <row r="252" spans="12:12" x14ac:dyDescent="0.2">
      <c r="L252" t="s">
        <v>81</v>
      </c>
    </row>
    <row r="253" spans="12:12" x14ac:dyDescent="0.2">
      <c r="L253" t="s">
        <v>81</v>
      </c>
    </row>
    <row r="254" spans="12:12" x14ac:dyDescent="0.2">
      <c r="L254" t="s">
        <v>81</v>
      </c>
    </row>
    <row r="255" spans="12:12" x14ac:dyDescent="0.2">
      <c r="L255" t="s">
        <v>81</v>
      </c>
    </row>
    <row r="256" spans="12:12" x14ac:dyDescent="0.2">
      <c r="L256" t="s">
        <v>81</v>
      </c>
    </row>
    <row r="257" spans="12:12" x14ac:dyDescent="0.2">
      <c r="L257" t="s">
        <v>81</v>
      </c>
    </row>
    <row r="258" spans="12:12" x14ac:dyDescent="0.2">
      <c r="L258" t="s">
        <v>81</v>
      </c>
    </row>
    <row r="259" spans="12:12" x14ac:dyDescent="0.2">
      <c r="L259" t="s">
        <v>81</v>
      </c>
    </row>
    <row r="260" spans="12:12" x14ac:dyDescent="0.2">
      <c r="L260" t="s">
        <v>81</v>
      </c>
    </row>
    <row r="261" spans="12:12" x14ac:dyDescent="0.2">
      <c r="L261" t="s">
        <v>81</v>
      </c>
    </row>
    <row r="262" spans="12:12" x14ac:dyDescent="0.2">
      <c r="L262" t="s">
        <v>81</v>
      </c>
    </row>
    <row r="263" spans="12:12" x14ac:dyDescent="0.2">
      <c r="L263" t="s">
        <v>81</v>
      </c>
    </row>
    <row r="264" spans="12:12" x14ac:dyDescent="0.2">
      <c r="L264" t="s">
        <v>81</v>
      </c>
    </row>
    <row r="265" spans="12:12" x14ac:dyDescent="0.2">
      <c r="L265" t="s">
        <v>81</v>
      </c>
    </row>
    <row r="266" spans="12:12" x14ac:dyDescent="0.2">
      <c r="L266" t="s">
        <v>81</v>
      </c>
    </row>
    <row r="267" spans="12:12" x14ac:dyDescent="0.2">
      <c r="L267" t="s">
        <v>81</v>
      </c>
    </row>
    <row r="268" spans="12:12" x14ac:dyDescent="0.2">
      <c r="L268" t="s">
        <v>81</v>
      </c>
    </row>
    <row r="269" spans="12:12" x14ac:dyDescent="0.2">
      <c r="L269" t="s">
        <v>81</v>
      </c>
    </row>
    <row r="270" spans="12:12" x14ac:dyDescent="0.2">
      <c r="L270" t="s">
        <v>81</v>
      </c>
    </row>
    <row r="271" spans="12:12" x14ac:dyDescent="0.2">
      <c r="L271" t="s">
        <v>81</v>
      </c>
    </row>
    <row r="272" spans="12:12" x14ac:dyDescent="0.2">
      <c r="L272" t="s">
        <v>81</v>
      </c>
    </row>
    <row r="273" spans="12:12" x14ac:dyDescent="0.2">
      <c r="L273" t="s">
        <v>81</v>
      </c>
    </row>
    <row r="274" spans="12:12" x14ac:dyDescent="0.2">
      <c r="L274" t="s">
        <v>81</v>
      </c>
    </row>
    <row r="275" spans="12:12" x14ac:dyDescent="0.2">
      <c r="L275" t="s">
        <v>81</v>
      </c>
    </row>
    <row r="276" spans="12:12" x14ac:dyDescent="0.2">
      <c r="L276" t="s">
        <v>81</v>
      </c>
    </row>
    <row r="277" spans="12:12" x14ac:dyDescent="0.2">
      <c r="L277" t="s">
        <v>81</v>
      </c>
    </row>
    <row r="278" spans="12:12" x14ac:dyDescent="0.2">
      <c r="L278" t="s">
        <v>81</v>
      </c>
    </row>
    <row r="279" spans="12:12" x14ac:dyDescent="0.2">
      <c r="L279" t="s">
        <v>81</v>
      </c>
    </row>
    <row r="280" spans="12:12" x14ac:dyDescent="0.2">
      <c r="L280" t="s">
        <v>81</v>
      </c>
    </row>
    <row r="281" spans="12:12" x14ac:dyDescent="0.2">
      <c r="L281" t="s">
        <v>81</v>
      </c>
    </row>
    <row r="282" spans="12:12" x14ac:dyDescent="0.2">
      <c r="L282" t="s">
        <v>81</v>
      </c>
    </row>
    <row r="283" spans="12:12" x14ac:dyDescent="0.2">
      <c r="L283" t="s">
        <v>81</v>
      </c>
    </row>
    <row r="284" spans="12:12" x14ac:dyDescent="0.2">
      <c r="L284" t="s">
        <v>81</v>
      </c>
    </row>
    <row r="285" spans="12:12" x14ac:dyDescent="0.2">
      <c r="L285" t="s">
        <v>81</v>
      </c>
    </row>
    <row r="286" spans="12:12" x14ac:dyDescent="0.2">
      <c r="L286" t="s">
        <v>81</v>
      </c>
    </row>
    <row r="287" spans="12:12" x14ac:dyDescent="0.2">
      <c r="L287" t="s">
        <v>81</v>
      </c>
    </row>
    <row r="288" spans="12:12" x14ac:dyDescent="0.2">
      <c r="L288" t="s">
        <v>81</v>
      </c>
    </row>
    <row r="289" spans="12:12" x14ac:dyDescent="0.2">
      <c r="L289" t="s">
        <v>81</v>
      </c>
    </row>
    <row r="290" spans="12:12" x14ac:dyDescent="0.2">
      <c r="L290" t="s">
        <v>81</v>
      </c>
    </row>
    <row r="291" spans="12:12" x14ac:dyDescent="0.2">
      <c r="L291" t="s">
        <v>81</v>
      </c>
    </row>
    <row r="292" spans="12:12" x14ac:dyDescent="0.2">
      <c r="L292" t="s">
        <v>81</v>
      </c>
    </row>
    <row r="293" spans="12:12" x14ac:dyDescent="0.2">
      <c r="L293" t="s">
        <v>81</v>
      </c>
    </row>
    <row r="294" spans="12:12" x14ac:dyDescent="0.2">
      <c r="L294" t="s">
        <v>81</v>
      </c>
    </row>
    <row r="295" spans="12:12" x14ac:dyDescent="0.2">
      <c r="L295" t="s">
        <v>81</v>
      </c>
    </row>
    <row r="296" spans="12:12" x14ac:dyDescent="0.2">
      <c r="L296" t="s">
        <v>81</v>
      </c>
    </row>
    <row r="297" spans="12:12" x14ac:dyDescent="0.2">
      <c r="L297" t="s">
        <v>81</v>
      </c>
    </row>
    <row r="298" spans="12:12" x14ac:dyDescent="0.2">
      <c r="L298" t="s">
        <v>81</v>
      </c>
    </row>
    <row r="299" spans="12:12" x14ac:dyDescent="0.2">
      <c r="L299" t="s">
        <v>81</v>
      </c>
    </row>
    <row r="300" spans="12:12" x14ac:dyDescent="0.2">
      <c r="L300" t="s">
        <v>81</v>
      </c>
    </row>
    <row r="301" spans="12:12" x14ac:dyDescent="0.2">
      <c r="L301" t="s">
        <v>81</v>
      </c>
    </row>
    <row r="302" spans="12:12" x14ac:dyDescent="0.2">
      <c r="L302" t="s">
        <v>81</v>
      </c>
    </row>
    <row r="303" spans="12:12" x14ac:dyDescent="0.2">
      <c r="L303" t="s">
        <v>81</v>
      </c>
    </row>
    <row r="304" spans="12:12" x14ac:dyDescent="0.2">
      <c r="L304" t="s">
        <v>81</v>
      </c>
    </row>
    <row r="305" spans="12:12" x14ac:dyDescent="0.2">
      <c r="L305" t="s">
        <v>81</v>
      </c>
    </row>
    <row r="306" spans="12:12" x14ac:dyDescent="0.2">
      <c r="L306" t="s">
        <v>81</v>
      </c>
    </row>
    <row r="307" spans="12:12" x14ac:dyDescent="0.2">
      <c r="L307" t="s">
        <v>81</v>
      </c>
    </row>
    <row r="308" spans="12:12" x14ac:dyDescent="0.2">
      <c r="L308" t="s">
        <v>81</v>
      </c>
    </row>
    <row r="309" spans="12:12" x14ac:dyDescent="0.2">
      <c r="L309" t="s">
        <v>81</v>
      </c>
    </row>
    <row r="310" spans="12:12" x14ac:dyDescent="0.2">
      <c r="L310" t="s">
        <v>81</v>
      </c>
    </row>
    <row r="311" spans="12:12" x14ac:dyDescent="0.2">
      <c r="L311" t="s">
        <v>81</v>
      </c>
    </row>
    <row r="312" spans="12:12" x14ac:dyDescent="0.2">
      <c r="L312" t="s">
        <v>81</v>
      </c>
    </row>
    <row r="313" spans="12:12" x14ac:dyDescent="0.2">
      <c r="L313" t="s">
        <v>81</v>
      </c>
    </row>
    <row r="314" spans="12:12" x14ac:dyDescent="0.2">
      <c r="L314" t="s">
        <v>81</v>
      </c>
    </row>
    <row r="315" spans="12:12" x14ac:dyDescent="0.2">
      <c r="L315" t="s">
        <v>81</v>
      </c>
    </row>
    <row r="316" spans="12:12" x14ac:dyDescent="0.2">
      <c r="L316" t="s">
        <v>81</v>
      </c>
    </row>
    <row r="317" spans="12:12" x14ac:dyDescent="0.2">
      <c r="L317" t="s">
        <v>81</v>
      </c>
    </row>
    <row r="318" spans="12:12" x14ac:dyDescent="0.2">
      <c r="L318" t="s">
        <v>81</v>
      </c>
    </row>
    <row r="319" spans="12:12" x14ac:dyDescent="0.2">
      <c r="L319" t="s">
        <v>81</v>
      </c>
    </row>
    <row r="320" spans="12:12" x14ac:dyDescent="0.2">
      <c r="L320" t="s">
        <v>81</v>
      </c>
    </row>
    <row r="321" spans="12:12" x14ac:dyDescent="0.2">
      <c r="L321" t="s">
        <v>81</v>
      </c>
    </row>
    <row r="322" spans="12:12" x14ac:dyDescent="0.2">
      <c r="L322" t="s">
        <v>81</v>
      </c>
    </row>
    <row r="323" spans="12:12" x14ac:dyDescent="0.2">
      <c r="L323" t="s">
        <v>81</v>
      </c>
    </row>
    <row r="324" spans="12:12" x14ac:dyDescent="0.2">
      <c r="L324" t="s">
        <v>81</v>
      </c>
    </row>
    <row r="325" spans="12:12" x14ac:dyDescent="0.2">
      <c r="L325" t="s">
        <v>81</v>
      </c>
    </row>
    <row r="326" spans="12:12" x14ac:dyDescent="0.2">
      <c r="L326" t="s">
        <v>81</v>
      </c>
    </row>
    <row r="327" spans="12:12" x14ac:dyDescent="0.2">
      <c r="L327" t="s">
        <v>81</v>
      </c>
    </row>
    <row r="328" spans="12:12" x14ac:dyDescent="0.2">
      <c r="L328" t="s">
        <v>81</v>
      </c>
    </row>
    <row r="329" spans="12:12" x14ac:dyDescent="0.2">
      <c r="L329" t="s">
        <v>81</v>
      </c>
    </row>
    <row r="330" spans="12:12" x14ac:dyDescent="0.2">
      <c r="L330" t="s">
        <v>81</v>
      </c>
    </row>
    <row r="331" spans="12:12" x14ac:dyDescent="0.2">
      <c r="L331" t="s">
        <v>81</v>
      </c>
    </row>
    <row r="332" spans="12:12" x14ac:dyDescent="0.2">
      <c r="L332" t="s">
        <v>81</v>
      </c>
    </row>
    <row r="333" spans="12:12" x14ac:dyDescent="0.2">
      <c r="L333" t="s">
        <v>81</v>
      </c>
    </row>
    <row r="334" spans="12:12" x14ac:dyDescent="0.2">
      <c r="L334" t="s">
        <v>81</v>
      </c>
    </row>
    <row r="335" spans="12:12" x14ac:dyDescent="0.2">
      <c r="L335" t="s">
        <v>81</v>
      </c>
    </row>
    <row r="336" spans="12:12" x14ac:dyDescent="0.2">
      <c r="L336" t="s">
        <v>81</v>
      </c>
    </row>
    <row r="337" spans="12:12" x14ac:dyDescent="0.2">
      <c r="L337" t="s">
        <v>81</v>
      </c>
    </row>
    <row r="338" spans="12:12" x14ac:dyDescent="0.2">
      <c r="L338" t="s">
        <v>81</v>
      </c>
    </row>
    <row r="339" spans="12:12" x14ac:dyDescent="0.2">
      <c r="L339" t="s">
        <v>81</v>
      </c>
    </row>
    <row r="340" spans="12:12" x14ac:dyDescent="0.2">
      <c r="L340" t="s">
        <v>81</v>
      </c>
    </row>
    <row r="341" spans="12:12" x14ac:dyDescent="0.2">
      <c r="L341" t="s">
        <v>81</v>
      </c>
    </row>
    <row r="342" spans="12:12" x14ac:dyDescent="0.2">
      <c r="L342" t="s">
        <v>81</v>
      </c>
    </row>
    <row r="343" spans="12:12" x14ac:dyDescent="0.2">
      <c r="L343" t="s">
        <v>81</v>
      </c>
    </row>
    <row r="344" spans="12:12" x14ac:dyDescent="0.2">
      <c r="L344" t="s">
        <v>81</v>
      </c>
    </row>
    <row r="345" spans="12:12" x14ac:dyDescent="0.2">
      <c r="L345" t="s">
        <v>81</v>
      </c>
    </row>
    <row r="346" spans="12:12" x14ac:dyDescent="0.2">
      <c r="L346" t="s">
        <v>81</v>
      </c>
    </row>
    <row r="347" spans="12:12" x14ac:dyDescent="0.2">
      <c r="L347" t="s">
        <v>81</v>
      </c>
    </row>
    <row r="348" spans="12:12" x14ac:dyDescent="0.2">
      <c r="L348" t="s">
        <v>81</v>
      </c>
    </row>
    <row r="349" spans="12:12" x14ac:dyDescent="0.2">
      <c r="L349" t="s">
        <v>81</v>
      </c>
    </row>
    <row r="350" spans="12:12" x14ac:dyDescent="0.2">
      <c r="L350" t="s">
        <v>81</v>
      </c>
    </row>
    <row r="351" spans="12:12" x14ac:dyDescent="0.2">
      <c r="L351" t="s">
        <v>81</v>
      </c>
    </row>
    <row r="352" spans="12:12" x14ac:dyDescent="0.2">
      <c r="L352" t="s">
        <v>81</v>
      </c>
    </row>
    <row r="353" spans="12:12" x14ac:dyDescent="0.2">
      <c r="L353" t="s">
        <v>81</v>
      </c>
    </row>
    <row r="354" spans="12:12" x14ac:dyDescent="0.2">
      <c r="L354" t="s">
        <v>81</v>
      </c>
    </row>
    <row r="355" spans="12:12" x14ac:dyDescent="0.2">
      <c r="L355" t="s">
        <v>81</v>
      </c>
    </row>
    <row r="356" spans="12:12" x14ac:dyDescent="0.2">
      <c r="L356" t="s">
        <v>81</v>
      </c>
    </row>
    <row r="357" spans="12:12" x14ac:dyDescent="0.2">
      <c r="L357" t="s">
        <v>81</v>
      </c>
    </row>
    <row r="358" spans="12:12" x14ac:dyDescent="0.2">
      <c r="L358" t="s">
        <v>81</v>
      </c>
    </row>
    <row r="359" spans="12:12" x14ac:dyDescent="0.2">
      <c r="L359" t="s">
        <v>81</v>
      </c>
    </row>
    <row r="360" spans="12:12" x14ac:dyDescent="0.2">
      <c r="L360" t="s">
        <v>81</v>
      </c>
    </row>
    <row r="361" spans="12:12" x14ac:dyDescent="0.2">
      <c r="L361" t="s">
        <v>81</v>
      </c>
    </row>
    <row r="362" spans="12:12" x14ac:dyDescent="0.2">
      <c r="L362" t="s">
        <v>81</v>
      </c>
    </row>
    <row r="363" spans="12:12" x14ac:dyDescent="0.2">
      <c r="L363" t="s">
        <v>81</v>
      </c>
    </row>
    <row r="364" spans="12:12" x14ac:dyDescent="0.2">
      <c r="L364" t="s">
        <v>81</v>
      </c>
    </row>
    <row r="365" spans="12:12" x14ac:dyDescent="0.2">
      <c r="L365" t="s">
        <v>81</v>
      </c>
    </row>
    <row r="366" spans="12:12" x14ac:dyDescent="0.2">
      <c r="L366" t="s">
        <v>81</v>
      </c>
    </row>
    <row r="367" spans="12:12" x14ac:dyDescent="0.2">
      <c r="L367" t="s">
        <v>81</v>
      </c>
    </row>
    <row r="368" spans="12:12" x14ac:dyDescent="0.2">
      <c r="L368" t="s">
        <v>81</v>
      </c>
    </row>
    <row r="369" spans="12:12" x14ac:dyDescent="0.2">
      <c r="L369" t="s">
        <v>81</v>
      </c>
    </row>
    <row r="370" spans="12:12" x14ac:dyDescent="0.2">
      <c r="L370" t="s">
        <v>81</v>
      </c>
    </row>
    <row r="371" spans="12:12" x14ac:dyDescent="0.2">
      <c r="L371" t="s">
        <v>81</v>
      </c>
    </row>
    <row r="372" spans="12:12" x14ac:dyDescent="0.2">
      <c r="L372" t="s">
        <v>81</v>
      </c>
    </row>
    <row r="373" spans="12:12" x14ac:dyDescent="0.2">
      <c r="L373" t="s">
        <v>81</v>
      </c>
    </row>
    <row r="374" spans="12:12" x14ac:dyDescent="0.2">
      <c r="L374" t="s">
        <v>81</v>
      </c>
    </row>
    <row r="375" spans="12:12" x14ac:dyDescent="0.2">
      <c r="L375" t="s">
        <v>81</v>
      </c>
    </row>
    <row r="376" spans="12:12" x14ac:dyDescent="0.2">
      <c r="L376" t="s">
        <v>81</v>
      </c>
    </row>
    <row r="377" spans="12:12" x14ac:dyDescent="0.2">
      <c r="L377" t="s">
        <v>81</v>
      </c>
    </row>
    <row r="378" spans="12:12" x14ac:dyDescent="0.2">
      <c r="L378" t="s">
        <v>81</v>
      </c>
    </row>
    <row r="379" spans="12:12" x14ac:dyDescent="0.2">
      <c r="L379" t="s">
        <v>81</v>
      </c>
    </row>
    <row r="380" spans="12:12" x14ac:dyDescent="0.2">
      <c r="L380" t="s">
        <v>81</v>
      </c>
    </row>
    <row r="381" spans="12:12" x14ac:dyDescent="0.2">
      <c r="L381" t="s">
        <v>81</v>
      </c>
    </row>
    <row r="382" spans="12:12" x14ac:dyDescent="0.2">
      <c r="L382" t="s">
        <v>81</v>
      </c>
    </row>
    <row r="383" spans="12:12" x14ac:dyDescent="0.2">
      <c r="L383" t="s">
        <v>81</v>
      </c>
    </row>
    <row r="384" spans="12:12" x14ac:dyDescent="0.2">
      <c r="L384" t="s">
        <v>81</v>
      </c>
    </row>
    <row r="385" spans="12:12" x14ac:dyDescent="0.2">
      <c r="L385" t="s">
        <v>81</v>
      </c>
    </row>
    <row r="386" spans="12:12" x14ac:dyDescent="0.2">
      <c r="L386" t="s">
        <v>81</v>
      </c>
    </row>
    <row r="387" spans="12:12" x14ac:dyDescent="0.2">
      <c r="L387" t="s">
        <v>81</v>
      </c>
    </row>
    <row r="388" spans="12:12" x14ac:dyDescent="0.2">
      <c r="L388" t="s">
        <v>81</v>
      </c>
    </row>
    <row r="389" spans="12:12" x14ac:dyDescent="0.2">
      <c r="L389" t="s">
        <v>81</v>
      </c>
    </row>
    <row r="390" spans="12:12" x14ac:dyDescent="0.2">
      <c r="L390" t="s">
        <v>81</v>
      </c>
    </row>
    <row r="391" spans="12:12" x14ac:dyDescent="0.2">
      <c r="L391" t="s">
        <v>81</v>
      </c>
    </row>
    <row r="392" spans="12:12" x14ac:dyDescent="0.2">
      <c r="L392" t="s">
        <v>81</v>
      </c>
    </row>
    <row r="393" spans="12:12" x14ac:dyDescent="0.2">
      <c r="L393" t="s">
        <v>81</v>
      </c>
    </row>
    <row r="394" spans="12:12" x14ac:dyDescent="0.2">
      <c r="L394" t="s">
        <v>81</v>
      </c>
    </row>
    <row r="395" spans="12:12" x14ac:dyDescent="0.2">
      <c r="L395" t="s">
        <v>81</v>
      </c>
    </row>
    <row r="396" spans="12:12" x14ac:dyDescent="0.2">
      <c r="L396" t="s">
        <v>81</v>
      </c>
    </row>
    <row r="397" spans="12:12" x14ac:dyDescent="0.2">
      <c r="L397" t="s">
        <v>81</v>
      </c>
    </row>
    <row r="398" spans="12:12" x14ac:dyDescent="0.2">
      <c r="L398" t="s">
        <v>81</v>
      </c>
    </row>
    <row r="399" spans="12:12" x14ac:dyDescent="0.2">
      <c r="L399" t="s">
        <v>81</v>
      </c>
    </row>
    <row r="400" spans="12:12" x14ac:dyDescent="0.2">
      <c r="L400" t="s">
        <v>81</v>
      </c>
    </row>
    <row r="401" spans="12:12" x14ac:dyDescent="0.2">
      <c r="L401" t="s">
        <v>81</v>
      </c>
    </row>
    <row r="402" spans="12:12" x14ac:dyDescent="0.2">
      <c r="L402" t="s">
        <v>81</v>
      </c>
    </row>
    <row r="403" spans="12:12" x14ac:dyDescent="0.2">
      <c r="L403" t="s">
        <v>81</v>
      </c>
    </row>
    <row r="404" spans="12:12" x14ac:dyDescent="0.2">
      <c r="L404" t="s">
        <v>81</v>
      </c>
    </row>
    <row r="405" spans="12:12" x14ac:dyDescent="0.2">
      <c r="L405" t="s">
        <v>81</v>
      </c>
    </row>
    <row r="406" spans="12:12" x14ac:dyDescent="0.2">
      <c r="L406" t="s">
        <v>81</v>
      </c>
    </row>
    <row r="407" spans="12:12" x14ac:dyDescent="0.2">
      <c r="L407" t="s">
        <v>81</v>
      </c>
    </row>
    <row r="408" spans="12:12" x14ac:dyDescent="0.2">
      <c r="L408" t="s">
        <v>81</v>
      </c>
    </row>
    <row r="409" spans="12:12" x14ac:dyDescent="0.2">
      <c r="L409" t="s">
        <v>81</v>
      </c>
    </row>
    <row r="410" spans="12:12" x14ac:dyDescent="0.2">
      <c r="L410" t="s">
        <v>81</v>
      </c>
    </row>
    <row r="411" spans="12:12" x14ac:dyDescent="0.2">
      <c r="L411" t="s">
        <v>81</v>
      </c>
    </row>
    <row r="412" spans="12:12" x14ac:dyDescent="0.2">
      <c r="L412" t="s">
        <v>81</v>
      </c>
    </row>
    <row r="413" spans="12:12" x14ac:dyDescent="0.2">
      <c r="L413" t="s">
        <v>81</v>
      </c>
    </row>
    <row r="414" spans="12:12" x14ac:dyDescent="0.2">
      <c r="L414" t="s">
        <v>81</v>
      </c>
    </row>
    <row r="415" spans="12:12" x14ac:dyDescent="0.2">
      <c r="L415" t="s">
        <v>81</v>
      </c>
    </row>
    <row r="416" spans="12:12" x14ac:dyDescent="0.2">
      <c r="L416" t="s">
        <v>81</v>
      </c>
    </row>
    <row r="417" spans="12:12" x14ac:dyDescent="0.2">
      <c r="L417" t="s">
        <v>81</v>
      </c>
    </row>
    <row r="418" spans="12:12" x14ac:dyDescent="0.2">
      <c r="L418" t="s">
        <v>81</v>
      </c>
    </row>
    <row r="419" spans="12:12" x14ac:dyDescent="0.2">
      <c r="L419" t="s">
        <v>81</v>
      </c>
    </row>
    <row r="420" spans="12:12" x14ac:dyDescent="0.2">
      <c r="L420" t="s">
        <v>81</v>
      </c>
    </row>
    <row r="421" spans="12:12" x14ac:dyDescent="0.2">
      <c r="L421" t="s">
        <v>81</v>
      </c>
    </row>
    <row r="422" spans="12:12" x14ac:dyDescent="0.2">
      <c r="L422" t="s">
        <v>81</v>
      </c>
    </row>
    <row r="423" spans="12:12" x14ac:dyDescent="0.2">
      <c r="L423" t="s">
        <v>81</v>
      </c>
    </row>
    <row r="424" spans="12:12" x14ac:dyDescent="0.2">
      <c r="L424" t="s">
        <v>81</v>
      </c>
    </row>
    <row r="425" spans="12:12" x14ac:dyDescent="0.2">
      <c r="L425" t="s">
        <v>81</v>
      </c>
    </row>
    <row r="426" spans="12:12" x14ac:dyDescent="0.2">
      <c r="L426" t="s">
        <v>81</v>
      </c>
    </row>
    <row r="427" spans="12:12" x14ac:dyDescent="0.2">
      <c r="L427" t="s">
        <v>81</v>
      </c>
    </row>
    <row r="428" spans="12:12" x14ac:dyDescent="0.2">
      <c r="L428" t="s">
        <v>81</v>
      </c>
    </row>
    <row r="429" spans="12:12" x14ac:dyDescent="0.2">
      <c r="L429" t="s">
        <v>81</v>
      </c>
    </row>
    <row r="430" spans="12:12" x14ac:dyDescent="0.2">
      <c r="L430" t="s">
        <v>81</v>
      </c>
    </row>
    <row r="431" spans="12:12" x14ac:dyDescent="0.2">
      <c r="L431" t="s">
        <v>81</v>
      </c>
    </row>
    <row r="432" spans="12:12" x14ac:dyDescent="0.2">
      <c r="L432" t="s">
        <v>81</v>
      </c>
    </row>
    <row r="433" spans="12:12" x14ac:dyDescent="0.2">
      <c r="L433" t="s">
        <v>81</v>
      </c>
    </row>
    <row r="434" spans="12:12" x14ac:dyDescent="0.2">
      <c r="L434" t="s">
        <v>81</v>
      </c>
    </row>
    <row r="435" spans="12:12" x14ac:dyDescent="0.2">
      <c r="L435" t="s">
        <v>81</v>
      </c>
    </row>
    <row r="436" spans="12:12" x14ac:dyDescent="0.2">
      <c r="L436" t="s">
        <v>81</v>
      </c>
    </row>
    <row r="437" spans="12:12" x14ac:dyDescent="0.2">
      <c r="L437" t="s">
        <v>81</v>
      </c>
    </row>
    <row r="438" spans="12:12" x14ac:dyDescent="0.2">
      <c r="L438" t="s">
        <v>81</v>
      </c>
    </row>
    <row r="439" spans="12:12" x14ac:dyDescent="0.2">
      <c r="L439" t="s">
        <v>81</v>
      </c>
    </row>
    <row r="440" spans="12:12" x14ac:dyDescent="0.2">
      <c r="L440" t="s">
        <v>81</v>
      </c>
    </row>
    <row r="441" spans="12:12" x14ac:dyDescent="0.2">
      <c r="L441" t="s">
        <v>81</v>
      </c>
    </row>
    <row r="442" spans="12:12" x14ac:dyDescent="0.2">
      <c r="L442" t="s">
        <v>81</v>
      </c>
    </row>
    <row r="443" spans="12:12" x14ac:dyDescent="0.2">
      <c r="L443" t="s">
        <v>81</v>
      </c>
    </row>
    <row r="444" spans="12:12" x14ac:dyDescent="0.2">
      <c r="L444" t="s">
        <v>81</v>
      </c>
    </row>
    <row r="445" spans="12:12" x14ac:dyDescent="0.2">
      <c r="L445" t="s">
        <v>81</v>
      </c>
    </row>
    <row r="446" spans="12:12" x14ac:dyDescent="0.2">
      <c r="L446" t="s">
        <v>81</v>
      </c>
    </row>
    <row r="447" spans="12:12" x14ac:dyDescent="0.2">
      <c r="L447" t="s">
        <v>81</v>
      </c>
    </row>
    <row r="448" spans="12:12" x14ac:dyDescent="0.2">
      <c r="L448" t="s">
        <v>81</v>
      </c>
    </row>
    <row r="449" spans="12:12" x14ac:dyDescent="0.2">
      <c r="L449" t="s">
        <v>81</v>
      </c>
    </row>
    <row r="450" spans="12:12" x14ac:dyDescent="0.2">
      <c r="L450" t="s">
        <v>81</v>
      </c>
    </row>
    <row r="451" spans="12:12" x14ac:dyDescent="0.2">
      <c r="L451" t="s">
        <v>81</v>
      </c>
    </row>
    <row r="452" spans="12:12" x14ac:dyDescent="0.2">
      <c r="L452" t="s">
        <v>81</v>
      </c>
    </row>
    <row r="453" spans="12:12" x14ac:dyDescent="0.2">
      <c r="L453" t="s">
        <v>81</v>
      </c>
    </row>
    <row r="454" spans="12:12" x14ac:dyDescent="0.2">
      <c r="L454" t="s">
        <v>81</v>
      </c>
    </row>
    <row r="455" spans="12:12" x14ac:dyDescent="0.2">
      <c r="L455" t="s">
        <v>81</v>
      </c>
    </row>
    <row r="456" spans="12:12" x14ac:dyDescent="0.2">
      <c r="L456" t="s">
        <v>81</v>
      </c>
    </row>
    <row r="457" spans="12:12" x14ac:dyDescent="0.2">
      <c r="L457" t="s">
        <v>81</v>
      </c>
    </row>
    <row r="458" spans="12:12" x14ac:dyDescent="0.2">
      <c r="L458" t="s">
        <v>81</v>
      </c>
    </row>
    <row r="459" spans="12:12" x14ac:dyDescent="0.2">
      <c r="L459" t="s">
        <v>81</v>
      </c>
    </row>
    <row r="460" spans="12:12" x14ac:dyDescent="0.2">
      <c r="L460" t="s">
        <v>81</v>
      </c>
    </row>
    <row r="461" spans="12:12" x14ac:dyDescent="0.2">
      <c r="L461" t="s">
        <v>81</v>
      </c>
    </row>
    <row r="462" spans="12:12" x14ac:dyDescent="0.2">
      <c r="L462" t="s">
        <v>81</v>
      </c>
    </row>
    <row r="463" spans="12:12" x14ac:dyDescent="0.2">
      <c r="L463" t="s">
        <v>81</v>
      </c>
    </row>
    <row r="464" spans="12:12" x14ac:dyDescent="0.2">
      <c r="L464" t="s">
        <v>81</v>
      </c>
    </row>
    <row r="465" spans="12:12" x14ac:dyDescent="0.2">
      <c r="L465" t="s">
        <v>81</v>
      </c>
    </row>
    <row r="466" spans="12:12" x14ac:dyDescent="0.2">
      <c r="L466" t="s">
        <v>81</v>
      </c>
    </row>
    <row r="467" spans="12:12" x14ac:dyDescent="0.2">
      <c r="L467" t="s">
        <v>81</v>
      </c>
    </row>
    <row r="468" spans="12:12" x14ac:dyDescent="0.2">
      <c r="L468" t="s">
        <v>81</v>
      </c>
    </row>
    <row r="469" spans="12:12" x14ac:dyDescent="0.2">
      <c r="L469" t="s">
        <v>81</v>
      </c>
    </row>
    <row r="470" spans="12:12" x14ac:dyDescent="0.2">
      <c r="L470" t="s">
        <v>81</v>
      </c>
    </row>
    <row r="471" spans="12:12" x14ac:dyDescent="0.2">
      <c r="L471" t="s">
        <v>81</v>
      </c>
    </row>
    <row r="472" spans="12:12" x14ac:dyDescent="0.2">
      <c r="L472" t="s">
        <v>81</v>
      </c>
    </row>
    <row r="473" spans="12:12" x14ac:dyDescent="0.2">
      <c r="L473" t="s">
        <v>81</v>
      </c>
    </row>
    <row r="474" spans="12:12" x14ac:dyDescent="0.2">
      <c r="L474" t="s">
        <v>81</v>
      </c>
    </row>
    <row r="475" spans="12:12" x14ac:dyDescent="0.2">
      <c r="L475" t="s">
        <v>81</v>
      </c>
    </row>
    <row r="476" spans="12:12" x14ac:dyDescent="0.2">
      <c r="L476" t="s">
        <v>81</v>
      </c>
    </row>
    <row r="477" spans="12:12" x14ac:dyDescent="0.2">
      <c r="L477" t="s">
        <v>81</v>
      </c>
    </row>
    <row r="478" spans="12:12" x14ac:dyDescent="0.2">
      <c r="L478" t="s">
        <v>81</v>
      </c>
    </row>
    <row r="479" spans="12:12" x14ac:dyDescent="0.2">
      <c r="L479" t="s">
        <v>81</v>
      </c>
    </row>
    <row r="480" spans="12:12" x14ac:dyDescent="0.2">
      <c r="L480" t="s">
        <v>81</v>
      </c>
    </row>
    <row r="481" spans="12:12" x14ac:dyDescent="0.2">
      <c r="L481" t="s">
        <v>81</v>
      </c>
    </row>
    <row r="482" spans="12:12" x14ac:dyDescent="0.2">
      <c r="L482" t="s">
        <v>81</v>
      </c>
    </row>
    <row r="483" spans="12:12" x14ac:dyDescent="0.2">
      <c r="L483" t="s">
        <v>81</v>
      </c>
    </row>
    <row r="484" spans="12:12" x14ac:dyDescent="0.2">
      <c r="L484" t="s">
        <v>81</v>
      </c>
    </row>
    <row r="485" spans="12:12" x14ac:dyDescent="0.2">
      <c r="L485" t="s">
        <v>81</v>
      </c>
    </row>
    <row r="486" spans="12:12" x14ac:dyDescent="0.2">
      <c r="L486" t="s">
        <v>81</v>
      </c>
    </row>
    <row r="487" spans="12:12" x14ac:dyDescent="0.2">
      <c r="L487" t="s">
        <v>81</v>
      </c>
    </row>
    <row r="488" spans="12:12" x14ac:dyDescent="0.2">
      <c r="L488" t="s">
        <v>81</v>
      </c>
    </row>
    <row r="489" spans="12:12" x14ac:dyDescent="0.2">
      <c r="L489" t="s">
        <v>81</v>
      </c>
    </row>
    <row r="490" spans="12:12" x14ac:dyDescent="0.2">
      <c r="L490" t="s">
        <v>81</v>
      </c>
    </row>
    <row r="491" spans="12:12" x14ac:dyDescent="0.2">
      <c r="L491" t="s">
        <v>81</v>
      </c>
    </row>
    <row r="492" spans="12:12" x14ac:dyDescent="0.2">
      <c r="L492" t="s">
        <v>81</v>
      </c>
    </row>
    <row r="493" spans="12:12" x14ac:dyDescent="0.2">
      <c r="L493" t="s">
        <v>81</v>
      </c>
    </row>
    <row r="494" spans="12:12" x14ac:dyDescent="0.2">
      <c r="L494" t="s">
        <v>81</v>
      </c>
    </row>
    <row r="495" spans="12:12" x14ac:dyDescent="0.2">
      <c r="L495" t="s">
        <v>81</v>
      </c>
    </row>
    <row r="496" spans="12:12" x14ac:dyDescent="0.2">
      <c r="L496" t="s">
        <v>81</v>
      </c>
    </row>
    <row r="497" spans="12:12" x14ac:dyDescent="0.2">
      <c r="L497" t="s">
        <v>81</v>
      </c>
    </row>
    <row r="498" spans="12:12" x14ac:dyDescent="0.2">
      <c r="L498" t="s">
        <v>81</v>
      </c>
    </row>
    <row r="499" spans="12:12" x14ac:dyDescent="0.2">
      <c r="L499" t="s">
        <v>81</v>
      </c>
    </row>
    <row r="500" spans="12:12" x14ac:dyDescent="0.2">
      <c r="L500" t="s">
        <v>81</v>
      </c>
    </row>
    <row r="501" spans="12:12" x14ac:dyDescent="0.2">
      <c r="L501" t="s">
        <v>81</v>
      </c>
    </row>
    <row r="502" spans="12:12" x14ac:dyDescent="0.2">
      <c r="L502" t="s">
        <v>81</v>
      </c>
    </row>
    <row r="503" spans="12:12" x14ac:dyDescent="0.2">
      <c r="L503" t="s">
        <v>81</v>
      </c>
    </row>
    <row r="504" spans="12:12" x14ac:dyDescent="0.2">
      <c r="L504" t="s">
        <v>81</v>
      </c>
    </row>
    <row r="505" spans="12:12" x14ac:dyDescent="0.2">
      <c r="L505" t="s">
        <v>81</v>
      </c>
    </row>
    <row r="506" spans="12:12" x14ac:dyDescent="0.2">
      <c r="L506" t="s">
        <v>81</v>
      </c>
    </row>
    <row r="507" spans="12:12" x14ac:dyDescent="0.2">
      <c r="L507" t="s">
        <v>81</v>
      </c>
    </row>
    <row r="508" spans="12:12" x14ac:dyDescent="0.2">
      <c r="L508" t="s">
        <v>81</v>
      </c>
    </row>
    <row r="509" spans="12:12" x14ac:dyDescent="0.2">
      <c r="L509" t="s">
        <v>81</v>
      </c>
    </row>
    <row r="510" spans="12:12" x14ac:dyDescent="0.2">
      <c r="L510" t="s">
        <v>81</v>
      </c>
    </row>
    <row r="511" spans="12:12" x14ac:dyDescent="0.2">
      <c r="L511" t="s">
        <v>81</v>
      </c>
    </row>
    <row r="512" spans="12:12" x14ac:dyDescent="0.2">
      <c r="L512" t="s">
        <v>81</v>
      </c>
    </row>
    <row r="513" spans="12:12" x14ac:dyDescent="0.2">
      <c r="L513" t="s">
        <v>81</v>
      </c>
    </row>
    <row r="514" spans="12:12" x14ac:dyDescent="0.2">
      <c r="L514" t="s">
        <v>81</v>
      </c>
    </row>
    <row r="515" spans="12:12" x14ac:dyDescent="0.2">
      <c r="L515" t="s">
        <v>81</v>
      </c>
    </row>
    <row r="516" spans="12:12" x14ac:dyDescent="0.2">
      <c r="L516" t="s">
        <v>81</v>
      </c>
    </row>
    <row r="517" spans="12:12" x14ac:dyDescent="0.2">
      <c r="L517" t="s">
        <v>81</v>
      </c>
    </row>
    <row r="518" spans="12:12" x14ac:dyDescent="0.2">
      <c r="L518" t="s">
        <v>81</v>
      </c>
    </row>
    <row r="519" spans="12:12" x14ac:dyDescent="0.2">
      <c r="L519" t="s">
        <v>81</v>
      </c>
    </row>
    <row r="520" spans="12:12" x14ac:dyDescent="0.2">
      <c r="L520" t="s">
        <v>81</v>
      </c>
    </row>
    <row r="521" spans="12:12" x14ac:dyDescent="0.2">
      <c r="L521" t="s">
        <v>81</v>
      </c>
    </row>
    <row r="522" spans="12:12" x14ac:dyDescent="0.2">
      <c r="L522" t="s">
        <v>81</v>
      </c>
    </row>
    <row r="523" spans="12:12" x14ac:dyDescent="0.2">
      <c r="L523" t="s">
        <v>81</v>
      </c>
    </row>
    <row r="524" spans="12:12" x14ac:dyDescent="0.2">
      <c r="L524" t="s">
        <v>81</v>
      </c>
    </row>
    <row r="525" spans="12:12" x14ac:dyDescent="0.2">
      <c r="L525" t="s">
        <v>81</v>
      </c>
    </row>
    <row r="526" spans="12:12" x14ac:dyDescent="0.2">
      <c r="L526" t="s">
        <v>81</v>
      </c>
    </row>
    <row r="527" spans="12:12" x14ac:dyDescent="0.2">
      <c r="L527" t="s">
        <v>81</v>
      </c>
    </row>
    <row r="528" spans="12:12" x14ac:dyDescent="0.2">
      <c r="L528" t="s">
        <v>81</v>
      </c>
    </row>
    <row r="529" spans="12:12" x14ac:dyDescent="0.2">
      <c r="L529" t="s">
        <v>81</v>
      </c>
    </row>
    <row r="530" spans="12:12" x14ac:dyDescent="0.2">
      <c r="L530" t="s">
        <v>81</v>
      </c>
    </row>
    <row r="531" spans="12:12" x14ac:dyDescent="0.2">
      <c r="L531" t="s">
        <v>81</v>
      </c>
    </row>
    <row r="532" spans="12:12" x14ac:dyDescent="0.2">
      <c r="L532" t="s">
        <v>81</v>
      </c>
    </row>
    <row r="533" spans="12:12" x14ac:dyDescent="0.2">
      <c r="L533" t="s">
        <v>81</v>
      </c>
    </row>
    <row r="534" spans="12:12" x14ac:dyDescent="0.2">
      <c r="L534" t="s">
        <v>81</v>
      </c>
    </row>
    <row r="535" spans="12:12" x14ac:dyDescent="0.2">
      <c r="L535" t="s">
        <v>81</v>
      </c>
    </row>
    <row r="536" spans="12:12" x14ac:dyDescent="0.2">
      <c r="L536" t="s">
        <v>81</v>
      </c>
    </row>
    <row r="537" spans="12:12" x14ac:dyDescent="0.2">
      <c r="L537" t="s">
        <v>81</v>
      </c>
    </row>
    <row r="538" spans="12:12" x14ac:dyDescent="0.2">
      <c r="L538" t="s">
        <v>81</v>
      </c>
    </row>
    <row r="539" spans="12:12" x14ac:dyDescent="0.2">
      <c r="L539" t="s">
        <v>81</v>
      </c>
    </row>
    <row r="540" spans="12:12" x14ac:dyDescent="0.2">
      <c r="L540" t="s">
        <v>81</v>
      </c>
    </row>
    <row r="541" spans="12:12" x14ac:dyDescent="0.2">
      <c r="L541" t="s">
        <v>81</v>
      </c>
    </row>
    <row r="542" spans="12:12" x14ac:dyDescent="0.2">
      <c r="L542" t="s">
        <v>81</v>
      </c>
    </row>
    <row r="543" spans="12:12" x14ac:dyDescent="0.2">
      <c r="L543" t="s">
        <v>81</v>
      </c>
    </row>
    <row r="544" spans="12:12" x14ac:dyDescent="0.2">
      <c r="L544" t="s">
        <v>81</v>
      </c>
    </row>
    <row r="545" spans="12:12" x14ac:dyDescent="0.2">
      <c r="L545" t="s">
        <v>81</v>
      </c>
    </row>
    <row r="546" spans="12:12" x14ac:dyDescent="0.2">
      <c r="L546" t="s">
        <v>81</v>
      </c>
    </row>
    <row r="547" spans="12:12" x14ac:dyDescent="0.2">
      <c r="L547" t="s">
        <v>81</v>
      </c>
    </row>
    <row r="548" spans="12:12" x14ac:dyDescent="0.2">
      <c r="L548" t="s">
        <v>81</v>
      </c>
    </row>
    <row r="549" spans="12:12" x14ac:dyDescent="0.2">
      <c r="L549" t="s">
        <v>81</v>
      </c>
    </row>
    <row r="550" spans="12:12" x14ac:dyDescent="0.2">
      <c r="L550" t="s">
        <v>81</v>
      </c>
    </row>
    <row r="551" spans="12:12" x14ac:dyDescent="0.2">
      <c r="L551" t="s">
        <v>81</v>
      </c>
    </row>
    <row r="552" spans="12:12" x14ac:dyDescent="0.2">
      <c r="L552" t="s">
        <v>81</v>
      </c>
    </row>
    <row r="553" spans="12:12" x14ac:dyDescent="0.2">
      <c r="L553" t="s">
        <v>81</v>
      </c>
    </row>
    <row r="554" spans="12:12" x14ac:dyDescent="0.2">
      <c r="L554" t="s">
        <v>81</v>
      </c>
    </row>
    <row r="555" spans="12:12" x14ac:dyDescent="0.2">
      <c r="L555" t="s">
        <v>81</v>
      </c>
    </row>
    <row r="556" spans="12:12" x14ac:dyDescent="0.2">
      <c r="L556" t="s">
        <v>81</v>
      </c>
    </row>
    <row r="557" spans="12:12" x14ac:dyDescent="0.2">
      <c r="L557" t="s">
        <v>81</v>
      </c>
    </row>
    <row r="558" spans="12:12" x14ac:dyDescent="0.2">
      <c r="L558" t="s">
        <v>81</v>
      </c>
    </row>
    <row r="559" spans="12:12" x14ac:dyDescent="0.2">
      <c r="L559" t="s">
        <v>81</v>
      </c>
    </row>
    <row r="560" spans="12:12" x14ac:dyDescent="0.2">
      <c r="L560" t="s">
        <v>81</v>
      </c>
    </row>
    <row r="561" spans="12:12" x14ac:dyDescent="0.2">
      <c r="L561" t="s">
        <v>81</v>
      </c>
    </row>
    <row r="562" spans="12:12" x14ac:dyDescent="0.2">
      <c r="L562" t="s">
        <v>81</v>
      </c>
    </row>
    <row r="563" spans="12:12" x14ac:dyDescent="0.2">
      <c r="L563" t="s">
        <v>81</v>
      </c>
    </row>
    <row r="564" spans="12:12" x14ac:dyDescent="0.2">
      <c r="L564" t="s">
        <v>81</v>
      </c>
    </row>
    <row r="565" spans="12:12" x14ac:dyDescent="0.2">
      <c r="L565" t="s">
        <v>81</v>
      </c>
    </row>
    <row r="566" spans="12:12" x14ac:dyDescent="0.2">
      <c r="L566" t="s">
        <v>81</v>
      </c>
    </row>
    <row r="567" spans="12:12" x14ac:dyDescent="0.2">
      <c r="L567" t="s">
        <v>81</v>
      </c>
    </row>
    <row r="568" spans="12:12" x14ac:dyDescent="0.2">
      <c r="L568" t="s">
        <v>81</v>
      </c>
    </row>
    <row r="569" spans="12:12" x14ac:dyDescent="0.2">
      <c r="L569" t="s">
        <v>81</v>
      </c>
    </row>
    <row r="570" spans="12:12" x14ac:dyDescent="0.2">
      <c r="L570" t="s">
        <v>81</v>
      </c>
    </row>
    <row r="571" spans="12:12" x14ac:dyDescent="0.2">
      <c r="L571" t="s">
        <v>81</v>
      </c>
    </row>
    <row r="572" spans="12:12" x14ac:dyDescent="0.2">
      <c r="L572" t="s">
        <v>81</v>
      </c>
    </row>
    <row r="573" spans="12:12" x14ac:dyDescent="0.2">
      <c r="L573" t="s">
        <v>81</v>
      </c>
    </row>
    <row r="574" spans="12:12" x14ac:dyDescent="0.2">
      <c r="L574" t="s">
        <v>81</v>
      </c>
    </row>
    <row r="575" spans="12:12" x14ac:dyDescent="0.2">
      <c r="L575" t="s">
        <v>81</v>
      </c>
    </row>
    <row r="576" spans="12:12" x14ac:dyDescent="0.2">
      <c r="L576" t="s">
        <v>81</v>
      </c>
    </row>
    <row r="577" spans="12:12" x14ac:dyDescent="0.2">
      <c r="L577" t="s">
        <v>81</v>
      </c>
    </row>
    <row r="578" spans="12:12" x14ac:dyDescent="0.2">
      <c r="L578" t="s">
        <v>81</v>
      </c>
    </row>
    <row r="579" spans="12:12" x14ac:dyDescent="0.2">
      <c r="L579" t="s">
        <v>81</v>
      </c>
    </row>
    <row r="580" spans="12:12" x14ac:dyDescent="0.2">
      <c r="L580" t="s">
        <v>81</v>
      </c>
    </row>
    <row r="581" spans="12:12" x14ac:dyDescent="0.2">
      <c r="L581" t="s">
        <v>81</v>
      </c>
    </row>
    <row r="582" spans="12:12" x14ac:dyDescent="0.2">
      <c r="L582" t="s">
        <v>81</v>
      </c>
    </row>
    <row r="583" spans="12:12" x14ac:dyDescent="0.2">
      <c r="L583" t="s">
        <v>81</v>
      </c>
    </row>
    <row r="584" spans="12:12" x14ac:dyDescent="0.2">
      <c r="L584" t="s">
        <v>81</v>
      </c>
    </row>
    <row r="585" spans="12:12" x14ac:dyDescent="0.2">
      <c r="L585" t="s">
        <v>81</v>
      </c>
    </row>
    <row r="586" spans="12:12" x14ac:dyDescent="0.2">
      <c r="L586" t="s">
        <v>81</v>
      </c>
    </row>
    <row r="587" spans="12:12" x14ac:dyDescent="0.2">
      <c r="L587" t="s">
        <v>81</v>
      </c>
    </row>
    <row r="588" spans="12:12" x14ac:dyDescent="0.2">
      <c r="L588" t="s">
        <v>81</v>
      </c>
    </row>
    <row r="589" spans="12:12" x14ac:dyDescent="0.2">
      <c r="L589" t="s">
        <v>81</v>
      </c>
    </row>
    <row r="590" spans="12:12" x14ac:dyDescent="0.2">
      <c r="L590" t="s">
        <v>81</v>
      </c>
    </row>
    <row r="591" spans="12:12" x14ac:dyDescent="0.2">
      <c r="L591" t="s">
        <v>81</v>
      </c>
    </row>
    <row r="592" spans="12:12" x14ac:dyDescent="0.2">
      <c r="L592" t="s">
        <v>81</v>
      </c>
    </row>
    <row r="593" spans="12:12" x14ac:dyDescent="0.2">
      <c r="L593" t="s">
        <v>81</v>
      </c>
    </row>
    <row r="594" spans="12:12" x14ac:dyDescent="0.2">
      <c r="L594" t="s">
        <v>81</v>
      </c>
    </row>
    <row r="595" spans="12:12" x14ac:dyDescent="0.2">
      <c r="L595" t="s">
        <v>81</v>
      </c>
    </row>
    <row r="596" spans="12:12" x14ac:dyDescent="0.2">
      <c r="L596" t="s">
        <v>81</v>
      </c>
    </row>
    <row r="597" spans="12:12" x14ac:dyDescent="0.2">
      <c r="L597" t="s">
        <v>81</v>
      </c>
    </row>
    <row r="598" spans="12:12" x14ac:dyDescent="0.2">
      <c r="L598" t="s">
        <v>81</v>
      </c>
    </row>
    <row r="599" spans="12:12" x14ac:dyDescent="0.2">
      <c r="L599" t="s">
        <v>81</v>
      </c>
    </row>
  </sheetData>
  <sortState xmlns:xlrd2="http://schemas.microsoft.com/office/spreadsheetml/2017/richdata2" ref="A3:P650">
    <sortCondition ref="B3:B650"/>
    <sortCondition ref="A3:A650"/>
  </sortState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A1:Z3"/>
  <sheetViews>
    <sheetView workbookViewId="0">
      <selection activeCell="X6" sqref="X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30" customHeight="1" x14ac:dyDescent="0.2">
      <c r="A1" s="108" t="s">
        <v>238</v>
      </c>
      <c r="B1" s="108"/>
      <c r="D1" s="107" t="s">
        <v>18</v>
      </c>
      <c r="E1" s="107"/>
      <c r="F1" s="107"/>
      <c r="H1" s="107" t="s">
        <v>143</v>
      </c>
      <c r="I1" s="107"/>
      <c r="J1" s="107"/>
      <c r="L1" s="107" t="s">
        <v>19</v>
      </c>
      <c r="M1" s="107"/>
      <c r="N1" s="107"/>
      <c r="P1" s="107" t="s">
        <v>20</v>
      </c>
      <c r="Q1" s="107"/>
      <c r="R1" s="107"/>
      <c r="T1" s="107" t="s">
        <v>21</v>
      </c>
      <c r="U1" s="107"/>
      <c r="V1" s="107"/>
      <c r="X1" s="107" t="s">
        <v>22</v>
      </c>
      <c r="Y1" s="107"/>
      <c r="Z1" s="107"/>
    </row>
    <row r="2" spans="1:26" x14ac:dyDescent="0.2">
      <c r="A2" s="2" t="s">
        <v>0</v>
      </c>
      <c r="B2" s="2" t="s">
        <v>1</v>
      </c>
      <c r="D2" s="22">
        <v>44652</v>
      </c>
      <c r="E2" s="22">
        <v>44682</v>
      </c>
      <c r="F2" s="22">
        <v>44713</v>
      </c>
      <c r="H2" s="22">
        <v>44652</v>
      </c>
      <c r="I2" s="22">
        <v>44682</v>
      </c>
      <c r="J2" s="22">
        <v>44713</v>
      </c>
      <c r="L2" s="22">
        <v>44652</v>
      </c>
      <c r="M2" s="22">
        <v>44682</v>
      </c>
      <c r="N2" s="22">
        <v>44713</v>
      </c>
      <c r="P2" s="22">
        <v>44652</v>
      </c>
      <c r="Q2" s="22">
        <v>44682</v>
      </c>
      <c r="R2" s="22">
        <v>44713</v>
      </c>
      <c r="T2" s="22">
        <v>44652</v>
      </c>
      <c r="U2" s="22">
        <v>44682</v>
      </c>
      <c r="V2" s="22">
        <v>44713</v>
      </c>
      <c r="X2" s="22">
        <v>44652</v>
      </c>
      <c r="Y2" s="22">
        <v>44682</v>
      </c>
      <c r="Z2" s="22">
        <v>44713</v>
      </c>
    </row>
    <row r="3" spans="1:26" x14ac:dyDescent="0.2">
      <c r="A3" t="s">
        <v>224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FF00"/>
  </sheetPr>
  <dimension ref="A1:R4"/>
  <sheetViews>
    <sheetView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5" width="15.33203125" customWidth="1"/>
    <col min="6" max="6" width="20.6640625" customWidth="1"/>
    <col min="7" max="7" width="2.83203125" style="1" customWidth="1"/>
    <col min="8" max="10" width="14.6640625" customWidth="1"/>
    <col min="11" max="11" width="2.83203125" style="1" customWidth="1"/>
    <col min="12" max="14" width="14" customWidth="1"/>
    <col min="15" max="15" width="2.83203125" style="1" customWidth="1"/>
    <col min="16" max="18" width="14.6640625" customWidth="1"/>
    <col min="19" max="19" width="9.1640625" customWidth="1"/>
  </cols>
  <sheetData>
    <row r="1" spans="1:18" s="5" customFormat="1" ht="50.25" customHeight="1" x14ac:dyDescent="0.2">
      <c r="A1" s="106" t="s">
        <v>238</v>
      </c>
      <c r="B1" s="106"/>
      <c r="C1" s="23"/>
      <c r="D1" s="104" t="s">
        <v>23</v>
      </c>
      <c r="E1" s="104"/>
      <c r="F1" s="104"/>
      <c r="G1" s="23"/>
      <c r="H1" s="104" t="s">
        <v>24</v>
      </c>
      <c r="I1" s="104"/>
      <c r="J1" s="104"/>
      <c r="K1" s="23"/>
      <c r="L1" s="104" t="s">
        <v>25</v>
      </c>
      <c r="M1" s="104"/>
      <c r="N1" s="104"/>
      <c r="O1" s="23"/>
      <c r="P1" s="104" t="s">
        <v>26</v>
      </c>
      <c r="Q1" s="104"/>
      <c r="R1" s="104"/>
    </row>
    <row r="2" spans="1:18" x14ac:dyDescent="0.2">
      <c r="A2" s="2" t="s">
        <v>0</v>
      </c>
      <c r="B2" s="2" t="s">
        <v>1</v>
      </c>
      <c r="D2" s="4">
        <v>44652</v>
      </c>
      <c r="E2" s="4">
        <v>44682</v>
      </c>
      <c r="F2" s="4">
        <v>44713</v>
      </c>
      <c r="H2" s="4">
        <v>44652</v>
      </c>
      <c r="I2" s="4">
        <v>44682</v>
      </c>
      <c r="J2" s="4">
        <v>44713</v>
      </c>
      <c r="L2" s="4">
        <v>44652</v>
      </c>
      <c r="M2" s="4">
        <v>44682</v>
      </c>
      <c r="N2" s="4">
        <v>44713</v>
      </c>
      <c r="P2" s="4">
        <v>44652</v>
      </c>
      <c r="Q2" s="4">
        <v>44682</v>
      </c>
      <c r="R2" s="4">
        <v>44713</v>
      </c>
    </row>
    <row r="3" spans="1:18" ht="16" x14ac:dyDescent="0.2">
      <c r="A3" t="s">
        <v>83</v>
      </c>
      <c r="B3" s="8" t="s">
        <v>34</v>
      </c>
      <c r="D3" s="9">
        <v>100</v>
      </c>
      <c r="E3" s="9">
        <v>96</v>
      </c>
      <c r="F3" s="9">
        <v>89</v>
      </c>
      <c r="H3" s="9">
        <v>5</v>
      </c>
      <c r="I3" s="9">
        <v>10</v>
      </c>
      <c r="J3" s="9">
        <v>7</v>
      </c>
      <c r="L3">
        <v>26</v>
      </c>
      <c r="M3">
        <v>27</v>
      </c>
      <c r="N3">
        <v>27</v>
      </c>
      <c r="P3">
        <v>0</v>
      </c>
      <c r="Q3">
        <v>1</v>
      </c>
      <c r="R3">
        <v>1</v>
      </c>
    </row>
    <row r="4" spans="1:18" ht="16" x14ac:dyDescent="0.2">
      <c r="A4" t="s">
        <v>83</v>
      </c>
      <c r="B4" s="8" t="s">
        <v>75</v>
      </c>
      <c r="D4" s="9">
        <v>3535</v>
      </c>
      <c r="E4" s="9">
        <v>3340</v>
      </c>
      <c r="F4" s="9">
        <v>3246</v>
      </c>
      <c r="H4" s="9">
        <v>100</v>
      </c>
      <c r="I4" s="9">
        <v>84</v>
      </c>
      <c r="J4" s="9">
        <v>60</v>
      </c>
      <c r="L4">
        <v>882</v>
      </c>
      <c r="M4">
        <v>862</v>
      </c>
      <c r="N4">
        <v>809</v>
      </c>
      <c r="P4">
        <v>24</v>
      </c>
      <c r="Q4">
        <v>22</v>
      </c>
      <c r="R4">
        <v>45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FFFF00"/>
  </sheetPr>
  <dimension ref="A1:AA3"/>
  <sheetViews>
    <sheetView zoomScale="90" zoomScaleNormal="90" workbookViewId="0">
      <selection activeCell="I14" sqref="I1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14.1640625" customWidth="1"/>
    <col min="5" max="6" width="23.5" customWidth="1"/>
    <col min="7" max="7" width="2.83203125" style="1" customWidth="1"/>
    <col min="8" max="8" width="7.83203125" customWidth="1"/>
    <col min="9" max="10" width="21.5" customWidth="1"/>
    <col min="11" max="11" width="2.83203125" style="1" customWidth="1"/>
    <col min="12" max="12" width="11.5" customWidth="1"/>
    <col min="13" max="14" width="15.5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7" width="14.1640625" customWidth="1"/>
  </cols>
  <sheetData>
    <row r="1" spans="1:27" ht="30" customHeight="1" x14ac:dyDescent="0.2">
      <c r="A1" s="3" t="s">
        <v>238</v>
      </c>
      <c r="B1" s="3"/>
      <c r="D1" s="104" t="s">
        <v>33</v>
      </c>
      <c r="E1" s="104"/>
      <c r="F1" s="104"/>
      <c r="H1" s="104" t="s">
        <v>225</v>
      </c>
      <c r="I1" s="104"/>
      <c r="J1" s="104"/>
      <c r="L1" s="104" t="s">
        <v>226</v>
      </c>
      <c r="M1" s="104"/>
      <c r="N1" s="104"/>
      <c r="P1" s="104" t="s">
        <v>32</v>
      </c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 spans="1:27" x14ac:dyDescent="0.2">
      <c r="A2" s="2" t="s">
        <v>0</v>
      </c>
      <c r="B2" s="2" t="s">
        <v>1</v>
      </c>
      <c r="D2" s="4">
        <v>44652</v>
      </c>
      <c r="E2" s="4">
        <v>44682</v>
      </c>
      <c r="F2" s="4">
        <v>44713</v>
      </c>
      <c r="H2" s="4">
        <v>44652</v>
      </c>
      <c r="I2" s="4">
        <v>44682</v>
      </c>
      <c r="J2" s="4">
        <v>44713</v>
      </c>
      <c r="L2" s="4">
        <v>44652</v>
      </c>
      <c r="M2" s="4">
        <v>44682</v>
      </c>
      <c r="N2" s="4">
        <v>44713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4">
        <v>44652</v>
      </c>
      <c r="Z2" s="4">
        <v>44682</v>
      </c>
      <c r="AA2" s="4">
        <v>44713</v>
      </c>
    </row>
    <row r="3" spans="1:27" ht="16" x14ac:dyDescent="0.2">
      <c r="A3" s="10" t="s">
        <v>83</v>
      </c>
      <c r="B3" s="10" t="s">
        <v>75</v>
      </c>
      <c r="D3">
        <v>6</v>
      </c>
      <c r="E3">
        <v>4</v>
      </c>
      <c r="F3">
        <v>4</v>
      </c>
      <c r="H3">
        <v>0</v>
      </c>
      <c r="I3">
        <v>0</v>
      </c>
      <c r="J3">
        <v>0</v>
      </c>
      <c r="L3">
        <v>0</v>
      </c>
      <c r="M3">
        <v>2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FFFF00"/>
  </sheetPr>
  <dimension ref="A1:AZ62"/>
  <sheetViews>
    <sheetView topLeftCell="AE19" zoomScaleNormal="100" workbookViewId="0">
      <selection activeCell="AX3" sqref="AX3:AZ25"/>
    </sheetView>
  </sheetViews>
  <sheetFormatPr baseColWidth="10" defaultColWidth="8.83203125" defaultRowHeight="15" x14ac:dyDescent="0.2"/>
  <cols>
    <col min="1" max="2" width="5.83203125" customWidth="1"/>
    <col min="3" max="3" width="2.83203125" style="1" customWidth="1"/>
    <col min="4" max="12" width="9.1640625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32" width="8.6640625" customWidth="1"/>
    <col min="33" max="33" width="2.83203125" style="1" customWidth="1"/>
    <col min="34" max="34" width="18.6640625" hidden="1" customWidth="1"/>
    <col min="35" max="39" width="10.5" hidden="1" customWidth="1"/>
    <col min="40" max="40" width="16.83203125" customWidth="1"/>
    <col min="41" max="42" width="22.1640625" customWidth="1"/>
    <col min="43" max="43" width="2.83203125" style="1" customWidth="1"/>
    <col min="44" max="52" width="6.33203125" customWidth="1"/>
  </cols>
  <sheetData>
    <row r="1" spans="1:52" ht="30" customHeight="1" x14ac:dyDescent="0.2">
      <c r="A1" s="108" t="s">
        <v>238</v>
      </c>
      <c r="B1" s="108"/>
      <c r="D1" s="112" t="s">
        <v>27</v>
      </c>
      <c r="E1" s="113"/>
      <c r="F1" s="113"/>
      <c r="G1" s="113"/>
      <c r="H1" s="113"/>
      <c r="I1" s="113"/>
      <c r="J1" s="113"/>
      <c r="K1" s="113"/>
      <c r="L1" s="113"/>
      <c r="N1" s="104" t="s">
        <v>28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H1" s="107" t="s">
        <v>29</v>
      </c>
      <c r="AI1" s="107"/>
      <c r="AJ1" s="107"/>
      <c r="AK1" s="107"/>
      <c r="AL1" s="107"/>
      <c r="AM1" s="107"/>
      <c r="AN1" s="107"/>
      <c r="AO1" s="107"/>
      <c r="AP1" s="107"/>
      <c r="AR1" s="112" t="s">
        <v>30</v>
      </c>
      <c r="AS1" s="113"/>
      <c r="AT1" s="113"/>
      <c r="AU1" s="113"/>
      <c r="AV1" s="113"/>
      <c r="AW1" s="113"/>
      <c r="AX1" s="113"/>
      <c r="AY1" s="113"/>
      <c r="AZ1" s="113"/>
    </row>
    <row r="2" spans="1:52" x14ac:dyDescent="0.2">
      <c r="A2" s="2"/>
      <c r="B2" s="2"/>
      <c r="D2" s="109">
        <v>44652</v>
      </c>
      <c r="E2" s="110"/>
      <c r="F2" s="111"/>
      <c r="G2" s="109">
        <v>44682</v>
      </c>
      <c r="H2" s="110"/>
      <c r="I2" s="111"/>
      <c r="J2" s="109">
        <v>44713</v>
      </c>
      <c r="K2" s="110"/>
      <c r="L2" s="111"/>
      <c r="N2" s="2" t="s">
        <v>0</v>
      </c>
      <c r="O2" s="2" t="s">
        <v>1</v>
      </c>
      <c r="P2" s="62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09">
        <v>44652</v>
      </c>
      <c r="Y2" s="110"/>
      <c r="Z2" s="111"/>
      <c r="AA2" s="109">
        <v>44682</v>
      </c>
      <c r="AB2" s="110"/>
      <c r="AC2" s="111"/>
      <c r="AD2" s="109">
        <v>44713</v>
      </c>
      <c r="AE2" s="110"/>
      <c r="AF2" s="111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4">
        <v>44652</v>
      </c>
      <c r="AO2" s="4">
        <v>44682</v>
      </c>
      <c r="AP2" s="4">
        <v>44713</v>
      </c>
      <c r="AR2" s="109">
        <v>44652</v>
      </c>
      <c r="AS2" s="110"/>
      <c r="AT2" s="111"/>
      <c r="AU2" s="109">
        <v>44682</v>
      </c>
      <c r="AV2" s="110"/>
      <c r="AW2" s="111"/>
      <c r="AX2" s="109">
        <v>44713</v>
      </c>
      <c r="AY2" s="110"/>
      <c r="AZ2" s="111"/>
    </row>
    <row r="3" spans="1:52" x14ac:dyDescent="0.2">
      <c r="A3" s="20"/>
      <c r="B3" s="20"/>
      <c r="D3" t="s">
        <v>200</v>
      </c>
      <c r="E3" t="s">
        <v>133</v>
      </c>
      <c r="F3" t="s">
        <v>241</v>
      </c>
      <c r="G3" s="97" t="s">
        <v>200</v>
      </c>
      <c r="H3" s="97" t="s">
        <v>133</v>
      </c>
      <c r="I3" s="97" t="s">
        <v>241</v>
      </c>
      <c r="J3" t="s">
        <v>200</v>
      </c>
      <c r="K3" t="s">
        <v>133</v>
      </c>
      <c r="L3" t="s">
        <v>241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97" t="s">
        <v>200</v>
      </c>
      <c r="Y3" s="97" t="s">
        <v>133</v>
      </c>
      <c r="Z3" s="97" t="s">
        <v>241</v>
      </c>
      <c r="AA3" s="97" t="s">
        <v>200</v>
      </c>
      <c r="AB3" s="97" t="s">
        <v>133</v>
      </c>
      <c r="AC3" s="97" t="s">
        <v>241</v>
      </c>
      <c r="AD3" s="97" t="s">
        <v>200</v>
      </c>
      <c r="AE3" s="97" t="s">
        <v>133</v>
      </c>
      <c r="AF3" s="97" t="s">
        <v>241</v>
      </c>
      <c r="AR3" s="97" t="s">
        <v>200</v>
      </c>
      <c r="AS3" s="97" t="s">
        <v>133</v>
      </c>
      <c r="AT3" s="97" t="s">
        <v>241</v>
      </c>
      <c r="AU3" s="97" t="s">
        <v>200</v>
      </c>
      <c r="AV3" s="97" t="s">
        <v>133</v>
      </c>
      <c r="AW3" s="97" t="s">
        <v>241</v>
      </c>
      <c r="AX3" s="97" t="s">
        <v>200</v>
      </c>
      <c r="AY3" s="97" t="s">
        <v>133</v>
      </c>
      <c r="AZ3" s="97" t="s">
        <v>241</v>
      </c>
    </row>
    <row r="4" spans="1:52" x14ac:dyDescent="0.2">
      <c r="A4" s="20"/>
      <c r="B4" s="20"/>
      <c r="D4" t="s">
        <v>35</v>
      </c>
      <c r="E4" t="s">
        <v>34</v>
      </c>
      <c r="F4">
        <v>16</v>
      </c>
      <c r="G4" s="98" t="s">
        <v>35</v>
      </c>
      <c r="H4" s="98" t="s">
        <v>34</v>
      </c>
      <c r="I4" s="99">
        <v>18</v>
      </c>
      <c r="J4" t="s">
        <v>35</v>
      </c>
      <c r="K4" t="s">
        <v>34</v>
      </c>
      <c r="L4">
        <v>18</v>
      </c>
      <c r="N4" t="s">
        <v>35</v>
      </c>
      <c r="O4" t="s">
        <v>75</v>
      </c>
      <c r="P4">
        <v>71</v>
      </c>
      <c r="Q4">
        <v>53</v>
      </c>
      <c r="R4">
        <v>58</v>
      </c>
      <c r="S4" s="61" t="s">
        <v>35</v>
      </c>
      <c r="T4" t="s">
        <v>75</v>
      </c>
      <c r="U4">
        <v>19</v>
      </c>
      <c r="V4">
        <v>17</v>
      </c>
      <c r="W4">
        <v>19</v>
      </c>
      <c r="X4" s="98" t="s">
        <v>35</v>
      </c>
      <c r="Y4" s="98" t="s">
        <v>34</v>
      </c>
      <c r="Z4" s="99">
        <v>2</v>
      </c>
      <c r="AA4" s="98" t="s">
        <v>35</v>
      </c>
      <c r="AB4" s="98" t="s">
        <v>75</v>
      </c>
      <c r="AC4" s="99">
        <v>10</v>
      </c>
      <c r="AD4" s="98" t="s">
        <v>35</v>
      </c>
      <c r="AE4" s="98" t="s">
        <v>34</v>
      </c>
      <c r="AF4" s="99">
        <v>5</v>
      </c>
      <c r="AR4" s="98" t="s">
        <v>35</v>
      </c>
      <c r="AS4" s="98" t="s">
        <v>75</v>
      </c>
      <c r="AT4" s="99">
        <v>29</v>
      </c>
      <c r="AU4" s="98" t="s">
        <v>35</v>
      </c>
      <c r="AV4" s="98" t="s">
        <v>75</v>
      </c>
      <c r="AW4" s="99">
        <v>8</v>
      </c>
      <c r="AX4" s="98" t="s">
        <v>35</v>
      </c>
      <c r="AY4" s="98" t="s">
        <v>75</v>
      </c>
      <c r="AZ4" s="99">
        <v>20</v>
      </c>
    </row>
    <row r="5" spans="1:52" x14ac:dyDescent="0.2">
      <c r="A5" s="20"/>
      <c r="B5" s="20"/>
      <c r="D5" t="s">
        <v>35</v>
      </c>
      <c r="E5" t="s">
        <v>75</v>
      </c>
      <c r="F5">
        <v>104</v>
      </c>
      <c r="G5" s="98" t="s">
        <v>35</v>
      </c>
      <c r="H5" s="98" t="s">
        <v>75</v>
      </c>
      <c r="I5" s="99">
        <v>93</v>
      </c>
      <c r="J5" t="s">
        <v>35</v>
      </c>
      <c r="K5" t="s">
        <v>75</v>
      </c>
      <c r="L5">
        <v>96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98" t="s">
        <v>35</v>
      </c>
      <c r="Y5" s="98" t="s">
        <v>75</v>
      </c>
      <c r="Z5" s="99">
        <v>19</v>
      </c>
      <c r="AA5" s="98" t="s">
        <v>36</v>
      </c>
      <c r="AB5" s="98" t="s">
        <v>34</v>
      </c>
      <c r="AC5" s="99">
        <v>1</v>
      </c>
      <c r="AD5" s="98" t="s">
        <v>35</v>
      </c>
      <c r="AE5" s="98" t="s">
        <v>75</v>
      </c>
      <c r="AF5" s="99">
        <v>13</v>
      </c>
      <c r="AR5" s="98" t="s">
        <v>36</v>
      </c>
      <c r="AS5" s="98" t="s">
        <v>34</v>
      </c>
      <c r="AT5" s="99">
        <v>1</v>
      </c>
      <c r="AU5" s="98" t="s">
        <v>36</v>
      </c>
      <c r="AV5" s="98" t="s">
        <v>34</v>
      </c>
      <c r="AW5" s="99">
        <v>2</v>
      </c>
      <c r="AX5" s="98" t="s">
        <v>36</v>
      </c>
      <c r="AY5" s="98" t="s">
        <v>75</v>
      </c>
      <c r="AZ5" s="99">
        <v>11</v>
      </c>
    </row>
    <row r="6" spans="1:52" x14ac:dyDescent="0.2">
      <c r="A6" s="20"/>
      <c r="B6" s="20"/>
      <c r="D6" t="s">
        <v>36</v>
      </c>
      <c r="E6" t="s">
        <v>34</v>
      </c>
      <c r="F6">
        <v>16</v>
      </c>
      <c r="G6" s="98" t="s">
        <v>36</v>
      </c>
      <c r="H6" s="98" t="s">
        <v>34</v>
      </c>
      <c r="I6" s="99">
        <v>18</v>
      </c>
      <c r="J6" t="s">
        <v>36</v>
      </c>
      <c r="K6" t="s">
        <v>34</v>
      </c>
      <c r="L6">
        <v>17</v>
      </c>
      <c r="N6" t="s">
        <v>36</v>
      </c>
      <c r="O6" t="s">
        <v>75</v>
      </c>
      <c r="P6">
        <v>103</v>
      </c>
      <c r="Q6">
        <v>75</v>
      </c>
      <c r="R6">
        <v>32</v>
      </c>
      <c r="S6" s="61" t="s">
        <v>36</v>
      </c>
      <c r="T6" t="s">
        <v>75</v>
      </c>
      <c r="U6">
        <v>48</v>
      </c>
      <c r="V6">
        <v>22</v>
      </c>
      <c r="W6">
        <v>19</v>
      </c>
      <c r="X6" s="98" t="s">
        <v>36</v>
      </c>
      <c r="Y6" s="98" t="s">
        <v>34</v>
      </c>
      <c r="Z6" s="99">
        <v>4</v>
      </c>
      <c r="AA6" s="98" t="s">
        <v>36</v>
      </c>
      <c r="AB6" s="98" t="s">
        <v>75</v>
      </c>
      <c r="AC6" s="99">
        <v>18</v>
      </c>
      <c r="AD6" s="98" t="s">
        <v>36</v>
      </c>
      <c r="AE6" s="98" t="s">
        <v>34</v>
      </c>
      <c r="AF6" s="99">
        <v>4</v>
      </c>
      <c r="AR6" s="98" t="s">
        <v>36</v>
      </c>
      <c r="AS6" s="98" t="s">
        <v>75</v>
      </c>
      <c r="AT6" s="99">
        <v>33</v>
      </c>
      <c r="AU6" s="98" t="s">
        <v>36</v>
      </c>
      <c r="AV6" s="98" t="s">
        <v>75</v>
      </c>
      <c r="AW6" s="99">
        <v>23</v>
      </c>
      <c r="AX6" s="98" t="s">
        <v>37</v>
      </c>
      <c r="AY6" s="98" t="s">
        <v>75</v>
      </c>
      <c r="AZ6" s="99">
        <v>8</v>
      </c>
    </row>
    <row r="7" spans="1:52" x14ac:dyDescent="0.2">
      <c r="A7" s="20"/>
      <c r="B7" s="20"/>
      <c r="D7" t="s">
        <v>36</v>
      </c>
      <c r="E7" t="s">
        <v>75</v>
      </c>
      <c r="F7">
        <v>119</v>
      </c>
      <c r="G7" s="98" t="s">
        <v>36</v>
      </c>
      <c r="H7" s="98" t="s">
        <v>75</v>
      </c>
      <c r="I7" s="99">
        <v>109</v>
      </c>
      <c r="J7" t="s">
        <v>36</v>
      </c>
      <c r="K7" t="s">
        <v>75</v>
      </c>
      <c r="L7">
        <v>105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98" t="s">
        <v>36</v>
      </c>
      <c r="Y7" s="98" t="s">
        <v>75</v>
      </c>
      <c r="Z7" s="99">
        <v>26</v>
      </c>
      <c r="AA7" s="98" t="s">
        <v>37</v>
      </c>
      <c r="AB7" s="98" t="s">
        <v>34</v>
      </c>
      <c r="AC7" s="99">
        <v>2</v>
      </c>
      <c r="AD7" s="98" t="s">
        <v>36</v>
      </c>
      <c r="AE7" s="98" t="s">
        <v>75</v>
      </c>
      <c r="AF7" s="99">
        <v>7</v>
      </c>
      <c r="AR7" s="98" t="s">
        <v>37</v>
      </c>
      <c r="AS7" s="98" t="s">
        <v>34</v>
      </c>
      <c r="AT7" s="99">
        <v>4</v>
      </c>
      <c r="AU7" s="98" t="s">
        <v>37</v>
      </c>
      <c r="AV7" s="98" t="s">
        <v>75</v>
      </c>
      <c r="AW7" s="99">
        <v>3</v>
      </c>
      <c r="AX7" s="98" t="s">
        <v>40</v>
      </c>
      <c r="AY7" s="98" t="s">
        <v>75</v>
      </c>
      <c r="AZ7" s="99">
        <v>17</v>
      </c>
    </row>
    <row r="8" spans="1:52" x14ac:dyDescent="0.2">
      <c r="A8" s="20"/>
      <c r="B8" s="20"/>
      <c r="D8" t="s">
        <v>37</v>
      </c>
      <c r="E8" t="s">
        <v>34</v>
      </c>
      <c r="F8">
        <v>16</v>
      </c>
      <c r="G8" s="98" t="s">
        <v>37</v>
      </c>
      <c r="H8" s="98" t="s">
        <v>34</v>
      </c>
      <c r="I8" s="99">
        <v>15</v>
      </c>
      <c r="J8" t="s">
        <v>37</v>
      </c>
      <c r="K8" t="s">
        <v>34</v>
      </c>
      <c r="L8">
        <v>18</v>
      </c>
      <c r="N8" t="s">
        <v>37</v>
      </c>
      <c r="O8" t="s">
        <v>75</v>
      </c>
      <c r="P8">
        <v>17</v>
      </c>
      <c r="Q8">
        <v>16</v>
      </c>
      <c r="R8">
        <v>22</v>
      </c>
      <c r="S8" s="61" t="s">
        <v>37</v>
      </c>
      <c r="T8" t="s">
        <v>75</v>
      </c>
      <c r="U8">
        <v>5</v>
      </c>
      <c r="V8">
        <v>1</v>
      </c>
      <c r="W8">
        <v>6</v>
      </c>
      <c r="X8" s="98" t="s">
        <v>37</v>
      </c>
      <c r="Y8" s="98" t="s">
        <v>34</v>
      </c>
      <c r="Z8" s="99">
        <v>3</v>
      </c>
      <c r="AA8" s="98" t="s">
        <v>37</v>
      </c>
      <c r="AB8" s="98" t="s">
        <v>75</v>
      </c>
      <c r="AC8" s="99">
        <v>1</v>
      </c>
      <c r="AD8" s="98" t="s">
        <v>37</v>
      </c>
      <c r="AE8" s="98" t="s">
        <v>34</v>
      </c>
      <c r="AF8" s="99">
        <v>1</v>
      </c>
      <c r="AR8" s="98" t="s">
        <v>37</v>
      </c>
      <c r="AS8" s="98" t="s">
        <v>75</v>
      </c>
      <c r="AT8" s="99">
        <v>4</v>
      </c>
      <c r="AU8" s="98" t="s">
        <v>40</v>
      </c>
      <c r="AV8" s="98" t="s">
        <v>75</v>
      </c>
      <c r="AW8" s="99">
        <v>9</v>
      </c>
      <c r="AX8" s="98" t="s">
        <v>44</v>
      </c>
      <c r="AY8" s="98" t="s">
        <v>34</v>
      </c>
      <c r="AZ8" s="99">
        <v>1</v>
      </c>
    </row>
    <row r="9" spans="1:52" x14ac:dyDescent="0.2">
      <c r="A9" s="33"/>
      <c r="B9" s="20"/>
      <c r="D9" t="s">
        <v>37</v>
      </c>
      <c r="E9" t="s">
        <v>75</v>
      </c>
      <c r="F9">
        <v>35</v>
      </c>
      <c r="G9" s="98" t="s">
        <v>37</v>
      </c>
      <c r="H9" s="98" t="s">
        <v>75</v>
      </c>
      <c r="I9" s="99">
        <v>37</v>
      </c>
      <c r="J9" t="s">
        <v>37</v>
      </c>
      <c r="K9" t="s">
        <v>75</v>
      </c>
      <c r="L9">
        <v>35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98" t="s">
        <v>37</v>
      </c>
      <c r="Y9" s="98" t="s">
        <v>75</v>
      </c>
      <c r="Z9" s="99">
        <v>6</v>
      </c>
      <c r="AA9" s="98" t="s">
        <v>40</v>
      </c>
      <c r="AB9" s="98" t="s">
        <v>34</v>
      </c>
      <c r="AC9" s="99">
        <v>1</v>
      </c>
      <c r="AD9" s="98" t="s">
        <v>37</v>
      </c>
      <c r="AE9" s="98" t="s">
        <v>75</v>
      </c>
      <c r="AF9" s="99">
        <v>5</v>
      </c>
      <c r="AR9" s="98" t="s">
        <v>40</v>
      </c>
      <c r="AS9" s="98" t="s">
        <v>34</v>
      </c>
      <c r="AT9" s="99">
        <v>1</v>
      </c>
      <c r="AU9" s="98" t="s">
        <v>44</v>
      </c>
      <c r="AV9" s="98" t="s">
        <v>34</v>
      </c>
      <c r="AW9" s="99">
        <v>3</v>
      </c>
      <c r="AX9" s="98" t="s">
        <v>44</v>
      </c>
      <c r="AY9" s="98" t="s">
        <v>75</v>
      </c>
      <c r="AZ9" s="99">
        <v>3</v>
      </c>
    </row>
    <row r="10" spans="1:52" x14ac:dyDescent="0.2">
      <c r="A10" s="20"/>
      <c r="B10" s="20"/>
      <c r="D10" t="s">
        <v>40</v>
      </c>
      <c r="E10" t="s">
        <v>34</v>
      </c>
      <c r="F10">
        <v>10</v>
      </c>
      <c r="G10" s="98" t="s">
        <v>40</v>
      </c>
      <c r="H10" s="98" t="s">
        <v>34</v>
      </c>
      <c r="I10" s="99">
        <v>11</v>
      </c>
      <c r="J10" t="s">
        <v>40</v>
      </c>
      <c r="K10" t="s">
        <v>34</v>
      </c>
      <c r="L10">
        <v>12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1" t="s">
        <v>40</v>
      </c>
      <c r="T10" t="s">
        <v>75</v>
      </c>
      <c r="U10">
        <v>31</v>
      </c>
      <c r="V10">
        <v>18</v>
      </c>
      <c r="W10">
        <v>14</v>
      </c>
      <c r="X10" s="98" t="s">
        <v>40</v>
      </c>
      <c r="Y10" s="98" t="s">
        <v>34</v>
      </c>
      <c r="Z10" s="99">
        <v>2</v>
      </c>
      <c r="AA10" s="98" t="s">
        <v>40</v>
      </c>
      <c r="AB10" s="98" t="s">
        <v>75</v>
      </c>
      <c r="AC10" s="99">
        <v>14</v>
      </c>
      <c r="AD10" s="98" t="s">
        <v>40</v>
      </c>
      <c r="AE10" s="98" t="s">
        <v>34</v>
      </c>
      <c r="AF10" s="99">
        <v>2</v>
      </c>
      <c r="AR10" s="98" t="s">
        <v>40</v>
      </c>
      <c r="AS10" s="98" t="s">
        <v>75</v>
      </c>
      <c r="AT10" s="99">
        <v>17</v>
      </c>
      <c r="AU10" s="98" t="s">
        <v>45</v>
      </c>
      <c r="AV10" s="98" t="s">
        <v>75</v>
      </c>
      <c r="AW10" s="99">
        <v>1</v>
      </c>
      <c r="AX10" s="98" t="s">
        <v>45</v>
      </c>
      <c r="AY10" s="98" t="s">
        <v>75</v>
      </c>
      <c r="AZ10" s="99">
        <v>1</v>
      </c>
    </row>
    <row r="11" spans="1:52" x14ac:dyDescent="0.2">
      <c r="A11" s="20"/>
      <c r="B11" s="20"/>
      <c r="D11" t="s">
        <v>40</v>
      </c>
      <c r="E11" t="s">
        <v>75</v>
      </c>
      <c r="F11">
        <v>79</v>
      </c>
      <c r="G11" s="98" t="s">
        <v>40</v>
      </c>
      <c r="H11" s="98" t="s">
        <v>75</v>
      </c>
      <c r="I11" s="99">
        <v>72</v>
      </c>
      <c r="J11" t="s">
        <v>40</v>
      </c>
      <c r="K11" t="s">
        <v>75</v>
      </c>
      <c r="L11">
        <v>77</v>
      </c>
      <c r="N11" t="s">
        <v>42</v>
      </c>
      <c r="O11" t="s">
        <v>75</v>
      </c>
      <c r="P11">
        <v>2</v>
      </c>
      <c r="Q11">
        <v>1</v>
      </c>
      <c r="S11" s="61" t="s">
        <v>42</v>
      </c>
      <c r="T11" t="s">
        <v>75</v>
      </c>
      <c r="U11">
        <v>2</v>
      </c>
      <c r="X11" s="98" t="s">
        <v>40</v>
      </c>
      <c r="Y11" s="98" t="s">
        <v>75</v>
      </c>
      <c r="Z11" s="99">
        <v>11</v>
      </c>
      <c r="AA11" s="98" t="s">
        <v>42</v>
      </c>
      <c r="AB11" s="98" t="s">
        <v>75</v>
      </c>
      <c r="AC11" s="99">
        <v>2</v>
      </c>
      <c r="AD11" s="98" t="s">
        <v>40</v>
      </c>
      <c r="AE11" s="98" t="s">
        <v>75</v>
      </c>
      <c r="AF11" s="99">
        <v>14</v>
      </c>
      <c r="AR11" s="98" t="s">
        <v>42</v>
      </c>
      <c r="AS11" s="98" t="s">
        <v>75</v>
      </c>
      <c r="AT11" s="99">
        <v>2</v>
      </c>
      <c r="AU11" s="98" t="s">
        <v>48</v>
      </c>
      <c r="AV11" s="98" t="s">
        <v>75</v>
      </c>
      <c r="AW11" s="99">
        <v>2</v>
      </c>
      <c r="AX11" s="98" t="s">
        <v>47</v>
      </c>
      <c r="AY11" s="98" t="s">
        <v>75</v>
      </c>
      <c r="AZ11" s="99">
        <v>1</v>
      </c>
    </row>
    <row r="12" spans="1:52" x14ac:dyDescent="0.2">
      <c r="A12" s="20"/>
      <c r="B12" s="20"/>
      <c r="D12" t="s">
        <v>42</v>
      </c>
      <c r="E12" t="s">
        <v>75</v>
      </c>
      <c r="F12">
        <v>4</v>
      </c>
      <c r="G12" s="98" t="s">
        <v>42</v>
      </c>
      <c r="H12" s="98" t="s">
        <v>75</v>
      </c>
      <c r="I12" s="99">
        <v>2</v>
      </c>
      <c r="J12" t="s">
        <v>42</v>
      </c>
      <c r="K12" t="s">
        <v>75</v>
      </c>
      <c r="L12">
        <v>4</v>
      </c>
      <c r="N12" t="s">
        <v>43</v>
      </c>
      <c r="O12" t="s">
        <v>75</v>
      </c>
      <c r="P12">
        <v>3</v>
      </c>
      <c r="Q12">
        <v>1</v>
      </c>
      <c r="S12" s="61" t="s">
        <v>43</v>
      </c>
      <c r="T12" t="s">
        <v>75</v>
      </c>
      <c r="U12">
        <v>1</v>
      </c>
      <c r="X12" s="98" t="s">
        <v>44</v>
      </c>
      <c r="Y12" s="98" t="s">
        <v>75</v>
      </c>
      <c r="Z12" s="99">
        <v>5</v>
      </c>
      <c r="AA12" s="98" t="s">
        <v>44</v>
      </c>
      <c r="AB12" s="98" t="s">
        <v>34</v>
      </c>
      <c r="AC12" s="99">
        <v>3</v>
      </c>
      <c r="AD12" s="98" t="s">
        <v>44</v>
      </c>
      <c r="AE12" s="98" t="s">
        <v>75</v>
      </c>
      <c r="AF12" s="99">
        <v>2</v>
      </c>
      <c r="AR12" s="98" t="s">
        <v>44</v>
      </c>
      <c r="AS12" s="98" t="s">
        <v>75</v>
      </c>
      <c r="AT12" s="99">
        <v>6</v>
      </c>
      <c r="AU12" s="98" t="s">
        <v>49</v>
      </c>
      <c r="AV12" s="98" t="s">
        <v>34</v>
      </c>
      <c r="AW12" s="99">
        <v>1</v>
      </c>
      <c r="AX12" s="98" t="s">
        <v>48</v>
      </c>
      <c r="AY12" s="98" t="s">
        <v>75</v>
      </c>
      <c r="AZ12" s="99">
        <v>1</v>
      </c>
    </row>
    <row r="13" spans="1:52" x14ac:dyDescent="0.2">
      <c r="A13" s="20"/>
      <c r="B13" s="20"/>
      <c r="D13" t="s">
        <v>43</v>
      </c>
      <c r="E13" t="s">
        <v>75</v>
      </c>
      <c r="F13">
        <v>1</v>
      </c>
      <c r="G13" s="98" t="s">
        <v>43</v>
      </c>
      <c r="H13" s="98" t="s">
        <v>75</v>
      </c>
      <c r="I13" s="99">
        <v>1</v>
      </c>
      <c r="J13" t="s">
        <v>43</v>
      </c>
      <c r="K13" t="s">
        <v>75</v>
      </c>
      <c r="L13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98" t="s">
        <v>46</v>
      </c>
      <c r="Y13" s="98" t="s">
        <v>34</v>
      </c>
      <c r="Z13" s="99">
        <v>1</v>
      </c>
      <c r="AA13" s="98" t="s">
        <v>45</v>
      </c>
      <c r="AB13" s="98" t="s">
        <v>34</v>
      </c>
      <c r="AC13" s="99">
        <v>1</v>
      </c>
      <c r="AD13" s="98" t="s">
        <v>48</v>
      </c>
      <c r="AE13" s="98" t="s">
        <v>75</v>
      </c>
      <c r="AF13" s="99">
        <v>1</v>
      </c>
      <c r="AR13" s="98" t="s">
        <v>47</v>
      </c>
      <c r="AS13" s="98" t="s">
        <v>75</v>
      </c>
      <c r="AT13" s="99">
        <v>1</v>
      </c>
      <c r="AU13" s="98" t="s">
        <v>52</v>
      </c>
      <c r="AV13" s="98" t="s">
        <v>75</v>
      </c>
      <c r="AW13" s="99">
        <v>7</v>
      </c>
      <c r="AX13" s="98" t="s">
        <v>52</v>
      </c>
      <c r="AY13" s="98" t="s">
        <v>75</v>
      </c>
      <c r="AZ13" s="99">
        <v>6</v>
      </c>
    </row>
    <row r="14" spans="1:52" x14ac:dyDescent="0.2">
      <c r="A14" s="20"/>
      <c r="B14" s="20"/>
      <c r="D14" t="s">
        <v>44</v>
      </c>
      <c r="E14" t="s">
        <v>34</v>
      </c>
      <c r="F14">
        <v>7</v>
      </c>
      <c r="G14" s="98" t="s">
        <v>44</v>
      </c>
      <c r="H14" s="98" t="s">
        <v>34</v>
      </c>
      <c r="I14" s="99">
        <v>7</v>
      </c>
      <c r="J14" t="s">
        <v>44</v>
      </c>
      <c r="K14" t="s">
        <v>34</v>
      </c>
      <c r="L14">
        <v>10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1" t="s">
        <v>44</v>
      </c>
      <c r="T14" t="s">
        <v>75</v>
      </c>
      <c r="U14">
        <v>3</v>
      </c>
      <c r="V14">
        <v>2</v>
      </c>
      <c r="W14">
        <v>1</v>
      </c>
      <c r="X14" s="98" t="s">
        <v>47</v>
      </c>
      <c r="Y14" s="98" t="s">
        <v>75</v>
      </c>
      <c r="Z14" s="99">
        <v>1</v>
      </c>
      <c r="AA14" s="98" t="s">
        <v>47</v>
      </c>
      <c r="AB14" s="98" t="s">
        <v>75</v>
      </c>
      <c r="AC14" s="99">
        <v>1</v>
      </c>
      <c r="AD14" s="98" t="s">
        <v>52</v>
      </c>
      <c r="AE14" s="98" t="s">
        <v>34</v>
      </c>
      <c r="AF14" s="99">
        <v>3</v>
      </c>
      <c r="AR14" s="98" t="s">
        <v>48</v>
      </c>
      <c r="AS14" s="98" t="s">
        <v>75</v>
      </c>
      <c r="AT14" s="99">
        <v>2</v>
      </c>
      <c r="AU14" s="98" t="s">
        <v>53</v>
      </c>
      <c r="AV14" s="98" t="s">
        <v>34</v>
      </c>
      <c r="AW14" s="99">
        <v>1</v>
      </c>
      <c r="AX14" s="98" t="s">
        <v>53</v>
      </c>
      <c r="AY14" s="98" t="s">
        <v>34</v>
      </c>
      <c r="AZ14" s="99">
        <v>2</v>
      </c>
    </row>
    <row r="15" spans="1:52" x14ac:dyDescent="0.2">
      <c r="A15" s="20"/>
      <c r="B15" s="20"/>
      <c r="D15" t="s">
        <v>44</v>
      </c>
      <c r="E15" t="s">
        <v>75</v>
      </c>
      <c r="F15">
        <v>35</v>
      </c>
      <c r="G15" s="98" t="s">
        <v>44</v>
      </c>
      <c r="H15" s="98" t="s">
        <v>75</v>
      </c>
      <c r="I15" s="99">
        <v>34</v>
      </c>
      <c r="J15" t="s">
        <v>44</v>
      </c>
      <c r="K15" t="s">
        <v>75</v>
      </c>
      <c r="L15">
        <v>34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1" t="s">
        <v>45</v>
      </c>
      <c r="T15" t="s">
        <v>75</v>
      </c>
      <c r="V15">
        <v>3</v>
      </c>
      <c r="X15" s="98" t="s">
        <v>48</v>
      </c>
      <c r="Y15" s="98" t="s">
        <v>34</v>
      </c>
      <c r="Z15" s="99">
        <v>1</v>
      </c>
      <c r="AA15" s="98" t="s">
        <v>48</v>
      </c>
      <c r="AB15" s="98" t="s">
        <v>34</v>
      </c>
      <c r="AC15" s="99">
        <v>1</v>
      </c>
      <c r="AD15" s="98" t="s">
        <v>52</v>
      </c>
      <c r="AE15" s="98" t="s">
        <v>75</v>
      </c>
      <c r="AF15" s="99">
        <v>3</v>
      </c>
      <c r="AR15" s="98" t="s">
        <v>49</v>
      </c>
      <c r="AS15" s="98" t="s">
        <v>75</v>
      </c>
      <c r="AT15" s="99">
        <v>1</v>
      </c>
      <c r="AU15" s="98" t="s">
        <v>53</v>
      </c>
      <c r="AV15" s="98" t="s">
        <v>75</v>
      </c>
      <c r="AW15" s="99">
        <v>1</v>
      </c>
      <c r="AX15" s="98" t="s">
        <v>53</v>
      </c>
      <c r="AY15" s="98" t="s">
        <v>75</v>
      </c>
      <c r="AZ15" s="99">
        <v>4</v>
      </c>
    </row>
    <row r="16" spans="1:52" x14ac:dyDescent="0.2">
      <c r="A16" s="20"/>
      <c r="B16" s="20"/>
      <c r="D16" t="s">
        <v>45</v>
      </c>
      <c r="E16" t="s">
        <v>34</v>
      </c>
      <c r="F16">
        <v>3</v>
      </c>
      <c r="G16" s="98" t="s">
        <v>45</v>
      </c>
      <c r="H16" s="98" t="s">
        <v>34</v>
      </c>
      <c r="I16" s="99">
        <v>3</v>
      </c>
      <c r="J16" t="s">
        <v>45</v>
      </c>
      <c r="K16" t="s">
        <v>34</v>
      </c>
      <c r="L16">
        <v>4</v>
      </c>
      <c r="N16" t="s">
        <v>46</v>
      </c>
      <c r="O16" t="s">
        <v>75</v>
      </c>
      <c r="Q16">
        <v>1</v>
      </c>
      <c r="S16" s="61" t="s">
        <v>46</v>
      </c>
      <c r="T16" t="s">
        <v>75</v>
      </c>
      <c r="X16" s="98" t="s">
        <v>48</v>
      </c>
      <c r="Y16" s="98" t="s">
        <v>75</v>
      </c>
      <c r="Z16" s="99">
        <v>4</v>
      </c>
      <c r="AA16" s="98" t="s">
        <v>52</v>
      </c>
      <c r="AB16" s="98" t="s">
        <v>75</v>
      </c>
      <c r="AC16" s="99">
        <v>8</v>
      </c>
      <c r="AD16" s="98" t="s">
        <v>53</v>
      </c>
      <c r="AE16" s="98" t="s">
        <v>34</v>
      </c>
      <c r="AF16" s="99">
        <v>4</v>
      </c>
      <c r="AR16" s="98" t="s">
        <v>50</v>
      </c>
      <c r="AS16" s="98" t="s">
        <v>75</v>
      </c>
      <c r="AT16" s="99">
        <v>1</v>
      </c>
      <c r="AU16" s="98" t="s">
        <v>55</v>
      </c>
      <c r="AV16" s="98" t="s">
        <v>75</v>
      </c>
      <c r="AW16" s="99">
        <v>1</v>
      </c>
      <c r="AX16" s="98" t="s">
        <v>54</v>
      </c>
      <c r="AY16" s="98" t="s">
        <v>75</v>
      </c>
      <c r="AZ16" s="99">
        <v>1</v>
      </c>
    </row>
    <row r="17" spans="1:52" x14ac:dyDescent="0.2">
      <c r="A17" s="20"/>
      <c r="B17" s="20"/>
      <c r="D17" t="s">
        <v>45</v>
      </c>
      <c r="E17" t="s">
        <v>75</v>
      </c>
      <c r="F17">
        <v>8</v>
      </c>
      <c r="G17" s="98" t="s">
        <v>45</v>
      </c>
      <c r="H17" s="98" t="s">
        <v>75</v>
      </c>
      <c r="I17" s="99">
        <v>8</v>
      </c>
      <c r="J17" t="s">
        <v>45</v>
      </c>
      <c r="K17" t="s">
        <v>75</v>
      </c>
      <c r="L17">
        <v>7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98" t="s">
        <v>50</v>
      </c>
      <c r="Y17" s="98" t="s">
        <v>75</v>
      </c>
      <c r="Z17" s="99">
        <v>1</v>
      </c>
      <c r="AA17" s="98" t="s">
        <v>53</v>
      </c>
      <c r="AB17" s="98" t="s">
        <v>75</v>
      </c>
      <c r="AC17" s="99">
        <v>3</v>
      </c>
      <c r="AD17" s="98" t="s">
        <v>53</v>
      </c>
      <c r="AE17" s="98" t="s">
        <v>75</v>
      </c>
      <c r="AF17" s="99">
        <v>1</v>
      </c>
      <c r="AR17" s="98" t="s">
        <v>52</v>
      </c>
      <c r="AS17" s="98" t="s">
        <v>75</v>
      </c>
      <c r="AT17" s="99">
        <v>3</v>
      </c>
      <c r="AU17" s="98" t="s">
        <v>56</v>
      </c>
      <c r="AV17" s="98" t="s">
        <v>75</v>
      </c>
      <c r="AW17" s="99">
        <v>5</v>
      </c>
      <c r="AX17" s="98" t="s">
        <v>55</v>
      </c>
      <c r="AY17" s="98" t="s">
        <v>75</v>
      </c>
      <c r="AZ17" s="99">
        <v>4</v>
      </c>
    </row>
    <row r="18" spans="1:52" x14ac:dyDescent="0.2">
      <c r="A18" s="20"/>
      <c r="B18" s="20"/>
      <c r="D18" t="s">
        <v>46</v>
      </c>
      <c r="E18" t="s">
        <v>34</v>
      </c>
      <c r="F18">
        <v>1</v>
      </c>
      <c r="G18" s="98" t="s">
        <v>46</v>
      </c>
      <c r="H18" s="98" t="s">
        <v>34</v>
      </c>
      <c r="I18" s="99">
        <v>2</v>
      </c>
      <c r="J18" t="s">
        <v>46</v>
      </c>
      <c r="K18" t="s">
        <v>34</v>
      </c>
      <c r="L18">
        <v>2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1" t="s">
        <v>47</v>
      </c>
      <c r="T18" t="s">
        <v>75</v>
      </c>
      <c r="U18">
        <v>2</v>
      </c>
      <c r="V18">
        <v>1</v>
      </c>
      <c r="X18" s="98" t="s">
        <v>52</v>
      </c>
      <c r="Y18" s="98" t="s">
        <v>34</v>
      </c>
      <c r="Z18" s="99">
        <v>1</v>
      </c>
      <c r="AA18" s="98" t="s">
        <v>56</v>
      </c>
      <c r="AB18" s="98" t="s">
        <v>75</v>
      </c>
      <c r="AC18" s="99">
        <v>4</v>
      </c>
      <c r="AD18" s="98" t="s">
        <v>54</v>
      </c>
      <c r="AE18" s="98" t="s">
        <v>75</v>
      </c>
      <c r="AF18" s="99">
        <v>1</v>
      </c>
      <c r="AR18" s="98" t="s">
        <v>53</v>
      </c>
      <c r="AS18" s="98" t="s">
        <v>34</v>
      </c>
      <c r="AT18" s="99">
        <v>1</v>
      </c>
      <c r="AU18" s="98" t="s">
        <v>58</v>
      </c>
      <c r="AV18" s="98" t="s">
        <v>75</v>
      </c>
      <c r="AW18" s="99">
        <v>1</v>
      </c>
      <c r="AX18" s="98" t="s">
        <v>56</v>
      </c>
      <c r="AY18" s="98" t="s">
        <v>34</v>
      </c>
      <c r="AZ18" s="99">
        <v>2</v>
      </c>
    </row>
    <row r="19" spans="1:52" x14ac:dyDescent="0.2">
      <c r="A19" s="20"/>
      <c r="B19" s="20"/>
      <c r="D19" t="s">
        <v>46</v>
      </c>
      <c r="E19" t="s">
        <v>75</v>
      </c>
      <c r="F19">
        <v>1</v>
      </c>
      <c r="G19" s="98" t="s">
        <v>46</v>
      </c>
      <c r="H19" s="98" t="s">
        <v>75</v>
      </c>
      <c r="I19" s="99">
        <v>1</v>
      </c>
      <c r="J19" t="s">
        <v>46</v>
      </c>
      <c r="K19" t="s">
        <v>75</v>
      </c>
      <c r="L19">
        <v>1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1" t="s">
        <v>48</v>
      </c>
      <c r="T19" t="s">
        <v>75</v>
      </c>
      <c r="X19" s="98" t="s">
        <v>52</v>
      </c>
      <c r="Y19" s="98" t="s">
        <v>75</v>
      </c>
      <c r="Z19" s="99">
        <v>3</v>
      </c>
      <c r="AA19" s="98" t="s">
        <v>58</v>
      </c>
      <c r="AB19" s="98" t="s">
        <v>34</v>
      </c>
      <c r="AC19" s="99">
        <v>1</v>
      </c>
      <c r="AD19" s="98" t="s">
        <v>55</v>
      </c>
      <c r="AE19" s="98" t="s">
        <v>75</v>
      </c>
      <c r="AF19" s="99">
        <v>2</v>
      </c>
      <c r="AR19" s="98" t="s">
        <v>53</v>
      </c>
      <c r="AS19" s="98" t="s">
        <v>75</v>
      </c>
      <c r="AT19" s="99">
        <v>4</v>
      </c>
      <c r="AU19" s="98" t="s">
        <v>62</v>
      </c>
      <c r="AV19" s="98" t="s">
        <v>75</v>
      </c>
      <c r="AW19" s="99">
        <v>1</v>
      </c>
      <c r="AX19" s="98" t="s">
        <v>56</v>
      </c>
      <c r="AY19" s="98" t="s">
        <v>75</v>
      </c>
      <c r="AZ19" s="99">
        <v>2</v>
      </c>
    </row>
    <row r="20" spans="1:52" x14ac:dyDescent="0.2">
      <c r="A20" s="20"/>
      <c r="B20" s="20"/>
      <c r="D20" t="s">
        <v>47</v>
      </c>
      <c r="E20" t="s">
        <v>34</v>
      </c>
      <c r="F20">
        <v>1</v>
      </c>
      <c r="G20" s="98" t="s">
        <v>47</v>
      </c>
      <c r="H20" s="98" t="s">
        <v>34</v>
      </c>
      <c r="I20" s="99">
        <v>1</v>
      </c>
      <c r="J20" t="s">
        <v>47</v>
      </c>
      <c r="K20" t="s">
        <v>34</v>
      </c>
      <c r="L20">
        <v>1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98" t="s">
        <v>53</v>
      </c>
      <c r="Y20" s="98" t="s">
        <v>34</v>
      </c>
      <c r="Z20" s="99">
        <v>3</v>
      </c>
      <c r="AA20" s="98" t="s">
        <v>58</v>
      </c>
      <c r="AB20" s="98" t="s">
        <v>75</v>
      </c>
      <c r="AC20" s="99">
        <v>1</v>
      </c>
      <c r="AD20" s="98" t="s">
        <v>56</v>
      </c>
      <c r="AE20" s="98" t="s">
        <v>34</v>
      </c>
      <c r="AF20" s="99">
        <v>1</v>
      </c>
      <c r="AR20" s="98" t="s">
        <v>55</v>
      </c>
      <c r="AS20" s="98" t="s">
        <v>34</v>
      </c>
      <c r="AT20" s="99">
        <v>2</v>
      </c>
      <c r="AU20" s="98" t="s">
        <v>67</v>
      </c>
      <c r="AV20" s="98" t="s">
        <v>34</v>
      </c>
      <c r="AW20" s="99">
        <v>1</v>
      </c>
      <c r="AX20" s="98" t="s">
        <v>58</v>
      </c>
      <c r="AY20" s="98" t="s">
        <v>34</v>
      </c>
      <c r="AZ20" s="99">
        <v>1</v>
      </c>
    </row>
    <row r="21" spans="1:52" x14ac:dyDescent="0.2">
      <c r="A21" s="20"/>
      <c r="B21" s="20"/>
      <c r="D21" t="s">
        <v>47</v>
      </c>
      <c r="E21" t="s">
        <v>75</v>
      </c>
      <c r="F21">
        <v>7</v>
      </c>
      <c r="G21" s="98" t="s">
        <v>47</v>
      </c>
      <c r="H21" s="98" t="s">
        <v>75</v>
      </c>
      <c r="I21" s="99">
        <v>6</v>
      </c>
      <c r="J21" t="s">
        <v>47</v>
      </c>
      <c r="K21" t="s">
        <v>75</v>
      </c>
      <c r="L21">
        <v>7</v>
      </c>
      <c r="N21" t="s">
        <v>50</v>
      </c>
      <c r="O21" t="s">
        <v>34</v>
      </c>
      <c r="P21">
        <v>1</v>
      </c>
      <c r="S21" s="61" t="s">
        <v>49</v>
      </c>
      <c r="T21" t="s">
        <v>75</v>
      </c>
      <c r="V21">
        <v>2</v>
      </c>
      <c r="X21" s="98" t="s">
        <v>53</v>
      </c>
      <c r="Y21" s="98" t="s">
        <v>75</v>
      </c>
      <c r="Z21" s="99">
        <v>4</v>
      </c>
      <c r="AA21" s="98" t="s">
        <v>61</v>
      </c>
      <c r="AB21" s="98" t="s">
        <v>75</v>
      </c>
      <c r="AC21" s="99">
        <v>1</v>
      </c>
      <c r="AD21" s="98" t="s">
        <v>58</v>
      </c>
      <c r="AE21" s="98" t="s">
        <v>34</v>
      </c>
      <c r="AF21" s="99">
        <v>2</v>
      </c>
      <c r="AR21" s="98" t="s">
        <v>56</v>
      </c>
      <c r="AS21" s="98" t="s">
        <v>75</v>
      </c>
      <c r="AT21" s="99">
        <v>6</v>
      </c>
      <c r="AU21" s="98" t="s">
        <v>67</v>
      </c>
      <c r="AV21" s="98" t="s">
        <v>75</v>
      </c>
      <c r="AW21" s="99">
        <v>1</v>
      </c>
      <c r="AX21" s="98" t="s">
        <v>58</v>
      </c>
      <c r="AY21" s="98" t="s">
        <v>75</v>
      </c>
      <c r="AZ21" s="99">
        <v>2</v>
      </c>
    </row>
    <row r="22" spans="1:52" x14ac:dyDescent="0.2">
      <c r="A22" s="20"/>
      <c r="B22" s="20"/>
      <c r="D22" t="s">
        <v>48</v>
      </c>
      <c r="E22" t="s">
        <v>34</v>
      </c>
      <c r="F22">
        <v>7</v>
      </c>
      <c r="G22" s="98" t="s">
        <v>48</v>
      </c>
      <c r="H22" s="98" t="s">
        <v>34</v>
      </c>
      <c r="I22" s="99">
        <v>7</v>
      </c>
      <c r="J22" t="s">
        <v>48</v>
      </c>
      <c r="K22" t="s">
        <v>34</v>
      </c>
      <c r="L22">
        <v>8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98" t="s">
        <v>55</v>
      </c>
      <c r="Y22" s="98" t="s">
        <v>75</v>
      </c>
      <c r="Z22" s="99">
        <v>2</v>
      </c>
      <c r="AA22" s="98" t="s">
        <v>62</v>
      </c>
      <c r="AB22" s="98" t="s">
        <v>34</v>
      </c>
      <c r="AC22" s="99">
        <v>1</v>
      </c>
      <c r="AD22" s="98" t="s">
        <v>58</v>
      </c>
      <c r="AE22" s="98" t="s">
        <v>75</v>
      </c>
      <c r="AF22" s="99">
        <v>2</v>
      </c>
      <c r="AR22" s="98" t="s">
        <v>58</v>
      </c>
      <c r="AS22" s="98" t="s">
        <v>75</v>
      </c>
      <c r="AT22" s="99">
        <v>2</v>
      </c>
      <c r="AU22" s="98" t="s">
        <v>68</v>
      </c>
      <c r="AV22" s="98" t="s">
        <v>75</v>
      </c>
      <c r="AW22" s="99">
        <v>2</v>
      </c>
      <c r="AX22" s="98" t="s">
        <v>61</v>
      </c>
      <c r="AY22" s="98" t="s">
        <v>75</v>
      </c>
      <c r="AZ22" s="99">
        <v>2</v>
      </c>
    </row>
    <row r="23" spans="1:52" x14ac:dyDescent="0.2">
      <c r="A23" s="20"/>
      <c r="B23" s="20"/>
      <c r="D23" t="s">
        <v>48</v>
      </c>
      <c r="E23" t="s">
        <v>75</v>
      </c>
      <c r="F23">
        <v>9</v>
      </c>
      <c r="G23" s="98" t="s">
        <v>48</v>
      </c>
      <c r="H23" s="98" t="s">
        <v>75</v>
      </c>
      <c r="I23" s="99">
        <v>12</v>
      </c>
      <c r="J23" t="s">
        <v>48</v>
      </c>
      <c r="K23" t="s">
        <v>75</v>
      </c>
      <c r="L23">
        <v>11</v>
      </c>
      <c r="N23" t="s">
        <v>51</v>
      </c>
      <c r="O23" t="s">
        <v>75</v>
      </c>
      <c r="P23">
        <v>1</v>
      </c>
      <c r="S23" s="61" t="s">
        <v>50</v>
      </c>
      <c r="T23" t="s">
        <v>75</v>
      </c>
      <c r="X23" s="98" t="s">
        <v>56</v>
      </c>
      <c r="Y23" s="98" t="s">
        <v>34</v>
      </c>
      <c r="Z23" s="99">
        <v>1</v>
      </c>
      <c r="AA23" s="98" t="s">
        <v>67</v>
      </c>
      <c r="AB23" s="98" t="s">
        <v>75</v>
      </c>
      <c r="AC23" s="99">
        <v>1</v>
      </c>
      <c r="AD23" s="98" t="s">
        <v>61</v>
      </c>
      <c r="AE23" s="98" t="s">
        <v>75</v>
      </c>
      <c r="AF23" s="99">
        <v>2</v>
      </c>
      <c r="AR23" s="98" t="s">
        <v>61</v>
      </c>
      <c r="AS23" s="98" t="s">
        <v>75</v>
      </c>
      <c r="AT23" s="99">
        <v>3</v>
      </c>
      <c r="AU23" s="98" t="s">
        <v>69</v>
      </c>
      <c r="AV23" s="98" t="s">
        <v>34</v>
      </c>
      <c r="AW23" s="99">
        <v>1</v>
      </c>
      <c r="AX23" s="98" t="s">
        <v>64</v>
      </c>
      <c r="AY23" s="98" t="s">
        <v>75</v>
      </c>
      <c r="AZ23" s="99">
        <v>1</v>
      </c>
    </row>
    <row r="24" spans="1:52" x14ac:dyDescent="0.2">
      <c r="A24" s="20"/>
      <c r="B24" s="20"/>
      <c r="D24" t="s">
        <v>49</v>
      </c>
      <c r="E24" t="s">
        <v>34</v>
      </c>
      <c r="F24">
        <v>1</v>
      </c>
      <c r="G24" s="98" t="s">
        <v>49</v>
      </c>
      <c r="H24" s="98" t="s">
        <v>34</v>
      </c>
      <c r="I24" s="99">
        <v>1</v>
      </c>
      <c r="J24" t="s">
        <v>49</v>
      </c>
      <c r="K24" t="s">
        <v>75</v>
      </c>
      <c r="L24">
        <v>2</v>
      </c>
      <c r="N24" t="s">
        <v>52</v>
      </c>
      <c r="O24" t="s">
        <v>34</v>
      </c>
      <c r="P24">
        <v>2</v>
      </c>
      <c r="Q24">
        <v>2</v>
      </c>
      <c r="S24" s="61" t="s">
        <v>51</v>
      </c>
      <c r="T24" t="s">
        <v>75</v>
      </c>
      <c r="X24" s="98" t="s">
        <v>56</v>
      </c>
      <c r="Y24" s="98" t="s">
        <v>75</v>
      </c>
      <c r="Z24" s="99">
        <v>7</v>
      </c>
      <c r="AA24" s="98" t="s">
        <v>68</v>
      </c>
      <c r="AB24" s="98" t="s">
        <v>75</v>
      </c>
      <c r="AC24" s="99">
        <v>2</v>
      </c>
      <c r="AD24" s="98" t="s">
        <v>62</v>
      </c>
      <c r="AE24" s="98" t="s">
        <v>34</v>
      </c>
      <c r="AF24" s="99">
        <v>1</v>
      </c>
      <c r="AR24" s="98" t="s">
        <v>62</v>
      </c>
      <c r="AS24" s="98" t="s">
        <v>34</v>
      </c>
      <c r="AT24" s="99">
        <v>1</v>
      </c>
      <c r="AU24" s="98" t="s">
        <v>69</v>
      </c>
      <c r="AV24" s="98" t="s">
        <v>75</v>
      </c>
      <c r="AW24" s="99">
        <v>7</v>
      </c>
      <c r="AX24" s="98" t="s">
        <v>69</v>
      </c>
      <c r="AY24" s="98" t="s">
        <v>34</v>
      </c>
      <c r="AZ24" s="99">
        <v>4</v>
      </c>
    </row>
    <row r="25" spans="1:52" x14ac:dyDescent="0.2">
      <c r="A25" s="20"/>
      <c r="B25" s="20"/>
      <c r="D25" t="s">
        <v>49</v>
      </c>
      <c r="E25" t="s">
        <v>75</v>
      </c>
      <c r="F25">
        <v>3</v>
      </c>
      <c r="G25" s="98" t="s">
        <v>49</v>
      </c>
      <c r="H25" s="98" t="s">
        <v>75</v>
      </c>
      <c r="I25" s="99">
        <v>2</v>
      </c>
      <c r="J25" t="s">
        <v>50</v>
      </c>
      <c r="K25" t="s">
        <v>75</v>
      </c>
      <c r="L25">
        <v>6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98" t="s">
        <v>58</v>
      </c>
      <c r="Y25" s="98" t="s">
        <v>34</v>
      </c>
      <c r="Z25" s="99">
        <v>1</v>
      </c>
      <c r="AA25" s="98" t="s">
        <v>69</v>
      </c>
      <c r="AB25" s="98" t="s">
        <v>75</v>
      </c>
      <c r="AC25" s="99">
        <v>13</v>
      </c>
      <c r="AD25" s="98" t="s">
        <v>64</v>
      </c>
      <c r="AE25" s="98" t="s">
        <v>75</v>
      </c>
      <c r="AF25" s="99">
        <v>2</v>
      </c>
      <c r="AR25" s="98" t="s">
        <v>62</v>
      </c>
      <c r="AS25" s="98" t="s">
        <v>75</v>
      </c>
      <c r="AT25" s="99">
        <v>1</v>
      </c>
      <c r="AU25" s="79"/>
      <c r="AV25" s="79"/>
      <c r="AW25" s="80"/>
      <c r="AX25" s="98" t="s">
        <v>69</v>
      </c>
      <c r="AY25" s="98" t="s">
        <v>75</v>
      </c>
      <c r="AZ25" s="99">
        <v>19</v>
      </c>
    </row>
    <row r="26" spans="1:52" x14ac:dyDescent="0.2">
      <c r="A26" s="20"/>
      <c r="B26" s="20"/>
      <c r="D26" t="s">
        <v>50</v>
      </c>
      <c r="E26" t="s">
        <v>75</v>
      </c>
      <c r="F26">
        <v>6</v>
      </c>
      <c r="G26" s="98" t="s">
        <v>50</v>
      </c>
      <c r="H26" s="98" t="s">
        <v>75</v>
      </c>
      <c r="I26" s="99">
        <v>6</v>
      </c>
      <c r="J26" t="s">
        <v>51</v>
      </c>
      <c r="K26" t="s">
        <v>75</v>
      </c>
      <c r="L26">
        <v>2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1" t="s">
        <v>52</v>
      </c>
      <c r="T26" t="s">
        <v>75</v>
      </c>
      <c r="U26">
        <v>7</v>
      </c>
      <c r="V26">
        <v>8</v>
      </c>
      <c r="W26">
        <v>6</v>
      </c>
      <c r="X26" s="98" t="s">
        <v>58</v>
      </c>
      <c r="Y26" s="98" t="s">
        <v>75</v>
      </c>
      <c r="Z26" s="99">
        <v>1</v>
      </c>
      <c r="AA26" s="79"/>
      <c r="AB26" s="79"/>
      <c r="AC26" s="80"/>
      <c r="AD26" s="98" t="s">
        <v>69</v>
      </c>
      <c r="AE26" s="98" t="s">
        <v>34</v>
      </c>
      <c r="AF26" s="99">
        <v>2</v>
      </c>
      <c r="AR26" s="98" t="s">
        <v>69</v>
      </c>
      <c r="AS26" s="98" t="s">
        <v>34</v>
      </c>
      <c r="AT26" s="99">
        <v>1</v>
      </c>
      <c r="AU26" s="79"/>
      <c r="AV26" s="79"/>
      <c r="AW26" s="80"/>
    </row>
    <row r="27" spans="1:52" x14ac:dyDescent="0.2">
      <c r="A27" s="20"/>
      <c r="B27" s="20"/>
      <c r="D27" t="s">
        <v>51</v>
      </c>
      <c r="E27" t="s">
        <v>75</v>
      </c>
      <c r="F27">
        <v>2</v>
      </c>
      <c r="G27" s="98" t="s">
        <v>51</v>
      </c>
      <c r="H27" s="98" t="s">
        <v>75</v>
      </c>
      <c r="I27" s="99">
        <v>2</v>
      </c>
      <c r="J27" t="s">
        <v>52</v>
      </c>
      <c r="K27" t="s">
        <v>34</v>
      </c>
      <c r="L27">
        <v>14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98" t="s">
        <v>60</v>
      </c>
      <c r="Y27" s="98" t="s">
        <v>75</v>
      </c>
      <c r="Z27" s="99">
        <v>1</v>
      </c>
      <c r="AA27" s="79"/>
      <c r="AB27" s="79"/>
      <c r="AC27" s="80"/>
      <c r="AD27" s="98" t="s">
        <v>69</v>
      </c>
      <c r="AE27" s="98" t="s">
        <v>75</v>
      </c>
      <c r="AF27" s="99">
        <v>14</v>
      </c>
      <c r="AR27" s="98" t="s">
        <v>69</v>
      </c>
      <c r="AS27" s="98" t="s">
        <v>75</v>
      </c>
      <c r="AT27" s="99">
        <v>32</v>
      </c>
      <c r="AU27" s="79"/>
      <c r="AV27" s="79"/>
      <c r="AW27" s="80"/>
    </row>
    <row r="28" spans="1:52" x14ac:dyDescent="0.2">
      <c r="A28" s="20"/>
      <c r="B28" s="20"/>
      <c r="D28" t="s">
        <v>52</v>
      </c>
      <c r="E28" t="s">
        <v>34</v>
      </c>
      <c r="F28">
        <v>13</v>
      </c>
      <c r="G28" s="98" t="s">
        <v>52</v>
      </c>
      <c r="H28" s="98" t="s">
        <v>34</v>
      </c>
      <c r="I28" s="99">
        <v>14</v>
      </c>
      <c r="J28" t="s">
        <v>52</v>
      </c>
      <c r="K28" t="s">
        <v>75</v>
      </c>
      <c r="L28">
        <v>29</v>
      </c>
      <c r="N28" t="s">
        <v>54</v>
      </c>
      <c r="O28" t="s">
        <v>75</v>
      </c>
      <c r="P28">
        <v>3</v>
      </c>
      <c r="Q28">
        <v>5</v>
      </c>
      <c r="S28" s="61" t="s">
        <v>53</v>
      </c>
      <c r="T28" t="s">
        <v>75</v>
      </c>
      <c r="U28">
        <v>13</v>
      </c>
      <c r="V28">
        <v>7</v>
      </c>
      <c r="W28">
        <v>2</v>
      </c>
      <c r="X28" s="98" t="s">
        <v>61</v>
      </c>
      <c r="Y28" s="98" t="s">
        <v>75</v>
      </c>
      <c r="Z28" s="99">
        <v>4</v>
      </c>
      <c r="AU28" s="79"/>
      <c r="AV28" s="79"/>
      <c r="AW28" s="80"/>
    </row>
    <row r="29" spans="1:52" x14ac:dyDescent="0.2">
      <c r="A29" s="20"/>
      <c r="B29" s="20"/>
      <c r="D29" t="s">
        <v>52</v>
      </c>
      <c r="E29" t="s">
        <v>75</v>
      </c>
      <c r="F29">
        <v>27</v>
      </c>
      <c r="G29" s="98" t="s">
        <v>52</v>
      </c>
      <c r="H29" s="98" t="s">
        <v>75</v>
      </c>
      <c r="I29" s="99">
        <v>28</v>
      </c>
      <c r="J29" t="s">
        <v>53</v>
      </c>
      <c r="K29" t="s">
        <v>34</v>
      </c>
      <c r="L29">
        <v>20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1" t="s">
        <v>54</v>
      </c>
      <c r="T29" t="s">
        <v>75</v>
      </c>
      <c r="U29">
        <v>4</v>
      </c>
      <c r="V29">
        <v>2</v>
      </c>
      <c r="X29" s="98" t="s">
        <v>67</v>
      </c>
      <c r="Y29" s="98" t="s">
        <v>34</v>
      </c>
      <c r="Z29" s="99">
        <v>2</v>
      </c>
      <c r="AU29" s="79"/>
      <c r="AV29" s="79"/>
      <c r="AW29" s="80"/>
    </row>
    <row r="30" spans="1:52" x14ac:dyDescent="0.2">
      <c r="A30" s="20"/>
      <c r="B30" s="20"/>
      <c r="D30" t="s">
        <v>53</v>
      </c>
      <c r="E30" t="s">
        <v>34</v>
      </c>
      <c r="F30">
        <v>18</v>
      </c>
      <c r="G30" s="98" t="s">
        <v>53</v>
      </c>
      <c r="H30" s="98" t="s">
        <v>34</v>
      </c>
      <c r="I30" s="99">
        <v>19</v>
      </c>
      <c r="J30" t="s">
        <v>53</v>
      </c>
      <c r="K30" t="s">
        <v>75</v>
      </c>
      <c r="L30">
        <v>43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98" t="s">
        <v>69</v>
      </c>
      <c r="Y30" s="98" t="s">
        <v>34</v>
      </c>
      <c r="Z30" s="99">
        <v>3</v>
      </c>
      <c r="AU30" s="79"/>
      <c r="AV30" s="79"/>
      <c r="AW30" s="80"/>
    </row>
    <row r="31" spans="1:52" x14ac:dyDescent="0.2">
      <c r="A31" s="20"/>
      <c r="B31" s="20"/>
      <c r="D31" t="s">
        <v>53</v>
      </c>
      <c r="E31" t="s">
        <v>75</v>
      </c>
      <c r="F31">
        <v>40</v>
      </c>
      <c r="G31" s="98" t="s">
        <v>53</v>
      </c>
      <c r="H31" s="98" t="s">
        <v>75</v>
      </c>
      <c r="I31" s="99">
        <v>40</v>
      </c>
      <c r="J31" t="s">
        <v>54</v>
      </c>
      <c r="K31" t="s">
        <v>75</v>
      </c>
      <c r="L31">
        <v>6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1" t="s">
        <v>55</v>
      </c>
      <c r="T31" t="s">
        <v>75</v>
      </c>
      <c r="U31">
        <v>4</v>
      </c>
      <c r="V31">
        <v>3</v>
      </c>
      <c r="W31">
        <v>1</v>
      </c>
      <c r="X31" s="98" t="s">
        <v>69</v>
      </c>
      <c r="Y31" s="98" t="s">
        <v>75</v>
      </c>
      <c r="Z31" s="99">
        <v>22</v>
      </c>
      <c r="AU31" s="79"/>
      <c r="AV31" s="79"/>
      <c r="AW31" s="80"/>
    </row>
    <row r="32" spans="1:52" x14ac:dyDescent="0.2">
      <c r="A32" s="20"/>
      <c r="B32" s="20"/>
      <c r="D32" t="s">
        <v>54</v>
      </c>
      <c r="E32" t="s">
        <v>75</v>
      </c>
      <c r="F32">
        <v>6</v>
      </c>
      <c r="G32" s="98" t="s">
        <v>54</v>
      </c>
      <c r="H32" s="98" t="s">
        <v>75</v>
      </c>
      <c r="I32" s="99">
        <v>6</v>
      </c>
      <c r="J32" t="s">
        <v>55</v>
      </c>
      <c r="K32" t="s">
        <v>34</v>
      </c>
      <c r="L32">
        <v>7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U32" s="79"/>
      <c r="AV32" s="79"/>
      <c r="AW32" s="80"/>
    </row>
    <row r="33" spans="1:49" x14ac:dyDescent="0.2">
      <c r="A33" s="20"/>
      <c r="B33" s="20"/>
      <c r="D33" t="s">
        <v>55</v>
      </c>
      <c r="E33" t="s">
        <v>34</v>
      </c>
      <c r="F33">
        <v>9</v>
      </c>
      <c r="G33" s="98" t="s">
        <v>55</v>
      </c>
      <c r="H33" s="98" t="s">
        <v>34</v>
      </c>
      <c r="I33" s="99">
        <v>7</v>
      </c>
      <c r="J33" t="s">
        <v>55</v>
      </c>
      <c r="K33" t="s">
        <v>75</v>
      </c>
      <c r="L33">
        <v>25</v>
      </c>
      <c r="N33" t="s">
        <v>58</v>
      </c>
      <c r="O33" t="s">
        <v>34</v>
      </c>
      <c r="R33">
        <v>1</v>
      </c>
      <c r="S33" s="61" t="s">
        <v>56</v>
      </c>
      <c r="T33" t="s">
        <v>75</v>
      </c>
      <c r="U33">
        <v>9</v>
      </c>
      <c r="V33">
        <v>2</v>
      </c>
      <c r="AU33" s="79"/>
      <c r="AV33" s="79"/>
      <c r="AW33" s="80"/>
    </row>
    <row r="34" spans="1:49" x14ac:dyDescent="0.2">
      <c r="A34" s="33"/>
      <c r="B34" s="20"/>
      <c r="D34" t="s">
        <v>55</v>
      </c>
      <c r="E34" t="s">
        <v>75</v>
      </c>
      <c r="F34">
        <v>23</v>
      </c>
      <c r="G34" s="98" t="s">
        <v>55</v>
      </c>
      <c r="H34" s="98" t="s">
        <v>75</v>
      </c>
      <c r="I34" s="99">
        <v>25</v>
      </c>
      <c r="J34" t="s">
        <v>56</v>
      </c>
      <c r="K34" t="s">
        <v>34</v>
      </c>
      <c r="L34">
        <v>18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1" t="s">
        <v>57</v>
      </c>
      <c r="T34" t="s">
        <v>75</v>
      </c>
      <c r="V34">
        <v>2</v>
      </c>
      <c r="AU34" s="79"/>
      <c r="AV34" s="79"/>
      <c r="AW34" s="80"/>
    </row>
    <row r="35" spans="1:49" x14ac:dyDescent="0.2">
      <c r="A35" s="20"/>
      <c r="B35" s="20"/>
      <c r="D35" t="s">
        <v>56</v>
      </c>
      <c r="E35" t="s">
        <v>34</v>
      </c>
      <c r="F35">
        <v>17</v>
      </c>
      <c r="G35" s="98" t="s">
        <v>56</v>
      </c>
      <c r="H35" s="98" t="s">
        <v>34</v>
      </c>
      <c r="I35" s="99">
        <v>18</v>
      </c>
      <c r="J35" t="s">
        <v>56</v>
      </c>
      <c r="K35" t="s">
        <v>75</v>
      </c>
      <c r="L35">
        <v>30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U35" s="79"/>
      <c r="AV35" s="79"/>
      <c r="AW35" s="80"/>
    </row>
    <row r="36" spans="1:49" x14ac:dyDescent="0.2">
      <c r="A36" s="20"/>
      <c r="B36" s="20"/>
      <c r="D36" t="s">
        <v>56</v>
      </c>
      <c r="E36" t="s">
        <v>75</v>
      </c>
      <c r="F36">
        <v>29</v>
      </c>
      <c r="G36" s="98" t="s">
        <v>56</v>
      </c>
      <c r="H36" s="98" t="s">
        <v>75</v>
      </c>
      <c r="I36" s="99">
        <v>30</v>
      </c>
      <c r="J36" t="s">
        <v>57</v>
      </c>
      <c r="K36" t="s">
        <v>75</v>
      </c>
      <c r="L36">
        <v>3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1" t="s">
        <v>58</v>
      </c>
      <c r="T36" t="s">
        <v>75</v>
      </c>
      <c r="U36">
        <v>5</v>
      </c>
      <c r="V36">
        <v>3</v>
      </c>
      <c r="AU36" s="79"/>
      <c r="AV36" s="79"/>
      <c r="AW36" s="80"/>
    </row>
    <row r="37" spans="1:49" x14ac:dyDescent="0.2">
      <c r="A37" s="20"/>
      <c r="B37" s="20"/>
      <c r="D37" t="s">
        <v>57</v>
      </c>
      <c r="E37" t="s">
        <v>75</v>
      </c>
      <c r="F37">
        <v>3</v>
      </c>
      <c r="G37" s="98" t="s">
        <v>57</v>
      </c>
      <c r="H37" s="98" t="s">
        <v>75</v>
      </c>
      <c r="I37" s="99">
        <v>3</v>
      </c>
      <c r="J37" t="s">
        <v>58</v>
      </c>
      <c r="K37" t="s">
        <v>34</v>
      </c>
      <c r="L37">
        <v>5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</row>
    <row r="38" spans="1:49" x14ac:dyDescent="0.2">
      <c r="A38" s="20"/>
      <c r="B38" s="20"/>
      <c r="D38" t="s">
        <v>58</v>
      </c>
      <c r="E38" t="s">
        <v>34</v>
      </c>
      <c r="F38">
        <v>3</v>
      </c>
      <c r="G38" s="98" t="s">
        <v>58</v>
      </c>
      <c r="H38" s="98" t="s">
        <v>34</v>
      </c>
      <c r="I38" s="99">
        <v>4</v>
      </c>
      <c r="J38" t="s">
        <v>58</v>
      </c>
      <c r="K38" t="s">
        <v>75</v>
      </c>
      <c r="L38">
        <v>12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1" t="s">
        <v>60</v>
      </c>
      <c r="T38" t="s">
        <v>75</v>
      </c>
      <c r="U38">
        <v>2</v>
      </c>
    </row>
    <row r="39" spans="1:49" x14ac:dyDescent="0.2">
      <c r="A39" s="20"/>
      <c r="B39" s="20"/>
      <c r="D39" t="s">
        <v>58</v>
      </c>
      <c r="E39" t="s">
        <v>75</v>
      </c>
      <c r="F39">
        <v>13</v>
      </c>
      <c r="G39" s="98" t="s">
        <v>58</v>
      </c>
      <c r="H39" s="98" t="s">
        <v>75</v>
      </c>
      <c r="I39" s="99">
        <v>12</v>
      </c>
      <c r="J39" t="s">
        <v>60</v>
      </c>
      <c r="K39" t="s">
        <v>34</v>
      </c>
      <c r="L39">
        <v>2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1" t="s">
        <v>61</v>
      </c>
      <c r="T39" t="s">
        <v>75</v>
      </c>
      <c r="U39">
        <v>8</v>
      </c>
      <c r="W39">
        <v>7</v>
      </c>
    </row>
    <row r="40" spans="1:49" x14ac:dyDescent="0.2">
      <c r="A40" s="20"/>
      <c r="B40" s="20"/>
      <c r="D40" t="s">
        <v>60</v>
      </c>
      <c r="E40" t="s">
        <v>34</v>
      </c>
      <c r="F40">
        <v>2</v>
      </c>
      <c r="G40" s="98" t="s">
        <v>60</v>
      </c>
      <c r="H40" s="98" t="s">
        <v>34</v>
      </c>
      <c r="I40" s="99">
        <v>2</v>
      </c>
      <c r="J40" t="s">
        <v>60</v>
      </c>
      <c r="K40" t="s">
        <v>75</v>
      </c>
      <c r="L40">
        <v>3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</row>
    <row r="41" spans="1:49" x14ac:dyDescent="0.2">
      <c r="A41" s="20"/>
      <c r="B41" s="20"/>
      <c r="D41" t="s">
        <v>60</v>
      </c>
      <c r="E41" t="s">
        <v>75</v>
      </c>
      <c r="F41">
        <v>2</v>
      </c>
      <c r="G41" s="98" t="s">
        <v>60</v>
      </c>
      <c r="H41" s="98" t="s">
        <v>75</v>
      </c>
      <c r="I41" s="99">
        <v>3</v>
      </c>
      <c r="J41" t="s">
        <v>61</v>
      </c>
      <c r="K41" t="s">
        <v>75</v>
      </c>
      <c r="L41">
        <v>14</v>
      </c>
      <c r="N41" t="s">
        <v>67</v>
      </c>
      <c r="O41" t="s">
        <v>75</v>
      </c>
      <c r="P41">
        <v>1</v>
      </c>
      <c r="Q41">
        <v>2</v>
      </c>
      <c r="S41" s="61" t="s">
        <v>62</v>
      </c>
      <c r="T41" t="s">
        <v>75</v>
      </c>
      <c r="U41">
        <v>1</v>
      </c>
      <c r="V41">
        <v>7</v>
      </c>
    </row>
    <row r="42" spans="1:49" x14ac:dyDescent="0.2">
      <c r="A42" s="20"/>
      <c r="B42" s="20"/>
      <c r="D42" t="s">
        <v>61</v>
      </c>
      <c r="E42" t="s">
        <v>75</v>
      </c>
      <c r="F42">
        <v>12</v>
      </c>
      <c r="G42" s="98" t="s">
        <v>61</v>
      </c>
      <c r="H42" s="98" t="s">
        <v>75</v>
      </c>
      <c r="I42" s="99">
        <v>13</v>
      </c>
      <c r="J42" t="s">
        <v>62</v>
      </c>
      <c r="K42" t="s">
        <v>34</v>
      </c>
      <c r="L42">
        <v>2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t="s">
        <v>62</v>
      </c>
      <c r="E43" t="s">
        <v>34</v>
      </c>
      <c r="F43">
        <v>2</v>
      </c>
      <c r="G43" s="98" t="s">
        <v>62</v>
      </c>
      <c r="H43" s="98" t="s">
        <v>34</v>
      </c>
      <c r="I43" s="99">
        <v>1</v>
      </c>
      <c r="J43" t="s">
        <v>62</v>
      </c>
      <c r="K43" t="s">
        <v>75</v>
      </c>
      <c r="L43">
        <v>8</v>
      </c>
      <c r="N43" t="s">
        <v>69</v>
      </c>
      <c r="O43" t="s">
        <v>34</v>
      </c>
      <c r="P43">
        <v>4</v>
      </c>
      <c r="Q43">
        <v>2</v>
      </c>
      <c r="R43">
        <v>1</v>
      </c>
      <c r="S43" s="61" t="s">
        <v>64</v>
      </c>
      <c r="T43" t="s">
        <v>75</v>
      </c>
      <c r="V43">
        <v>2</v>
      </c>
    </row>
    <row r="44" spans="1:49" x14ac:dyDescent="0.2">
      <c r="A44" s="20"/>
      <c r="B44" s="20"/>
      <c r="D44" t="s">
        <v>62</v>
      </c>
      <c r="E44" t="s">
        <v>75</v>
      </c>
      <c r="F44">
        <v>10</v>
      </c>
      <c r="G44" s="98" t="s">
        <v>62</v>
      </c>
      <c r="H44" s="98" t="s">
        <v>75</v>
      </c>
      <c r="I44" s="99">
        <v>9</v>
      </c>
      <c r="J44" t="s">
        <v>64</v>
      </c>
      <c r="K44" t="s">
        <v>34</v>
      </c>
      <c r="L44">
        <v>2</v>
      </c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t="s">
        <v>64</v>
      </c>
      <c r="E45" t="s">
        <v>34</v>
      </c>
      <c r="F45">
        <v>2</v>
      </c>
      <c r="G45" s="98" t="s">
        <v>64</v>
      </c>
      <c r="H45" s="98" t="s">
        <v>34</v>
      </c>
      <c r="I45" s="99">
        <v>2</v>
      </c>
      <c r="J45" t="s">
        <v>64</v>
      </c>
      <c r="K45" t="s">
        <v>75</v>
      </c>
      <c r="L45">
        <v>5</v>
      </c>
      <c r="N45" t="s">
        <v>70</v>
      </c>
      <c r="O45" t="s">
        <v>75</v>
      </c>
      <c r="P45">
        <v>1</v>
      </c>
      <c r="S45" s="61" t="s">
        <v>67</v>
      </c>
      <c r="T45" t="s">
        <v>75</v>
      </c>
    </row>
    <row r="46" spans="1:49" x14ac:dyDescent="0.2">
      <c r="A46" s="20"/>
      <c r="B46" s="20"/>
      <c r="D46" t="s">
        <v>64</v>
      </c>
      <c r="E46" t="s">
        <v>75</v>
      </c>
      <c r="F46">
        <v>5</v>
      </c>
      <c r="G46" s="98" t="s">
        <v>64</v>
      </c>
      <c r="H46" s="98" t="s">
        <v>75</v>
      </c>
      <c r="I46" s="99">
        <v>5</v>
      </c>
      <c r="J46" t="s">
        <v>67</v>
      </c>
      <c r="K46" t="s">
        <v>34</v>
      </c>
      <c r="L46">
        <v>5</v>
      </c>
      <c r="S46" s="61" t="s">
        <v>68</v>
      </c>
      <c r="T46" t="s">
        <v>75</v>
      </c>
      <c r="U46">
        <v>3</v>
      </c>
    </row>
    <row r="47" spans="1:49" x14ac:dyDescent="0.2">
      <c r="A47" s="20"/>
      <c r="B47" s="20"/>
      <c r="D47" t="s">
        <v>67</v>
      </c>
      <c r="E47" t="s">
        <v>34</v>
      </c>
      <c r="F47">
        <v>4</v>
      </c>
      <c r="G47" s="98" t="s">
        <v>67</v>
      </c>
      <c r="H47" s="98" t="s">
        <v>34</v>
      </c>
      <c r="I47" s="99">
        <v>6</v>
      </c>
      <c r="J47" t="s">
        <v>68</v>
      </c>
      <c r="K47" t="s">
        <v>34</v>
      </c>
      <c r="L47">
        <v>1</v>
      </c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t="s">
        <v>68</v>
      </c>
      <c r="E48" t="s">
        <v>34</v>
      </c>
      <c r="F48">
        <v>1</v>
      </c>
      <c r="G48" s="98" t="s">
        <v>68</v>
      </c>
      <c r="H48" s="98" t="s">
        <v>34</v>
      </c>
      <c r="I48" s="99">
        <v>1</v>
      </c>
      <c r="J48" t="s">
        <v>68</v>
      </c>
      <c r="K48" t="s">
        <v>75</v>
      </c>
      <c r="L48">
        <v>3</v>
      </c>
      <c r="S48" s="61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t="s">
        <v>68</v>
      </c>
      <c r="E49" t="s">
        <v>75</v>
      </c>
      <c r="F49">
        <v>3</v>
      </c>
      <c r="G49" s="98" t="s">
        <v>68</v>
      </c>
      <c r="H49" s="98" t="s">
        <v>75</v>
      </c>
      <c r="I49" s="99">
        <v>3</v>
      </c>
      <c r="J49" t="s">
        <v>69</v>
      </c>
      <c r="K49" t="s">
        <v>34</v>
      </c>
      <c r="L49">
        <v>34</v>
      </c>
      <c r="S49" s="61" t="s">
        <v>70</v>
      </c>
      <c r="T49" t="s">
        <v>75</v>
      </c>
    </row>
    <row r="50" spans="1:20" x14ac:dyDescent="0.2">
      <c r="A50" s="20"/>
      <c r="B50" s="20"/>
      <c r="D50" t="s">
        <v>69</v>
      </c>
      <c r="E50" t="s">
        <v>34</v>
      </c>
      <c r="F50">
        <v>32</v>
      </c>
      <c r="G50" s="98" t="s">
        <v>69</v>
      </c>
      <c r="H50" s="98" t="s">
        <v>34</v>
      </c>
      <c r="I50" s="99">
        <v>35</v>
      </c>
      <c r="J50" t="s">
        <v>69</v>
      </c>
      <c r="K50" t="s">
        <v>75</v>
      </c>
      <c r="L50">
        <v>69</v>
      </c>
    </row>
    <row r="51" spans="1:20" x14ac:dyDescent="0.2">
      <c r="A51" s="20"/>
      <c r="B51" s="20"/>
      <c r="D51" t="s">
        <v>69</v>
      </c>
      <c r="E51" t="s">
        <v>75</v>
      </c>
      <c r="F51">
        <v>70</v>
      </c>
      <c r="G51" s="98" t="s">
        <v>69</v>
      </c>
      <c r="H51" s="98" t="s">
        <v>75</v>
      </c>
      <c r="I51" s="99">
        <v>61</v>
      </c>
    </row>
    <row r="52" spans="1:20" x14ac:dyDescent="0.2">
      <c r="A52" s="20"/>
      <c r="B52" s="20"/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1:AZ1"/>
    <mergeCell ref="A1:B1"/>
    <mergeCell ref="N1:AF1"/>
    <mergeCell ref="AH1:AP1"/>
    <mergeCell ref="D1:L1"/>
    <mergeCell ref="AR2:AT2"/>
    <mergeCell ref="AU2:AW2"/>
    <mergeCell ref="AX2:AZ2"/>
    <mergeCell ref="D2:F2"/>
    <mergeCell ref="G2:I2"/>
    <mergeCell ref="J2:L2"/>
    <mergeCell ref="X2:Z2"/>
    <mergeCell ref="AA2:AC2"/>
    <mergeCell ref="AD2:AF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2" t="s">
        <v>0</v>
      </c>
      <c r="B1" s="32" t="s">
        <v>133</v>
      </c>
      <c r="C1" s="32" t="s">
        <v>146</v>
      </c>
      <c r="D1" s="32" t="s">
        <v>147</v>
      </c>
      <c r="G1" s="32" t="s">
        <v>0</v>
      </c>
      <c r="H1" s="32" t="s">
        <v>133</v>
      </c>
      <c r="I1" s="32" t="s">
        <v>146</v>
      </c>
      <c r="J1" s="32" t="s">
        <v>150</v>
      </c>
      <c r="K1" s="32" t="s">
        <v>151</v>
      </c>
      <c r="Q1" s="35" t="s">
        <v>157</v>
      </c>
      <c r="S1" s="35" t="s">
        <v>150</v>
      </c>
      <c r="X1" s="32" t="s">
        <v>0</v>
      </c>
      <c r="Y1" s="32" t="s">
        <v>133</v>
      </c>
      <c r="Z1" s="32" t="s">
        <v>146</v>
      </c>
      <c r="AA1" s="32" t="s">
        <v>158</v>
      </c>
      <c r="AB1" s="32" t="s">
        <v>150</v>
      </c>
      <c r="AD1" s="35" t="s">
        <v>157</v>
      </c>
      <c r="AF1" s="35" t="s">
        <v>150</v>
      </c>
    </row>
    <row r="2" spans="1:35" ht="16" x14ac:dyDescent="0.2">
      <c r="A2" s="33" t="s">
        <v>35</v>
      </c>
      <c r="B2" s="33" t="s">
        <v>148</v>
      </c>
      <c r="C2" s="34">
        <v>78</v>
      </c>
      <c r="D2" s="34">
        <v>1</v>
      </c>
      <c r="E2" t="e">
        <f>VLOOKUP(A2,'6. Deposits 2022_Q2'!$A$3:$A$34,1,FALSE)</f>
        <v>#N/A</v>
      </c>
      <c r="G2" s="33" t="s">
        <v>35</v>
      </c>
      <c r="H2" s="33" t="s">
        <v>148</v>
      </c>
      <c r="I2" s="34">
        <v>4</v>
      </c>
      <c r="J2" s="33" t="s">
        <v>152</v>
      </c>
      <c r="K2" s="34">
        <v>0</v>
      </c>
      <c r="Q2" s="35" t="s">
        <v>133</v>
      </c>
      <c r="R2" s="35" t="s">
        <v>0</v>
      </c>
      <c r="S2" t="s">
        <v>152</v>
      </c>
      <c r="T2" t="s">
        <v>153</v>
      </c>
      <c r="U2" t="s">
        <v>154</v>
      </c>
      <c r="V2" t="s">
        <v>155</v>
      </c>
      <c r="X2" s="33" t="s">
        <v>35</v>
      </c>
      <c r="Y2" s="33" t="s">
        <v>148</v>
      </c>
      <c r="Z2" s="34">
        <v>30</v>
      </c>
      <c r="AA2" s="34">
        <v>0</v>
      </c>
      <c r="AB2" s="34">
        <v>10</v>
      </c>
      <c r="AD2" s="35" t="s">
        <v>133</v>
      </c>
      <c r="AE2" s="35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3" t="s">
        <v>36</v>
      </c>
      <c r="B3" s="33" t="s">
        <v>148</v>
      </c>
      <c r="C3" s="34">
        <v>97</v>
      </c>
      <c r="D3" s="34">
        <v>1</v>
      </c>
      <c r="E3" t="e">
        <f>VLOOKUP(A3,'6. Deposits 2022_Q2'!$A$3:$A$34,1,FALSE)</f>
        <v>#N/A</v>
      </c>
      <c r="G3" s="33" t="s">
        <v>35</v>
      </c>
      <c r="H3" s="33" t="s">
        <v>148</v>
      </c>
      <c r="I3" s="34">
        <v>9</v>
      </c>
      <c r="J3" s="33" t="s">
        <v>153</v>
      </c>
      <c r="K3" s="34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3" t="s">
        <v>35</v>
      </c>
      <c r="Y3" s="33" t="s">
        <v>148</v>
      </c>
      <c r="Z3" s="34">
        <v>16</v>
      </c>
      <c r="AA3" s="34">
        <v>0</v>
      </c>
      <c r="AB3" s="34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3" t="s">
        <v>37</v>
      </c>
      <c r="B4" s="33" t="s">
        <v>148</v>
      </c>
      <c r="C4" s="34">
        <v>47</v>
      </c>
      <c r="D4" s="34">
        <v>1</v>
      </c>
      <c r="E4" t="e">
        <f>VLOOKUP(A4,'6. Deposits 2022_Q2'!$A$3:$A$34,1,FALSE)</f>
        <v>#N/A</v>
      </c>
      <c r="G4" s="33" t="s">
        <v>35</v>
      </c>
      <c r="H4" s="33" t="s">
        <v>148</v>
      </c>
      <c r="I4" s="34">
        <v>2</v>
      </c>
      <c r="J4" s="33" t="s">
        <v>154</v>
      </c>
      <c r="K4" s="34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3" t="s">
        <v>35</v>
      </c>
      <c r="Y4" s="33" t="s">
        <v>148</v>
      </c>
      <c r="Z4" s="34">
        <v>20</v>
      </c>
      <c r="AA4" s="34">
        <v>0</v>
      </c>
      <c r="AB4" s="34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3" t="s">
        <v>40</v>
      </c>
      <c r="B5" s="33" t="s">
        <v>148</v>
      </c>
      <c r="C5" s="34">
        <v>35</v>
      </c>
      <c r="D5" s="34">
        <v>1</v>
      </c>
      <c r="E5" t="e">
        <f>VLOOKUP(A5,'6. Deposits 2022_Q2'!$A$3:$A$34,1,FALSE)</f>
        <v>#N/A</v>
      </c>
      <c r="G5" s="33" t="s">
        <v>35</v>
      </c>
      <c r="H5" s="33" t="s">
        <v>148</v>
      </c>
      <c r="I5" s="34">
        <v>6</v>
      </c>
      <c r="J5" s="33" t="s">
        <v>155</v>
      </c>
      <c r="K5" s="34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3" t="s">
        <v>35</v>
      </c>
      <c r="Y5" s="33" t="s">
        <v>149</v>
      </c>
      <c r="Z5" s="34">
        <v>344</v>
      </c>
      <c r="AA5" s="34">
        <v>0</v>
      </c>
      <c r="AB5" s="34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3" t="s">
        <v>41</v>
      </c>
      <c r="B6" s="33" t="s">
        <v>148</v>
      </c>
      <c r="C6" s="34">
        <v>2</v>
      </c>
      <c r="D6" s="34">
        <v>1</v>
      </c>
      <c r="E6" t="e">
        <f>VLOOKUP(A6,'6. Deposits 2022_Q2'!$A$3:$A$34,1,FALSE)</f>
        <v>#N/A</v>
      </c>
      <c r="G6" s="33" t="s">
        <v>35</v>
      </c>
      <c r="H6" s="33" t="s">
        <v>149</v>
      </c>
      <c r="I6" s="34">
        <v>99</v>
      </c>
      <c r="J6" s="33" t="s">
        <v>152</v>
      </c>
      <c r="K6" s="34">
        <v>0</v>
      </c>
      <c r="Q6" t="s">
        <v>148</v>
      </c>
      <c r="R6" t="s">
        <v>40</v>
      </c>
      <c r="T6">
        <v>5</v>
      </c>
      <c r="X6" s="33" t="s">
        <v>35</v>
      </c>
      <c r="Y6" s="33" t="s">
        <v>149</v>
      </c>
      <c r="Z6" s="34">
        <v>358</v>
      </c>
      <c r="AA6" s="34">
        <v>0</v>
      </c>
      <c r="AB6" s="34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3" t="s">
        <v>42</v>
      </c>
      <c r="B7" s="33" t="s">
        <v>148</v>
      </c>
      <c r="C7" s="34">
        <v>2</v>
      </c>
      <c r="D7" s="34">
        <v>1</v>
      </c>
      <c r="E7" t="e">
        <f>VLOOKUP(A7,'6. Deposits 2022_Q2'!$A$3:$A$34,1,FALSE)</f>
        <v>#N/A</v>
      </c>
      <c r="G7" s="33" t="s">
        <v>35</v>
      </c>
      <c r="H7" s="33" t="s">
        <v>149</v>
      </c>
      <c r="I7" s="34">
        <v>70</v>
      </c>
      <c r="J7" s="33" t="s">
        <v>153</v>
      </c>
      <c r="K7" s="34">
        <v>0</v>
      </c>
      <c r="Q7" t="s">
        <v>148</v>
      </c>
      <c r="R7" t="s">
        <v>44</v>
      </c>
      <c r="S7">
        <v>3</v>
      </c>
      <c r="X7" s="33" t="s">
        <v>35</v>
      </c>
      <c r="Y7" s="33" t="s">
        <v>149</v>
      </c>
      <c r="Z7" s="34">
        <v>398</v>
      </c>
      <c r="AA7" s="34">
        <v>0</v>
      </c>
      <c r="AB7" s="34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3" t="s">
        <v>44</v>
      </c>
      <c r="B8" s="33" t="s">
        <v>148</v>
      </c>
      <c r="C8" s="34">
        <v>24</v>
      </c>
      <c r="D8" s="34">
        <v>1</v>
      </c>
      <c r="E8" t="e">
        <f>VLOOKUP(A8,'6. Deposits 2022_Q2'!$A$3:$A$34,1,FALSE)</f>
        <v>#N/A</v>
      </c>
      <c r="G8" s="33" t="s">
        <v>35</v>
      </c>
      <c r="H8" s="33" t="s">
        <v>149</v>
      </c>
      <c r="I8" s="34">
        <v>26</v>
      </c>
      <c r="J8" s="33" t="s">
        <v>154</v>
      </c>
      <c r="K8" s="34">
        <v>0</v>
      </c>
      <c r="Q8" t="s">
        <v>148</v>
      </c>
      <c r="R8" t="s">
        <v>49</v>
      </c>
      <c r="T8">
        <v>3</v>
      </c>
      <c r="U8">
        <v>2</v>
      </c>
      <c r="X8" s="33" t="s">
        <v>36</v>
      </c>
      <c r="Y8" s="33" t="s">
        <v>148</v>
      </c>
      <c r="Z8" s="34">
        <v>24</v>
      </c>
      <c r="AA8" s="34">
        <v>0</v>
      </c>
      <c r="AB8" s="34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3" t="s">
        <v>45</v>
      </c>
      <c r="B9" s="33" t="s">
        <v>148</v>
      </c>
      <c r="C9" s="34">
        <v>7</v>
      </c>
      <c r="D9" s="34">
        <v>1</v>
      </c>
      <c r="E9" t="e">
        <f>VLOOKUP(A9,'6. Deposits 2022_Q2'!$A$3:$A$34,1,FALSE)</f>
        <v>#N/A</v>
      </c>
      <c r="G9" s="33" t="s">
        <v>35</v>
      </c>
      <c r="H9" s="33" t="s">
        <v>149</v>
      </c>
      <c r="I9" s="34">
        <v>109</v>
      </c>
      <c r="J9" s="33" t="s">
        <v>155</v>
      </c>
      <c r="K9" s="34">
        <v>0</v>
      </c>
      <c r="Q9" t="s">
        <v>148</v>
      </c>
      <c r="R9" t="s">
        <v>52</v>
      </c>
      <c r="S9">
        <v>2</v>
      </c>
      <c r="V9">
        <v>1</v>
      </c>
      <c r="X9" s="33" t="s">
        <v>36</v>
      </c>
      <c r="Y9" s="33" t="s">
        <v>148</v>
      </c>
      <c r="Z9" s="34">
        <v>22</v>
      </c>
      <c r="AA9" s="34">
        <v>0</v>
      </c>
      <c r="AB9" s="34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3" t="s">
        <v>46</v>
      </c>
      <c r="B10" s="33" t="s">
        <v>148</v>
      </c>
      <c r="C10" s="34">
        <v>3</v>
      </c>
      <c r="D10" s="34">
        <v>1</v>
      </c>
      <c r="E10" t="e">
        <f>VLOOKUP(A10,'6. Deposits 2022_Q2'!$A$3:$A$34,1,FALSE)</f>
        <v>#N/A</v>
      </c>
      <c r="G10" s="33" t="s">
        <v>36</v>
      </c>
      <c r="H10" s="33" t="s">
        <v>148</v>
      </c>
      <c r="I10" s="34">
        <v>8</v>
      </c>
      <c r="J10" s="33" t="s">
        <v>152</v>
      </c>
      <c r="K10" s="34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3" t="s">
        <v>36</v>
      </c>
      <c r="Y10" s="33" t="s">
        <v>148</v>
      </c>
      <c r="Z10" s="34">
        <v>32</v>
      </c>
      <c r="AA10" s="34">
        <v>0</v>
      </c>
      <c r="AB10" s="34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3" t="s">
        <v>47</v>
      </c>
      <c r="B11" s="33" t="s">
        <v>148</v>
      </c>
      <c r="C11" s="34">
        <v>4</v>
      </c>
      <c r="D11" s="34">
        <v>1</v>
      </c>
      <c r="E11" t="e">
        <f>VLOOKUP(A11,'6. Deposits 2022_Q2'!$A$3:$A$34,1,FALSE)</f>
        <v>#N/A</v>
      </c>
      <c r="G11" s="33" t="s">
        <v>36</v>
      </c>
      <c r="H11" s="33" t="s">
        <v>148</v>
      </c>
      <c r="I11" s="34">
        <v>2</v>
      </c>
      <c r="J11" s="33" t="s">
        <v>153</v>
      </c>
      <c r="K11" s="34">
        <v>0</v>
      </c>
      <c r="Q11" t="s">
        <v>148</v>
      </c>
      <c r="R11" t="s">
        <v>55</v>
      </c>
      <c r="S11">
        <v>2</v>
      </c>
      <c r="X11" s="33" t="s">
        <v>36</v>
      </c>
      <c r="Y11" s="33" t="s">
        <v>149</v>
      </c>
      <c r="Z11" s="34">
        <v>502</v>
      </c>
      <c r="AA11" s="34">
        <v>0</v>
      </c>
      <c r="AB11" s="34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3" t="s">
        <v>48</v>
      </c>
      <c r="B12" s="33" t="s">
        <v>148</v>
      </c>
      <c r="C12" s="34">
        <v>21</v>
      </c>
      <c r="D12" s="34">
        <v>1</v>
      </c>
      <c r="E12" t="e">
        <f>VLOOKUP(A12,'6. Deposits 2022_Q2'!$A$3:$A$34,1,FALSE)</f>
        <v>#N/A</v>
      </c>
      <c r="G12" s="33" t="s">
        <v>36</v>
      </c>
      <c r="H12" s="33" t="s">
        <v>148</v>
      </c>
      <c r="I12" s="34">
        <v>2</v>
      </c>
      <c r="J12" s="33" t="s">
        <v>154</v>
      </c>
      <c r="K12" s="34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3" t="s">
        <v>36</v>
      </c>
      <c r="Y12" s="33" t="s">
        <v>149</v>
      </c>
      <c r="Z12" s="34">
        <v>510</v>
      </c>
      <c r="AA12" s="34">
        <v>0</v>
      </c>
      <c r="AB12" s="34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3" t="s">
        <v>49</v>
      </c>
      <c r="B13" s="33" t="s">
        <v>148</v>
      </c>
      <c r="C13" s="34">
        <v>10</v>
      </c>
      <c r="D13" s="34">
        <v>1</v>
      </c>
      <c r="E13" t="e">
        <f>VLOOKUP(A13,'6. Deposits 2022_Q2'!$A$3:$A$34,1,FALSE)</f>
        <v>#N/A</v>
      </c>
      <c r="G13" s="33" t="s">
        <v>36</v>
      </c>
      <c r="H13" s="33" t="s">
        <v>148</v>
      </c>
      <c r="I13" s="34">
        <v>5</v>
      </c>
      <c r="J13" s="33" t="s">
        <v>155</v>
      </c>
      <c r="K13" s="34">
        <v>0</v>
      </c>
      <c r="Q13" t="s">
        <v>148</v>
      </c>
      <c r="R13" t="s">
        <v>61</v>
      </c>
      <c r="T13">
        <v>2</v>
      </c>
      <c r="X13" s="33" t="s">
        <v>36</v>
      </c>
      <c r="Y13" s="33" t="s">
        <v>149</v>
      </c>
      <c r="Z13" s="34">
        <v>784</v>
      </c>
      <c r="AA13" s="34">
        <v>0</v>
      </c>
      <c r="AB13" s="34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3" t="s">
        <v>50</v>
      </c>
      <c r="B14" s="33" t="s">
        <v>148</v>
      </c>
      <c r="C14" s="34">
        <v>1</v>
      </c>
      <c r="D14" s="34">
        <v>1</v>
      </c>
      <c r="E14" t="e">
        <f>VLOOKUP(A14,'6. Deposits 2022_Q2'!$A$3:$A$34,1,FALSE)</f>
        <v>#N/A</v>
      </c>
      <c r="G14" s="33" t="s">
        <v>36</v>
      </c>
      <c r="H14" s="33" t="s">
        <v>149</v>
      </c>
      <c r="I14" s="34">
        <v>163</v>
      </c>
      <c r="J14" s="33" t="s">
        <v>152</v>
      </c>
      <c r="K14" s="34">
        <v>0</v>
      </c>
      <c r="Q14" t="s">
        <v>148</v>
      </c>
      <c r="R14" t="s">
        <v>62</v>
      </c>
      <c r="V14">
        <v>1</v>
      </c>
      <c r="X14" s="33" t="s">
        <v>37</v>
      </c>
      <c r="Y14" s="33" t="s">
        <v>148</v>
      </c>
      <c r="Z14" s="34">
        <v>12</v>
      </c>
      <c r="AA14" s="34">
        <v>0</v>
      </c>
      <c r="AB14" s="34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3" t="s">
        <v>52</v>
      </c>
      <c r="B15" s="33" t="s">
        <v>148</v>
      </c>
      <c r="C15" s="34">
        <v>18</v>
      </c>
      <c r="D15" s="34">
        <v>1</v>
      </c>
      <c r="E15" t="e">
        <f>VLOOKUP(A15,'6. Deposits 2022_Q2'!$A$3:$A$34,1,FALSE)</f>
        <v>#N/A</v>
      </c>
      <c r="G15" s="33" t="s">
        <v>36</v>
      </c>
      <c r="H15" s="33" t="s">
        <v>149</v>
      </c>
      <c r="I15" s="34">
        <v>98</v>
      </c>
      <c r="J15" s="33" t="s">
        <v>153</v>
      </c>
      <c r="K15" s="34">
        <v>0</v>
      </c>
      <c r="Q15" t="s">
        <v>148</v>
      </c>
      <c r="R15" t="s">
        <v>64</v>
      </c>
      <c r="S15">
        <v>2</v>
      </c>
      <c r="T15">
        <v>2</v>
      </c>
      <c r="X15" s="33" t="s">
        <v>37</v>
      </c>
      <c r="Y15" s="33" t="s">
        <v>148</v>
      </c>
      <c r="Z15" s="34">
        <v>6</v>
      </c>
      <c r="AA15" s="34">
        <v>0</v>
      </c>
      <c r="AB15" s="34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3" t="s">
        <v>53</v>
      </c>
      <c r="B16" s="33" t="s">
        <v>148</v>
      </c>
      <c r="C16" s="34">
        <v>61</v>
      </c>
      <c r="D16" s="34">
        <v>1</v>
      </c>
      <c r="E16" t="e">
        <f>VLOOKUP(A16,'6. Deposits 2022_Q2'!$A$3:$A$34,1,FALSE)</f>
        <v>#N/A</v>
      </c>
      <c r="G16" s="33" t="s">
        <v>36</v>
      </c>
      <c r="H16" s="33" t="s">
        <v>149</v>
      </c>
      <c r="I16" s="34">
        <v>53</v>
      </c>
      <c r="J16" s="33" t="s">
        <v>154</v>
      </c>
      <c r="K16" s="34">
        <v>0</v>
      </c>
      <c r="Q16" t="s">
        <v>148</v>
      </c>
      <c r="R16" t="s">
        <v>67</v>
      </c>
      <c r="T16">
        <v>2</v>
      </c>
      <c r="X16" s="33" t="s">
        <v>37</v>
      </c>
      <c r="Y16" s="33" t="s">
        <v>148</v>
      </c>
      <c r="Z16" s="34">
        <v>8</v>
      </c>
      <c r="AA16" s="34">
        <v>0</v>
      </c>
      <c r="AB16" s="34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3" t="s">
        <v>54</v>
      </c>
      <c r="B17" s="33" t="s">
        <v>148</v>
      </c>
      <c r="C17" s="34">
        <v>1</v>
      </c>
      <c r="D17" s="34">
        <v>1</v>
      </c>
      <c r="E17" t="e">
        <f>VLOOKUP(A17,'6. Deposits 2022_Q2'!$A$3:$A$34,1,FALSE)</f>
        <v>#N/A</v>
      </c>
      <c r="G17" s="33" t="s">
        <v>36</v>
      </c>
      <c r="H17" s="33" t="s">
        <v>149</v>
      </c>
      <c r="I17" s="34">
        <v>127</v>
      </c>
      <c r="J17" s="33" t="s">
        <v>155</v>
      </c>
      <c r="K17" s="34">
        <v>0</v>
      </c>
      <c r="Q17" t="s">
        <v>148</v>
      </c>
      <c r="R17" t="s">
        <v>68</v>
      </c>
      <c r="S17">
        <v>2</v>
      </c>
      <c r="V17">
        <v>1</v>
      </c>
      <c r="X17" s="33" t="s">
        <v>37</v>
      </c>
      <c r="Y17" s="33" t="s">
        <v>149</v>
      </c>
      <c r="Z17" s="34">
        <v>130</v>
      </c>
      <c r="AA17" s="34">
        <v>0</v>
      </c>
      <c r="AB17" s="34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3" t="s">
        <v>55</v>
      </c>
      <c r="B18" s="33" t="s">
        <v>148</v>
      </c>
      <c r="C18" s="34">
        <v>29</v>
      </c>
      <c r="D18" s="34">
        <v>1</v>
      </c>
      <c r="E18" t="e">
        <f>VLOOKUP(A18,'6. Deposits 2022_Q2'!$A$3:$A$34,1,FALSE)</f>
        <v>#N/A</v>
      </c>
      <c r="G18" s="33" t="s">
        <v>37</v>
      </c>
      <c r="H18" s="33" t="s">
        <v>148</v>
      </c>
      <c r="I18" s="34">
        <v>2</v>
      </c>
      <c r="J18" s="33" t="s">
        <v>152</v>
      </c>
      <c r="K18" s="34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3" t="s">
        <v>37</v>
      </c>
      <c r="Y18" s="33" t="s">
        <v>149</v>
      </c>
      <c r="Z18" s="34">
        <v>84</v>
      </c>
      <c r="AA18" s="34">
        <v>0</v>
      </c>
      <c r="AB18" s="34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3" t="s">
        <v>56</v>
      </c>
      <c r="B19" s="33" t="s">
        <v>148</v>
      </c>
      <c r="C19" s="34">
        <v>36</v>
      </c>
      <c r="D19" s="34">
        <v>1</v>
      </c>
      <c r="E19" t="e">
        <f>VLOOKUP(A19,'6. Deposits 2022_Q2'!$A$3:$A$34,1,FALSE)</f>
        <v>#N/A</v>
      </c>
      <c r="G19" s="33" t="s">
        <v>37</v>
      </c>
      <c r="H19" s="33" t="s">
        <v>148</v>
      </c>
      <c r="I19" s="34">
        <v>2</v>
      </c>
      <c r="J19" s="33" t="s">
        <v>153</v>
      </c>
      <c r="K19" s="34">
        <v>0</v>
      </c>
      <c r="Q19" t="s">
        <v>148</v>
      </c>
      <c r="R19" t="s">
        <v>70</v>
      </c>
      <c r="S19">
        <v>1</v>
      </c>
      <c r="X19" s="33" t="s">
        <v>37</v>
      </c>
      <c r="Y19" s="33" t="s">
        <v>149</v>
      </c>
      <c r="Z19" s="34">
        <v>130</v>
      </c>
      <c r="AA19" s="34">
        <v>0</v>
      </c>
      <c r="AB19" s="34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3" t="s">
        <v>57</v>
      </c>
      <c r="B20" s="33" t="s">
        <v>148</v>
      </c>
      <c r="C20" s="34">
        <v>1</v>
      </c>
      <c r="D20" s="34">
        <v>1</v>
      </c>
      <c r="E20" t="e">
        <f>VLOOKUP(A20,'6. Deposits 2022_Q2'!$A$3:$A$34,1,FALSE)</f>
        <v>#N/A</v>
      </c>
      <c r="G20" s="33" t="s">
        <v>37</v>
      </c>
      <c r="H20" s="33" t="s">
        <v>148</v>
      </c>
      <c r="I20" s="34">
        <v>4</v>
      </c>
      <c r="J20" s="33" t="s">
        <v>155</v>
      </c>
      <c r="K20" s="34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3" t="s">
        <v>40</v>
      </c>
      <c r="Y20" s="33" t="s">
        <v>148</v>
      </c>
      <c r="Z20" s="34">
        <v>8</v>
      </c>
      <c r="AA20" s="34">
        <v>0</v>
      </c>
      <c r="AB20" s="34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3" t="s">
        <v>58</v>
      </c>
      <c r="B21" s="33" t="s">
        <v>148</v>
      </c>
      <c r="C21" s="34">
        <v>10</v>
      </c>
      <c r="D21" s="34">
        <v>1</v>
      </c>
      <c r="E21" t="e">
        <f>VLOOKUP(A21,'6. Deposits 2022_Q2'!$A$3:$A$34,1,FALSE)</f>
        <v>#N/A</v>
      </c>
      <c r="G21" s="33" t="s">
        <v>37</v>
      </c>
      <c r="H21" s="33" t="s">
        <v>149</v>
      </c>
      <c r="I21" s="34">
        <v>27</v>
      </c>
      <c r="J21" s="33" t="s">
        <v>152</v>
      </c>
      <c r="K21" s="34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3" t="s">
        <v>40</v>
      </c>
      <c r="Y21" s="33" t="s">
        <v>148</v>
      </c>
      <c r="Z21" s="34">
        <v>18</v>
      </c>
      <c r="AA21" s="34">
        <v>0</v>
      </c>
      <c r="AB21" s="34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3" t="s">
        <v>60</v>
      </c>
      <c r="B22" s="33" t="s">
        <v>148</v>
      </c>
      <c r="C22" s="34">
        <v>1</v>
      </c>
      <c r="D22" s="34">
        <v>1</v>
      </c>
      <c r="E22" t="e">
        <f>VLOOKUP(A22,'6. Deposits 2022_Q2'!$A$3:$A$34,1,FALSE)</f>
        <v>#N/A</v>
      </c>
      <c r="G22" s="33" t="s">
        <v>37</v>
      </c>
      <c r="H22" s="33" t="s">
        <v>149</v>
      </c>
      <c r="I22" s="34">
        <v>5</v>
      </c>
      <c r="J22" s="33" t="s">
        <v>153</v>
      </c>
      <c r="K22" s="34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3" t="s">
        <v>40</v>
      </c>
      <c r="Y22" s="33" t="s">
        <v>148</v>
      </c>
      <c r="Z22" s="34">
        <v>12</v>
      </c>
      <c r="AA22" s="34">
        <v>0</v>
      </c>
      <c r="AB22" s="34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3" t="s">
        <v>61</v>
      </c>
      <c r="B23" s="33" t="s">
        <v>148</v>
      </c>
      <c r="C23" s="34">
        <v>4</v>
      </c>
      <c r="D23" s="34">
        <v>1</v>
      </c>
      <c r="E23" t="e">
        <f>VLOOKUP(A23,'6. Deposits 2022_Q2'!$A$3:$A$34,1,FALSE)</f>
        <v>#N/A</v>
      </c>
      <c r="G23" s="33" t="s">
        <v>37</v>
      </c>
      <c r="H23" s="33" t="s">
        <v>149</v>
      </c>
      <c r="I23" s="34">
        <v>12</v>
      </c>
      <c r="J23" s="33" t="s">
        <v>154</v>
      </c>
      <c r="K23" s="34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3" t="s">
        <v>40</v>
      </c>
      <c r="Y23" s="33" t="s">
        <v>149</v>
      </c>
      <c r="Z23" s="34">
        <v>320</v>
      </c>
      <c r="AA23" s="34">
        <v>0</v>
      </c>
      <c r="AB23" s="34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3" t="s">
        <v>62</v>
      </c>
      <c r="B24" s="33" t="s">
        <v>148</v>
      </c>
      <c r="C24" s="34">
        <v>5</v>
      </c>
      <c r="D24" s="34">
        <v>1</v>
      </c>
      <c r="E24" t="e">
        <f>VLOOKUP(A24,'6. Deposits 2022_Q2'!$A$3:$A$34,1,FALSE)</f>
        <v>#N/A</v>
      </c>
      <c r="G24" s="33" t="s">
        <v>37</v>
      </c>
      <c r="H24" s="33" t="s">
        <v>149</v>
      </c>
      <c r="I24" s="34">
        <v>26</v>
      </c>
      <c r="J24" s="33" t="s">
        <v>155</v>
      </c>
      <c r="K24" s="34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3" t="s">
        <v>40</v>
      </c>
      <c r="Y24" s="33" t="s">
        <v>149</v>
      </c>
      <c r="Z24" s="34">
        <v>450</v>
      </c>
      <c r="AA24" s="34">
        <v>0</v>
      </c>
      <c r="AB24" s="34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3" t="s">
        <v>63</v>
      </c>
      <c r="B25" s="33" t="s">
        <v>148</v>
      </c>
      <c r="C25" s="34">
        <v>1</v>
      </c>
      <c r="D25" s="34">
        <v>1</v>
      </c>
      <c r="E25" t="e">
        <f>VLOOKUP(A25,'6. Deposits 2022_Q2'!$A$3:$A$34,1,FALSE)</f>
        <v>#N/A</v>
      </c>
      <c r="G25" s="33" t="s">
        <v>40</v>
      </c>
      <c r="H25" s="33" t="s">
        <v>148</v>
      </c>
      <c r="I25" s="34">
        <v>5</v>
      </c>
      <c r="J25" s="33" t="s">
        <v>153</v>
      </c>
      <c r="K25" s="34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3" t="s">
        <v>40</v>
      </c>
      <c r="Y25" s="33" t="s">
        <v>149</v>
      </c>
      <c r="Z25" s="34">
        <v>350</v>
      </c>
      <c r="AA25" s="34">
        <v>0</v>
      </c>
      <c r="AB25" s="34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3" t="s">
        <v>64</v>
      </c>
      <c r="B26" s="33" t="s">
        <v>148</v>
      </c>
      <c r="C26" s="34">
        <v>3</v>
      </c>
      <c r="D26" s="34">
        <v>1</v>
      </c>
      <c r="E26" t="e">
        <f>VLOOKUP(A26,'6. Deposits 2022_Q2'!$A$3:$A$34,1,FALSE)</f>
        <v>#N/A</v>
      </c>
      <c r="G26" s="33" t="s">
        <v>40</v>
      </c>
      <c r="H26" s="33" t="s">
        <v>149</v>
      </c>
      <c r="I26" s="34">
        <v>136</v>
      </c>
      <c r="J26" s="33" t="s">
        <v>152</v>
      </c>
      <c r="K26" s="34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3" t="s">
        <v>41</v>
      </c>
      <c r="Y26" s="33" t="s">
        <v>148</v>
      </c>
      <c r="Z26" s="34">
        <v>2</v>
      </c>
      <c r="AA26" s="34">
        <v>0</v>
      </c>
      <c r="AB26" s="34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3" t="s">
        <v>67</v>
      </c>
      <c r="B27" s="33" t="s">
        <v>148</v>
      </c>
      <c r="C27" s="34">
        <v>3</v>
      </c>
      <c r="D27" s="34">
        <v>1</v>
      </c>
      <c r="E27" t="e">
        <f>VLOOKUP(A27,'6. Deposits 2022_Q2'!$A$3:$A$34,1,FALSE)</f>
        <v>#N/A</v>
      </c>
      <c r="G27" s="33" t="s">
        <v>40</v>
      </c>
      <c r="H27" s="33" t="s">
        <v>149</v>
      </c>
      <c r="I27" s="34">
        <v>107</v>
      </c>
      <c r="J27" s="33" t="s">
        <v>153</v>
      </c>
      <c r="K27" s="34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3" t="s">
        <v>42</v>
      </c>
      <c r="Y27" s="33" t="s">
        <v>149</v>
      </c>
      <c r="Z27" s="34">
        <v>6</v>
      </c>
      <c r="AA27" s="34">
        <v>0</v>
      </c>
      <c r="AB27" s="34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3" t="s">
        <v>68</v>
      </c>
      <c r="B28" s="33" t="s">
        <v>148</v>
      </c>
      <c r="C28" s="34">
        <v>6</v>
      </c>
      <c r="D28" s="34">
        <v>1</v>
      </c>
      <c r="E28" t="e">
        <f>VLOOKUP(A28,'6. Deposits 2022_Q2'!$A$3:$A$34,1,FALSE)</f>
        <v>#N/A</v>
      </c>
      <c r="G28" s="33" t="s">
        <v>40</v>
      </c>
      <c r="H28" s="33" t="s">
        <v>149</v>
      </c>
      <c r="I28" s="34">
        <v>32</v>
      </c>
      <c r="J28" s="33" t="s">
        <v>154</v>
      </c>
      <c r="K28" s="34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3" t="s">
        <v>42</v>
      </c>
      <c r="Y28" s="33" t="s">
        <v>149</v>
      </c>
      <c r="Z28" s="34">
        <v>18</v>
      </c>
      <c r="AA28" s="34">
        <v>0</v>
      </c>
      <c r="AB28" s="34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3" t="s">
        <v>69</v>
      </c>
      <c r="B29" s="33" t="s">
        <v>148</v>
      </c>
      <c r="C29" s="34">
        <v>62</v>
      </c>
      <c r="D29" s="34">
        <v>1</v>
      </c>
      <c r="E29" t="e">
        <f>VLOOKUP(A29,'6. Deposits 2022_Q2'!$A$3:$A$34,1,FALSE)</f>
        <v>#N/A</v>
      </c>
      <c r="G29" s="33" t="s">
        <v>40</v>
      </c>
      <c r="H29" s="33" t="s">
        <v>149</v>
      </c>
      <c r="I29" s="34">
        <v>123</v>
      </c>
      <c r="J29" s="33" t="s">
        <v>155</v>
      </c>
      <c r="K29" s="34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3" t="s">
        <v>42</v>
      </c>
      <c r="Y29" s="33" t="s">
        <v>149</v>
      </c>
      <c r="Z29" s="34">
        <v>14</v>
      </c>
      <c r="AA29" s="34">
        <v>0</v>
      </c>
      <c r="AB29" s="34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3" t="s">
        <v>70</v>
      </c>
      <c r="B30" s="33" t="s">
        <v>148</v>
      </c>
      <c r="C30" s="34">
        <v>1</v>
      </c>
      <c r="D30" s="34">
        <v>1</v>
      </c>
      <c r="E30" t="e">
        <f>VLOOKUP(A30,'6. Deposits 2022_Q2'!$A$3:$A$34,1,FALSE)</f>
        <v>#N/A</v>
      </c>
      <c r="G30" s="33" t="s">
        <v>42</v>
      </c>
      <c r="H30" s="33" t="s">
        <v>149</v>
      </c>
      <c r="I30" s="34">
        <v>7</v>
      </c>
      <c r="J30" s="33" t="s">
        <v>152</v>
      </c>
      <c r="K30" s="34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3" t="s">
        <v>43</v>
      </c>
      <c r="Y30" s="33" t="s">
        <v>149</v>
      </c>
      <c r="Z30" s="34">
        <v>4</v>
      </c>
      <c r="AA30" s="34">
        <v>0</v>
      </c>
      <c r="AB30" s="34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3" t="s">
        <v>35</v>
      </c>
      <c r="B31" s="33" t="s">
        <v>149</v>
      </c>
      <c r="C31" s="34">
        <v>1427</v>
      </c>
      <c r="D31" s="34">
        <v>1</v>
      </c>
      <c r="E31" t="e">
        <f>VLOOKUP(A31,'6. Deposits 2022_Q2'!$A$35:$A$61,1,FALSE)</f>
        <v>#N/A</v>
      </c>
      <c r="G31" s="33" t="s">
        <v>42</v>
      </c>
      <c r="H31" s="33" t="s">
        <v>149</v>
      </c>
      <c r="I31" s="34">
        <v>4</v>
      </c>
      <c r="J31" s="33" t="s">
        <v>153</v>
      </c>
      <c r="K31" s="34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3" t="s">
        <v>43</v>
      </c>
      <c r="Y31" s="33" t="s">
        <v>149</v>
      </c>
      <c r="Z31" s="34">
        <v>4</v>
      </c>
      <c r="AA31" s="34">
        <v>0</v>
      </c>
      <c r="AB31" s="34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3" t="s">
        <v>36</v>
      </c>
      <c r="B32" s="33" t="s">
        <v>149</v>
      </c>
      <c r="C32" s="34">
        <v>1838</v>
      </c>
      <c r="D32" s="34">
        <v>1</v>
      </c>
      <c r="E32" t="e">
        <f>VLOOKUP(A32,'6. Deposits 2022_Q2'!$A$35:$A$61,1,FALSE)</f>
        <v>#N/A</v>
      </c>
      <c r="G32" s="33" t="s">
        <v>42</v>
      </c>
      <c r="H32" s="33" t="s">
        <v>149</v>
      </c>
      <c r="I32" s="34">
        <v>4</v>
      </c>
      <c r="J32" s="33" t="s">
        <v>155</v>
      </c>
      <c r="K32" s="34">
        <v>0</v>
      </c>
      <c r="Q32" t="s">
        <v>149</v>
      </c>
      <c r="R32" t="s">
        <v>50</v>
      </c>
      <c r="S32">
        <v>1</v>
      </c>
      <c r="U32">
        <v>4</v>
      </c>
      <c r="X32" s="33" t="s">
        <v>43</v>
      </c>
      <c r="Y32" s="33" t="s">
        <v>149</v>
      </c>
      <c r="Z32" s="34">
        <v>16</v>
      </c>
      <c r="AA32" s="34">
        <v>0</v>
      </c>
      <c r="AB32" s="34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3" t="s">
        <v>37</v>
      </c>
      <c r="B33" s="33" t="s">
        <v>149</v>
      </c>
      <c r="C33" s="34">
        <v>403</v>
      </c>
      <c r="D33" s="34">
        <v>1</v>
      </c>
      <c r="E33" t="e">
        <f>VLOOKUP(A33,'6. Deposits 2022_Q2'!$A$35:$A$61,1,FALSE)</f>
        <v>#N/A</v>
      </c>
      <c r="G33" s="33" t="s">
        <v>43</v>
      </c>
      <c r="H33" s="33" t="s">
        <v>149</v>
      </c>
      <c r="I33" s="34">
        <v>3</v>
      </c>
      <c r="J33" s="33" t="s">
        <v>152</v>
      </c>
      <c r="K33" s="34">
        <v>0</v>
      </c>
      <c r="Q33" t="s">
        <v>149</v>
      </c>
      <c r="R33" t="s">
        <v>51</v>
      </c>
      <c r="U33">
        <v>1</v>
      </c>
      <c r="X33" s="33" t="s">
        <v>44</v>
      </c>
      <c r="Y33" s="33" t="s">
        <v>148</v>
      </c>
      <c r="Z33" s="34">
        <v>8</v>
      </c>
      <c r="AA33" s="34">
        <v>0</v>
      </c>
      <c r="AB33" s="34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3" t="s">
        <v>40</v>
      </c>
      <c r="B34" s="33" t="s">
        <v>149</v>
      </c>
      <c r="C34" s="34">
        <v>1026</v>
      </c>
      <c r="D34" s="34">
        <v>1</v>
      </c>
      <c r="E34" t="e">
        <f>VLOOKUP(A34,'6. Deposits 2022_Q2'!$A$35:$A$61,1,FALSE)</f>
        <v>#N/A</v>
      </c>
      <c r="G34" s="33" t="s">
        <v>43</v>
      </c>
      <c r="H34" s="33" t="s">
        <v>149</v>
      </c>
      <c r="I34" s="34">
        <v>2</v>
      </c>
      <c r="J34" s="33" t="s">
        <v>153</v>
      </c>
      <c r="K34" s="34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3" t="s">
        <v>44</v>
      </c>
      <c r="Y34" s="33" t="s">
        <v>148</v>
      </c>
      <c r="Z34" s="34">
        <v>8</v>
      </c>
      <c r="AA34" s="34">
        <v>0</v>
      </c>
      <c r="AB34" s="34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3" t="s">
        <v>42</v>
      </c>
      <c r="B35" s="33" t="s">
        <v>149</v>
      </c>
      <c r="C35" s="34">
        <v>31</v>
      </c>
      <c r="D35" s="34">
        <v>1</v>
      </c>
      <c r="E35" t="e">
        <f>VLOOKUP(A35,'6. Deposits 2022_Q2'!$A$35:$A$61,1,FALSE)</f>
        <v>#N/A</v>
      </c>
      <c r="G35" s="33" t="s">
        <v>43</v>
      </c>
      <c r="H35" s="33" t="s">
        <v>149</v>
      </c>
      <c r="I35" s="34">
        <v>1</v>
      </c>
      <c r="J35" s="33" t="s">
        <v>154</v>
      </c>
      <c r="K35" s="34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3" t="s">
        <v>44</v>
      </c>
      <c r="Y35" s="33" t="s">
        <v>148</v>
      </c>
      <c r="Z35" s="34">
        <v>4</v>
      </c>
      <c r="AA35" s="34">
        <v>0</v>
      </c>
      <c r="AB35" s="34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3" t="s">
        <v>43</v>
      </c>
      <c r="B36" s="33" t="s">
        <v>149</v>
      </c>
      <c r="C36" s="34">
        <v>30</v>
      </c>
      <c r="D36" s="34">
        <v>1</v>
      </c>
      <c r="E36" t="e">
        <f>VLOOKUP(A36,'6. Deposits 2022_Q2'!$A$35:$A$61,1,FALSE)</f>
        <v>#N/A</v>
      </c>
      <c r="G36" s="33" t="s">
        <v>43</v>
      </c>
      <c r="H36" s="33" t="s">
        <v>149</v>
      </c>
      <c r="I36" s="34">
        <v>2</v>
      </c>
      <c r="J36" s="33" t="s">
        <v>155</v>
      </c>
      <c r="K36" s="34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3" t="s">
        <v>44</v>
      </c>
      <c r="Y36" s="33" t="s">
        <v>149</v>
      </c>
      <c r="Z36" s="34">
        <v>90</v>
      </c>
      <c r="AA36" s="34">
        <v>0</v>
      </c>
      <c r="AB36" s="34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3" t="s">
        <v>44</v>
      </c>
      <c r="B37" s="33" t="s">
        <v>149</v>
      </c>
      <c r="C37" s="34">
        <v>336</v>
      </c>
      <c r="D37" s="34">
        <v>1</v>
      </c>
      <c r="E37" t="e">
        <f>VLOOKUP(A37,'6. Deposits 2022_Q2'!$A$35:$A$61,1,FALSE)</f>
        <v>#N/A</v>
      </c>
      <c r="G37" s="33" t="s">
        <v>44</v>
      </c>
      <c r="H37" s="33" t="s">
        <v>148</v>
      </c>
      <c r="I37" s="34">
        <v>3</v>
      </c>
      <c r="J37" s="33" t="s">
        <v>152</v>
      </c>
      <c r="K37" s="34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3" t="s">
        <v>44</v>
      </c>
      <c r="Y37" s="33" t="s">
        <v>149</v>
      </c>
      <c r="Z37" s="34">
        <v>74</v>
      </c>
      <c r="AA37" s="34">
        <v>0</v>
      </c>
      <c r="AB37" s="34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3" t="s">
        <v>45</v>
      </c>
      <c r="B38" s="33" t="s">
        <v>149</v>
      </c>
      <c r="C38" s="34">
        <v>165</v>
      </c>
      <c r="D38" s="34">
        <v>1</v>
      </c>
      <c r="E38" t="e">
        <f>VLOOKUP(A38,'6. Deposits 2022_Q2'!$A$35:$A$61,1,FALSE)</f>
        <v>#N/A</v>
      </c>
      <c r="G38" s="33" t="s">
        <v>44</v>
      </c>
      <c r="H38" s="33" t="s">
        <v>149</v>
      </c>
      <c r="I38" s="34">
        <v>29</v>
      </c>
      <c r="J38" s="33" t="s">
        <v>152</v>
      </c>
      <c r="K38" s="34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3" t="s">
        <v>44</v>
      </c>
      <c r="Y38" s="33" t="s">
        <v>149</v>
      </c>
      <c r="Z38" s="34">
        <v>120</v>
      </c>
      <c r="AA38" s="34">
        <v>0</v>
      </c>
      <c r="AB38" s="34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3" t="s">
        <v>46</v>
      </c>
      <c r="B39" s="33" t="s">
        <v>149</v>
      </c>
      <c r="C39" s="34">
        <v>24</v>
      </c>
      <c r="D39" s="34">
        <v>1</v>
      </c>
      <c r="E39" t="e">
        <f>VLOOKUP(A39,'6. Deposits 2022_Q2'!$A$35:$A$61,1,FALSE)</f>
        <v>#N/A</v>
      </c>
      <c r="G39" s="33" t="s">
        <v>44</v>
      </c>
      <c r="H39" s="33" t="s">
        <v>149</v>
      </c>
      <c r="I39" s="34">
        <v>10</v>
      </c>
      <c r="J39" s="33" t="s">
        <v>153</v>
      </c>
      <c r="K39" s="34">
        <v>0</v>
      </c>
      <c r="Q39" t="s">
        <v>149</v>
      </c>
      <c r="R39" t="s">
        <v>57</v>
      </c>
      <c r="S39">
        <v>1</v>
      </c>
      <c r="U39">
        <v>1</v>
      </c>
      <c r="X39" s="33" t="s">
        <v>45</v>
      </c>
      <c r="Y39" s="33" t="s">
        <v>148</v>
      </c>
      <c r="Z39" s="34">
        <v>2</v>
      </c>
      <c r="AA39" s="34">
        <v>0</v>
      </c>
      <c r="AB39" s="34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3" t="s">
        <v>47</v>
      </c>
      <c r="B40" s="33" t="s">
        <v>149</v>
      </c>
      <c r="C40" s="34">
        <v>85</v>
      </c>
      <c r="D40" s="34">
        <v>1</v>
      </c>
      <c r="E40" t="e">
        <f>VLOOKUP(A40,'6. Deposits 2022_Q2'!$A$35:$A$61,1,FALSE)</f>
        <v>#N/A</v>
      </c>
      <c r="G40" s="33" t="s">
        <v>44</v>
      </c>
      <c r="H40" s="33" t="s">
        <v>149</v>
      </c>
      <c r="I40" s="34">
        <v>18</v>
      </c>
      <c r="J40" s="33" t="s">
        <v>154</v>
      </c>
      <c r="K40" s="34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3" t="s">
        <v>45</v>
      </c>
      <c r="Y40" s="33" t="s">
        <v>149</v>
      </c>
      <c r="Z40" s="34">
        <v>30</v>
      </c>
      <c r="AA40" s="34">
        <v>0</v>
      </c>
      <c r="AB40" s="34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3" t="s">
        <v>48</v>
      </c>
      <c r="B41" s="33" t="s">
        <v>149</v>
      </c>
      <c r="C41" s="34">
        <v>130</v>
      </c>
      <c r="D41" s="34">
        <v>1</v>
      </c>
      <c r="E41" t="e">
        <f>VLOOKUP(A41,'6. Deposits 2022_Q2'!$A$35:$A$61,1,FALSE)</f>
        <v>#N/A</v>
      </c>
      <c r="G41" s="33" t="s">
        <v>44</v>
      </c>
      <c r="H41" s="33" t="s">
        <v>149</v>
      </c>
      <c r="I41" s="34">
        <v>15</v>
      </c>
      <c r="J41" s="33" t="s">
        <v>155</v>
      </c>
      <c r="K41" s="34">
        <v>0</v>
      </c>
      <c r="Q41" t="s">
        <v>149</v>
      </c>
      <c r="R41" t="s">
        <v>60</v>
      </c>
      <c r="U41">
        <v>2</v>
      </c>
      <c r="V41">
        <v>2</v>
      </c>
      <c r="X41" s="33" t="s">
        <v>45</v>
      </c>
      <c r="Y41" s="33" t="s">
        <v>149</v>
      </c>
      <c r="Z41" s="34">
        <v>72</v>
      </c>
      <c r="AA41" s="34">
        <v>0</v>
      </c>
      <c r="AB41" s="34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3" t="s">
        <v>49</v>
      </c>
      <c r="B42" s="33" t="s">
        <v>149</v>
      </c>
      <c r="C42" s="34">
        <v>85</v>
      </c>
      <c r="D42" s="34">
        <v>1</v>
      </c>
      <c r="E42" t="e">
        <f>VLOOKUP(A42,'6. Deposits 2022_Q2'!$A$35:$A$61,1,FALSE)</f>
        <v>#N/A</v>
      </c>
      <c r="G42" s="33" t="s">
        <v>45</v>
      </c>
      <c r="H42" s="33" t="s">
        <v>149</v>
      </c>
      <c r="I42" s="34">
        <v>7</v>
      </c>
      <c r="J42" s="33" t="s">
        <v>152</v>
      </c>
      <c r="K42" s="34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3" t="s">
        <v>45</v>
      </c>
      <c r="Y42" s="33" t="s">
        <v>149</v>
      </c>
      <c r="Z42" s="34">
        <v>62</v>
      </c>
      <c r="AA42" s="34">
        <v>0</v>
      </c>
      <c r="AB42" s="34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3" t="s">
        <v>50</v>
      </c>
      <c r="B43" s="33" t="s">
        <v>149</v>
      </c>
      <c r="C43" s="34">
        <v>51</v>
      </c>
      <c r="D43" s="34">
        <v>1</v>
      </c>
      <c r="E43" t="e">
        <f>VLOOKUP(A43,'6. Deposits 2022_Q2'!$A$35:$A$61,1,FALSE)</f>
        <v>#N/A</v>
      </c>
      <c r="G43" s="33" t="s">
        <v>45</v>
      </c>
      <c r="H43" s="33" t="s">
        <v>149</v>
      </c>
      <c r="I43" s="34">
        <v>17</v>
      </c>
      <c r="J43" s="33" t="s">
        <v>153</v>
      </c>
      <c r="K43" s="34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3" t="s">
        <v>46</v>
      </c>
      <c r="Y43" s="33" t="s">
        <v>148</v>
      </c>
      <c r="Z43" s="34">
        <v>2</v>
      </c>
      <c r="AA43" s="34">
        <v>0</v>
      </c>
      <c r="AB43" s="34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3" t="s">
        <v>51</v>
      </c>
      <c r="B44" s="33" t="s">
        <v>149</v>
      </c>
      <c r="C44" s="34">
        <v>8</v>
      </c>
      <c r="D44" s="34">
        <v>1</v>
      </c>
      <c r="E44" t="e">
        <f>VLOOKUP(A44,'6. Deposits 2022_Q2'!$A$35:$A$61,1,FALSE)</f>
        <v>#N/A</v>
      </c>
      <c r="G44" s="33" t="s">
        <v>45</v>
      </c>
      <c r="H44" s="33" t="s">
        <v>149</v>
      </c>
      <c r="I44" s="34">
        <v>8</v>
      </c>
      <c r="J44" s="33" t="s">
        <v>154</v>
      </c>
      <c r="K44" s="34">
        <v>0</v>
      </c>
      <c r="Q44" t="s">
        <v>149</v>
      </c>
      <c r="R44" t="s">
        <v>63</v>
      </c>
      <c r="U44">
        <v>1</v>
      </c>
      <c r="X44" s="33" t="s">
        <v>46</v>
      </c>
      <c r="Y44" s="33" t="s">
        <v>148</v>
      </c>
      <c r="Z44" s="34">
        <v>4</v>
      </c>
      <c r="AA44" s="34">
        <v>0</v>
      </c>
      <c r="AB44" s="34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3" t="s">
        <v>52</v>
      </c>
      <c r="B45" s="33" t="s">
        <v>149</v>
      </c>
      <c r="C45" s="34">
        <v>446</v>
      </c>
      <c r="D45" s="34">
        <v>1</v>
      </c>
      <c r="E45" t="e">
        <f>VLOOKUP(A45,'6. Deposits 2022_Q2'!$A$35:$A$61,1,FALSE)</f>
        <v>#N/A</v>
      </c>
      <c r="G45" s="33" t="s">
        <v>45</v>
      </c>
      <c r="H45" s="33" t="s">
        <v>149</v>
      </c>
      <c r="I45" s="34">
        <v>7</v>
      </c>
      <c r="J45" s="33" t="s">
        <v>155</v>
      </c>
      <c r="K45" s="34">
        <v>0</v>
      </c>
      <c r="Q45" t="s">
        <v>149</v>
      </c>
      <c r="R45" t="s">
        <v>64</v>
      </c>
      <c r="S45">
        <v>4</v>
      </c>
      <c r="V45">
        <v>6</v>
      </c>
      <c r="X45" s="33" t="s">
        <v>46</v>
      </c>
      <c r="Y45" s="33" t="s">
        <v>148</v>
      </c>
      <c r="Z45" s="34">
        <v>2</v>
      </c>
      <c r="AA45" s="34">
        <v>0</v>
      </c>
      <c r="AB45" s="34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3" t="s">
        <v>53</v>
      </c>
      <c r="B46" s="33" t="s">
        <v>149</v>
      </c>
      <c r="C46" s="34">
        <v>535</v>
      </c>
      <c r="D46" s="34">
        <v>1</v>
      </c>
      <c r="E46" t="e">
        <f>VLOOKUP(A46,'6. Deposits 2022_Q2'!$A$35:$A$61,1,FALSE)</f>
        <v>#N/A</v>
      </c>
      <c r="G46" s="33" t="s">
        <v>46</v>
      </c>
      <c r="H46" s="33" t="s">
        <v>149</v>
      </c>
      <c r="I46" s="34">
        <v>3</v>
      </c>
      <c r="J46" s="33" t="s">
        <v>152</v>
      </c>
      <c r="K46" s="34">
        <v>0</v>
      </c>
      <c r="Q46" t="s">
        <v>149</v>
      </c>
      <c r="R46" t="s">
        <v>65</v>
      </c>
      <c r="S46">
        <v>2</v>
      </c>
      <c r="V46">
        <v>1</v>
      </c>
      <c r="X46" s="33" t="s">
        <v>46</v>
      </c>
      <c r="Y46" s="33" t="s">
        <v>149</v>
      </c>
      <c r="Z46" s="34">
        <v>4</v>
      </c>
      <c r="AA46" s="34">
        <v>0</v>
      </c>
      <c r="AB46" s="34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3" t="s">
        <v>54</v>
      </c>
      <c r="B47" s="33" t="s">
        <v>149</v>
      </c>
      <c r="C47" s="34">
        <v>69</v>
      </c>
      <c r="D47" s="34">
        <v>1</v>
      </c>
      <c r="E47" t="e">
        <f>VLOOKUP(A47,'6. Deposits 2022_Q2'!$A$35:$A$61,1,FALSE)</f>
        <v>#N/A</v>
      </c>
      <c r="G47" s="33" t="s">
        <v>46</v>
      </c>
      <c r="H47" s="33" t="s">
        <v>149</v>
      </c>
      <c r="I47" s="34">
        <v>3</v>
      </c>
      <c r="J47" s="33" t="s">
        <v>153</v>
      </c>
      <c r="K47" s="34">
        <v>0</v>
      </c>
      <c r="Q47" t="s">
        <v>149</v>
      </c>
      <c r="R47" t="s">
        <v>67</v>
      </c>
      <c r="T47">
        <v>2</v>
      </c>
      <c r="X47" s="33" t="s">
        <v>46</v>
      </c>
      <c r="Y47" s="33" t="s">
        <v>149</v>
      </c>
      <c r="Z47" s="34">
        <v>4</v>
      </c>
      <c r="AA47" s="34">
        <v>0</v>
      </c>
      <c r="AB47" s="34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3" t="s">
        <v>55</v>
      </c>
      <c r="B48" s="33" t="s">
        <v>149</v>
      </c>
      <c r="C48" s="34">
        <v>308</v>
      </c>
      <c r="D48" s="34">
        <v>1</v>
      </c>
      <c r="E48" t="e">
        <f>VLOOKUP(A48,'6. Deposits 2022_Q2'!$A$35:$A$61,1,FALSE)</f>
        <v>#N/A</v>
      </c>
      <c r="G48" s="33" t="s">
        <v>46</v>
      </c>
      <c r="H48" s="33" t="s">
        <v>149</v>
      </c>
      <c r="I48" s="34">
        <v>3</v>
      </c>
      <c r="J48" s="33" t="s">
        <v>154</v>
      </c>
      <c r="K48" s="34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3" t="s">
        <v>46</v>
      </c>
      <c r="Y48" s="33" t="s">
        <v>149</v>
      </c>
      <c r="Z48" s="34">
        <v>14</v>
      </c>
      <c r="AA48" s="34">
        <v>0</v>
      </c>
      <c r="AB48" s="34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3" t="s">
        <v>56</v>
      </c>
      <c r="B49" s="33" t="s">
        <v>149</v>
      </c>
      <c r="C49" s="34">
        <v>351</v>
      </c>
      <c r="D49" s="34">
        <v>1</v>
      </c>
      <c r="E49" t="e">
        <f>VLOOKUP(A49,'6. Deposits 2022_Q2'!$A$35:$A$61,1,FALSE)</f>
        <v>#N/A</v>
      </c>
      <c r="G49" s="33" t="s">
        <v>46</v>
      </c>
      <c r="H49" s="33" t="s">
        <v>149</v>
      </c>
      <c r="I49" s="34">
        <v>1</v>
      </c>
      <c r="J49" s="33" t="s">
        <v>155</v>
      </c>
      <c r="K49" s="34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3" t="s">
        <v>47</v>
      </c>
      <c r="Y49" s="33" t="s">
        <v>148</v>
      </c>
      <c r="Z49" s="34">
        <v>4</v>
      </c>
      <c r="AA49" s="34">
        <v>0</v>
      </c>
      <c r="AB49" s="34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3" t="s">
        <v>57</v>
      </c>
      <c r="B50" s="33" t="s">
        <v>149</v>
      </c>
      <c r="C50" s="34">
        <v>33</v>
      </c>
      <c r="D50" s="34">
        <v>1</v>
      </c>
      <c r="E50" t="e">
        <f>VLOOKUP(A50,'6. Deposits 2022_Q2'!$A$35:$A$61,1,FALSE)</f>
        <v>#N/A</v>
      </c>
      <c r="G50" s="33" t="s">
        <v>47</v>
      </c>
      <c r="H50" s="33" t="s">
        <v>149</v>
      </c>
      <c r="I50" s="34">
        <v>5</v>
      </c>
      <c r="J50" s="33" t="s">
        <v>152</v>
      </c>
      <c r="K50" s="34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3" t="s">
        <v>47</v>
      </c>
      <c r="Y50" s="33" t="s">
        <v>149</v>
      </c>
      <c r="Z50" s="34">
        <v>30</v>
      </c>
      <c r="AA50" s="34">
        <v>0</v>
      </c>
      <c r="AB50" s="34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3" t="s">
        <v>58</v>
      </c>
      <c r="B51" s="33" t="s">
        <v>149</v>
      </c>
      <c r="C51" s="34">
        <v>127</v>
      </c>
      <c r="D51" s="34">
        <v>1</v>
      </c>
      <c r="E51" t="e">
        <f>VLOOKUP(A51,'6. Deposits 2022_Q2'!$A$35:$A$61,1,FALSE)</f>
        <v>#N/A</v>
      </c>
      <c r="G51" s="33" t="s">
        <v>47</v>
      </c>
      <c r="H51" s="33" t="s">
        <v>149</v>
      </c>
      <c r="I51" s="34">
        <v>6</v>
      </c>
      <c r="J51" s="33" t="s">
        <v>153</v>
      </c>
      <c r="K51" s="34">
        <v>0</v>
      </c>
      <c r="X51" s="33" t="s">
        <v>47</v>
      </c>
      <c r="Y51" s="33" t="s">
        <v>149</v>
      </c>
      <c r="Z51" s="34">
        <v>16</v>
      </c>
      <c r="AA51" s="34">
        <v>0</v>
      </c>
      <c r="AB51" s="34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3" t="s">
        <v>60</v>
      </c>
      <c r="B52" s="33" t="s">
        <v>149</v>
      </c>
      <c r="C52" s="34">
        <v>26</v>
      </c>
      <c r="D52" s="34">
        <v>1</v>
      </c>
      <c r="E52" t="e">
        <f>VLOOKUP(A52,'6. Deposits 2022_Q2'!$A$35:$A$61,1,FALSE)</f>
        <v>#N/A</v>
      </c>
      <c r="G52" s="33" t="s">
        <v>47</v>
      </c>
      <c r="H52" s="33" t="s">
        <v>149</v>
      </c>
      <c r="I52" s="34">
        <v>2</v>
      </c>
      <c r="J52" s="33" t="s">
        <v>154</v>
      </c>
      <c r="K52" s="34">
        <v>0</v>
      </c>
      <c r="X52" s="33" t="s">
        <v>47</v>
      </c>
      <c r="Y52" s="33" t="s">
        <v>149</v>
      </c>
      <c r="Z52" s="34">
        <v>36</v>
      </c>
      <c r="AA52" s="34">
        <v>0</v>
      </c>
      <c r="AB52" s="34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3" t="s">
        <v>61</v>
      </c>
      <c r="B53" s="33" t="s">
        <v>149</v>
      </c>
      <c r="C53" s="34">
        <v>336</v>
      </c>
      <c r="D53" s="34">
        <v>1</v>
      </c>
      <c r="E53" t="e">
        <f>VLOOKUP(A53,'6. Deposits 2022_Q2'!$A$35:$A$61,1,FALSE)</f>
        <v>#N/A</v>
      </c>
      <c r="G53" s="33" t="s">
        <v>47</v>
      </c>
      <c r="H53" s="33" t="s">
        <v>149</v>
      </c>
      <c r="I53" s="34">
        <v>4</v>
      </c>
      <c r="J53" s="33" t="s">
        <v>155</v>
      </c>
      <c r="K53" s="34">
        <v>0</v>
      </c>
      <c r="X53" s="33" t="s">
        <v>48</v>
      </c>
      <c r="Y53" s="33" t="s">
        <v>148</v>
      </c>
      <c r="Z53" s="34">
        <v>4</v>
      </c>
      <c r="AA53" s="34">
        <v>0</v>
      </c>
      <c r="AB53" s="34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3" t="s">
        <v>62</v>
      </c>
      <c r="B54" s="33" t="s">
        <v>149</v>
      </c>
      <c r="C54" s="34">
        <v>97</v>
      </c>
      <c r="D54" s="34">
        <v>1</v>
      </c>
      <c r="E54" t="e">
        <f>VLOOKUP(A54,'6. Deposits 2022_Q2'!$A$35:$A$61,1,FALSE)</f>
        <v>#N/A</v>
      </c>
      <c r="G54" s="33" t="s">
        <v>48</v>
      </c>
      <c r="H54" s="33" t="s">
        <v>149</v>
      </c>
      <c r="I54" s="34">
        <v>6</v>
      </c>
      <c r="J54" s="33" t="s">
        <v>152</v>
      </c>
      <c r="K54" s="34">
        <v>0</v>
      </c>
      <c r="X54" s="33" t="s">
        <v>48</v>
      </c>
      <c r="Y54" s="33" t="s">
        <v>148</v>
      </c>
      <c r="Z54" s="34">
        <v>2</v>
      </c>
      <c r="AA54" s="34">
        <v>0</v>
      </c>
      <c r="AB54" s="34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3" t="s">
        <v>63</v>
      </c>
      <c r="B55" s="33" t="s">
        <v>149</v>
      </c>
      <c r="C55" s="34">
        <v>2</v>
      </c>
      <c r="D55" s="34">
        <v>1</v>
      </c>
      <c r="E55" t="e">
        <f>VLOOKUP(A55,'6. Deposits 2022_Q2'!$A$35:$A$61,1,FALSE)</f>
        <v>#N/A</v>
      </c>
      <c r="G55" s="33" t="s">
        <v>48</v>
      </c>
      <c r="H55" s="33" t="s">
        <v>149</v>
      </c>
      <c r="I55" s="34">
        <v>10</v>
      </c>
      <c r="J55" s="33" t="s">
        <v>153</v>
      </c>
      <c r="K55" s="34">
        <v>0</v>
      </c>
      <c r="X55" s="33" t="s">
        <v>48</v>
      </c>
      <c r="Y55" s="33" t="s">
        <v>148</v>
      </c>
      <c r="Z55" s="34">
        <v>24</v>
      </c>
      <c r="AA55" s="34">
        <v>0</v>
      </c>
      <c r="AB55" s="34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3" t="s">
        <v>64</v>
      </c>
      <c r="B56" s="33" t="s">
        <v>149</v>
      </c>
      <c r="C56" s="34">
        <v>45</v>
      </c>
      <c r="D56" s="34">
        <v>1</v>
      </c>
      <c r="E56" t="e">
        <f>VLOOKUP(A56,'6. Deposits 2022_Q2'!$A$35:$A$61,1,FALSE)</f>
        <v>#N/A</v>
      </c>
      <c r="G56" s="33" t="s">
        <v>48</v>
      </c>
      <c r="H56" s="33" t="s">
        <v>149</v>
      </c>
      <c r="I56" s="34">
        <v>6</v>
      </c>
      <c r="J56" s="33" t="s">
        <v>154</v>
      </c>
      <c r="K56" s="34">
        <v>0</v>
      </c>
      <c r="X56" s="33" t="s">
        <v>48</v>
      </c>
      <c r="Y56" s="33" t="s">
        <v>149</v>
      </c>
      <c r="Z56" s="34">
        <v>38</v>
      </c>
      <c r="AA56" s="34">
        <v>0</v>
      </c>
      <c r="AB56" s="34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3" t="s">
        <v>65</v>
      </c>
      <c r="B57" s="33" t="s">
        <v>149</v>
      </c>
      <c r="C57" s="34">
        <v>12</v>
      </c>
      <c r="D57" s="34">
        <v>1</v>
      </c>
      <c r="E57" t="e">
        <f>VLOOKUP(A57,'6. Deposits 2022_Q2'!$A$35:$A$61,1,FALSE)</f>
        <v>#N/A</v>
      </c>
      <c r="G57" s="33" t="s">
        <v>48</v>
      </c>
      <c r="H57" s="33" t="s">
        <v>149</v>
      </c>
      <c r="I57" s="34">
        <v>5</v>
      </c>
      <c r="J57" s="33" t="s">
        <v>155</v>
      </c>
      <c r="K57" s="34">
        <v>0</v>
      </c>
      <c r="X57" s="33" t="s">
        <v>48</v>
      </c>
      <c r="Y57" s="33" t="s">
        <v>149</v>
      </c>
      <c r="Z57" s="34">
        <v>26</v>
      </c>
      <c r="AA57" s="34">
        <v>0</v>
      </c>
      <c r="AB57" s="34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3" t="s">
        <v>66</v>
      </c>
      <c r="B58" s="33" t="s">
        <v>149</v>
      </c>
      <c r="C58" s="34">
        <v>3</v>
      </c>
      <c r="D58" s="34">
        <v>1</v>
      </c>
      <c r="E58" t="e">
        <f>VLOOKUP(A58,'6. Deposits 2022_Q2'!$A$35:$A$61,1,FALSE)</f>
        <v>#N/A</v>
      </c>
      <c r="G58" s="33" t="s">
        <v>49</v>
      </c>
      <c r="H58" s="33" t="s">
        <v>148</v>
      </c>
      <c r="I58" s="34">
        <v>3</v>
      </c>
      <c r="J58" s="33" t="s">
        <v>153</v>
      </c>
      <c r="K58" s="34">
        <v>0</v>
      </c>
      <c r="X58" s="33" t="s">
        <v>48</v>
      </c>
      <c r="Y58" s="33" t="s">
        <v>149</v>
      </c>
      <c r="Z58" s="34">
        <v>80</v>
      </c>
      <c r="AA58" s="34">
        <v>0</v>
      </c>
      <c r="AB58" s="34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3" t="s">
        <v>67</v>
      </c>
      <c r="B59" s="33" t="s">
        <v>149</v>
      </c>
      <c r="C59" s="34">
        <v>11</v>
      </c>
      <c r="D59" s="34">
        <v>1</v>
      </c>
      <c r="E59" t="e">
        <f>VLOOKUP(A59,'6. Deposits 2022_Q2'!$A$35:$A$61,1,FALSE)</f>
        <v>#N/A</v>
      </c>
      <c r="G59" s="33" t="s">
        <v>49</v>
      </c>
      <c r="H59" s="33" t="s">
        <v>148</v>
      </c>
      <c r="I59" s="34">
        <v>2</v>
      </c>
      <c r="J59" s="33" t="s">
        <v>154</v>
      </c>
      <c r="K59" s="34">
        <v>0</v>
      </c>
      <c r="X59" s="33" t="s">
        <v>49</v>
      </c>
      <c r="Y59" s="33" t="s">
        <v>148</v>
      </c>
      <c r="Z59" s="34">
        <v>6</v>
      </c>
      <c r="AA59" s="34">
        <v>0</v>
      </c>
      <c r="AB59" s="34">
        <v>11</v>
      </c>
    </row>
    <row r="60" spans="1:35" ht="16" x14ac:dyDescent="0.2">
      <c r="A60" s="33" t="s">
        <v>68</v>
      </c>
      <c r="B60" s="33" t="s">
        <v>149</v>
      </c>
      <c r="C60" s="34">
        <v>31</v>
      </c>
      <c r="D60" s="34">
        <v>1</v>
      </c>
      <c r="E60" t="e">
        <f>VLOOKUP(A60,'6. Deposits 2022_Q2'!$A$35:$A$61,1,FALSE)</f>
        <v>#N/A</v>
      </c>
      <c r="G60" s="33" t="s">
        <v>49</v>
      </c>
      <c r="H60" s="33" t="s">
        <v>149</v>
      </c>
      <c r="I60" s="34">
        <v>9</v>
      </c>
      <c r="J60" s="33" t="s">
        <v>152</v>
      </c>
      <c r="K60" s="34">
        <v>0</v>
      </c>
      <c r="X60" s="33" t="s">
        <v>49</v>
      </c>
      <c r="Y60" s="33" t="s">
        <v>148</v>
      </c>
      <c r="Z60" s="34">
        <v>2</v>
      </c>
      <c r="AA60" s="34">
        <v>0</v>
      </c>
      <c r="AB60" s="34">
        <v>12</v>
      </c>
    </row>
    <row r="61" spans="1:35" ht="16" x14ac:dyDescent="0.2">
      <c r="A61" s="33" t="s">
        <v>69</v>
      </c>
      <c r="B61" s="33" t="s">
        <v>149</v>
      </c>
      <c r="C61" s="34">
        <v>1179</v>
      </c>
      <c r="D61" s="34">
        <v>1</v>
      </c>
      <c r="E61" t="e">
        <f>VLOOKUP(A61,'6. Deposits 2022_Q2'!$A$35:$A$61,1,FALSE)</f>
        <v>#N/A</v>
      </c>
      <c r="G61" s="33" t="s">
        <v>49</v>
      </c>
      <c r="H61" s="33" t="s">
        <v>149</v>
      </c>
      <c r="I61" s="34">
        <v>2</v>
      </c>
      <c r="J61" s="33" t="s">
        <v>153</v>
      </c>
      <c r="K61" s="34">
        <v>0</v>
      </c>
      <c r="X61" s="33" t="s">
        <v>49</v>
      </c>
      <c r="Y61" s="33" t="s">
        <v>149</v>
      </c>
      <c r="Z61" s="34">
        <v>20</v>
      </c>
      <c r="AA61" s="34">
        <v>0</v>
      </c>
      <c r="AB61" s="34">
        <v>10</v>
      </c>
    </row>
    <row r="62" spans="1:35" ht="16" x14ac:dyDescent="0.2">
      <c r="A62" s="33" t="s">
        <v>70</v>
      </c>
      <c r="B62" s="33" t="s">
        <v>149</v>
      </c>
      <c r="C62" s="34">
        <v>3</v>
      </c>
      <c r="D62" s="34">
        <v>1</v>
      </c>
      <c r="E62" t="e">
        <f>VLOOKUP(A62,'6. Deposits 2022_Q2'!$A$35:$A$61,1,FALSE)</f>
        <v>#N/A</v>
      </c>
      <c r="G62" s="33" t="s">
        <v>49</v>
      </c>
      <c r="H62" s="33" t="s">
        <v>149</v>
      </c>
      <c r="I62" s="34">
        <v>3</v>
      </c>
      <c r="J62" s="33" t="s">
        <v>154</v>
      </c>
      <c r="K62" s="34">
        <v>0</v>
      </c>
      <c r="X62" s="33" t="s">
        <v>49</v>
      </c>
      <c r="Y62" s="33" t="s">
        <v>149</v>
      </c>
      <c r="Z62" s="34">
        <v>30</v>
      </c>
      <c r="AA62" s="34">
        <v>0</v>
      </c>
      <c r="AB62" s="34">
        <v>11</v>
      </c>
    </row>
    <row r="63" spans="1:35" ht="16" x14ac:dyDescent="0.2">
      <c r="G63" s="33" t="s">
        <v>49</v>
      </c>
      <c r="H63" s="33" t="s">
        <v>149</v>
      </c>
      <c r="I63" s="34">
        <v>7</v>
      </c>
      <c r="J63" s="33" t="s">
        <v>155</v>
      </c>
      <c r="K63" s="34">
        <v>0</v>
      </c>
      <c r="X63" s="33" t="s">
        <v>49</v>
      </c>
      <c r="Y63" s="33" t="s">
        <v>149</v>
      </c>
      <c r="Z63" s="34">
        <v>38</v>
      </c>
      <c r="AA63" s="34">
        <v>0</v>
      </c>
      <c r="AB63" s="34">
        <v>12</v>
      </c>
    </row>
    <row r="64" spans="1:35" ht="16" x14ac:dyDescent="0.2">
      <c r="G64" s="33" t="s">
        <v>50</v>
      </c>
      <c r="H64" s="33" t="s">
        <v>149</v>
      </c>
      <c r="I64" s="34">
        <v>1</v>
      </c>
      <c r="J64" s="33" t="s">
        <v>152</v>
      </c>
      <c r="K64" s="34">
        <v>0</v>
      </c>
      <c r="X64" s="33" t="s">
        <v>50</v>
      </c>
      <c r="Y64" s="33" t="s">
        <v>149</v>
      </c>
      <c r="Z64" s="34">
        <v>24</v>
      </c>
      <c r="AA64" s="34">
        <v>0</v>
      </c>
      <c r="AB64" s="34">
        <v>10</v>
      </c>
    </row>
    <row r="65" spans="7:28" ht="16" x14ac:dyDescent="0.2">
      <c r="G65" s="33" t="s">
        <v>50</v>
      </c>
      <c r="H65" s="33" t="s">
        <v>149</v>
      </c>
      <c r="I65" s="34">
        <v>4</v>
      </c>
      <c r="J65" s="33" t="s">
        <v>154</v>
      </c>
      <c r="K65" s="34">
        <v>0</v>
      </c>
      <c r="X65" s="33" t="s">
        <v>50</v>
      </c>
      <c r="Y65" s="33" t="s">
        <v>149</v>
      </c>
      <c r="Z65" s="34">
        <v>14</v>
      </c>
      <c r="AA65" s="34">
        <v>0</v>
      </c>
      <c r="AB65" s="34">
        <v>11</v>
      </c>
    </row>
    <row r="66" spans="7:28" ht="16" x14ac:dyDescent="0.2">
      <c r="G66" s="33" t="s">
        <v>51</v>
      </c>
      <c r="H66" s="33" t="s">
        <v>149</v>
      </c>
      <c r="I66" s="34">
        <v>1</v>
      </c>
      <c r="J66" s="33" t="s">
        <v>154</v>
      </c>
      <c r="K66" s="34">
        <v>0</v>
      </c>
      <c r="X66" s="33" t="s">
        <v>50</v>
      </c>
      <c r="Y66" s="33" t="s">
        <v>149</v>
      </c>
      <c r="Z66" s="34">
        <v>40</v>
      </c>
      <c r="AA66" s="34">
        <v>0</v>
      </c>
      <c r="AB66" s="34">
        <v>12</v>
      </c>
    </row>
    <row r="67" spans="7:28" ht="16" x14ac:dyDescent="0.2">
      <c r="G67" s="33" t="s">
        <v>52</v>
      </c>
      <c r="H67" s="33" t="s">
        <v>148</v>
      </c>
      <c r="I67" s="34">
        <v>2</v>
      </c>
      <c r="J67" s="33" t="s">
        <v>152</v>
      </c>
      <c r="K67" s="34">
        <v>0</v>
      </c>
      <c r="X67" s="33" t="s">
        <v>51</v>
      </c>
      <c r="Y67" s="33" t="s">
        <v>149</v>
      </c>
      <c r="Z67" s="34">
        <v>4</v>
      </c>
      <c r="AA67" s="34">
        <v>0</v>
      </c>
      <c r="AB67" s="34">
        <v>10</v>
      </c>
    </row>
    <row r="68" spans="7:28" ht="16" x14ac:dyDescent="0.2">
      <c r="G68" s="33" t="s">
        <v>52</v>
      </c>
      <c r="H68" s="33" t="s">
        <v>148</v>
      </c>
      <c r="I68" s="34">
        <v>1</v>
      </c>
      <c r="J68" s="33" t="s">
        <v>155</v>
      </c>
      <c r="K68" s="34">
        <v>0</v>
      </c>
      <c r="X68" s="33" t="s">
        <v>51</v>
      </c>
      <c r="Y68" s="33" t="s">
        <v>149</v>
      </c>
      <c r="Z68" s="34">
        <v>4</v>
      </c>
      <c r="AA68" s="34">
        <v>0</v>
      </c>
      <c r="AB68" s="34">
        <v>11</v>
      </c>
    </row>
    <row r="69" spans="7:28" ht="16" x14ac:dyDescent="0.2">
      <c r="G69" s="33" t="s">
        <v>52</v>
      </c>
      <c r="H69" s="33" t="s">
        <v>149</v>
      </c>
      <c r="I69" s="34">
        <v>42</v>
      </c>
      <c r="J69" s="33" t="s">
        <v>152</v>
      </c>
      <c r="K69" s="34">
        <v>0</v>
      </c>
      <c r="X69" s="33" t="s">
        <v>51</v>
      </c>
      <c r="Y69" s="33" t="s">
        <v>149</v>
      </c>
      <c r="Z69" s="34">
        <v>2</v>
      </c>
      <c r="AA69" s="34">
        <v>0</v>
      </c>
      <c r="AB69" s="34">
        <v>12</v>
      </c>
    </row>
    <row r="70" spans="7:28" ht="16" x14ac:dyDescent="0.2">
      <c r="G70" s="33" t="s">
        <v>52</v>
      </c>
      <c r="H70" s="33" t="s">
        <v>149</v>
      </c>
      <c r="I70" s="34">
        <v>27</v>
      </c>
      <c r="J70" s="33" t="s">
        <v>153</v>
      </c>
      <c r="K70" s="34">
        <v>0</v>
      </c>
      <c r="X70" s="33" t="s">
        <v>52</v>
      </c>
      <c r="Y70" s="33" t="s">
        <v>148</v>
      </c>
      <c r="Z70" s="34">
        <v>8</v>
      </c>
      <c r="AA70" s="34">
        <v>0</v>
      </c>
      <c r="AB70" s="34">
        <v>10</v>
      </c>
    </row>
    <row r="71" spans="7:28" ht="16" x14ac:dyDescent="0.2">
      <c r="G71" s="33" t="s">
        <v>52</v>
      </c>
      <c r="H71" s="33" t="s">
        <v>149</v>
      </c>
      <c r="I71" s="34">
        <v>12</v>
      </c>
      <c r="J71" s="33" t="s">
        <v>154</v>
      </c>
      <c r="K71" s="34">
        <v>0</v>
      </c>
      <c r="X71" s="33" t="s">
        <v>52</v>
      </c>
      <c r="Y71" s="33" t="s">
        <v>148</v>
      </c>
      <c r="Z71" s="34">
        <v>14</v>
      </c>
      <c r="AA71" s="34">
        <v>0</v>
      </c>
      <c r="AB71" s="34">
        <v>11</v>
      </c>
    </row>
    <row r="72" spans="7:28" ht="16" x14ac:dyDescent="0.2">
      <c r="G72" s="33" t="s">
        <v>52</v>
      </c>
      <c r="H72" s="33" t="s">
        <v>149</v>
      </c>
      <c r="I72" s="34">
        <v>36</v>
      </c>
      <c r="J72" s="33" t="s">
        <v>155</v>
      </c>
      <c r="K72" s="34">
        <v>0</v>
      </c>
      <c r="X72" s="33" t="s">
        <v>52</v>
      </c>
      <c r="Y72" s="33" t="s">
        <v>148</v>
      </c>
      <c r="Z72" s="34">
        <v>4</v>
      </c>
      <c r="AA72" s="34">
        <v>0</v>
      </c>
      <c r="AB72" s="34">
        <v>12</v>
      </c>
    </row>
    <row r="73" spans="7:28" ht="16" x14ac:dyDescent="0.2">
      <c r="G73" s="33" t="s">
        <v>53</v>
      </c>
      <c r="H73" s="33" t="s">
        <v>148</v>
      </c>
      <c r="I73" s="34">
        <v>17</v>
      </c>
      <c r="J73" s="33" t="s">
        <v>152</v>
      </c>
      <c r="K73" s="34">
        <v>0</v>
      </c>
      <c r="X73" s="33" t="s">
        <v>52</v>
      </c>
      <c r="Y73" s="33" t="s">
        <v>149</v>
      </c>
      <c r="Z73" s="34">
        <v>114</v>
      </c>
      <c r="AA73" s="34">
        <v>0</v>
      </c>
      <c r="AB73" s="34">
        <v>10</v>
      </c>
    </row>
    <row r="74" spans="7:28" ht="16" x14ac:dyDescent="0.2">
      <c r="G74" s="33" t="s">
        <v>53</v>
      </c>
      <c r="H74" s="33" t="s">
        <v>148</v>
      </c>
      <c r="I74" s="34">
        <v>6</v>
      </c>
      <c r="J74" s="33" t="s">
        <v>154</v>
      </c>
      <c r="K74" s="34">
        <v>0</v>
      </c>
      <c r="X74" s="33" t="s">
        <v>52</v>
      </c>
      <c r="Y74" s="33" t="s">
        <v>149</v>
      </c>
      <c r="Z74" s="34">
        <v>190</v>
      </c>
      <c r="AA74" s="34">
        <v>0</v>
      </c>
      <c r="AB74" s="34">
        <v>11</v>
      </c>
    </row>
    <row r="75" spans="7:28" ht="16" x14ac:dyDescent="0.2">
      <c r="G75" s="33" t="s">
        <v>53</v>
      </c>
      <c r="H75" s="33" t="s">
        <v>148</v>
      </c>
      <c r="I75" s="34">
        <v>2</v>
      </c>
      <c r="J75" s="33" t="s">
        <v>155</v>
      </c>
      <c r="K75" s="34">
        <v>0</v>
      </c>
      <c r="X75" s="33" t="s">
        <v>52</v>
      </c>
      <c r="Y75" s="33" t="s">
        <v>149</v>
      </c>
      <c r="Z75" s="34">
        <v>106</v>
      </c>
      <c r="AA75" s="34">
        <v>0</v>
      </c>
      <c r="AB75" s="34">
        <v>12</v>
      </c>
    </row>
    <row r="76" spans="7:28" ht="16" x14ac:dyDescent="0.2">
      <c r="G76" s="33" t="s">
        <v>53</v>
      </c>
      <c r="H76" s="33" t="s">
        <v>149</v>
      </c>
      <c r="I76" s="34">
        <v>23</v>
      </c>
      <c r="J76" s="33" t="s">
        <v>152</v>
      </c>
      <c r="K76" s="34">
        <v>0</v>
      </c>
      <c r="X76" s="33" t="s">
        <v>53</v>
      </c>
      <c r="Y76" s="33" t="s">
        <v>148</v>
      </c>
      <c r="Z76" s="34">
        <v>12</v>
      </c>
      <c r="AA76" s="34">
        <v>0</v>
      </c>
      <c r="AB76" s="34">
        <v>10</v>
      </c>
    </row>
    <row r="77" spans="7:28" ht="16" x14ac:dyDescent="0.2">
      <c r="G77" s="33" t="s">
        <v>53</v>
      </c>
      <c r="H77" s="33" t="s">
        <v>149</v>
      </c>
      <c r="I77" s="34">
        <v>30</v>
      </c>
      <c r="J77" s="33" t="s">
        <v>153</v>
      </c>
      <c r="K77" s="34">
        <v>0</v>
      </c>
      <c r="X77" s="33" t="s">
        <v>53</v>
      </c>
      <c r="Y77" s="33" t="s">
        <v>148</v>
      </c>
      <c r="Z77" s="34">
        <v>26</v>
      </c>
      <c r="AA77" s="34">
        <v>0</v>
      </c>
      <c r="AB77" s="34">
        <v>11</v>
      </c>
    </row>
    <row r="78" spans="7:28" ht="16" x14ac:dyDescent="0.2">
      <c r="G78" s="33" t="s">
        <v>53</v>
      </c>
      <c r="H78" s="33" t="s">
        <v>149</v>
      </c>
      <c r="I78" s="34">
        <v>15</v>
      </c>
      <c r="J78" s="33" t="s">
        <v>154</v>
      </c>
      <c r="K78" s="34">
        <v>0</v>
      </c>
      <c r="X78" s="33" t="s">
        <v>53</v>
      </c>
      <c r="Y78" s="33" t="s">
        <v>148</v>
      </c>
      <c r="Z78" s="34">
        <v>18</v>
      </c>
      <c r="AA78" s="34">
        <v>0</v>
      </c>
      <c r="AB78" s="34">
        <v>12</v>
      </c>
    </row>
    <row r="79" spans="7:28" ht="16" x14ac:dyDescent="0.2">
      <c r="G79" s="33" t="s">
        <v>53</v>
      </c>
      <c r="H79" s="33" t="s">
        <v>149</v>
      </c>
      <c r="I79" s="34">
        <v>31</v>
      </c>
      <c r="J79" s="33" t="s">
        <v>155</v>
      </c>
      <c r="K79" s="34">
        <v>0</v>
      </c>
      <c r="X79" s="33" t="s">
        <v>53</v>
      </c>
      <c r="Y79" s="33" t="s">
        <v>149</v>
      </c>
      <c r="Z79" s="34">
        <v>100</v>
      </c>
      <c r="AA79" s="34">
        <v>0</v>
      </c>
      <c r="AB79" s="34">
        <v>10</v>
      </c>
    </row>
    <row r="80" spans="7:28" ht="16" x14ac:dyDescent="0.2">
      <c r="G80" s="33" t="s">
        <v>54</v>
      </c>
      <c r="H80" s="33" t="s">
        <v>149</v>
      </c>
      <c r="I80" s="34">
        <v>4</v>
      </c>
      <c r="J80" s="33" t="s">
        <v>152</v>
      </c>
      <c r="K80" s="34">
        <v>0</v>
      </c>
      <c r="X80" s="33" t="s">
        <v>53</v>
      </c>
      <c r="Y80" s="33" t="s">
        <v>149</v>
      </c>
      <c r="Z80" s="34">
        <v>182</v>
      </c>
      <c r="AA80" s="34">
        <v>0</v>
      </c>
      <c r="AB80" s="34">
        <v>11</v>
      </c>
    </row>
    <row r="81" spans="7:28" ht="16" x14ac:dyDescent="0.2">
      <c r="G81" s="33" t="s">
        <v>54</v>
      </c>
      <c r="H81" s="33" t="s">
        <v>149</v>
      </c>
      <c r="I81" s="34">
        <v>2</v>
      </c>
      <c r="J81" s="33" t="s">
        <v>153</v>
      </c>
      <c r="K81" s="34">
        <v>0</v>
      </c>
      <c r="X81" s="33" t="s">
        <v>53</v>
      </c>
      <c r="Y81" s="33" t="s">
        <v>149</v>
      </c>
      <c r="Z81" s="34">
        <v>230</v>
      </c>
      <c r="AA81" s="34">
        <v>0</v>
      </c>
      <c r="AB81" s="34">
        <v>12</v>
      </c>
    </row>
    <row r="82" spans="7:28" ht="16" x14ac:dyDescent="0.2">
      <c r="G82" s="33" t="s">
        <v>54</v>
      </c>
      <c r="H82" s="33" t="s">
        <v>149</v>
      </c>
      <c r="I82" s="34">
        <v>3</v>
      </c>
      <c r="J82" s="33" t="s">
        <v>154</v>
      </c>
      <c r="K82" s="34">
        <v>0</v>
      </c>
      <c r="X82" s="33" t="s">
        <v>54</v>
      </c>
      <c r="Y82" s="33" t="s">
        <v>149</v>
      </c>
      <c r="Z82" s="34">
        <v>22</v>
      </c>
      <c r="AA82" s="34">
        <v>0</v>
      </c>
      <c r="AB82" s="34">
        <v>10</v>
      </c>
    </row>
    <row r="83" spans="7:28" ht="16" x14ac:dyDescent="0.2">
      <c r="G83" s="33" t="s">
        <v>54</v>
      </c>
      <c r="H83" s="33" t="s">
        <v>149</v>
      </c>
      <c r="I83" s="34">
        <v>1</v>
      </c>
      <c r="J83" s="33" t="s">
        <v>155</v>
      </c>
      <c r="K83" s="34">
        <v>0</v>
      </c>
      <c r="X83" s="33" t="s">
        <v>54</v>
      </c>
      <c r="Y83" s="33" t="s">
        <v>149</v>
      </c>
      <c r="Z83" s="34">
        <v>26</v>
      </c>
      <c r="AA83" s="34">
        <v>0</v>
      </c>
      <c r="AB83" s="34">
        <v>11</v>
      </c>
    </row>
    <row r="84" spans="7:28" ht="16" x14ac:dyDescent="0.2">
      <c r="G84" s="33" t="s">
        <v>55</v>
      </c>
      <c r="H84" s="33" t="s">
        <v>148</v>
      </c>
      <c r="I84" s="34">
        <v>2</v>
      </c>
      <c r="J84" s="33" t="s">
        <v>152</v>
      </c>
      <c r="K84" s="34">
        <v>0</v>
      </c>
      <c r="X84" s="33" t="s">
        <v>54</v>
      </c>
      <c r="Y84" s="33" t="s">
        <v>149</v>
      </c>
      <c r="Z84" s="34">
        <v>28</v>
      </c>
      <c r="AA84" s="34">
        <v>0</v>
      </c>
      <c r="AB84" s="34">
        <v>12</v>
      </c>
    </row>
    <row r="85" spans="7:28" ht="16" x14ac:dyDescent="0.2">
      <c r="G85" s="33" t="s">
        <v>55</v>
      </c>
      <c r="H85" s="33" t="s">
        <v>149</v>
      </c>
      <c r="I85" s="34">
        <v>24</v>
      </c>
      <c r="J85" s="33" t="s">
        <v>152</v>
      </c>
      <c r="K85" s="34">
        <v>0</v>
      </c>
      <c r="X85" s="33" t="s">
        <v>55</v>
      </c>
      <c r="Y85" s="33" t="s">
        <v>148</v>
      </c>
      <c r="Z85" s="34">
        <v>6</v>
      </c>
      <c r="AA85" s="34">
        <v>0</v>
      </c>
      <c r="AB85" s="34">
        <v>10</v>
      </c>
    </row>
    <row r="86" spans="7:28" ht="16" x14ac:dyDescent="0.2">
      <c r="G86" s="33" t="s">
        <v>55</v>
      </c>
      <c r="H86" s="33" t="s">
        <v>149</v>
      </c>
      <c r="I86" s="34">
        <v>4</v>
      </c>
      <c r="J86" s="33" t="s">
        <v>153</v>
      </c>
      <c r="K86" s="34">
        <v>0</v>
      </c>
      <c r="X86" s="33" t="s">
        <v>55</v>
      </c>
      <c r="Y86" s="33" t="s">
        <v>148</v>
      </c>
      <c r="Z86" s="34">
        <v>2</v>
      </c>
      <c r="AA86" s="34">
        <v>0</v>
      </c>
      <c r="AB86" s="34">
        <v>11</v>
      </c>
    </row>
    <row r="87" spans="7:28" ht="16" x14ac:dyDescent="0.2">
      <c r="G87" s="33" t="s">
        <v>55</v>
      </c>
      <c r="H87" s="33" t="s">
        <v>149</v>
      </c>
      <c r="I87" s="34">
        <v>4</v>
      </c>
      <c r="J87" s="33" t="s">
        <v>154</v>
      </c>
      <c r="K87" s="34">
        <v>0</v>
      </c>
      <c r="X87" s="33" t="s">
        <v>55</v>
      </c>
      <c r="Y87" s="33" t="s">
        <v>148</v>
      </c>
      <c r="Z87" s="34">
        <v>10</v>
      </c>
      <c r="AA87" s="34">
        <v>0</v>
      </c>
      <c r="AB87" s="34">
        <v>12</v>
      </c>
    </row>
    <row r="88" spans="7:28" ht="16" x14ac:dyDescent="0.2">
      <c r="G88" s="33" t="s">
        <v>55</v>
      </c>
      <c r="H88" s="33" t="s">
        <v>149</v>
      </c>
      <c r="I88" s="34">
        <v>10</v>
      </c>
      <c r="J88" s="33" t="s">
        <v>155</v>
      </c>
      <c r="K88" s="34">
        <v>0</v>
      </c>
      <c r="X88" s="33" t="s">
        <v>55</v>
      </c>
      <c r="Y88" s="33" t="s">
        <v>149</v>
      </c>
      <c r="Z88" s="34">
        <v>60</v>
      </c>
      <c r="AA88" s="34">
        <v>0</v>
      </c>
      <c r="AB88" s="34">
        <v>10</v>
      </c>
    </row>
    <row r="89" spans="7:28" ht="16" x14ac:dyDescent="0.2">
      <c r="G89" s="33" t="s">
        <v>56</v>
      </c>
      <c r="H89" s="33" t="s">
        <v>148</v>
      </c>
      <c r="I89" s="34">
        <v>2</v>
      </c>
      <c r="J89" s="33" t="s">
        <v>152</v>
      </c>
      <c r="K89" s="34">
        <v>0</v>
      </c>
      <c r="X89" s="33" t="s">
        <v>55</v>
      </c>
      <c r="Y89" s="33" t="s">
        <v>149</v>
      </c>
      <c r="Z89" s="34">
        <v>84</v>
      </c>
      <c r="AA89" s="34">
        <v>0</v>
      </c>
      <c r="AB89" s="34">
        <v>11</v>
      </c>
    </row>
    <row r="90" spans="7:28" ht="16" x14ac:dyDescent="0.2">
      <c r="G90" s="33" t="s">
        <v>56</v>
      </c>
      <c r="H90" s="33" t="s">
        <v>148</v>
      </c>
      <c r="I90" s="34">
        <v>2</v>
      </c>
      <c r="J90" s="33" t="s">
        <v>153</v>
      </c>
      <c r="K90" s="34">
        <v>0</v>
      </c>
      <c r="X90" s="33" t="s">
        <v>55</v>
      </c>
      <c r="Y90" s="33" t="s">
        <v>149</v>
      </c>
      <c r="Z90" s="34">
        <v>162</v>
      </c>
      <c r="AA90" s="34">
        <v>0</v>
      </c>
      <c r="AB90" s="34">
        <v>12</v>
      </c>
    </row>
    <row r="91" spans="7:28" ht="16" x14ac:dyDescent="0.2">
      <c r="G91" s="33" t="s">
        <v>56</v>
      </c>
      <c r="H91" s="33" t="s">
        <v>148</v>
      </c>
      <c r="I91" s="34">
        <v>2</v>
      </c>
      <c r="J91" s="33" t="s">
        <v>154</v>
      </c>
      <c r="K91" s="34">
        <v>0</v>
      </c>
      <c r="X91" s="33" t="s">
        <v>56</v>
      </c>
      <c r="Y91" s="33" t="s">
        <v>148</v>
      </c>
      <c r="Z91" s="34">
        <v>2</v>
      </c>
      <c r="AA91" s="34">
        <v>0</v>
      </c>
      <c r="AB91" s="34">
        <v>10</v>
      </c>
    </row>
    <row r="92" spans="7:28" ht="16" x14ac:dyDescent="0.2">
      <c r="G92" s="33" t="s">
        <v>56</v>
      </c>
      <c r="H92" s="33" t="s">
        <v>149</v>
      </c>
      <c r="I92" s="34">
        <v>16</v>
      </c>
      <c r="J92" s="33" t="s">
        <v>152</v>
      </c>
      <c r="K92" s="34">
        <v>0</v>
      </c>
      <c r="X92" s="33" t="s">
        <v>56</v>
      </c>
      <c r="Y92" s="33" t="s">
        <v>148</v>
      </c>
      <c r="Z92" s="34">
        <v>4</v>
      </c>
      <c r="AA92" s="34">
        <v>0</v>
      </c>
      <c r="AB92" s="34">
        <v>11</v>
      </c>
    </row>
    <row r="93" spans="7:28" ht="16" x14ac:dyDescent="0.2">
      <c r="G93" s="33" t="s">
        <v>56</v>
      </c>
      <c r="H93" s="33" t="s">
        <v>149</v>
      </c>
      <c r="I93" s="34">
        <v>12</v>
      </c>
      <c r="J93" s="33" t="s">
        <v>153</v>
      </c>
      <c r="K93" s="34">
        <v>0</v>
      </c>
      <c r="X93" s="33" t="s">
        <v>56</v>
      </c>
      <c r="Y93" s="33" t="s">
        <v>148</v>
      </c>
      <c r="Z93" s="34">
        <v>16</v>
      </c>
      <c r="AA93" s="34">
        <v>0</v>
      </c>
      <c r="AB93" s="34">
        <v>12</v>
      </c>
    </row>
    <row r="94" spans="7:28" ht="16" x14ac:dyDescent="0.2">
      <c r="G94" s="33" t="s">
        <v>56</v>
      </c>
      <c r="H94" s="33" t="s">
        <v>149</v>
      </c>
      <c r="I94" s="34">
        <v>8</v>
      </c>
      <c r="J94" s="33" t="s">
        <v>154</v>
      </c>
      <c r="K94" s="34">
        <v>0</v>
      </c>
      <c r="X94" s="33" t="s">
        <v>56</v>
      </c>
      <c r="Y94" s="33" t="s">
        <v>149</v>
      </c>
      <c r="Z94" s="34">
        <v>86</v>
      </c>
      <c r="AA94" s="34">
        <v>0</v>
      </c>
      <c r="AB94" s="34">
        <v>10</v>
      </c>
    </row>
    <row r="95" spans="7:28" ht="16" x14ac:dyDescent="0.2">
      <c r="G95" s="33" t="s">
        <v>56</v>
      </c>
      <c r="H95" s="33" t="s">
        <v>149</v>
      </c>
      <c r="I95" s="34">
        <v>10</v>
      </c>
      <c r="J95" s="33" t="s">
        <v>155</v>
      </c>
      <c r="K95" s="34">
        <v>0</v>
      </c>
      <c r="X95" s="33" t="s">
        <v>56</v>
      </c>
      <c r="Y95" s="33" t="s">
        <v>149</v>
      </c>
      <c r="Z95" s="34">
        <v>82</v>
      </c>
      <c r="AA95" s="34">
        <v>0</v>
      </c>
      <c r="AB95" s="34">
        <v>11</v>
      </c>
    </row>
    <row r="96" spans="7:28" ht="16" x14ac:dyDescent="0.2">
      <c r="G96" s="33" t="s">
        <v>57</v>
      </c>
      <c r="H96" s="33" t="s">
        <v>149</v>
      </c>
      <c r="I96" s="34">
        <v>1</v>
      </c>
      <c r="J96" s="33" t="s">
        <v>152</v>
      </c>
      <c r="K96" s="34">
        <v>0</v>
      </c>
      <c r="X96" s="33" t="s">
        <v>56</v>
      </c>
      <c r="Y96" s="33" t="s">
        <v>149</v>
      </c>
      <c r="Z96" s="34">
        <v>154</v>
      </c>
      <c r="AA96" s="34">
        <v>0</v>
      </c>
      <c r="AB96" s="34">
        <v>12</v>
      </c>
    </row>
    <row r="97" spans="7:28" ht="16" x14ac:dyDescent="0.2">
      <c r="G97" s="33" t="s">
        <v>57</v>
      </c>
      <c r="H97" s="33" t="s">
        <v>149</v>
      </c>
      <c r="I97" s="34">
        <v>1</v>
      </c>
      <c r="J97" s="33" t="s">
        <v>154</v>
      </c>
      <c r="K97" s="34">
        <v>0</v>
      </c>
      <c r="X97" s="33" t="s">
        <v>57</v>
      </c>
      <c r="Y97" s="33" t="s">
        <v>148</v>
      </c>
      <c r="Z97" s="34">
        <v>4</v>
      </c>
      <c r="AA97" s="34">
        <v>0</v>
      </c>
      <c r="AB97" s="34">
        <v>12</v>
      </c>
    </row>
    <row r="98" spans="7:28" ht="16" x14ac:dyDescent="0.2">
      <c r="G98" s="33" t="s">
        <v>58</v>
      </c>
      <c r="H98" s="33" t="s">
        <v>149</v>
      </c>
      <c r="I98" s="34">
        <v>7</v>
      </c>
      <c r="J98" s="33" t="s">
        <v>152</v>
      </c>
      <c r="K98" s="34">
        <v>0</v>
      </c>
      <c r="X98" s="33" t="s">
        <v>57</v>
      </c>
      <c r="Y98" s="33" t="s">
        <v>149</v>
      </c>
      <c r="Z98" s="34">
        <v>6</v>
      </c>
      <c r="AA98" s="34">
        <v>0</v>
      </c>
      <c r="AB98" s="34">
        <v>10</v>
      </c>
    </row>
    <row r="99" spans="7:28" ht="16" x14ac:dyDescent="0.2">
      <c r="G99" s="33" t="s">
        <v>58</v>
      </c>
      <c r="H99" s="33" t="s">
        <v>149</v>
      </c>
      <c r="I99" s="34">
        <v>9</v>
      </c>
      <c r="J99" s="33" t="s">
        <v>153</v>
      </c>
      <c r="K99" s="34">
        <v>0</v>
      </c>
      <c r="X99" s="33" t="s">
        <v>57</v>
      </c>
      <c r="Y99" s="33" t="s">
        <v>149</v>
      </c>
      <c r="Z99" s="34">
        <v>2</v>
      </c>
      <c r="AA99" s="34">
        <v>0</v>
      </c>
      <c r="AB99" s="34">
        <v>11</v>
      </c>
    </row>
    <row r="100" spans="7:28" ht="16" x14ac:dyDescent="0.2">
      <c r="G100" s="33" t="s">
        <v>58</v>
      </c>
      <c r="H100" s="33" t="s">
        <v>149</v>
      </c>
      <c r="I100" s="34">
        <v>10</v>
      </c>
      <c r="J100" s="33" t="s">
        <v>155</v>
      </c>
      <c r="K100" s="34">
        <v>0</v>
      </c>
      <c r="X100" s="33" t="s">
        <v>57</v>
      </c>
      <c r="Y100" s="33" t="s">
        <v>149</v>
      </c>
      <c r="Z100" s="34">
        <v>22</v>
      </c>
      <c r="AA100" s="34">
        <v>0</v>
      </c>
      <c r="AB100" s="34">
        <v>12</v>
      </c>
    </row>
    <row r="101" spans="7:28" ht="16" x14ac:dyDescent="0.2">
      <c r="G101" s="33" t="s">
        <v>60</v>
      </c>
      <c r="H101" s="33" t="s">
        <v>149</v>
      </c>
      <c r="I101" s="34">
        <v>2</v>
      </c>
      <c r="J101" s="33" t="s">
        <v>154</v>
      </c>
      <c r="K101" s="34">
        <v>0</v>
      </c>
      <c r="X101" s="33" t="s">
        <v>58</v>
      </c>
      <c r="Y101" s="33" t="s">
        <v>148</v>
      </c>
      <c r="Z101" s="34">
        <v>2</v>
      </c>
      <c r="AA101" s="34">
        <v>0</v>
      </c>
      <c r="AB101" s="34">
        <v>10</v>
      </c>
    </row>
    <row r="102" spans="7:28" ht="16" x14ac:dyDescent="0.2">
      <c r="G102" s="33" t="s">
        <v>60</v>
      </c>
      <c r="H102" s="33" t="s">
        <v>149</v>
      </c>
      <c r="I102" s="34">
        <v>2</v>
      </c>
      <c r="J102" s="33" t="s">
        <v>155</v>
      </c>
      <c r="K102" s="34">
        <v>0</v>
      </c>
      <c r="X102" s="33" t="s">
        <v>58</v>
      </c>
      <c r="Y102" s="33" t="s">
        <v>148</v>
      </c>
      <c r="Z102" s="34">
        <v>2</v>
      </c>
      <c r="AA102" s="34">
        <v>0</v>
      </c>
      <c r="AB102" s="34">
        <v>11</v>
      </c>
    </row>
    <row r="103" spans="7:28" ht="16" x14ac:dyDescent="0.2">
      <c r="G103" s="33" t="s">
        <v>61</v>
      </c>
      <c r="H103" s="33" t="s">
        <v>148</v>
      </c>
      <c r="I103" s="34">
        <v>2</v>
      </c>
      <c r="J103" s="33" t="s">
        <v>153</v>
      </c>
      <c r="K103" s="34">
        <v>0</v>
      </c>
      <c r="X103" s="33" t="s">
        <v>58</v>
      </c>
      <c r="Y103" s="33" t="s">
        <v>148</v>
      </c>
      <c r="Z103" s="34">
        <v>4</v>
      </c>
      <c r="AA103" s="34">
        <v>0</v>
      </c>
      <c r="AB103" s="34">
        <v>12</v>
      </c>
    </row>
    <row r="104" spans="7:28" ht="16" x14ac:dyDescent="0.2">
      <c r="G104" s="33" t="s">
        <v>61</v>
      </c>
      <c r="H104" s="33" t="s">
        <v>149</v>
      </c>
      <c r="I104" s="34">
        <v>29</v>
      </c>
      <c r="J104" s="33" t="s">
        <v>152</v>
      </c>
      <c r="K104" s="34">
        <v>0</v>
      </c>
      <c r="X104" s="33" t="s">
        <v>58</v>
      </c>
      <c r="Y104" s="33" t="s">
        <v>149</v>
      </c>
      <c r="Z104" s="34">
        <v>62</v>
      </c>
      <c r="AA104" s="34">
        <v>0</v>
      </c>
      <c r="AB104" s="34">
        <v>10</v>
      </c>
    </row>
    <row r="105" spans="7:28" ht="16" x14ac:dyDescent="0.2">
      <c r="G105" s="33" t="s">
        <v>61</v>
      </c>
      <c r="H105" s="33" t="s">
        <v>149</v>
      </c>
      <c r="I105" s="34">
        <v>17</v>
      </c>
      <c r="J105" s="33" t="s">
        <v>153</v>
      </c>
      <c r="K105" s="34">
        <v>0</v>
      </c>
      <c r="X105" s="33" t="s">
        <v>58</v>
      </c>
      <c r="Y105" s="33" t="s">
        <v>149</v>
      </c>
      <c r="Z105" s="34">
        <v>58</v>
      </c>
      <c r="AA105" s="34">
        <v>0</v>
      </c>
      <c r="AB105" s="34">
        <v>11</v>
      </c>
    </row>
    <row r="106" spans="7:28" ht="16" x14ac:dyDescent="0.2">
      <c r="G106" s="33" t="s">
        <v>61</v>
      </c>
      <c r="H106" s="33" t="s">
        <v>149</v>
      </c>
      <c r="I106" s="34">
        <v>4</v>
      </c>
      <c r="J106" s="33" t="s">
        <v>154</v>
      </c>
      <c r="K106" s="34">
        <v>0</v>
      </c>
      <c r="X106" s="33" t="s">
        <v>58</v>
      </c>
      <c r="Y106" s="33" t="s">
        <v>149</v>
      </c>
      <c r="Z106" s="34">
        <v>62</v>
      </c>
      <c r="AA106" s="34">
        <v>0</v>
      </c>
      <c r="AB106" s="34">
        <v>12</v>
      </c>
    </row>
    <row r="107" spans="7:28" ht="16" x14ac:dyDescent="0.2">
      <c r="G107" s="33" t="s">
        <v>61</v>
      </c>
      <c r="H107" s="33" t="s">
        <v>149</v>
      </c>
      <c r="I107" s="34">
        <v>67</v>
      </c>
      <c r="J107" s="33" t="s">
        <v>155</v>
      </c>
      <c r="K107" s="34">
        <v>0</v>
      </c>
      <c r="X107" s="33" t="s">
        <v>60</v>
      </c>
      <c r="Y107" s="33" t="s">
        <v>148</v>
      </c>
      <c r="Z107" s="34">
        <v>2</v>
      </c>
      <c r="AA107" s="34">
        <v>0</v>
      </c>
      <c r="AB107" s="34">
        <v>12</v>
      </c>
    </row>
    <row r="108" spans="7:28" ht="16" x14ac:dyDescent="0.2">
      <c r="G108" s="33" t="s">
        <v>62</v>
      </c>
      <c r="H108" s="33" t="s">
        <v>148</v>
      </c>
      <c r="I108" s="34">
        <v>1</v>
      </c>
      <c r="J108" s="33" t="s">
        <v>155</v>
      </c>
      <c r="K108" s="34">
        <v>0</v>
      </c>
      <c r="X108" s="33" t="s">
        <v>60</v>
      </c>
      <c r="Y108" s="33" t="s">
        <v>149</v>
      </c>
      <c r="Z108" s="34">
        <v>6</v>
      </c>
      <c r="AA108" s="34">
        <v>0</v>
      </c>
      <c r="AB108" s="34">
        <v>10</v>
      </c>
    </row>
    <row r="109" spans="7:28" ht="16" x14ac:dyDescent="0.2">
      <c r="G109" s="33" t="s">
        <v>62</v>
      </c>
      <c r="H109" s="33" t="s">
        <v>149</v>
      </c>
      <c r="I109" s="34">
        <v>11</v>
      </c>
      <c r="J109" s="33" t="s">
        <v>152</v>
      </c>
      <c r="K109" s="34">
        <v>0</v>
      </c>
      <c r="X109" s="33" t="s">
        <v>60</v>
      </c>
      <c r="Y109" s="33" t="s">
        <v>149</v>
      </c>
      <c r="Z109" s="34">
        <v>18</v>
      </c>
      <c r="AA109" s="34">
        <v>0</v>
      </c>
      <c r="AB109" s="34">
        <v>11</v>
      </c>
    </row>
    <row r="110" spans="7:28" ht="16" x14ac:dyDescent="0.2">
      <c r="G110" s="33" t="s">
        <v>62</v>
      </c>
      <c r="H110" s="33" t="s">
        <v>149</v>
      </c>
      <c r="I110" s="34">
        <v>6</v>
      </c>
      <c r="J110" s="33" t="s">
        <v>153</v>
      </c>
      <c r="K110" s="34">
        <v>0</v>
      </c>
      <c r="X110" s="33" t="s">
        <v>60</v>
      </c>
      <c r="Y110" s="33" t="s">
        <v>149</v>
      </c>
      <c r="Z110" s="34">
        <v>6</v>
      </c>
      <c r="AA110" s="34">
        <v>0</v>
      </c>
      <c r="AB110" s="34">
        <v>12</v>
      </c>
    </row>
    <row r="111" spans="7:28" ht="16" x14ac:dyDescent="0.2">
      <c r="G111" s="33" t="s">
        <v>62</v>
      </c>
      <c r="H111" s="33" t="s">
        <v>149</v>
      </c>
      <c r="I111" s="34">
        <v>7</v>
      </c>
      <c r="J111" s="33" t="s">
        <v>154</v>
      </c>
      <c r="K111" s="34">
        <v>0</v>
      </c>
      <c r="X111" s="33" t="s">
        <v>61</v>
      </c>
      <c r="Y111" s="33" t="s">
        <v>148</v>
      </c>
      <c r="Z111" s="34">
        <v>4</v>
      </c>
      <c r="AA111" s="34">
        <v>0</v>
      </c>
      <c r="AB111" s="34">
        <v>11</v>
      </c>
    </row>
    <row r="112" spans="7:28" ht="16" x14ac:dyDescent="0.2">
      <c r="G112" s="33" t="s">
        <v>62</v>
      </c>
      <c r="H112" s="33" t="s">
        <v>149</v>
      </c>
      <c r="I112" s="34">
        <v>8</v>
      </c>
      <c r="J112" s="33" t="s">
        <v>155</v>
      </c>
      <c r="K112" s="34">
        <v>0</v>
      </c>
      <c r="X112" s="33" t="s">
        <v>61</v>
      </c>
      <c r="Y112" s="33" t="s">
        <v>148</v>
      </c>
      <c r="Z112" s="34">
        <v>2</v>
      </c>
      <c r="AA112" s="34">
        <v>0</v>
      </c>
      <c r="AB112" s="34">
        <v>12</v>
      </c>
    </row>
    <row r="113" spans="7:28" ht="16" x14ac:dyDescent="0.2">
      <c r="G113" s="33" t="s">
        <v>63</v>
      </c>
      <c r="H113" s="33" t="s">
        <v>149</v>
      </c>
      <c r="I113" s="34">
        <v>1</v>
      </c>
      <c r="J113" s="33" t="s">
        <v>154</v>
      </c>
      <c r="K113" s="34">
        <v>0</v>
      </c>
      <c r="X113" s="33" t="s">
        <v>61</v>
      </c>
      <c r="Y113" s="33" t="s">
        <v>149</v>
      </c>
      <c r="Z113" s="34">
        <v>64</v>
      </c>
      <c r="AA113" s="34">
        <v>0</v>
      </c>
      <c r="AB113" s="34">
        <v>10</v>
      </c>
    </row>
    <row r="114" spans="7:28" ht="16" x14ac:dyDescent="0.2">
      <c r="G114" s="33" t="s">
        <v>64</v>
      </c>
      <c r="H114" s="33" t="s">
        <v>148</v>
      </c>
      <c r="I114" s="34">
        <v>2</v>
      </c>
      <c r="J114" s="33" t="s">
        <v>152</v>
      </c>
      <c r="K114" s="34">
        <v>0</v>
      </c>
      <c r="X114" s="33" t="s">
        <v>61</v>
      </c>
      <c r="Y114" s="33" t="s">
        <v>149</v>
      </c>
      <c r="Z114" s="34">
        <v>102</v>
      </c>
      <c r="AA114" s="34">
        <v>0</v>
      </c>
      <c r="AB114" s="34">
        <v>11</v>
      </c>
    </row>
    <row r="115" spans="7:28" ht="16" x14ac:dyDescent="0.2">
      <c r="G115" s="33" t="s">
        <v>64</v>
      </c>
      <c r="H115" s="33" t="s">
        <v>148</v>
      </c>
      <c r="I115" s="34">
        <v>2</v>
      </c>
      <c r="J115" s="33" t="s">
        <v>153</v>
      </c>
      <c r="K115" s="34">
        <v>0</v>
      </c>
      <c r="X115" s="33" t="s">
        <v>61</v>
      </c>
      <c r="Y115" s="33" t="s">
        <v>149</v>
      </c>
      <c r="Z115" s="34">
        <v>64</v>
      </c>
      <c r="AA115" s="34">
        <v>0</v>
      </c>
      <c r="AB115" s="34">
        <v>12</v>
      </c>
    </row>
    <row r="116" spans="7:28" ht="16" x14ac:dyDescent="0.2">
      <c r="G116" s="33" t="s">
        <v>64</v>
      </c>
      <c r="H116" s="33" t="s">
        <v>149</v>
      </c>
      <c r="I116" s="34">
        <v>4</v>
      </c>
      <c r="J116" s="33" t="s">
        <v>152</v>
      </c>
      <c r="K116" s="34">
        <v>0</v>
      </c>
      <c r="X116" s="33" t="s">
        <v>62</v>
      </c>
      <c r="Y116" s="33" t="s">
        <v>148</v>
      </c>
      <c r="Z116" s="34">
        <v>2</v>
      </c>
      <c r="AA116" s="34">
        <v>0</v>
      </c>
      <c r="AB116" s="34">
        <v>10</v>
      </c>
    </row>
    <row r="117" spans="7:28" ht="16" x14ac:dyDescent="0.2">
      <c r="G117" s="33" t="s">
        <v>64</v>
      </c>
      <c r="H117" s="33" t="s">
        <v>149</v>
      </c>
      <c r="I117" s="34">
        <v>6</v>
      </c>
      <c r="J117" s="33" t="s">
        <v>155</v>
      </c>
      <c r="K117" s="34">
        <v>0</v>
      </c>
      <c r="X117" s="33" t="s">
        <v>62</v>
      </c>
      <c r="Y117" s="33" t="s">
        <v>148</v>
      </c>
      <c r="Z117" s="34">
        <v>2</v>
      </c>
      <c r="AA117" s="34">
        <v>0</v>
      </c>
      <c r="AB117" s="34">
        <v>12</v>
      </c>
    </row>
    <row r="118" spans="7:28" ht="16" x14ac:dyDescent="0.2">
      <c r="G118" s="33" t="s">
        <v>65</v>
      </c>
      <c r="H118" s="33" t="s">
        <v>149</v>
      </c>
      <c r="I118" s="34">
        <v>2</v>
      </c>
      <c r="J118" s="33" t="s">
        <v>152</v>
      </c>
      <c r="K118" s="34">
        <v>0</v>
      </c>
      <c r="X118" s="33" t="s">
        <v>62</v>
      </c>
      <c r="Y118" s="33" t="s">
        <v>149</v>
      </c>
      <c r="Z118" s="34">
        <v>20</v>
      </c>
      <c r="AA118" s="34">
        <v>0</v>
      </c>
      <c r="AB118" s="34">
        <v>10</v>
      </c>
    </row>
    <row r="119" spans="7:28" ht="16" x14ac:dyDescent="0.2">
      <c r="G119" s="33" t="s">
        <v>65</v>
      </c>
      <c r="H119" s="33" t="s">
        <v>149</v>
      </c>
      <c r="I119" s="34">
        <v>1</v>
      </c>
      <c r="J119" s="33" t="s">
        <v>155</v>
      </c>
      <c r="K119" s="34">
        <v>0</v>
      </c>
      <c r="X119" s="33" t="s">
        <v>62</v>
      </c>
      <c r="Y119" s="33" t="s">
        <v>149</v>
      </c>
      <c r="Z119" s="34">
        <v>36</v>
      </c>
      <c r="AA119" s="34">
        <v>0</v>
      </c>
      <c r="AB119" s="34">
        <v>11</v>
      </c>
    </row>
    <row r="120" spans="7:28" ht="16" x14ac:dyDescent="0.2">
      <c r="G120" s="33" t="s">
        <v>67</v>
      </c>
      <c r="H120" s="33" t="s">
        <v>148</v>
      </c>
      <c r="I120" s="34">
        <v>2</v>
      </c>
      <c r="J120" s="33" t="s">
        <v>153</v>
      </c>
      <c r="K120" s="34">
        <v>0</v>
      </c>
      <c r="X120" s="33" t="s">
        <v>62</v>
      </c>
      <c r="Y120" s="33" t="s">
        <v>149</v>
      </c>
      <c r="Z120" s="34">
        <v>34</v>
      </c>
      <c r="AA120" s="34">
        <v>0</v>
      </c>
      <c r="AB120" s="34">
        <v>12</v>
      </c>
    </row>
    <row r="121" spans="7:28" ht="16" x14ac:dyDescent="0.2">
      <c r="G121" s="33" t="s">
        <v>67</v>
      </c>
      <c r="H121" s="33" t="s">
        <v>149</v>
      </c>
      <c r="I121" s="34">
        <v>2</v>
      </c>
      <c r="J121" s="33" t="s">
        <v>153</v>
      </c>
      <c r="K121" s="34">
        <v>0</v>
      </c>
      <c r="X121" s="33" t="s">
        <v>63</v>
      </c>
      <c r="Y121" s="33" t="s">
        <v>149</v>
      </c>
      <c r="Z121" s="34">
        <v>2</v>
      </c>
      <c r="AA121" s="34">
        <v>0</v>
      </c>
      <c r="AB121" s="34">
        <v>10</v>
      </c>
    </row>
    <row r="122" spans="7:28" ht="16" x14ac:dyDescent="0.2">
      <c r="G122" s="33" t="s">
        <v>68</v>
      </c>
      <c r="H122" s="33" t="s">
        <v>148</v>
      </c>
      <c r="I122" s="34">
        <v>2</v>
      </c>
      <c r="J122" s="33" t="s">
        <v>152</v>
      </c>
      <c r="K122" s="34">
        <v>0</v>
      </c>
      <c r="X122" s="33" t="s">
        <v>63</v>
      </c>
      <c r="Y122" s="33" t="s">
        <v>149</v>
      </c>
      <c r="Z122" s="34">
        <v>2</v>
      </c>
      <c r="AA122" s="34">
        <v>0</v>
      </c>
      <c r="AB122" s="34">
        <v>12</v>
      </c>
    </row>
    <row r="123" spans="7:28" ht="16" x14ac:dyDescent="0.2">
      <c r="G123" s="33" t="s">
        <v>68</v>
      </c>
      <c r="H123" s="33" t="s">
        <v>148</v>
      </c>
      <c r="I123" s="34">
        <v>1</v>
      </c>
      <c r="J123" s="33" t="s">
        <v>155</v>
      </c>
      <c r="K123" s="34">
        <v>0</v>
      </c>
      <c r="X123" s="33" t="s">
        <v>64</v>
      </c>
      <c r="Y123" s="33" t="s">
        <v>148</v>
      </c>
      <c r="Z123" s="34">
        <v>4</v>
      </c>
      <c r="AA123" s="34">
        <v>0</v>
      </c>
      <c r="AB123" s="34">
        <v>11</v>
      </c>
    </row>
    <row r="124" spans="7:28" ht="16" x14ac:dyDescent="0.2">
      <c r="G124" s="33" t="s">
        <v>68</v>
      </c>
      <c r="H124" s="33" t="s">
        <v>149</v>
      </c>
      <c r="I124" s="34">
        <v>3</v>
      </c>
      <c r="J124" s="33" t="s">
        <v>152</v>
      </c>
      <c r="K124" s="34">
        <v>0</v>
      </c>
      <c r="X124" s="33" t="s">
        <v>64</v>
      </c>
      <c r="Y124" s="33" t="s">
        <v>149</v>
      </c>
      <c r="Z124" s="34">
        <v>6</v>
      </c>
      <c r="AA124" s="34">
        <v>0</v>
      </c>
      <c r="AB124" s="34">
        <v>10</v>
      </c>
    </row>
    <row r="125" spans="7:28" ht="16" x14ac:dyDescent="0.2">
      <c r="G125" s="33" t="s">
        <v>68</v>
      </c>
      <c r="H125" s="33" t="s">
        <v>149</v>
      </c>
      <c r="I125" s="34">
        <v>2</v>
      </c>
      <c r="J125" s="33" t="s">
        <v>154</v>
      </c>
      <c r="K125" s="34">
        <v>0</v>
      </c>
      <c r="X125" s="33" t="s">
        <v>64</v>
      </c>
      <c r="Y125" s="33" t="s">
        <v>149</v>
      </c>
      <c r="Z125" s="34">
        <v>10</v>
      </c>
      <c r="AA125" s="34">
        <v>0</v>
      </c>
      <c r="AB125" s="34">
        <v>11</v>
      </c>
    </row>
    <row r="126" spans="7:28" ht="16" x14ac:dyDescent="0.2">
      <c r="G126" s="33" t="s">
        <v>68</v>
      </c>
      <c r="H126" s="33" t="s">
        <v>149</v>
      </c>
      <c r="I126" s="34">
        <v>1</v>
      </c>
      <c r="J126" s="33" t="s">
        <v>155</v>
      </c>
      <c r="K126" s="34">
        <v>0</v>
      </c>
      <c r="X126" s="33" t="s">
        <v>64</v>
      </c>
      <c r="Y126" s="33" t="s">
        <v>149</v>
      </c>
      <c r="Z126" s="34">
        <v>6</v>
      </c>
      <c r="AA126" s="34">
        <v>0</v>
      </c>
      <c r="AB126" s="34">
        <v>12</v>
      </c>
    </row>
    <row r="127" spans="7:28" ht="16" x14ac:dyDescent="0.2">
      <c r="G127" s="33" t="s">
        <v>69</v>
      </c>
      <c r="H127" s="33" t="s">
        <v>148</v>
      </c>
      <c r="I127" s="34">
        <v>4</v>
      </c>
      <c r="J127" s="33" t="s">
        <v>152</v>
      </c>
      <c r="K127" s="34">
        <v>0</v>
      </c>
      <c r="X127" s="33" t="s">
        <v>65</v>
      </c>
      <c r="Y127" s="33" t="s">
        <v>149</v>
      </c>
      <c r="Z127" s="34">
        <v>4</v>
      </c>
      <c r="AA127" s="34">
        <v>0</v>
      </c>
      <c r="AB127" s="34">
        <v>11</v>
      </c>
    </row>
    <row r="128" spans="7:28" ht="16" x14ac:dyDescent="0.2">
      <c r="G128" s="33" t="s">
        <v>69</v>
      </c>
      <c r="H128" s="33" t="s">
        <v>148</v>
      </c>
      <c r="I128" s="34">
        <v>8</v>
      </c>
      <c r="J128" s="33" t="s">
        <v>153</v>
      </c>
      <c r="K128" s="34">
        <v>0</v>
      </c>
      <c r="X128" s="33" t="s">
        <v>65</v>
      </c>
      <c r="Y128" s="33" t="s">
        <v>149</v>
      </c>
      <c r="Z128" s="34">
        <v>2</v>
      </c>
      <c r="AA128" s="34">
        <v>0</v>
      </c>
      <c r="AB128" s="34">
        <v>12</v>
      </c>
    </row>
    <row r="129" spans="7:28" ht="16" x14ac:dyDescent="0.2">
      <c r="G129" s="33" t="s">
        <v>69</v>
      </c>
      <c r="H129" s="33" t="s">
        <v>148</v>
      </c>
      <c r="I129" s="34">
        <v>3</v>
      </c>
      <c r="J129" s="33" t="s">
        <v>154</v>
      </c>
      <c r="K129" s="34">
        <v>0</v>
      </c>
      <c r="X129" s="33" t="s">
        <v>67</v>
      </c>
      <c r="Y129" s="33" t="s">
        <v>148</v>
      </c>
      <c r="Z129" s="34">
        <v>4</v>
      </c>
      <c r="AA129" s="34">
        <v>0</v>
      </c>
      <c r="AB129" s="34">
        <v>11</v>
      </c>
    </row>
    <row r="130" spans="7:28" ht="16" x14ac:dyDescent="0.2">
      <c r="G130" s="33" t="s">
        <v>69</v>
      </c>
      <c r="H130" s="33" t="s">
        <v>148</v>
      </c>
      <c r="I130" s="34">
        <v>8</v>
      </c>
      <c r="J130" s="33" t="s">
        <v>155</v>
      </c>
      <c r="K130" s="34">
        <v>0</v>
      </c>
      <c r="X130" s="33" t="s">
        <v>67</v>
      </c>
      <c r="Y130" s="33" t="s">
        <v>148</v>
      </c>
      <c r="Z130" s="34">
        <v>2</v>
      </c>
      <c r="AA130" s="34">
        <v>0</v>
      </c>
      <c r="AB130" s="34">
        <v>12</v>
      </c>
    </row>
    <row r="131" spans="7:28" ht="16" x14ac:dyDescent="0.2">
      <c r="G131" s="33" t="s">
        <v>69</v>
      </c>
      <c r="H131" s="33" t="s">
        <v>149</v>
      </c>
      <c r="I131" s="34">
        <v>85</v>
      </c>
      <c r="J131" s="33" t="s">
        <v>152</v>
      </c>
      <c r="K131" s="34">
        <v>0</v>
      </c>
      <c r="X131" s="33" t="s">
        <v>67</v>
      </c>
      <c r="Y131" s="33" t="s">
        <v>149</v>
      </c>
      <c r="Z131" s="34">
        <v>2</v>
      </c>
      <c r="AA131" s="34">
        <v>0</v>
      </c>
      <c r="AB131" s="34">
        <v>10</v>
      </c>
    </row>
    <row r="132" spans="7:28" ht="16" x14ac:dyDescent="0.2">
      <c r="G132" s="33" t="s">
        <v>69</v>
      </c>
      <c r="H132" s="33" t="s">
        <v>149</v>
      </c>
      <c r="I132" s="34">
        <v>56</v>
      </c>
      <c r="J132" s="33" t="s">
        <v>153</v>
      </c>
      <c r="K132" s="34">
        <v>0</v>
      </c>
      <c r="X132" s="33" t="s">
        <v>67</v>
      </c>
      <c r="Y132" s="33" t="s">
        <v>149</v>
      </c>
      <c r="Z132" s="34">
        <v>2</v>
      </c>
      <c r="AA132" s="34">
        <v>0</v>
      </c>
      <c r="AB132" s="34">
        <v>11</v>
      </c>
    </row>
    <row r="133" spans="7:28" ht="16" x14ac:dyDescent="0.2">
      <c r="G133" s="33" t="s">
        <v>69</v>
      </c>
      <c r="H133" s="33" t="s">
        <v>149</v>
      </c>
      <c r="I133" s="34">
        <v>23</v>
      </c>
      <c r="J133" s="33" t="s">
        <v>154</v>
      </c>
      <c r="K133" s="34">
        <v>0</v>
      </c>
      <c r="X133" s="33" t="s">
        <v>67</v>
      </c>
      <c r="Y133" s="33" t="s">
        <v>149</v>
      </c>
      <c r="Z133" s="34">
        <v>6</v>
      </c>
      <c r="AA133" s="34">
        <v>0</v>
      </c>
      <c r="AB133" s="34">
        <v>12</v>
      </c>
    </row>
    <row r="134" spans="7:28" ht="16" x14ac:dyDescent="0.2">
      <c r="G134" s="33" t="s">
        <v>69</v>
      </c>
      <c r="H134" s="33" t="s">
        <v>149</v>
      </c>
      <c r="I134" s="34">
        <v>112</v>
      </c>
      <c r="J134" s="33" t="s">
        <v>155</v>
      </c>
      <c r="K134" s="34">
        <v>0</v>
      </c>
      <c r="X134" s="33" t="s">
        <v>68</v>
      </c>
      <c r="Y134" s="33" t="s">
        <v>148</v>
      </c>
      <c r="Z134" s="34">
        <v>6</v>
      </c>
      <c r="AA134" s="34">
        <v>0</v>
      </c>
      <c r="AB134" s="34">
        <v>12</v>
      </c>
    </row>
    <row r="135" spans="7:28" ht="16" x14ac:dyDescent="0.2">
      <c r="G135" s="33" t="s">
        <v>70</v>
      </c>
      <c r="H135" s="33" t="s">
        <v>148</v>
      </c>
      <c r="I135" s="34">
        <v>1</v>
      </c>
      <c r="J135" s="33" t="s">
        <v>152</v>
      </c>
      <c r="K135" s="34">
        <v>0</v>
      </c>
      <c r="X135" s="33" t="s">
        <v>68</v>
      </c>
      <c r="Y135" s="33" t="s">
        <v>149</v>
      </c>
      <c r="Z135" s="34">
        <v>6</v>
      </c>
      <c r="AA135" s="34">
        <v>0</v>
      </c>
      <c r="AB135" s="34">
        <v>10</v>
      </c>
    </row>
    <row r="136" spans="7:28" ht="16" x14ac:dyDescent="0.2">
      <c r="X136" s="33" t="s">
        <v>68</v>
      </c>
      <c r="Y136" s="33" t="s">
        <v>149</v>
      </c>
      <c r="Z136" s="34">
        <v>24</v>
      </c>
      <c r="AA136" s="34">
        <v>0</v>
      </c>
      <c r="AB136" s="34">
        <v>12</v>
      </c>
    </row>
    <row r="137" spans="7:28" ht="16" x14ac:dyDescent="0.2">
      <c r="X137" s="33" t="s">
        <v>69</v>
      </c>
      <c r="Y137" s="33" t="s">
        <v>148</v>
      </c>
      <c r="Z137" s="34">
        <v>18</v>
      </c>
      <c r="AA137" s="34">
        <v>0</v>
      </c>
      <c r="AB137" s="34">
        <v>10</v>
      </c>
    </row>
    <row r="138" spans="7:28" ht="16" x14ac:dyDescent="0.2">
      <c r="X138" s="33" t="s">
        <v>69</v>
      </c>
      <c r="Y138" s="33" t="s">
        <v>148</v>
      </c>
      <c r="Z138" s="34">
        <v>20</v>
      </c>
      <c r="AA138" s="34">
        <v>0</v>
      </c>
      <c r="AB138" s="34">
        <v>11</v>
      </c>
    </row>
    <row r="139" spans="7:28" ht="16" x14ac:dyDescent="0.2">
      <c r="X139" s="33" t="s">
        <v>69</v>
      </c>
      <c r="Y139" s="33" t="s">
        <v>148</v>
      </c>
      <c r="Z139" s="34">
        <v>16</v>
      </c>
      <c r="AA139" s="34">
        <v>0</v>
      </c>
      <c r="AB139" s="34">
        <v>12</v>
      </c>
    </row>
    <row r="140" spans="7:28" ht="16" x14ac:dyDescent="0.2">
      <c r="X140" s="33" t="s">
        <v>69</v>
      </c>
      <c r="Y140" s="33" t="s">
        <v>149</v>
      </c>
      <c r="Z140" s="34">
        <v>394</v>
      </c>
      <c r="AA140" s="34">
        <v>0</v>
      </c>
      <c r="AB140" s="34">
        <v>10</v>
      </c>
    </row>
    <row r="141" spans="7:28" ht="16" x14ac:dyDescent="0.2">
      <c r="X141" s="33" t="s">
        <v>69</v>
      </c>
      <c r="Y141" s="33" t="s">
        <v>149</v>
      </c>
      <c r="Z141" s="34">
        <v>308</v>
      </c>
      <c r="AA141" s="34">
        <v>0</v>
      </c>
      <c r="AB141" s="34">
        <v>11</v>
      </c>
    </row>
    <row r="142" spans="7:28" ht="16" x14ac:dyDescent="0.2">
      <c r="X142" s="33" t="s">
        <v>69</v>
      </c>
      <c r="Y142" s="33" t="s">
        <v>149</v>
      </c>
      <c r="Z142" s="34">
        <v>342</v>
      </c>
      <c r="AA142" s="34">
        <v>0</v>
      </c>
      <c r="AB142" s="34">
        <v>12</v>
      </c>
    </row>
    <row r="143" spans="7:28" ht="16" x14ac:dyDescent="0.2">
      <c r="X143" s="33" t="s">
        <v>70</v>
      </c>
      <c r="Y143" s="33" t="s">
        <v>149</v>
      </c>
      <c r="Z143" s="34">
        <v>4</v>
      </c>
      <c r="AA143" s="34">
        <v>0</v>
      </c>
      <c r="AB143" s="34">
        <v>10</v>
      </c>
    </row>
    <row r="144" spans="7:28" ht="16" x14ac:dyDescent="0.2">
      <c r="X144" s="33" t="s">
        <v>70</v>
      </c>
      <c r="Y144" s="33" t="s">
        <v>149</v>
      </c>
      <c r="Z144" s="34">
        <v>2</v>
      </c>
      <c r="AA144" s="34">
        <v>0</v>
      </c>
      <c r="AB144" s="34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FFFF00"/>
  </sheetPr>
  <dimension ref="A1:S35"/>
  <sheetViews>
    <sheetView topLeftCell="N1" zoomScale="140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14" t="s">
        <v>14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s="5" customFormat="1" x14ac:dyDescent="0.2">
      <c r="A2" s="22">
        <v>44197</v>
      </c>
      <c r="B2" s="22">
        <v>44228</v>
      </c>
      <c r="C2" s="66">
        <v>44256</v>
      </c>
      <c r="D2" s="69" t="s">
        <v>227</v>
      </c>
      <c r="E2" s="70">
        <v>44287</v>
      </c>
      <c r="F2" s="70">
        <v>44317</v>
      </c>
      <c r="G2" s="71">
        <v>44348</v>
      </c>
      <c r="H2" s="68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44652</v>
      </c>
      <c r="P2" s="24" t="s">
        <v>0</v>
      </c>
      <c r="Q2" s="22">
        <v>44682</v>
      </c>
      <c r="R2" s="24" t="s">
        <v>0</v>
      </c>
      <c r="S2" s="22">
        <v>44713</v>
      </c>
    </row>
    <row r="3" spans="1:19" x14ac:dyDescent="0.2">
      <c r="A3">
        <v>44</v>
      </c>
      <c r="B3">
        <v>89</v>
      </c>
      <c r="C3">
        <v>87</v>
      </c>
      <c r="D3" s="72" t="s">
        <v>35</v>
      </c>
      <c r="E3" s="52">
        <v>349</v>
      </c>
      <c r="F3" s="52">
        <v>108</v>
      </c>
      <c r="G3" s="73">
        <v>51</v>
      </c>
      <c r="N3" s="2" t="s">
        <v>35</v>
      </c>
      <c r="O3" s="2">
        <v>1041</v>
      </c>
      <c r="P3" s="88" t="s">
        <v>35</v>
      </c>
      <c r="Q3" s="2">
        <v>1032</v>
      </c>
      <c r="R3" s="88" t="s">
        <v>35</v>
      </c>
      <c r="S3" s="2">
        <v>1010</v>
      </c>
    </row>
    <row r="4" spans="1:19" x14ac:dyDescent="0.2">
      <c r="A4">
        <v>70</v>
      </c>
      <c r="B4">
        <v>149</v>
      </c>
      <c r="C4">
        <v>107</v>
      </c>
      <c r="D4" s="72" t="s">
        <v>36</v>
      </c>
      <c r="E4" s="52">
        <v>411</v>
      </c>
      <c r="F4" s="52">
        <v>123</v>
      </c>
      <c r="G4" s="73">
        <v>72</v>
      </c>
      <c r="N4" s="2" t="s">
        <v>36</v>
      </c>
      <c r="O4" s="2">
        <v>1331</v>
      </c>
      <c r="P4" s="88" t="s">
        <v>36</v>
      </c>
      <c r="Q4" s="2">
        <v>1316</v>
      </c>
      <c r="R4" s="88" t="s">
        <v>36</v>
      </c>
      <c r="S4" s="2">
        <v>1305</v>
      </c>
    </row>
    <row r="5" spans="1:19" x14ac:dyDescent="0.2">
      <c r="A5">
        <v>24</v>
      </c>
      <c r="B5">
        <v>48</v>
      </c>
      <c r="C5">
        <v>38</v>
      </c>
      <c r="D5" s="72" t="s">
        <v>37</v>
      </c>
      <c r="E5" s="52">
        <v>138</v>
      </c>
      <c r="F5" s="52">
        <v>31</v>
      </c>
      <c r="G5" s="73">
        <v>17</v>
      </c>
      <c r="N5" s="2" t="s">
        <v>37</v>
      </c>
      <c r="O5" s="2">
        <v>436</v>
      </c>
      <c r="P5" s="88" t="s">
        <v>37</v>
      </c>
      <c r="Q5" s="2">
        <v>430</v>
      </c>
      <c r="R5" s="88" t="s">
        <v>37</v>
      </c>
      <c r="S5" s="2">
        <v>421</v>
      </c>
    </row>
    <row r="6" spans="1:19" x14ac:dyDescent="0.2">
      <c r="A6">
        <v>19</v>
      </c>
      <c r="B6">
        <v>33</v>
      </c>
      <c r="C6">
        <v>35</v>
      </c>
      <c r="D6" s="72" t="s">
        <v>40</v>
      </c>
      <c r="E6" s="52">
        <v>111</v>
      </c>
      <c r="F6" s="52">
        <v>51</v>
      </c>
      <c r="G6" s="73">
        <v>23</v>
      </c>
      <c r="N6" s="2" t="s">
        <v>40</v>
      </c>
      <c r="O6" s="2">
        <v>432</v>
      </c>
      <c r="P6" s="88" t="s">
        <v>40</v>
      </c>
      <c r="Q6" s="2">
        <v>418</v>
      </c>
      <c r="R6" s="88" t="s">
        <v>40</v>
      </c>
      <c r="S6" s="2">
        <v>406</v>
      </c>
    </row>
    <row r="7" spans="1:19" x14ac:dyDescent="0.2">
      <c r="A7">
        <v>6</v>
      </c>
      <c r="B7">
        <v>7</v>
      </c>
      <c r="C7">
        <v>7</v>
      </c>
      <c r="D7" s="72" t="s">
        <v>42</v>
      </c>
      <c r="E7" s="52">
        <v>22</v>
      </c>
      <c r="F7" s="52">
        <v>7</v>
      </c>
      <c r="G7" s="73">
        <v>2</v>
      </c>
      <c r="N7" s="2" t="s">
        <v>42</v>
      </c>
      <c r="O7" s="2">
        <v>38</v>
      </c>
      <c r="P7" s="88" t="s">
        <v>42</v>
      </c>
      <c r="Q7" s="2">
        <v>39</v>
      </c>
      <c r="R7" s="88" t="s">
        <v>42</v>
      </c>
      <c r="S7" s="2">
        <v>38</v>
      </c>
    </row>
    <row r="8" spans="1:19" x14ac:dyDescent="0.2">
      <c r="A8">
        <v>1</v>
      </c>
      <c r="B8">
        <v>1</v>
      </c>
      <c r="C8">
        <v>3</v>
      </c>
      <c r="D8" s="72" t="s">
        <v>43</v>
      </c>
      <c r="E8" s="52">
        <v>6</v>
      </c>
      <c r="F8" s="52">
        <v>3</v>
      </c>
      <c r="G8" s="73">
        <v>4</v>
      </c>
      <c r="N8" s="2" t="s">
        <v>43</v>
      </c>
      <c r="O8" s="2">
        <v>22</v>
      </c>
      <c r="P8" s="88" t="s">
        <v>43</v>
      </c>
      <c r="Q8" s="2">
        <v>22</v>
      </c>
      <c r="R8" s="88" t="s">
        <v>43</v>
      </c>
      <c r="S8" s="2">
        <v>22</v>
      </c>
    </row>
    <row r="9" spans="1:19" x14ac:dyDescent="0.2">
      <c r="A9">
        <v>43</v>
      </c>
      <c r="B9">
        <v>35</v>
      </c>
      <c r="C9">
        <v>40</v>
      </c>
      <c r="D9" s="72" t="s">
        <v>44</v>
      </c>
      <c r="E9" s="52">
        <v>83</v>
      </c>
      <c r="F9" s="52">
        <v>29</v>
      </c>
      <c r="G9" s="73">
        <v>31</v>
      </c>
      <c r="N9" s="2" t="s">
        <v>44</v>
      </c>
      <c r="O9" s="2">
        <v>343</v>
      </c>
      <c r="P9" s="88" t="s">
        <v>44</v>
      </c>
      <c r="Q9" s="2">
        <v>340</v>
      </c>
      <c r="R9" s="88" t="s">
        <v>44</v>
      </c>
      <c r="S9" s="2">
        <v>333</v>
      </c>
    </row>
    <row r="10" spans="1:19" x14ac:dyDescent="0.2">
      <c r="A10">
        <v>17</v>
      </c>
      <c r="B10">
        <v>10</v>
      </c>
      <c r="C10">
        <v>12</v>
      </c>
      <c r="D10" s="72" t="s">
        <v>45</v>
      </c>
      <c r="E10" s="52">
        <v>38</v>
      </c>
      <c r="F10" s="52">
        <v>17</v>
      </c>
      <c r="G10" s="73">
        <v>13</v>
      </c>
      <c r="N10" s="2" t="s">
        <v>45</v>
      </c>
      <c r="O10" s="2">
        <v>162</v>
      </c>
      <c r="P10" s="88" t="s">
        <v>45</v>
      </c>
      <c r="Q10" s="2">
        <v>162</v>
      </c>
      <c r="R10" s="88" t="s">
        <v>45</v>
      </c>
      <c r="S10" s="2">
        <v>158</v>
      </c>
    </row>
    <row r="11" spans="1:19" x14ac:dyDescent="0.2">
      <c r="A11">
        <v>2</v>
      </c>
      <c r="B11">
        <v>2</v>
      </c>
      <c r="D11" s="72" t="s">
        <v>46</v>
      </c>
      <c r="E11" s="52">
        <v>6</v>
      </c>
      <c r="F11" s="52">
        <v>2</v>
      </c>
      <c r="G11" s="73">
        <v>1</v>
      </c>
      <c r="N11" s="2" t="s">
        <v>46</v>
      </c>
      <c r="O11" s="2">
        <v>13</v>
      </c>
      <c r="P11" s="88" t="s">
        <v>46</v>
      </c>
      <c r="Q11" s="2">
        <v>13</v>
      </c>
      <c r="R11" s="88" t="s">
        <v>46</v>
      </c>
      <c r="S11" s="2">
        <v>13</v>
      </c>
    </row>
    <row r="12" spans="1:19" x14ac:dyDescent="0.2">
      <c r="A12">
        <v>13</v>
      </c>
      <c r="B12">
        <v>6</v>
      </c>
      <c r="C12">
        <v>5</v>
      </c>
      <c r="D12" s="72" t="s">
        <v>47</v>
      </c>
      <c r="E12" s="52">
        <v>30</v>
      </c>
      <c r="F12" s="52">
        <v>16</v>
      </c>
      <c r="G12" s="73">
        <v>14</v>
      </c>
      <c r="N12" s="2" t="s">
        <v>47</v>
      </c>
      <c r="O12" s="2">
        <v>120</v>
      </c>
      <c r="P12" s="88" t="s">
        <v>47</v>
      </c>
      <c r="Q12" s="2">
        <v>121</v>
      </c>
      <c r="R12" s="88" t="s">
        <v>47</v>
      </c>
      <c r="S12" s="2">
        <v>120</v>
      </c>
    </row>
    <row r="13" spans="1:19" x14ac:dyDescent="0.2">
      <c r="A13">
        <v>6</v>
      </c>
      <c r="B13">
        <v>1</v>
      </c>
      <c r="C13">
        <v>5</v>
      </c>
      <c r="D13" s="72" t="s">
        <v>48</v>
      </c>
      <c r="E13" s="52">
        <v>20</v>
      </c>
      <c r="F13" s="52">
        <v>3</v>
      </c>
      <c r="G13" s="73">
        <v>2</v>
      </c>
      <c r="N13" s="2" t="s">
        <v>48</v>
      </c>
      <c r="O13" s="2">
        <v>80</v>
      </c>
      <c r="P13" s="88" t="s">
        <v>48</v>
      </c>
      <c r="Q13" s="2">
        <v>75</v>
      </c>
      <c r="R13" s="88" t="s">
        <v>48</v>
      </c>
      <c r="S13" s="2">
        <v>74</v>
      </c>
    </row>
    <row r="14" spans="1:19" x14ac:dyDescent="0.2">
      <c r="A14">
        <v>3</v>
      </c>
      <c r="B14">
        <v>3</v>
      </c>
      <c r="C14">
        <v>2</v>
      </c>
      <c r="D14" s="72" t="s">
        <v>49</v>
      </c>
      <c r="E14" s="52">
        <v>8</v>
      </c>
      <c r="F14" s="52">
        <v>3</v>
      </c>
      <c r="G14" s="73">
        <v>2</v>
      </c>
      <c r="N14" s="2" t="s">
        <v>49</v>
      </c>
      <c r="O14" s="2">
        <v>42</v>
      </c>
      <c r="P14" s="88" t="s">
        <v>49</v>
      </c>
      <c r="Q14" s="2">
        <v>43</v>
      </c>
      <c r="R14" s="88" t="s">
        <v>49</v>
      </c>
      <c r="S14" s="2">
        <v>45</v>
      </c>
    </row>
    <row r="15" spans="1:19" x14ac:dyDescent="0.2">
      <c r="A15">
        <v>6</v>
      </c>
      <c r="B15">
        <v>3</v>
      </c>
      <c r="C15">
        <v>5</v>
      </c>
      <c r="D15" s="72" t="s">
        <v>50</v>
      </c>
      <c r="E15" s="52">
        <v>12</v>
      </c>
      <c r="F15" s="52">
        <v>1</v>
      </c>
      <c r="G15" s="73">
        <v>8</v>
      </c>
      <c r="N15" s="2" t="s">
        <v>50</v>
      </c>
      <c r="O15" s="2">
        <v>33</v>
      </c>
      <c r="P15" s="88" t="s">
        <v>50</v>
      </c>
      <c r="Q15" s="2">
        <v>33</v>
      </c>
      <c r="R15" s="88" t="s">
        <v>50</v>
      </c>
      <c r="S15" s="2">
        <v>33</v>
      </c>
    </row>
    <row r="16" spans="1:19" x14ac:dyDescent="0.2">
      <c r="B16">
        <v>1</v>
      </c>
      <c r="C16">
        <v>1</v>
      </c>
      <c r="D16" s="72" t="s">
        <v>51</v>
      </c>
      <c r="E16" s="52">
        <v>1</v>
      </c>
      <c r="F16" s="52">
        <v>4</v>
      </c>
      <c r="G16" s="73">
        <v>1</v>
      </c>
      <c r="N16" s="2" t="s">
        <v>51</v>
      </c>
      <c r="O16" s="2">
        <v>10</v>
      </c>
      <c r="P16" s="88" t="s">
        <v>51</v>
      </c>
      <c r="Q16" s="2">
        <v>13</v>
      </c>
      <c r="R16" s="88" t="s">
        <v>51</v>
      </c>
      <c r="S16" s="2">
        <v>10</v>
      </c>
    </row>
    <row r="17" spans="1:19" x14ac:dyDescent="0.2">
      <c r="A17">
        <v>10</v>
      </c>
      <c r="B17">
        <v>14</v>
      </c>
      <c r="C17">
        <v>8</v>
      </c>
      <c r="D17" s="72" t="s">
        <v>52</v>
      </c>
      <c r="E17" s="52">
        <v>49</v>
      </c>
      <c r="F17" s="52">
        <v>7</v>
      </c>
      <c r="G17" s="73">
        <v>12</v>
      </c>
      <c r="N17" s="2" t="s">
        <v>52</v>
      </c>
      <c r="O17" s="2">
        <v>164</v>
      </c>
      <c r="P17" s="88" t="s">
        <v>52</v>
      </c>
      <c r="Q17" s="2">
        <v>161</v>
      </c>
      <c r="R17" s="88" t="s">
        <v>52</v>
      </c>
      <c r="S17" s="2">
        <v>157</v>
      </c>
    </row>
    <row r="18" spans="1:19" x14ac:dyDescent="0.2">
      <c r="A18">
        <v>79</v>
      </c>
      <c r="B18">
        <v>51</v>
      </c>
      <c r="C18">
        <v>52</v>
      </c>
      <c r="D18" s="72" t="s">
        <v>53</v>
      </c>
      <c r="E18" s="52">
        <v>169</v>
      </c>
      <c r="F18" s="52">
        <v>45</v>
      </c>
      <c r="G18" s="73">
        <v>55</v>
      </c>
      <c r="N18" s="2" t="s">
        <v>53</v>
      </c>
      <c r="O18" s="2">
        <v>656</v>
      </c>
      <c r="P18" s="88" t="s">
        <v>53</v>
      </c>
      <c r="Q18" s="2">
        <v>658</v>
      </c>
      <c r="R18" s="88" t="s">
        <v>53</v>
      </c>
      <c r="S18" s="2">
        <v>652</v>
      </c>
    </row>
    <row r="19" spans="1:19" x14ac:dyDescent="0.2">
      <c r="A19">
        <v>6</v>
      </c>
      <c r="B19">
        <v>7</v>
      </c>
      <c r="C19">
        <v>6</v>
      </c>
      <c r="D19" s="72" t="s">
        <v>54</v>
      </c>
      <c r="E19" s="52">
        <v>17</v>
      </c>
      <c r="F19" s="52">
        <v>5</v>
      </c>
      <c r="G19" s="73">
        <v>8</v>
      </c>
      <c r="N19" s="2" t="s">
        <v>54</v>
      </c>
      <c r="O19" s="2">
        <v>75</v>
      </c>
      <c r="P19" s="88" t="s">
        <v>54</v>
      </c>
      <c r="Q19" s="2">
        <v>72</v>
      </c>
      <c r="R19" s="88" t="s">
        <v>54</v>
      </c>
      <c r="S19" s="2">
        <v>75</v>
      </c>
    </row>
    <row r="20" spans="1:19" x14ac:dyDescent="0.2">
      <c r="A20">
        <v>40</v>
      </c>
      <c r="B20">
        <v>42</v>
      </c>
      <c r="C20">
        <v>31</v>
      </c>
      <c r="D20" s="72" t="s">
        <v>55</v>
      </c>
      <c r="E20" s="52">
        <v>178</v>
      </c>
      <c r="F20" s="52">
        <v>27</v>
      </c>
      <c r="G20" s="73">
        <v>41</v>
      </c>
      <c r="N20" s="2" t="s">
        <v>55</v>
      </c>
      <c r="O20" s="2">
        <v>375</v>
      </c>
      <c r="P20" s="88" t="s">
        <v>55</v>
      </c>
      <c r="Q20" s="2">
        <v>372</v>
      </c>
      <c r="R20" s="88" t="s">
        <v>55</v>
      </c>
      <c r="S20" s="2">
        <v>353</v>
      </c>
    </row>
    <row r="21" spans="1:19" x14ac:dyDescent="0.2">
      <c r="A21">
        <v>34</v>
      </c>
      <c r="B21">
        <v>39</v>
      </c>
      <c r="C21">
        <v>40</v>
      </c>
      <c r="D21" s="72" t="s">
        <v>56</v>
      </c>
      <c r="E21" s="52">
        <v>194</v>
      </c>
      <c r="F21" s="52">
        <v>27</v>
      </c>
      <c r="G21" s="73">
        <v>26</v>
      </c>
      <c r="N21" s="2" t="s">
        <v>56</v>
      </c>
      <c r="O21" s="2">
        <v>298</v>
      </c>
      <c r="P21" s="88" t="s">
        <v>56</v>
      </c>
      <c r="Q21" s="2">
        <v>286</v>
      </c>
      <c r="R21" s="88" t="s">
        <v>56</v>
      </c>
      <c r="S21" s="2">
        <v>266</v>
      </c>
    </row>
    <row r="22" spans="1:19" x14ac:dyDescent="0.2">
      <c r="A22">
        <v>1</v>
      </c>
      <c r="B22">
        <v>3</v>
      </c>
      <c r="C22">
        <v>2</v>
      </c>
      <c r="D22" s="72" t="s">
        <v>57</v>
      </c>
      <c r="E22" s="52">
        <v>20</v>
      </c>
      <c r="F22" s="52">
        <v>1</v>
      </c>
      <c r="G22" s="73">
        <v>2</v>
      </c>
      <c r="N22" s="2" t="s">
        <v>57</v>
      </c>
      <c r="O22" s="2">
        <v>9</v>
      </c>
      <c r="P22" s="88" t="s">
        <v>57</v>
      </c>
      <c r="Q22" s="2">
        <v>6</v>
      </c>
      <c r="R22" s="88" t="s">
        <v>57</v>
      </c>
      <c r="S22" s="2">
        <v>2</v>
      </c>
    </row>
    <row r="23" spans="1:19" x14ac:dyDescent="0.2">
      <c r="A23">
        <v>11</v>
      </c>
      <c r="B23">
        <v>7</v>
      </c>
      <c r="C23">
        <v>6</v>
      </c>
      <c r="D23" s="72" t="s">
        <v>58</v>
      </c>
      <c r="E23" s="52">
        <v>23</v>
      </c>
      <c r="F23" s="52">
        <v>6</v>
      </c>
      <c r="G23" s="73">
        <v>5</v>
      </c>
      <c r="N23" s="2" t="s">
        <v>58</v>
      </c>
      <c r="O23" s="2">
        <v>83</v>
      </c>
      <c r="P23" s="88" t="s">
        <v>58</v>
      </c>
      <c r="Q23" s="2">
        <v>83</v>
      </c>
      <c r="R23" s="88" t="s">
        <v>58</v>
      </c>
      <c r="S23" s="2">
        <v>81</v>
      </c>
    </row>
    <row r="24" spans="1:19" x14ac:dyDescent="0.2">
      <c r="A24">
        <v>3</v>
      </c>
      <c r="B24">
        <v>2</v>
      </c>
      <c r="C24">
        <v>1</v>
      </c>
      <c r="D24" s="72" t="s">
        <v>60</v>
      </c>
      <c r="E24" s="52">
        <v>4</v>
      </c>
      <c r="F24" s="52">
        <v>2</v>
      </c>
      <c r="G24" s="73">
        <v>3</v>
      </c>
      <c r="N24" s="2" t="s">
        <v>60</v>
      </c>
      <c r="O24" s="2">
        <v>18</v>
      </c>
      <c r="P24" s="88" t="s">
        <v>60</v>
      </c>
      <c r="Q24" s="2">
        <v>19</v>
      </c>
      <c r="R24" s="88" t="s">
        <v>60</v>
      </c>
      <c r="S24" s="2">
        <v>18</v>
      </c>
    </row>
    <row r="25" spans="1:19" x14ac:dyDescent="0.2">
      <c r="A25">
        <v>13</v>
      </c>
      <c r="B25">
        <v>20</v>
      </c>
      <c r="C25">
        <v>23</v>
      </c>
      <c r="D25" s="72" t="s">
        <v>61</v>
      </c>
      <c r="E25" s="52">
        <v>57</v>
      </c>
      <c r="F25" s="52">
        <v>4</v>
      </c>
      <c r="G25" s="73">
        <v>11</v>
      </c>
      <c r="N25" s="2" t="s">
        <v>61</v>
      </c>
      <c r="O25" s="2">
        <v>126</v>
      </c>
      <c r="P25" s="88" t="s">
        <v>61</v>
      </c>
      <c r="Q25" s="2">
        <v>129</v>
      </c>
      <c r="R25" s="88" t="s">
        <v>61</v>
      </c>
      <c r="S25" s="2">
        <v>126</v>
      </c>
    </row>
    <row r="26" spans="1:19" x14ac:dyDescent="0.2">
      <c r="A26">
        <v>3</v>
      </c>
      <c r="C26">
        <v>2</v>
      </c>
      <c r="D26" s="72" t="s">
        <v>62</v>
      </c>
      <c r="E26" s="52">
        <v>36</v>
      </c>
      <c r="F26" s="52">
        <v>2</v>
      </c>
      <c r="G26" s="73">
        <v>3</v>
      </c>
      <c r="N26" s="2" t="s">
        <v>62</v>
      </c>
      <c r="O26" s="2">
        <v>87</v>
      </c>
      <c r="P26" s="88" t="s">
        <v>62</v>
      </c>
      <c r="Q26" s="2">
        <v>87</v>
      </c>
      <c r="R26" s="88" t="s">
        <v>62</v>
      </c>
      <c r="S26" s="2">
        <v>87</v>
      </c>
    </row>
    <row r="27" spans="1:19" x14ac:dyDescent="0.2">
      <c r="B27">
        <v>1</v>
      </c>
      <c r="C27">
        <v>1</v>
      </c>
      <c r="D27" s="72" t="s">
        <v>64</v>
      </c>
      <c r="E27" s="52">
        <v>15</v>
      </c>
      <c r="F27" s="52">
        <v>0</v>
      </c>
      <c r="G27" s="73">
        <v>4</v>
      </c>
      <c r="N27" s="2" t="s">
        <v>63</v>
      </c>
      <c r="O27" s="2">
        <v>3</v>
      </c>
      <c r="P27" s="88" t="s">
        <v>63</v>
      </c>
      <c r="Q27" s="2">
        <v>3</v>
      </c>
      <c r="R27" s="88" t="s">
        <v>63</v>
      </c>
      <c r="S27" s="2">
        <v>3</v>
      </c>
    </row>
    <row r="28" spans="1:19" x14ac:dyDescent="0.2">
      <c r="A28">
        <v>4</v>
      </c>
      <c r="B28">
        <v>3</v>
      </c>
      <c r="C28">
        <v>2</v>
      </c>
      <c r="D28" s="72" t="s">
        <v>65</v>
      </c>
      <c r="E28" s="52">
        <v>4</v>
      </c>
      <c r="F28" s="52">
        <v>0</v>
      </c>
      <c r="G28" s="73">
        <v>2</v>
      </c>
      <c r="N28" s="2" t="s">
        <v>64</v>
      </c>
      <c r="O28" s="2">
        <v>35</v>
      </c>
      <c r="P28" s="88" t="s">
        <v>64</v>
      </c>
      <c r="Q28" s="2">
        <v>35</v>
      </c>
      <c r="R28" s="88" t="s">
        <v>64</v>
      </c>
      <c r="S28" s="2">
        <v>35</v>
      </c>
    </row>
    <row r="29" spans="1:19" x14ac:dyDescent="0.2">
      <c r="A29">
        <v>1</v>
      </c>
      <c r="D29" s="72" t="s">
        <v>67</v>
      </c>
      <c r="E29" s="52">
        <v>3</v>
      </c>
      <c r="F29" s="52">
        <v>0</v>
      </c>
      <c r="G29" s="73">
        <v>1</v>
      </c>
      <c r="N29" s="2" t="s">
        <v>65</v>
      </c>
      <c r="O29" s="2">
        <v>12</v>
      </c>
      <c r="P29" s="88" t="s">
        <v>65</v>
      </c>
      <c r="Q29" s="2">
        <v>10</v>
      </c>
      <c r="R29" s="88" t="s">
        <v>65</v>
      </c>
      <c r="S29" s="2">
        <v>11</v>
      </c>
    </row>
    <row r="30" spans="1:19" x14ac:dyDescent="0.2">
      <c r="A30">
        <v>1</v>
      </c>
      <c r="B30">
        <v>1</v>
      </c>
      <c r="D30" s="72" t="s">
        <v>68</v>
      </c>
      <c r="E30" s="52">
        <v>8</v>
      </c>
      <c r="F30" s="52">
        <v>2</v>
      </c>
      <c r="G30" s="73">
        <v>2</v>
      </c>
      <c r="N30" s="2" t="s">
        <v>66</v>
      </c>
      <c r="O30" s="2">
        <v>2</v>
      </c>
      <c r="P30" s="88" t="s">
        <v>66</v>
      </c>
      <c r="Q30" s="2">
        <v>2</v>
      </c>
      <c r="R30" s="88" t="s">
        <v>66</v>
      </c>
      <c r="S30" s="2">
        <v>2</v>
      </c>
    </row>
    <row r="31" spans="1:19" x14ac:dyDescent="0.2">
      <c r="A31">
        <v>6</v>
      </c>
      <c r="B31">
        <v>6</v>
      </c>
      <c r="C31">
        <v>1</v>
      </c>
      <c r="D31" s="72" t="s">
        <v>69</v>
      </c>
      <c r="E31" s="52">
        <v>311</v>
      </c>
      <c r="F31" s="52">
        <v>46</v>
      </c>
      <c r="G31" s="73">
        <v>96</v>
      </c>
      <c r="N31" s="2" t="s">
        <v>67</v>
      </c>
      <c r="O31" s="2">
        <v>5</v>
      </c>
      <c r="P31" s="88" t="s">
        <v>67</v>
      </c>
      <c r="Q31" s="2">
        <v>6</v>
      </c>
      <c r="R31" s="88" t="s">
        <v>67</v>
      </c>
      <c r="S31" s="2">
        <v>5</v>
      </c>
    </row>
    <row r="32" spans="1:19" x14ac:dyDescent="0.2">
      <c r="A32">
        <v>69</v>
      </c>
      <c r="B32">
        <v>81</v>
      </c>
      <c r="C32">
        <v>92</v>
      </c>
      <c r="D32" s="72" t="s">
        <v>70</v>
      </c>
      <c r="E32" s="52">
        <v>2</v>
      </c>
      <c r="F32" s="52">
        <v>1</v>
      </c>
      <c r="G32" s="73">
        <v>0</v>
      </c>
      <c r="N32" s="2" t="s">
        <v>68</v>
      </c>
      <c r="O32" s="2">
        <v>20</v>
      </c>
      <c r="P32" s="88" t="s">
        <v>68</v>
      </c>
      <c r="Q32" s="2">
        <v>19</v>
      </c>
      <c r="R32" s="88" t="s">
        <v>68</v>
      </c>
      <c r="S32" s="2">
        <v>19</v>
      </c>
    </row>
    <row r="33" spans="3:19" x14ac:dyDescent="0.2">
      <c r="C33" s="67"/>
      <c r="D33" s="72">
        <v>98907</v>
      </c>
      <c r="E33" s="52">
        <v>0</v>
      </c>
      <c r="F33" s="52">
        <v>1</v>
      </c>
      <c r="G33" s="73">
        <v>0</v>
      </c>
      <c r="N33" s="2" t="s">
        <v>69</v>
      </c>
      <c r="O33" s="2">
        <v>737</v>
      </c>
      <c r="P33" s="88" t="s">
        <v>69</v>
      </c>
      <c r="Q33" s="2">
        <v>725</v>
      </c>
      <c r="R33" s="88" t="s">
        <v>69</v>
      </c>
      <c r="S33" s="2">
        <v>716</v>
      </c>
    </row>
    <row r="34" spans="3:19" ht="16" thickBot="1" x14ac:dyDescent="0.25">
      <c r="C34" s="67"/>
      <c r="D34" s="74">
        <v>98909</v>
      </c>
      <c r="E34">
        <v>0</v>
      </c>
      <c r="F34">
        <v>1</v>
      </c>
      <c r="G34" s="75">
        <v>0</v>
      </c>
      <c r="N34" s="152" t="s">
        <v>70</v>
      </c>
      <c r="O34" s="152">
        <v>3</v>
      </c>
      <c r="P34" s="153" t="s">
        <v>70</v>
      </c>
      <c r="Q34" s="152">
        <v>3</v>
      </c>
      <c r="R34" s="153" t="s">
        <v>70</v>
      </c>
      <c r="S34" s="152">
        <v>3</v>
      </c>
    </row>
    <row r="35" spans="3:19" ht="16" thickBot="1" x14ac:dyDescent="0.25">
      <c r="N35" s="154" t="s">
        <v>281</v>
      </c>
      <c r="O35" s="155">
        <f>SUM(O3:O34)</f>
        <v>6811</v>
      </c>
      <c r="P35" s="155"/>
      <c r="Q35" s="155">
        <f t="shared" ref="P35:S35" si="0">SUM(Q3:Q34)</f>
        <v>6733</v>
      </c>
      <c r="R35" s="155"/>
      <c r="S35" s="155">
        <f t="shared" si="0"/>
        <v>6599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6" t="s">
        <v>78</v>
      </c>
      <c r="B1" s="36" t="s">
        <v>159</v>
      </c>
      <c r="C1" s="36" t="s">
        <v>160</v>
      </c>
      <c r="D1" s="36" t="s">
        <v>161</v>
      </c>
      <c r="E1" s="36" t="s">
        <v>162</v>
      </c>
      <c r="F1" s="36" t="s">
        <v>163</v>
      </c>
      <c r="G1" s="36" t="s">
        <v>164</v>
      </c>
      <c r="H1" s="36" t="s">
        <v>165</v>
      </c>
      <c r="I1" s="36" t="s">
        <v>166</v>
      </c>
      <c r="J1" s="36" t="s">
        <v>167</v>
      </c>
      <c r="K1" s="36" t="s">
        <v>181</v>
      </c>
      <c r="L1" s="36" t="s">
        <v>182</v>
      </c>
      <c r="M1" s="36" t="s">
        <v>183</v>
      </c>
      <c r="N1" s="36" t="s">
        <v>168</v>
      </c>
      <c r="O1" s="36" t="s">
        <v>169</v>
      </c>
      <c r="P1" s="36" t="s">
        <v>170</v>
      </c>
      <c r="Q1" s="36" t="s">
        <v>171</v>
      </c>
      <c r="R1" s="36" t="s">
        <v>172</v>
      </c>
      <c r="S1" s="36" t="s">
        <v>173</v>
      </c>
      <c r="T1" s="36" t="s">
        <v>174</v>
      </c>
      <c r="U1" s="36" t="s">
        <v>175</v>
      </c>
      <c r="V1" s="36" t="s">
        <v>176</v>
      </c>
      <c r="W1" s="36" t="s">
        <v>177</v>
      </c>
      <c r="X1" s="36" t="s">
        <v>178</v>
      </c>
      <c r="Y1" s="36" t="s">
        <v>179</v>
      </c>
    </row>
    <row r="2" spans="1:25" ht="16" x14ac:dyDescent="0.2">
      <c r="A2" s="37" t="s">
        <v>87</v>
      </c>
      <c r="B2" s="38">
        <v>37</v>
      </c>
      <c r="C2" s="38">
        <v>35</v>
      </c>
      <c r="D2" s="38">
        <v>33</v>
      </c>
      <c r="E2" s="38">
        <v>31</v>
      </c>
      <c r="F2" s="38">
        <v>31</v>
      </c>
      <c r="G2" s="38">
        <v>31</v>
      </c>
      <c r="H2" s="38">
        <v>30</v>
      </c>
      <c r="I2" s="38">
        <v>27</v>
      </c>
      <c r="J2" s="38">
        <v>27</v>
      </c>
      <c r="K2" s="38">
        <v>27</v>
      </c>
      <c r="L2" s="38">
        <v>24</v>
      </c>
      <c r="M2" s="38">
        <v>24</v>
      </c>
      <c r="N2" s="38">
        <v>23</v>
      </c>
      <c r="O2" s="38">
        <v>28</v>
      </c>
      <c r="P2" s="38">
        <v>28</v>
      </c>
      <c r="Q2" s="38">
        <v>30</v>
      </c>
      <c r="R2" s="38">
        <v>32</v>
      </c>
      <c r="S2" s="38">
        <v>33</v>
      </c>
      <c r="T2" s="38">
        <v>33</v>
      </c>
      <c r="U2" s="38">
        <v>35</v>
      </c>
      <c r="V2" s="38">
        <v>36</v>
      </c>
      <c r="W2" s="38">
        <v>37</v>
      </c>
      <c r="X2" s="38">
        <v>38</v>
      </c>
      <c r="Y2" s="38">
        <v>39</v>
      </c>
    </row>
    <row r="3" spans="1:25" ht="16" x14ac:dyDescent="0.2">
      <c r="A3" s="37" t="s">
        <v>88</v>
      </c>
      <c r="B3" s="38">
        <v>54</v>
      </c>
      <c r="C3" s="38">
        <v>51</v>
      </c>
      <c r="D3" s="38">
        <v>48</v>
      </c>
      <c r="E3" s="38">
        <v>46</v>
      </c>
      <c r="F3" s="38">
        <v>43</v>
      </c>
      <c r="G3" s="38">
        <v>41</v>
      </c>
      <c r="H3" s="38">
        <v>38</v>
      </c>
      <c r="I3" s="38">
        <v>34</v>
      </c>
      <c r="J3" s="38">
        <v>33</v>
      </c>
      <c r="K3" s="38">
        <v>29</v>
      </c>
      <c r="L3" s="38">
        <v>27</v>
      </c>
      <c r="M3" s="38">
        <v>24</v>
      </c>
      <c r="N3" s="38">
        <v>24</v>
      </c>
      <c r="O3" s="38">
        <v>31</v>
      </c>
      <c r="P3" s="38">
        <v>34</v>
      </c>
      <c r="Q3" s="38">
        <v>38</v>
      </c>
      <c r="R3" s="38">
        <v>39</v>
      </c>
      <c r="S3" s="38">
        <v>43</v>
      </c>
      <c r="T3" s="38">
        <v>45</v>
      </c>
      <c r="U3" s="38">
        <v>47</v>
      </c>
      <c r="V3" s="38">
        <v>48</v>
      </c>
      <c r="W3" s="38">
        <v>50</v>
      </c>
      <c r="X3" s="38">
        <v>51</v>
      </c>
      <c r="Y3" s="38">
        <v>53</v>
      </c>
    </row>
    <row r="4" spans="1:25" ht="16" x14ac:dyDescent="0.2">
      <c r="A4" s="37" t="s">
        <v>89</v>
      </c>
      <c r="B4" s="38">
        <v>26</v>
      </c>
      <c r="C4" s="38">
        <v>26</v>
      </c>
      <c r="D4" s="38">
        <v>24</v>
      </c>
      <c r="E4" s="38">
        <v>24</v>
      </c>
      <c r="F4" s="38">
        <v>23</v>
      </c>
      <c r="G4" s="38">
        <v>21</v>
      </c>
      <c r="H4" s="38">
        <v>22</v>
      </c>
      <c r="I4" s="38">
        <v>23</v>
      </c>
      <c r="J4" s="38">
        <v>23</v>
      </c>
      <c r="K4" s="38">
        <v>22</v>
      </c>
      <c r="L4" s="38">
        <v>22</v>
      </c>
      <c r="M4" s="38">
        <v>21</v>
      </c>
      <c r="N4" s="38">
        <v>22</v>
      </c>
      <c r="O4" s="38">
        <v>23</v>
      </c>
      <c r="P4" s="38">
        <v>24</v>
      </c>
      <c r="Q4" s="38">
        <v>26</v>
      </c>
      <c r="R4" s="38">
        <v>26</v>
      </c>
      <c r="S4" s="38">
        <v>27</v>
      </c>
      <c r="T4" s="38">
        <v>26</v>
      </c>
      <c r="U4" s="38">
        <v>26</v>
      </c>
      <c r="V4" s="38">
        <v>25</v>
      </c>
      <c r="W4" s="38">
        <v>26</v>
      </c>
      <c r="X4" s="38">
        <v>26</v>
      </c>
      <c r="Y4" s="38">
        <v>26</v>
      </c>
    </row>
    <row r="5" spans="1:25" ht="16" x14ac:dyDescent="0.2">
      <c r="A5" s="37" t="s">
        <v>90</v>
      </c>
      <c r="B5" s="38">
        <v>29</v>
      </c>
      <c r="C5" s="38">
        <v>29</v>
      </c>
      <c r="D5" s="38">
        <v>27</v>
      </c>
      <c r="E5" s="38">
        <v>27</v>
      </c>
      <c r="F5" s="38">
        <v>27</v>
      </c>
      <c r="G5" s="38">
        <v>26</v>
      </c>
      <c r="H5" s="38">
        <v>26</v>
      </c>
      <c r="I5" s="38">
        <v>25</v>
      </c>
      <c r="J5" s="38">
        <v>26</v>
      </c>
      <c r="K5" s="38">
        <v>26</v>
      </c>
      <c r="L5" s="38">
        <v>26</v>
      </c>
      <c r="M5" s="38">
        <v>23</v>
      </c>
      <c r="N5" s="38">
        <v>23</v>
      </c>
      <c r="O5" s="38">
        <v>26</v>
      </c>
      <c r="P5" s="38">
        <v>26</v>
      </c>
      <c r="Q5" s="38">
        <v>26</v>
      </c>
      <c r="R5" s="38">
        <v>25</v>
      </c>
      <c r="S5" s="38">
        <v>25</v>
      </c>
      <c r="T5" s="38">
        <v>25</v>
      </c>
      <c r="U5" s="38">
        <v>26</v>
      </c>
      <c r="V5" s="38">
        <v>27</v>
      </c>
      <c r="W5" s="38">
        <v>27</v>
      </c>
      <c r="X5" s="38">
        <v>26</v>
      </c>
      <c r="Y5" s="38">
        <v>28</v>
      </c>
    </row>
    <row r="6" spans="1:25" ht="16" x14ac:dyDescent="0.2">
      <c r="A6" s="37" t="s">
        <v>118</v>
      </c>
      <c r="B6" s="38">
        <v>10</v>
      </c>
      <c r="C6" s="38">
        <v>10</v>
      </c>
      <c r="D6" s="38">
        <v>9</v>
      </c>
      <c r="E6" s="38">
        <v>9</v>
      </c>
      <c r="F6" s="38">
        <v>9</v>
      </c>
      <c r="G6" s="38">
        <v>10</v>
      </c>
      <c r="H6" s="38">
        <v>9</v>
      </c>
      <c r="I6" s="38">
        <v>9</v>
      </c>
      <c r="J6" s="38">
        <v>7</v>
      </c>
      <c r="K6" s="38">
        <v>7</v>
      </c>
      <c r="L6" s="38">
        <v>7</v>
      </c>
      <c r="M6" s="38">
        <v>7</v>
      </c>
      <c r="N6" s="38">
        <v>12</v>
      </c>
      <c r="O6" s="38">
        <v>13</v>
      </c>
      <c r="P6" s="38">
        <v>12</v>
      </c>
      <c r="Q6" s="38">
        <v>12</v>
      </c>
      <c r="R6" s="38">
        <v>12</v>
      </c>
      <c r="S6" s="38">
        <v>11</v>
      </c>
      <c r="T6" s="38">
        <v>11</v>
      </c>
      <c r="U6" s="38">
        <v>10</v>
      </c>
      <c r="V6" s="38">
        <v>10</v>
      </c>
      <c r="W6" s="38">
        <v>10</v>
      </c>
      <c r="X6" s="38">
        <v>10</v>
      </c>
      <c r="Y6" s="38">
        <v>10</v>
      </c>
    </row>
    <row r="7" spans="1:25" ht="16" x14ac:dyDescent="0.2">
      <c r="A7" s="37" t="s">
        <v>111</v>
      </c>
      <c r="B7" s="38">
        <v>3</v>
      </c>
      <c r="C7" s="38">
        <v>4</v>
      </c>
      <c r="D7" s="38">
        <v>3</v>
      </c>
      <c r="E7" s="38">
        <v>4</v>
      </c>
      <c r="F7" s="38">
        <v>3</v>
      </c>
      <c r="G7" s="38">
        <v>3</v>
      </c>
      <c r="H7" s="38">
        <v>4</v>
      </c>
      <c r="I7" s="38">
        <v>3</v>
      </c>
      <c r="J7" s="38">
        <v>4</v>
      </c>
      <c r="K7" s="38">
        <v>3</v>
      </c>
      <c r="L7" s="38">
        <v>4</v>
      </c>
      <c r="M7" s="38">
        <v>4</v>
      </c>
      <c r="N7" s="38">
        <v>4</v>
      </c>
      <c r="O7" s="38">
        <v>4</v>
      </c>
      <c r="P7" s="38">
        <v>5</v>
      </c>
      <c r="Q7" s="38">
        <v>4</v>
      </c>
      <c r="R7" s="38">
        <v>4</v>
      </c>
      <c r="S7" s="38">
        <v>5</v>
      </c>
      <c r="T7" s="38">
        <v>4</v>
      </c>
      <c r="U7" s="38">
        <v>4</v>
      </c>
      <c r="V7" s="38">
        <v>5</v>
      </c>
      <c r="W7" s="38">
        <v>5</v>
      </c>
      <c r="X7" s="38">
        <v>4</v>
      </c>
      <c r="Y7" s="38">
        <v>4</v>
      </c>
    </row>
    <row r="8" spans="1:25" ht="16" x14ac:dyDescent="0.2">
      <c r="A8" s="37" t="s">
        <v>96</v>
      </c>
      <c r="B8" s="38">
        <v>33</v>
      </c>
      <c r="C8" s="38">
        <v>32</v>
      </c>
      <c r="D8" s="38">
        <v>32</v>
      </c>
      <c r="E8" s="38">
        <v>32</v>
      </c>
      <c r="F8" s="38">
        <v>30</v>
      </c>
      <c r="G8" s="38">
        <v>29</v>
      </c>
      <c r="H8" s="38">
        <v>28</v>
      </c>
      <c r="I8" s="38">
        <v>28</v>
      </c>
      <c r="J8" s="38">
        <v>28</v>
      </c>
      <c r="K8" s="38">
        <v>24</v>
      </c>
      <c r="L8" s="38">
        <v>21</v>
      </c>
      <c r="M8" s="38">
        <v>20</v>
      </c>
      <c r="N8" s="38">
        <v>21</v>
      </c>
      <c r="O8" s="38">
        <v>22</v>
      </c>
      <c r="P8" s="38">
        <v>25</v>
      </c>
      <c r="Q8" s="38">
        <v>25</v>
      </c>
      <c r="R8" s="38">
        <v>26</v>
      </c>
      <c r="S8" s="38">
        <v>27</v>
      </c>
      <c r="T8" s="38">
        <v>28</v>
      </c>
      <c r="U8" s="38">
        <v>28</v>
      </c>
      <c r="V8" s="38">
        <v>32</v>
      </c>
      <c r="W8" s="38">
        <v>31</v>
      </c>
      <c r="X8" s="38">
        <v>32</v>
      </c>
      <c r="Y8" s="38">
        <v>32</v>
      </c>
    </row>
    <row r="9" spans="1:25" ht="16" x14ac:dyDescent="0.2">
      <c r="A9" s="37" t="s">
        <v>94</v>
      </c>
      <c r="B9" s="38">
        <v>21</v>
      </c>
      <c r="C9" s="38">
        <v>20</v>
      </c>
      <c r="D9" s="38">
        <v>21</v>
      </c>
      <c r="E9" s="38">
        <v>22</v>
      </c>
      <c r="F9" s="38">
        <v>21</v>
      </c>
      <c r="G9" s="38">
        <v>18</v>
      </c>
      <c r="H9" s="38">
        <v>18</v>
      </c>
      <c r="I9" s="38">
        <v>18</v>
      </c>
      <c r="J9" s="38">
        <v>17</v>
      </c>
      <c r="K9" s="38">
        <v>16</v>
      </c>
      <c r="L9" s="38">
        <v>15</v>
      </c>
      <c r="M9" s="38">
        <v>14</v>
      </c>
      <c r="N9" s="38">
        <v>16</v>
      </c>
      <c r="O9" s="38">
        <v>17</v>
      </c>
      <c r="P9" s="38">
        <v>17</v>
      </c>
      <c r="Q9" s="38">
        <v>17</v>
      </c>
      <c r="R9" s="38">
        <v>17</v>
      </c>
      <c r="S9" s="38">
        <v>19</v>
      </c>
      <c r="T9" s="38">
        <v>19</v>
      </c>
      <c r="U9" s="38">
        <v>20</v>
      </c>
      <c r="V9" s="38">
        <v>19</v>
      </c>
      <c r="W9" s="38">
        <v>20</v>
      </c>
      <c r="X9" s="38">
        <v>21</v>
      </c>
      <c r="Y9" s="38">
        <v>21</v>
      </c>
    </row>
    <row r="10" spans="1:25" ht="16" x14ac:dyDescent="0.2">
      <c r="A10" s="37" t="s">
        <v>95</v>
      </c>
      <c r="B10" s="38">
        <v>4</v>
      </c>
      <c r="C10" s="38">
        <v>4</v>
      </c>
      <c r="D10" s="38">
        <v>4</v>
      </c>
      <c r="E10" s="38">
        <v>4</v>
      </c>
      <c r="F10" s="38">
        <v>4</v>
      </c>
      <c r="G10" s="38">
        <v>4</v>
      </c>
      <c r="H10" s="38">
        <v>4</v>
      </c>
      <c r="I10" s="38">
        <v>3</v>
      </c>
      <c r="J10" s="38">
        <v>2</v>
      </c>
      <c r="K10" s="38">
        <v>2</v>
      </c>
      <c r="L10" s="38">
        <v>2</v>
      </c>
      <c r="M10" s="38">
        <v>3</v>
      </c>
      <c r="N10" s="38">
        <v>2</v>
      </c>
      <c r="O10" s="38">
        <v>3</v>
      </c>
      <c r="P10" s="38">
        <v>3</v>
      </c>
      <c r="Q10" s="38">
        <v>3</v>
      </c>
      <c r="R10" s="38">
        <v>2</v>
      </c>
      <c r="S10" s="38">
        <v>3</v>
      </c>
      <c r="T10" s="38">
        <v>1</v>
      </c>
      <c r="U10" s="38">
        <v>1</v>
      </c>
      <c r="V10" s="38">
        <v>1</v>
      </c>
      <c r="W10" s="38">
        <v>2</v>
      </c>
      <c r="X10" s="38">
        <v>3</v>
      </c>
      <c r="Y10" s="38">
        <v>3</v>
      </c>
    </row>
    <row r="11" spans="1:25" ht="16" x14ac:dyDescent="0.2">
      <c r="A11" s="37" t="s">
        <v>97</v>
      </c>
      <c r="B11" s="38">
        <v>12</v>
      </c>
      <c r="C11" s="38">
        <v>12</v>
      </c>
      <c r="D11" s="38">
        <v>12</v>
      </c>
      <c r="E11" s="38">
        <v>12</v>
      </c>
      <c r="F11" s="38">
        <v>12</v>
      </c>
      <c r="G11" s="38">
        <v>11</v>
      </c>
      <c r="H11" s="38">
        <v>10</v>
      </c>
      <c r="I11" s="38">
        <v>10</v>
      </c>
      <c r="J11" s="38">
        <v>10</v>
      </c>
      <c r="K11" s="38">
        <v>10</v>
      </c>
      <c r="L11" s="38">
        <v>10</v>
      </c>
      <c r="M11" s="38">
        <v>8</v>
      </c>
      <c r="N11" s="38">
        <v>9</v>
      </c>
      <c r="O11" s="38">
        <v>10</v>
      </c>
      <c r="P11" s="38">
        <v>10</v>
      </c>
      <c r="Q11" s="38">
        <v>9</v>
      </c>
      <c r="R11" s="38">
        <v>10</v>
      </c>
      <c r="S11" s="38">
        <v>11</v>
      </c>
      <c r="T11" s="38">
        <v>11</v>
      </c>
      <c r="U11" s="38">
        <v>10</v>
      </c>
      <c r="V11" s="38">
        <v>10</v>
      </c>
      <c r="W11" s="38">
        <v>12</v>
      </c>
      <c r="X11" s="38">
        <v>12</v>
      </c>
      <c r="Y11" s="38">
        <v>12</v>
      </c>
    </row>
    <row r="12" spans="1:25" ht="16" x14ac:dyDescent="0.2">
      <c r="A12" s="37" t="s">
        <v>98</v>
      </c>
      <c r="B12" s="38">
        <v>8</v>
      </c>
      <c r="C12" s="38">
        <v>8</v>
      </c>
      <c r="D12" s="38">
        <v>7</v>
      </c>
      <c r="E12" s="38">
        <v>8</v>
      </c>
      <c r="F12" s="38">
        <v>7</v>
      </c>
      <c r="G12" s="38">
        <v>8</v>
      </c>
      <c r="H12" s="38">
        <v>8</v>
      </c>
      <c r="I12" s="38">
        <v>8</v>
      </c>
      <c r="J12" s="38">
        <v>8</v>
      </c>
      <c r="K12" s="38">
        <v>10</v>
      </c>
      <c r="L12" s="38">
        <v>10</v>
      </c>
      <c r="M12" s="38">
        <v>9</v>
      </c>
      <c r="N12" s="38">
        <v>7</v>
      </c>
      <c r="O12" s="38">
        <v>7</v>
      </c>
      <c r="P12" s="38">
        <v>7</v>
      </c>
      <c r="Q12" s="38">
        <v>7</v>
      </c>
      <c r="R12" s="38">
        <v>6</v>
      </c>
      <c r="S12" s="38">
        <v>6</v>
      </c>
      <c r="T12" s="38">
        <v>6</v>
      </c>
      <c r="U12" s="38">
        <v>5</v>
      </c>
      <c r="V12" s="38">
        <v>5</v>
      </c>
      <c r="W12" s="38">
        <v>7</v>
      </c>
      <c r="X12" s="38">
        <v>6</v>
      </c>
      <c r="Y12" s="38">
        <v>8</v>
      </c>
    </row>
    <row r="13" spans="1:25" ht="16" x14ac:dyDescent="0.2">
      <c r="A13" s="37" t="s">
        <v>107</v>
      </c>
      <c r="B13" s="38">
        <v>9</v>
      </c>
      <c r="C13" s="38">
        <v>10</v>
      </c>
      <c r="D13" s="38">
        <v>9</v>
      </c>
      <c r="E13" s="38">
        <v>9</v>
      </c>
      <c r="F13" s="38">
        <v>8</v>
      </c>
      <c r="G13" s="38">
        <v>10</v>
      </c>
      <c r="H13" s="38">
        <v>10</v>
      </c>
      <c r="I13" s="38">
        <v>9</v>
      </c>
      <c r="J13" s="38">
        <v>10</v>
      </c>
      <c r="K13" s="38">
        <v>9</v>
      </c>
      <c r="L13" s="38">
        <v>9</v>
      </c>
      <c r="M13" s="38">
        <v>9</v>
      </c>
      <c r="N13" s="38">
        <v>7</v>
      </c>
      <c r="O13" s="38">
        <v>7</v>
      </c>
      <c r="P13" s="38">
        <v>7</v>
      </c>
      <c r="Q13" s="38">
        <v>7</v>
      </c>
      <c r="R13" s="38">
        <v>8</v>
      </c>
      <c r="S13" s="38">
        <v>8</v>
      </c>
      <c r="T13" s="38">
        <v>7</v>
      </c>
      <c r="U13" s="38">
        <v>7</v>
      </c>
      <c r="V13" s="38">
        <v>7</v>
      </c>
      <c r="W13" s="38">
        <v>9</v>
      </c>
      <c r="X13" s="38">
        <v>8</v>
      </c>
      <c r="Y13" s="38">
        <v>9</v>
      </c>
    </row>
    <row r="14" spans="1:25" ht="16" x14ac:dyDescent="0.2">
      <c r="A14" s="37" t="s">
        <v>105</v>
      </c>
      <c r="B14" s="38">
        <v>8</v>
      </c>
      <c r="C14" s="38">
        <v>8</v>
      </c>
      <c r="D14" s="38">
        <v>9</v>
      </c>
      <c r="E14" s="38">
        <v>8</v>
      </c>
      <c r="F14" s="38">
        <v>8</v>
      </c>
      <c r="G14" s="38">
        <v>7</v>
      </c>
      <c r="H14" s="38">
        <v>7</v>
      </c>
      <c r="I14" s="38">
        <v>7</v>
      </c>
      <c r="J14" s="38">
        <v>6</v>
      </c>
      <c r="K14" s="38">
        <v>6</v>
      </c>
      <c r="L14" s="38">
        <v>7</v>
      </c>
      <c r="M14" s="38">
        <v>7</v>
      </c>
      <c r="N14" s="38">
        <v>8</v>
      </c>
      <c r="O14" s="38">
        <v>8</v>
      </c>
      <c r="P14" s="38">
        <v>8</v>
      </c>
      <c r="Q14" s="38">
        <v>8</v>
      </c>
      <c r="R14" s="38">
        <v>7</v>
      </c>
      <c r="S14" s="38">
        <v>8</v>
      </c>
      <c r="T14" s="38">
        <v>8</v>
      </c>
      <c r="U14" s="38">
        <v>7</v>
      </c>
      <c r="V14" s="38">
        <v>7</v>
      </c>
      <c r="W14" s="38">
        <v>9</v>
      </c>
      <c r="X14" s="38">
        <v>9</v>
      </c>
      <c r="Y14" s="38">
        <v>9</v>
      </c>
    </row>
    <row r="15" spans="1:25" ht="16" x14ac:dyDescent="0.2">
      <c r="A15" s="37" t="s">
        <v>119</v>
      </c>
      <c r="B15" s="38">
        <v>5</v>
      </c>
      <c r="C15" s="38">
        <v>6</v>
      </c>
      <c r="D15" s="38">
        <v>6</v>
      </c>
      <c r="E15" s="38">
        <v>5</v>
      </c>
      <c r="F15" s="38">
        <v>5</v>
      </c>
      <c r="G15" s="38">
        <v>6</v>
      </c>
      <c r="H15" s="38">
        <v>6</v>
      </c>
      <c r="I15" s="38">
        <v>5</v>
      </c>
      <c r="J15" s="38">
        <v>5</v>
      </c>
      <c r="K15" s="38">
        <v>5</v>
      </c>
      <c r="L15" s="38">
        <v>5</v>
      </c>
      <c r="M15" s="38">
        <v>5</v>
      </c>
      <c r="N15" s="38">
        <v>5</v>
      </c>
      <c r="O15" s="38">
        <v>5</v>
      </c>
      <c r="P15" s="38">
        <v>4</v>
      </c>
      <c r="Q15" s="38">
        <v>4</v>
      </c>
      <c r="R15" s="38">
        <v>4</v>
      </c>
      <c r="S15" s="38">
        <v>6</v>
      </c>
      <c r="T15" s="38">
        <v>4</v>
      </c>
      <c r="U15" s="38">
        <v>5</v>
      </c>
      <c r="V15" s="38">
        <v>6</v>
      </c>
      <c r="W15" s="38">
        <v>7</v>
      </c>
      <c r="X15" s="38">
        <v>7</v>
      </c>
      <c r="Y15" s="38">
        <v>7</v>
      </c>
    </row>
    <row r="16" spans="1:25" ht="16" x14ac:dyDescent="0.2">
      <c r="A16" s="37" t="s">
        <v>99</v>
      </c>
      <c r="B16" s="38">
        <v>21</v>
      </c>
      <c r="C16" s="38">
        <v>21</v>
      </c>
      <c r="D16" s="38">
        <v>20</v>
      </c>
      <c r="E16" s="38">
        <v>20</v>
      </c>
      <c r="F16" s="38">
        <v>19</v>
      </c>
      <c r="G16" s="38">
        <v>18</v>
      </c>
      <c r="H16" s="38">
        <v>17</v>
      </c>
      <c r="I16" s="38">
        <v>17</v>
      </c>
      <c r="J16" s="38">
        <v>16</v>
      </c>
      <c r="K16" s="38">
        <v>16</v>
      </c>
      <c r="L16" s="38">
        <v>15</v>
      </c>
      <c r="M16" s="38">
        <v>15</v>
      </c>
      <c r="N16" s="38">
        <v>20</v>
      </c>
      <c r="O16" s="38">
        <v>21</v>
      </c>
      <c r="P16" s="38">
        <v>21</v>
      </c>
      <c r="Q16" s="38">
        <v>21</v>
      </c>
      <c r="R16" s="38">
        <v>22</v>
      </c>
      <c r="S16" s="38">
        <v>22</v>
      </c>
      <c r="T16" s="38">
        <v>22</v>
      </c>
      <c r="U16" s="38">
        <v>21</v>
      </c>
      <c r="V16" s="38">
        <v>21</v>
      </c>
      <c r="W16" s="38">
        <v>21</v>
      </c>
      <c r="X16" s="38">
        <v>20</v>
      </c>
      <c r="Y16" s="38">
        <v>21</v>
      </c>
    </row>
    <row r="17" spans="1:25" ht="16" x14ac:dyDescent="0.2">
      <c r="A17" s="37" t="s">
        <v>91</v>
      </c>
      <c r="B17" s="38">
        <v>35</v>
      </c>
      <c r="C17" s="38">
        <v>35</v>
      </c>
      <c r="D17" s="38">
        <v>33</v>
      </c>
      <c r="E17" s="38">
        <v>33</v>
      </c>
      <c r="F17" s="38">
        <v>32</v>
      </c>
      <c r="G17" s="38">
        <v>30</v>
      </c>
      <c r="H17" s="38">
        <v>26</v>
      </c>
      <c r="I17" s="38">
        <v>26</v>
      </c>
      <c r="J17" s="38">
        <v>25</v>
      </c>
      <c r="K17" s="38">
        <v>24</v>
      </c>
      <c r="L17" s="38">
        <v>23</v>
      </c>
      <c r="M17" s="38">
        <v>21</v>
      </c>
      <c r="N17" s="38">
        <v>24</v>
      </c>
      <c r="O17" s="38">
        <v>25</v>
      </c>
      <c r="P17" s="38">
        <v>25</v>
      </c>
      <c r="Q17" s="38">
        <v>26</v>
      </c>
      <c r="R17" s="38">
        <v>29</v>
      </c>
      <c r="S17" s="38">
        <v>30</v>
      </c>
      <c r="T17" s="38">
        <v>30</v>
      </c>
      <c r="U17" s="38">
        <v>32</v>
      </c>
      <c r="V17" s="38">
        <v>32</v>
      </c>
      <c r="W17" s="38">
        <v>33</v>
      </c>
      <c r="X17" s="38">
        <v>33</v>
      </c>
      <c r="Y17" s="38">
        <v>34</v>
      </c>
    </row>
    <row r="18" spans="1:25" ht="16" x14ac:dyDescent="0.2">
      <c r="A18" s="37" t="s">
        <v>100</v>
      </c>
      <c r="B18" s="38">
        <v>11</v>
      </c>
      <c r="C18" s="38">
        <v>10</v>
      </c>
      <c r="D18" s="38">
        <v>10</v>
      </c>
      <c r="E18" s="38">
        <v>10</v>
      </c>
      <c r="F18" s="38">
        <v>9</v>
      </c>
      <c r="G18" s="38">
        <v>10</v>
      </c>
      <c r="H18" s="38">
        <v>10</v>
      </c>
      <c r="I18" s="38">
        <v>10</v>
      </c>
      <c r="J18" s="38">
        <v>10</v>
      </c>
      <c r="K18" s="38">
        <v>9</v>
      </c>
      <c r="L18" s="38">
        <v>9</v>
      </c>
      <c r="M18" s="38">
        <v>9</v>
      </c>
      <c r="N18" s="38">
        <v>8</v>
      </c>
      <c r="O18" s="38">
        <v>9</v>
      </c>
      <c r="P18" s="38">
        <v>9</v>
      </c>
      <c r="Q18" s="38">
        <v>9</v>
      </c>
      <c r="R18" s="38">
        <v>8</v>
      </c>
      <c r="S18" s="38">
        <v>8</v>
      </c>
      <c r="T18" s="38">
        <v>8</v>
      </c>
      <c r="U18" s="38">
        <v>7</v>
      </c>
      <c r="V18" s="38">
        <v>8</v>
      </c>
      <c r="W18" s="38">
        <v>10</v>
      </c>
      <c r="X18" s="38">
        <v>11</v>
      </c>
      <c r="Y18" s="38">
        <v>11</v>
      </c>
    </row>
    <row r="19" spans="1:25" ht="16" x14ac:dyDescent="0.2">
      <c r="A19" s="37" t="s">
        <v>101</v>
      </c>
      <c r="B19" s="38">
        <v>28</v>
      </c>
      <c r="C19" s="38">
        <v>29</v>
      </c>
      <c r="D19" s="38">
        <v>28</v>
      </c>
      <c r="E19" s="38">
        <v>28</v>
      </c>
      <c r="F19" s="38">
        <v>29</v>
      </c>
      <c r="G19" s="38">
        <v>29</v>
      </c>
      <c r="H19" s="38">
        <v>29</v>
      </c>
      <c r="I19" s="38">
        <v>27</v>
      </c>
      <c r="J19" s="38">
        <v>26</v>
      </c>
      <c r="K19" s="38">
        <v>24</v>
      </c>
      <c r="L19" s="38">
        <v>22</v>
      </c>
      <c r="M19" s="38">
        <v>20</v>
      </c>
      <c r="N19" s="38">
        <v>22</v>
      </c>
      <c r="O19" s="38">
        <v>27</v>
      </c>
      <c r="P19" s="38">
        <v>27</v>
      </c>
      <c r="Q19" s="38">
        <v>28</v>
      </c>
      <c r="R19" s="38">
        <v>29</v>
      </c>
      <c r="S19" s="38">
        <v>29</v>
      </c>
      <c r="T19" s="38">
        <v>28</v>
      </c>
      <c r="U19" s="38">
        <v>29</v>
      </c>
      <c r="V19" s="38">
        <v>29</v>
      </c>
      <c r="W19" s="38">
        <v>29</v>
      </c>
      <c r="X19" s="38">
        <v>28</v>
      </c>
      <c r="Y19" s="38">
        <v>27</v>
      </c>
    </row>
    <row r="20" spans="1:25" ht="16" x14ac:dyDescent="0.2">
      <c r="A20" s="37" t="s">
        <v>106</v>
      </c>
      <c r="B20" s="38">
        <v>23</v>
      </c>
      <c r="C20" s="38">
        <v>23</v>
      </c>
      <c r="D20" s="38">
        <v>24</v>
      </c>
      <c r="E20" s="38">
        <v>24</v>
      </c>
      <c r="F20" s="38">
        <v>25</v>
      </c>
      <c r="G20" s="38">
        <v>25</v>
      </c>
      <c r="H20" s="38">
        <v>24</v>
      </c>
      <c r="I20" s="38">
        <v>23</v>
      </c>
      <c r="J20" s="38">
        <v>21</v>
      </c>
      <c r="K20" s="38">
        <v>21</v>
      </c>
      <c r="L20" s="38">
        <v>19</v>
      </c>
      <c r="M20" s="38">
        <v>18</v>
      </c>
      <c r="N20" s="38">
        <v>20</v>
      </c>
      <c r="O20" s="38">
        <v>20</v>
      </c>
      <c r="P20" s="38">
        <v>20</v>
      </c>
      <c r="Q20" s="38">
        <v>20</v>
      </c>
      <c r="R20" s="38">
        <v>20</v>
      </c>
      <c r="S20" s="38">
        <v>20</v>
      </c>
      <c r="T20" s="38">
        <v>20</v>
      </c>
      <c r="U20" s="38">
        <v>21</v>
      </c>
      <c r="V20" s="38">
        <v>21</v>
      </c>
      <c r="W20" s="38">
        <v>21</v>
      </c>
      <c r="X20" s="38">
        <v>21</v>
      </c>
      <c r="Y20" s="38">
        <v>22</v>
      </c>
    </row>
    <row r="21" spans="1:25" ht="16" x14ac:dyDescent="0.2">
      <c r="A21" s="37" t="s">
        <v>110</v>
      </c>
      <c r="B21" s="38">
        <v>2</v>
      </c>
      <c r="C21" s="38">
        <v>2</v>
      </c>
      <c r="D21" s="38">
        <v>2</v>
      </c>
      <c r="E21" s="38">
        <v>2</v>
      </c>
      <c r="F21" s="38">
        <v>1</v>
      </c>
      <c r="G21" s="38">
        <v>2</v>
      </c>
      <c r="H21" s="38">
        <v>2</v>
      </c>
      <c r="I21" s="38">
        <v>1</v>
      </c>
      <c r="J21" s="38">
        <v>2</v>
      </c>
      <c r="K21" s="38">
        <v>0</v>
      </c>
      <c r="L21" s="38">
        <v>0</v>
      </c>
      <c r="M21" s="38">
        <v>0</v>
      </c>
      <c r="N21" s="38">
        <v>4</v>
      </c>
      <c r="O21" s="38">
        <v>4</v>
      </c>
      <c r="P21" s="38">
        <v>4</v>
      </c>
      <c r="Q21" s="38">
        <v>4</v>
      </c>
      <c r="R21" s="38">
        <v>3</v>
      </c>
      <c r="S21" s="38">
        <v>4</v>
      </c>
      <c r="T21" s="38">
        <v>3</v>
      </c>
      <c r="U21" s="38">
        <v>2</v>
      </c>
      <c r="V21" s="38">
        <v>3</v>
      </c>
      <c r="W21" s="38">
        <v>1</v>
      </c>
      <c r="X21" s="38">
        <v>2</v>
      </c>
      <c r="Y21" s="38">
        <v>2</v>
      </c>
    </row>
    <row r="22" spans="1:25" ht="16" x14ac:dyDescent="0.2">
      <c r="A22" s="37" t="s">
        <v>92</v>
      </c>
      <c r="B22" s="38">
        <v>12</v>
      </c>
      <c r="C22" s="38">
        <v>12</v>
      </c>
      <c r="D22" s="38">
        <v>12</v>
      </c>
      <c r="E22" s="38">
        <v>11</v>
      </c>
      <c r="F22" s="38">
        <v>11</v>
      </c>
      <c r="G22" s="38">
        <v>10</v>
      </c>
      <c r="H22" s="38">
        <v>10</v>
      </c>
      <c r="I22" s="38">
        <v>9</v>
      </c>
      <c r="J22" s="38">
        <v>8</v>
      </c>
      <c r="K22" s="38">
        <v>9</v>
      </c>
      <c r="L22" s="38">
        <v>9</v>
      </c>
      <c r="M22" s="38">
        <v>9</v>
      </c>
      <c r="N22" s="38">
        <v>15</v>
      </c>
      <c r="O22" s="38">
        <v>15</v>
      </c>
      <c r="P22" s="38">
        <v>15</v>
      </c>
      <c r="Q22" s="38">
        <v>14</v>
      </c>
      <c r="R22" s="38">
        <v>14</v>
      </c>
      <c r="S22" s="38">
        <v>14</v>
      </c>
      <c r="T22" s="38">
        <v>13</v>
      </c>
      <c r="U22" s="38">
        <v>11</v>
      </c>
      <c r="V22" s="38">
        <v>11</v>
      </c>
      <c r="W22" s="38">
        <v>11</v>
      </c>
      <c r="X22" s="38">
        <v>11</v>
      </c>
      <c r="Y22" s="38">
        <v>11</v>
      </c>
    </row>
    <row r="23" spans="1:25" ht="16" x14ac:dyDescent="0.2">
      <c r="A23" s="37" t="s">
        <v>114</v>
      </c>
      <c r="B23" s="38">
        <v>2</v>
      </c>
      <c r="C23" s="38">
        <v>2</v>
      </c>
      <c r="D23" s="38">
        <v>2</v>
      </c>
      <c r="E23" s="38">
        <v>1</v>
      </c>
      <c r="F23" s="38">
        <v>1</v>
      </c>
      <c r="G23" s="38">
        <v>2</v>
      </c>
      <c r="H23" s="38">
        <v>2</v>
      </c>
      <c r="I23" s="38">
        <v>2</v>
      </c>
      <c r="J23" s="38">
        <v>2</v>
      </c>
      <c r="K23" s="38">
        <v>2</v>
      </c>
      <c r="L23" s="38">
        <v>2</v>
      </c>
      <c r="M23" s="38">
        <v>2</v>
      </c>
      <c r="N23" s="38">
        <v>3</v>
      </c>
      <c r="O23" s="38">
        <v>3</v>
      </c>
      <c r="P23" s="38">
        <v>3</v>
      </c>
      <c r="Q23" s="38">
        <v>3</v>
      </c>
      <c r="R23" s="38">
        <v>3</v>
      </c>
      <c r="S23" s="38">
        <v>3</v>
      </c>
      <c r="T23" s="38">
        <v>2</v>
      </c>
      <c r="U23" s="38">
        <v>2</v>
      </c>
      <c r="V23" s="38">
        <v>2</v>
      </c>
      <c r="W23" s="38">
        <v>2</v>
      </c>
      <c r="X23" s="38">
        <v>2</v>
      </c>
      <c r="Y23" s="38">
        <v>1</v>
      </c>
    </row>
    <row r="24" spans="1:25" ht="16" x14ac:dyDescent="0.2">
      <c r="A24" s="37" t="s">
        <v>108</v>
      </c>
      <c r="B24" s="38">
        <v>24</v>
      </c>
      <c r="C24" s="38">
        <v>24</v>
      </c>
      <c r="D24" s="38">
        <v>24</v>
      </c>
      <c r="E24" s="38">
        <v>24</v>
      </c>
      <c r="F24" s="38">
        <v>24</v>
      </c>
      <c r="G24" s="38">
        <v>24</v>
      </c>
      <c r="H24" s="38">
        <v>24</v>
      </c>
      <c r="I24" s="38">
        <v>23</v>
      </c>
      <c r="J24" s="38">
        <v>23</v>
      </c>
      <c r="K24" s="38">
        <v>22</v>
      </c>
      <c r="L24" s="38">
        <v>20</v>
      </c>
      <c r="M24" s="38">
        <v>19</v>
      </c>
      <c r="N24" s="38">
        <v>19</v>
      </c>
      <c r="O24" s="38">
        <v>21</v>
      </c>
      <c r="P24" s="38">
        <v>22</v>
      </c>
      <c r="Q24" s="38">
        <v>24</v>
      </c>
      <c r="R24" s="38">
        <v>24</v>
      </c>
      <c r="S24" s="38">
        <v>24</v>
      </c>
      <c r="T24" s="38">
        <v>24</v>
      </c>
      <c r="U24" s="38">
        <v>24</v>
      </c>
      <c r="V24" s="38">
        <v>25</v>
      </c>
      <c r="W24" s="38">
        <v>26</v>
      </c>
      <c r="X24" s="38">
        <v>25</v>
      </c>
      <c r="Y24" s="38">
        <v>25</v>
      </c>
    </row>
    <row r="25" spans="1:25" ht="16" x14ac:dyDescent="0.2">
      <c r="A25" s="37" t="s">
        <v>102</v>
      </c>
      <c r="B25" s="38">
        <v>20</v>
      </c>
      <c r="C25" s="38">
        <v>20</v>
      </c>
      <c r="D25" s="38">
        <v>21</v>
      </c>
      <c r="E25" s="38">
        <v>20</v>
      </c>
      <c r="F25" s="38">
        <v>20</v>
      </c>
      <c r="G25" s="38">
        <v>20</v>
      </c>
      <c r="H25" s="38">
        <v>20</v>
      </c>
      <c r="I25" s="38">
        <v>20</v>
      </c>
      <c r="J25" s="38">
        <v>21</v>
      </c>
      <c r="K25" s="38">
        <v>20</v>
      </c>
      <c r="L25" s="38">
        <v>19</v>
      </c>
      <c r="M25" s="38">
        <v>18</v>
      </c>
      <c r="N25" s="38">
        <v>18</v>
      </c>
      <c r="O25" s="38">
        <v>19</v>
      </c>
      <c r="P25" s="38">
        <v>19</v>
      </c>
      <c r="Q25" s="38">
        <v>19</v>
      </c>
      <c r="R25" s="38">
        <v>20</v>
      </c>
      <c r="S25" s="38">
        <v>19</v>
      </c>
      <c r="T25" s="38">
        <v>20</v>
      </c>
      <c r="U25" s="38">
        <v>19</v>
      </c>
      <c r="V25" s="38">
        <v>19</v>
      </c>
      <c r="W25" s="38">
        <v>20</v>
      </c>
      <c r="X25" s="38">
        <v>20</v>
      </c>
      <c r="Y25" s="38">
        <v>20</v>
      </c>
    </row>
    <row r="26" spans="1:25" ht="16" x14ac:dyDescent="0.2">
      <c r="A26" s="37" t="s">
        <v>180</v>
      </c>
      <c r="B26" s="38">
        <v>1</v>
      </c>
      <c r="C26" s="38">
        <v>1</v>
      </c>
      <c r="D26" s="38">
        <v>2</v>
      </c>
      <c r="E26" s="38">
        <v>2</v>
      </c>
      <c r="F26" s="38">
        <v>2</v>
      </c>
      <c r="G26" s="38">
        <v>2</v>
      </c>
      <c r="H26" s="38">
        <v>2</v>
      </c>
      <c r="I26" s="38">
        <v>2</v>
      </c>
      <c r="J26" s="38">
        <v>2</v>
      </c>
      <c r="K26" s="38">
        <v>2</v>
      </c>
      <c r="L26" s="38">
        <v>2</v>
      </c>
      <c r="M26" s="38">
        <v>2</v>
      </c>
      <c r="N26" s="38">
        <v>2</v>
      </c>
      <c r="O26" s="38">
        <v>2</v>
      </c>
      <c r="P26" s="38">
        <v>3</v>
      </c>
      <c r="Q26" s="38">
        <v>2</v>
      </c>
      <c r="R26" s="38">
        <v>2</v>
      </c>
      <c r="S26" s="38">
        <v>2</v>
      </c>
      <c r="T26" s="38">
        <v>2</v>
      </c>
      <c r="U26" s="38">
        <v>2</v>
      </c>
      <c r="V26" s="38">
        <v>2</v>
      </c>
      <c r="W26" s="38">
        <v>2</v>
      </c>
      <c r="X26" s="38">
        <v>2</v>
      </c>
      <c r="Y26" s="38">
        <v>1</v>
      </c>
    </row>
    <row r="27" spans="1:25" ht="16" x14ac:dyDescent="0.2">
      <c r="A27" s="37" t="s">
        <v>109</v>
      </c>
      <c r="B27" s="38">
        <v>5</v>
      </c>
      <c r="C27" s="38">
        <v>5</v>
      </c>
      <c r="D27" s="38">
        <v>5</v>
      </c>
      <c r="E27" s="38">
        <v>6</v>
      </c>
      <c r="F27" s="38">
        <v>5</v>
      </c>
      <c r="G27" s="38">
        <v>6</v>
      </c>
      <c r="H27" s="38">
        <v>6</v>
      </c>
      <c r="I27" s="38">
        <v>6</v>
      </c>
      <c r="J27" s="38">
        <v>7</v>
      </c>
      <c r="K27" s="38">
        <v>6</v>
      </c>
      <c r="L27" s="38">
        <v>7</v>
      </c>
      <c r="M27" s="38">
        <v>7</v>
      </c>
      <c r="N27" s="38">
        <v>9</v>
      </c>
      <c r="O27" s="38">
        <v>8</v>
      </c>
      <c r="P27" s="38">
        <v>9</v>
      </c>
      <c r="Q27" s="38">
        <v>8</v>
      </c>
      <c r="R27" s="38">
        <v>7</v>
      </c>
      <c r="S27" s="38">
        <v>6</v>
      </c>
      <c r="T27" s="38">
        <v>5</v>
      </c>
      <c r="U27" s="38">
        <v>5</v>
      </c>
      <c r="V27" s="38">
        <v>6</v>
      </c>
      <c r="W27" s="38">
        <v>5</v>
      </c>
      <c r="X27" s="38">
        <v>4</v>
      </c>
      <c r="Y27" s="38">
        <v>5</v>
      </c>
    </row>
    <row r="28" spans="1:25" ht="16" x14ac:dyDescent="0.2">
      <c r="A28" s="37" t="s">
        <v>113</v>
      </c>
      <c r="B28" s="38">
        <v>2</v>
      </c>
      <c r="C28" s="38">
        <v>3</v>
      </c>
      <c r="D28" s="38">
        <v>2</v>
      </c>
      <c r="E28" s="38">
        <v>3</v>
      </c>
      <c r="F28" s="38">
        <v>3</v>
      </c>
      <c r="G28" s="38">
        <v>2</v>
      </c>
      <c r="H28" s="38">
        <v>2</v>
      </c>
      <c r="I28" s="38">
        <v>3</v>
      </c>
      <c r="J28" s="38">
        <v>1</v>
      </c>
      <c r="K28" s="38">
        <v>1</v>
      </c>
      <c r="L28" s="38">
        <v>1</v>
      </c>
      <c r="M28" s="38">
        <v>1</v>
      </c>
      <c r="N28" s="38">
        <v>3</v>
      </c>
      <c r="O28" s="38">
        <v>3</v>
      </c>
      <c r="P28" s="38">
        <v>3</v>
      </c>
      <c r="Q28" s="38">
        <v>3</v>
      </c>
      <c r="R28" s="38">
        <v>3</v>
      </c>
      <c r="S28" s="38">
        <v>2</v>
      </c>
      <c r="T28" s="38">
        <v>2</v>
      </c>
      <c r="U28" s="38">
        <v>2</v>
      </c>
      <c r="V28" s="38">
        <v>2</v>
      </c>
      <c r="W28" s="38">
        <v>2</v>
      </c>
      <c r="X28" s="38">
        <v>2</v>
      </c>
      <c r="Y28" s="38">
        <v>3</v>
      </c>
    </row>
    <row r="29" spans="1:25" ht="16" x14ac:dyDescent="0.2">
      <c r="A29" s="37" t="s">
        <v>122</v>
      </c>
      <c r="B29" s="38">
        <v>1</v>
      </c>
      <c r="C29" s="38">
        <v>2</v>
      </c>
      <c r="D29" s="38">
        <v>1</v>
      </c>
      <c r="E29" s="38">
        <v>1</v>
      </c>
      <c r="F29" s="38">
        <v>1</v>
      </c>
      <c r="G29" s="38">
        <v>2</v>
      </c>
      <c r="H29" s="38">
        <v>1</v>
      </c>
      <c r="I29" s="38">
        <v>2</v>
      </c>
      <c r="J29" s="38">
        <v>1</v>
      </c>
      <c r="K29" s="38">
        <v>1</v>
      </c>
      <c r="L29" s="38">
        <v>1</v>
      </c>
      <c r="M29" s="38">
        <v>2</v>
      </c>
      <c r="N29" s="38">
        <v>2</v>
      </c>
      <c r="O29" s="38">
        <v>1</v>
      </c>
      <c r="P29" s="38">
        <v>1</v>
      </c>
      <c r="Q29" s="38">
        <v>2</v>
      </c>
      <c r="R29" s="38">
        <v>1</v>
      </c>
      <c r="S29" s="38">
        <v>1</v>
      </c>
      <c r="T29" s="38">
        <v>1</v>
      </c>
      <c r="U29" s="38">
        <v>1</v>
      </c>
      <c r="V29" s="38">
        <v>1</v>
      </c>
      <c r="W29" s="38">
        <v>2</v>
      </c>
      <c r="X29" s="38">
        <v>1</v>
      </c>
      <c r="Y29" s="38">
        <v>1</v>
      </c>
    </row>
    <row r="30" spans="1:25" ht="16" x14ac:dyDescent="0.2">
      <c r="A30" s="37" t="s">
        <v>123</v>
      </c>
      <c r="B30" s="38">
        <v>1</v>
      </c>
      <c r="C30" s="38">
        <v>1</v>
      </c>
      <c r="D30" s="38">
        <v>1</v>
      </c>
      <c r="E30" s="38">
        <v>2</v>
      </c>
      <c r="F30" s="38">
        <v>1</v>
      </c>
      <c r="G30" s="38">
        <v>1</v>
      </c>
      <c r="H30" s="38">
        <v>2</v>
      </c>
      <c r="I30" s="38">
        <v>2</v>
      </c>
      <c r="J30" s="38">
        <v>1</v>
      </c>
      <c r="K30" s="38">
        <v>1</v>
      </c>
      <c r="L30" s="38">
        <v>1</v>
      </c>
      <c r="M30" s="38">
        <v>2</v>
      </c>
      <c r="N30" s="38">
        <v>2</v>
      </c>
      <c r="O30" s="38">
        <v>3</v>
      </c>
      <c r="P30" s="38">
        <v>3</v>
      </c>
      <c r="Q30" s="38">
        <v>2</v>
      </c>
      <c r="R30" s="38">
        <v>2</v>
      </c>
      <c r="S30" s="38">
        <v>2</v>
      </c>
      <c r="T30" s="38">
        <v>2</v>
      </c>
      <c r="U30" s="38">
        <v>3</v>
      </c>
      <c r="V30" s="38">
        <v>2</v>
      </c>
      <c r="W30" s="38">
        <v>1</v>
      </c>
      <c r="X30" s="38">
        <v>1</v>
      </c>
      <c r="Y30" s="38">
        <v>2</v>
      </c>
    </row>
    <row r="31" spans="1:25" ht="16" x14ac:dyDescent="0.2">
      <c r="A31" s="37" t="s">
        <v>103</v>
      </c>
      <c r="B31" s="38">
        <v>8</v>
      </c>
      <c r="C31" s="38">
        <v>8</v>
      </c>
      <c r="D31" s="38">
        <v>7</v>
      </c>
      <c r="E31" s="38">
        <v>8</v>
      </c>
      <c r="F31" s="38">
        <v>8</v>
      </c>
      <c r="G31" s="38">
        <v>8</v>
      </c>
      <c r="H31" s="38">
        <v>6</v>
      </c>
      <c r="I31" s="38">
        <v>5</v>
      </c>
      <c r="J31" s="38">
        <v>6</v>
      </c>
      <c r="K31" s="38">
        <v>5</v>
      </c>
      <c r="L31" s="38">
        <v>5</v>
      </c>
      <c r="M31" s="38">
        <v>4</v>
      </c>
      <c r="N31" s="38">
        <v>8</v>
      </c>
      <c r="O31" s="38">
        <v>8</v>
      </c>
      <c r="P31" s="38">
        <v>7</v>
      </c>
      <c r="Q31" s="38">
        <v>9</v>
      </c>
      <c r="R31" s="38">
        <v>9</v>
      </c>
      <c r="S31" s="38">
        <v>9</v>
      </c>
      <c r="T31" s="38">
        <v>9</v>
      </c>
      <c r="U31" s="38">
        <v>8</v>
      </c>
      <c r="V31" s="38">
        <v>9</v>
      </c>
      <c r="W31" s="38">
        <v>7</v>
      </c>
      <c r="X31" s="38">
        <v>8</v>
      </c>
      <c r="Y31" s="38">
        <v>8</v>
      </c>
    </row>
    <row r="32" spans="1:25" ht="16" x14ac:dyDescent="0.2">
      <c r="A32" s="37" t="s">
        <v>93</v>
      </c>
      <c r="B32" s="38">
        <v>39</v>
      </c>
      <c r="C32" s="38">
        <v>41</v>
      </c>
      <c r="D32" s="38">
        <v>40</v>
      </c>
      <c r="E32" s="38">
        <v>39</v>
      </c>
      <c r="F32" s="38">
        <v>38</v>
      </c>
      <c r="G32" s="38">
        <v>35</v>
      </c>
      <c r="H32" s="38">
        <v>34</v>
      </c>
      <c r="I32" s="38">
        <v>32</v>
      </c>
      <c r="J32" s="38">
        <v>28</v>
      </c>
      <c r="K32" s="38">
        <v>27</v>
      </c>
      <c r="L32" s="38">
        <v>25</v>
      </c>
      <c r="M32" s="38">
        <v>23</v>
      </c>
      <c r="N32" s="38">
        <v>24</v>
      </c>
      <c r="O32" s="38">
        <v>28</v>
      </c>
      <c r="P32" s="38">
        <v>30</v>
      </c>
      <c r="Q32" s="38">
        <v>33</v>
      </c>
      <c r="R32" s="38">
        <v>35</v>
      </c>
      <c r="S32" s="38">
        <v>34</v>
      </c>
      <c r="T32" s="38">
        <v>34</v>
      </c>
      <c r="U32" s="38">
        <v>36</v>
      </c>
      <c r="V32" s="38">
        <v>38</v>
      </c>
      <c r="W32" s="38">
        <v>40</v>
      </c>
      <c r="X32" s="38">
        <v>41</v>
      </c>
      <c r="Y32" s="38">
        <v>41</v>
      </c>
    </row>
    <row r="33" spans="1:25" ht="16" x14ac:dyDescent="0.2">
      <c r="A33" s="37" t="s">
        <v>124</v>
      </c>
      <c r="B33" s="38">
        <v>3</v>
      </c>
      <c r="C33" s="38">
        <v>2</v>
      </c>
      <c r="D33" s="38">
        <v>2</v>
      </c>
      <c r="E33" s="38">
        <v>2</v>
      </c>
      <c r="F33" s="38">
        <v>2</v>
      </c>
      <c r="G33" s="38">
        <v>2</v>
      </c>
      <c r="H33" s="38">
        <v>2</v>
      </c>
      <c r="I33" s="38">
        <v>1</v>
      </c>
      <c r="J33" s="38">
        <v>2</v>
      </c>
      <c r="K33" s="38">
        <v>1</v>
      </c>
      <c r="L33" s="38">
        <v>1</v>
      </c>
      <c r="M33" s="38">
        <v>1</v>
      </c>
      <c r="N33" s="38">
        <v>2</v>
      </c>
      <c r="O33" s="38">
        <v>2</v>
      </c>
      <c r="P33" s="38">
        <v>2</v>
      </c>
      <c r="Q33" s="38">
        <v>3</v>
      </c>
      <c r="R33" s="38">
        <v>2</v>
      </c>
      <c r="S33" s="38">
        <v>2</v>
      </c>
      <c r="T33" s="38">
        <v>2</v>
      </c>
      <c r="U33" s="38">
        <v>2</v>
      </c>
      <c r="V33" s="38">
        <v>2</v>
      </c>
      <c r="W33" s="38">
        <v>2</v>
      </c>
      <c r="X33" s="38">
        <v>2</v>
      </c>
      <c r="Y33" s="38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FFFF00"/>
  </sheetPr>
  <dimension ref="A1:DX127"/>
  <sheetViews>
    <sheetView tabSelected="1" topLeftCell="BU1" zoomScale="116" workbookViewId="0">
      <pane ySplit="4" topLeftCell="A53" activePane="bottomLeft" state="frozen"/>
      <selection pane="bottomLeft" activeCell="CQ1" sqref="CQ1:DC1"/>
    </sheetView>
  </sheetViews>
  <sheetFormatPr baseColWidth="10" defaultColWidth="8.83203125" defaultRowHeight="15" x14ac:dyDescent="0.2"/>
  <cols>
    <col min="1" max="1" width="6.6640625" bestFit="1" customWidth="1"/>
    <col min="2" max="2" width="8.6640625" bestFit="1" customWidth="1"/>
    <col min="3" max="3" width="10.33203125" style="161" bestFit="1" customWidth="1"/>
    <col min="4" max="5" width="12" bestFit="1" customWidth="1"/>
    <col min="6" max="6" width="11.6640625" bestFit="1" customWidth="1"/>
    <col min="7" max="7" width="12.33203125" bestFit="1" customWidth="1"/>
    <col min="8" max="9" width="11.5" customWidth="1"/>
    <col min="10" max="10" width="10.33203125" style="161" bestFit="1" customWidth="1"/>
    <col min="11" max="12" width="12" bestFit="1" customWidth="1"/>
    <col min="13" max="13" width="11.6640625" bestFit="1" customWidth="1"/>
    <col min="14" max="14" width="12.1640625" bestFit="1" customWidth="1"/>
    <col min="15" max="16" width="11.5" customWidth="1"/>
    <col min="17" max="17" width="10.33203125" style="161" bestFit="1" customWidth="1"/>
    <col min="18" max="19" width="12" bestFit="1" customWidth="1"/>
    <col min="20" max="20" width="11.6640625" bestFit="1" customWidth="1"/>
    <col min="21" max="21" width="12.1640625" bestFit="1" customWidth="1"/>
    <col min="22" max="22" width="6.33203125" hidden="1" customWidth="1"/>
    <col min="23" max="24" width="7.83203125" hidden="1" customWidth="1"/>
    <col min="25" max="27" width="10" hidden="1" customWidth="1"/>
    <col min="28" max="28" width="11.5" hidden="1" customWidth="1"/>
    <col min="29" max="29" width="6.33203125" hidden="1" customWidth="1"/>
    <col min="30" max="32" width="10" hidden="1" customWidth="1"/>
    <col min="33" max="33" width="11.5" hidden="1" customWidth="1"/>
    <col min="34" max="34" width="6.33203125" hidden="1" customWidth="1"/>
    <col min="35" max="37" width="10" hidden="1" customWidth="1"/>
    <col min="38" max="38" width="11.5" hidden="1" customWidth="1"/>
    <col min="39" max="40" width="15.5" hidden="1" customWidth="1"/>
    <col min="41" max="55" width="10" hidden="1" customWidth="1"/>
    <col min="56" max="76" width="10" customWidth="1"/>
    <col min="77" max="85" width="10" hidden="1" customWidth="1"/>
    <col min="86" max="86" width="14.5" customWidth="1"/>
    <col min="87" max="87" width="10" customWidth="1"/>
    <col min="88" max="88" width="11.1640625" bestFit="1" customWidth="1"/>
    <col min="89" max="90" width="10" customWidth="1"/>
    <col min="91" max="91" width="11.1640625" bestFit="1" customWidth="1"/>
    <col min="92" max="93" width="10" customWidth="1"/>
    <col min="94" max="94" width="11.1640625" bestFit="1" customWidth="1"/>
    <col min="95" max="95" width="5.5" bestFit="1" customWidth="1"/>
    <col min="96" max="103" width="9" hidden="1" customWidth="1"/>
    <col min="104" max="104" width="11.1640625" hidden="1" customWidth="1"/>
    <col min="105" max="106" width="10" bestFit="1" customWidth="1"/>
    <col min="107" max="107" width="14.5" customWidth="1"/>
    <col min="108" max="116" width="8.5" customWidth="1"/>
    <col min="117" max="117" width="10.33203125" bestFit="1" customWidth="1"/>
    <col min="118" max="118" width="10.5" customWidth="1"/>
    <col min="119" max="119" width="10.33203125" bestFit="1" customWidth="1"/>
    <col min="120" max="120" width="12.1640625" bestFit="1" customWidth="1"/>
    <col min="121" max="121" width="10.33203125" bestFit="1" customWidth="1"/>
    <col min="122" max="122" width="12.1640625" bestFit="1" customWidth="1"/>
    <col min="123" max="123" width="10.33203125" bestFit="1" customWidth="1"/>
    <col min="124" max="124" width="11.1640625" bestFit="1" customWidth="1"/>
    <col min="125" max="125" width="10.33203125" bestFit="1" customWidth="1"/>
    <col min="126" max="126" width="11.1640625" bestFit="1" customWidth="1"/>
    <col min="127" max="127" width="10.33203125" bestFit="1" customWidth="1"/>
    <col min="128" max="128" width="10.1640625" bestFit="1" customWidth="1"/>
  </cols>
  <sheetData>
    <row r="1" spans="1:128" ht="34" customHeight="1" thickBot="1" x14ac:dyDescent="0.25">
      <c r="A1" s="119" t="s">
        <v>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20"/>
      <c r="V1" s="127" t="s">
        <v>10</v>
      </c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77"/>
      <c r="BZ1" s="77"/>
      <c r="CA1" s="77"/>
      <c r="CB1" s="77"/>
      <c r="CC1" s="77"/>
      <c r="CD1" s="77"/>
      <c r="CE1" s="77"/>
      <c r="CF1" s="77"/>
      <c r="CG1" s="77"/>
      <c r="CH1" s="124" t="s">
        <v>218</v>
      </c>
      <c r="CI1" s="124"/>
      <c r="CJ1" s="124"/>
      <c r="CK1" s="124"/>
      <c r="CL1" s="124"/>
      <c r="CM1" s="124"/>
      <c r="CN1" s="124"/>
      <c r="CO1" s="124"/>
      <c r="CP1" s="125"/>
      <c r="CQ1" s="127" t="s">
        <v>7</v>
      </c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27" t="s">
        <v>11</v>
      </c>
      <c r="DE1" s="119"/>
      <c r="DF1" s="119"/>
      <c r="DG1" s="119"/>
      <c r="DH1" s="119"/>
      <c r="DI1" s="119"/>
      <c r="DJ1" s="119"/>
      <c r="DK1" s="119"/>
      <c r="DL1" s="119"/>
      <c r="DM1" s="126" t="s">
        <v>13</v>
      </c>
      <c r="DN1" s="124"/>
      <c r="DO1" s="124"/>
      <c r="DP1" s="124"/>
      <c r="DQ1" s="124"/>
      <c r="DR1" s="125"/>
      <c r="DS1" s="127" t="s">
        <v>12</v>
      </c>
      <c r="DT1" s="119"/>
      <c r="DU1" s="119"/>
      <c r="DV1" s="119"/>
      <c r="DW1" s="119"/>
      <c r="DX1" s="120"/>
    </row>
    <row r="2" spans="1:128" ht="6.75" hidden="1" customHeight="1" thickBot="1" x14ac:dyDescent="0.25">
      <c r="A2" s="5"/>
      <c r="B2" s="5"/>
      <c r="C2" s="160"/>
      <c r="D2" s="5"/>
      <c r="E2" s="5"/>
      <c r="F2" s="5"/>
      <c r="G2" s="5"/>
      <c r="H2" s="5"/>
      <c r="I2" s="5"/>
      <c r="J2" s="160"/>
      <c r="K2" s="5"/>
      <c r="L2" s="5"/>
      <c r="M2" s="5"/>
      <c r="N2" s="5"/>
      <c r="O2" s="5"/>
      <c r="P2" s="5"/>
      <c r="Q2" s="160"/>
      <c r="R2" s="5"/>
      <c r="S2" s="5"/>
      <c r="T2" s="5"/>
      <c r="U2" s="5"/>
      <c r="V2" s="5" t="s">
        <v>205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>
        <v>0.32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</row>
    <row r="3" spans="1:128" x14ac:dyDescent="0.2">
      <c r="A3" s="121">
        <v>202204</v>
      </c>
      <c r="B3" s="121"/>
      <c r="C3" s="121"/>
      <c r="D3" s="121"/>
      <c r="E3" s="121"/>
      <c r="F3" s="121"/>
      <c r="G3" s="89"/>
      <c r="H3" s="122">
        <v>202205</v>
      </c>
      <c r="I3" s="121"/>
      <c r="J3" s="121"/>
      <c r="K3" s="121"/>
      <c r="L3" s="121"/>
      <c r="M3" s="121"/>
      <c r="N3" s="123"/>
      <c r="O3" s="122">
        <v>202206</v>
      </c>
      <c r="P3" s="121"/>
      <c r="Q3" s="121"/>
      <c r="R3" s="121"/>
      <c r="S3" s="121"/>
      <c r="T3" s="121"/>
      <c r="U3" s="123"/>
      <c r="V3" s="24"/>
      <c r="W3" s="24"/>
      <c r="X3" s="102">
        <v>202101</v>
      </c>
      <c r="Y3" s="102"/>
      <c r="Z3" s="102"/>
      <c r="AA3" s="102"/>
      <c r="AB3" s="102"/>
      <c r="AC3" s="102">
        <v>202102</v>
      </c>
      <c r="AD3" s="102"/>
      <c r="AE3" s="102"/>
      <c r="AF3" s="102"/>
      <c r="AG3" s="102"/>
      <c r="AH3" s="102">
        <v>202103</v>
      </c>
      <c r="AI3" s="102"/>
      <c r="AJ3" s="102"/>
      <c r="AK3" s="102"/>
      <c r="AL3" s="102"/>
      <c r="AM3" s="78"/>
      <c r="AN3" s="78"/>
      <c r="AO3" s="102">
        <v>202104</v>
      </c>
      <c r="AP3" s="102"/>
      <c r="AQ3" s="102"/>
      <c r="AR3" s="102"/>
      <c r="AS3" s="102"/>
      <c r="AT3" s="102">
        <v>202105</v>
      </c>
      <c r="AU3" s="102"/>
      <c r="AV3" s="102"/>
      <c r="AW3" s="102"/>
      <c r="AX3" s="102"/>
      <c r="AY3" s="102">
        <v>202106</v>
      </c>
      <c r="AZ3" s="102"/>
      <c r="BA3" s="102"/>
      <c r="BB3" s="102"/>
      <c r="BC3" s="102"/>
      <c r="BD3" s="128">
        <v>202204</v>
      </c>
      <c r="BE3" s="129"/>
      <c r="BF3" s="129"/>
      <c r="BG3" s="129"/>
      <c r="BH3" s="129"/>
      <c r="BI3" s="129"/>
      <c r="BJ3" s="130"/>
      <c r="BK3" s="131">
        <v>202205</v>
      </c>
      <c r="BL3" s="132"/>
      <c r="BM3" s="132"/>
      <c r="BN3" s="132"/>
      <c r="BO3" s="132"/>
      <c r="BP3" s="132"/>
      <c r="BQ3" s="133"/>
      <c r="BR3" s="134">
        <v>202206</v>
      </c>
      <c r="BS3" s="135"/>
      <c r="BT3" s="135"/>
      <c r="BU3" s="135"/>
      <c r="BV3" s="135"/>
      <c r="BW3" s="135"/>
      <c r="BX3" s="136"/>
      <c r="BY3" s="78"/>
      <c r="BZ3" s="78"/>
      <c r="CA3" s="78"/>
      <c r="CB3" s="78"/>
      <c r="CC3" s="78"/>
      <c r="CD3" s="78"/>
      <c r="CE3" s="78"/>
      <c r="CF3" s="78"/>
      <c r="CG3" s="91"/>
      <c r="CH3" s="137">
        <v>202204</v>
      </c>
      <c r="CI3" s="137"/>
      <c r="CJ3" s="137"/>
      <c r="CK3" s="137">
        <v>202205</v>
      </c>
      <c r="CL3" s="137"/>
      <c r="CM3" s="137"/>
      <c r="CN3" s="137">
        <v>202206</v>
      </c>
      <c r="CO3" s="137"/>
      <c r="CP3" s="137"/>
      <c r="CQ3" s="21" t="s">
        <v>220</v>
      </c>
      <c r="CR3" s="21">
        <v>202101</v>
      </c>
      <c r="CS3" s="21">
        <v>202102</v>
      </c>
      <c r="CT3" s="21">
        <v>202103</v>
      </c>
      <c r="CU3" s="21">
        <v>202104</v>
      </c>
      <c r="CV3" s="21">
        <v>202105</v>
      </c>
      <c r="CW3" s="21">
        <v>202106</v>
      </c>
      <c r="CX3" s="21">
        <v>202107</v>
      </c>
      <c r="CY3" s="21">
        <v>202108</v>
      </c>
      <c r="CZ3" s="21">
        <v>202109</v>
      </c>
      <c r="DA3" s="21">
        <v>202204</v>
      </c>
      <c r="DB3" s="21">
        <v>202205</v>
      </c>
      <c r="DC3" s="21">
        <v>202206</v>
      </c>
      <c r="DD3" s="118">
        <v>202204</v>
      </c>
      <c r="DE3" s="118"/>
      <c r="DF3" s="117"/>
      <c r="DG3" s="118">
        <v>202205</v>
      </c>
      <c r="DH3" s="118"/>
      <c r="DI3" s="117"/>
      <c r="DJ3" s="118">
        <v>202206</v>
      </c>
      <c r="DK3" s="118"/>
      <c r="DL3" s="117"/>
      <c r="DM3" s="116">
        <v>202204</v>
      </c>
      <c r="DN3" s="117"/>
      <c r="DO3" s="116">
        <v>202205</v>
      </c>
      <c r="DP3" s="117"/>
      <c r="DQ3" s="116">
        <v>202206</v>
      </c>
      <c r="DR3" s="117"/>
      <c r="DS3" s="116">
        <v>202204</v>
      </c>
      <c r="DT3" s="117"/>
      <c r="DU3" s="116">
        <v>202205</v>
      </c>
      <c r="DV3" s="117"/>
      <c r="DW3" s="116">
        <v>202206</v>
      </c>
      <c r="DX3" s="117"/>
    </row>
    <row r="4" spans="1:128" x14ac:dyDescent="0.2">
      <c r="A4" s="63" t="s">
        <v>133</v>
      </c>
      <c r="B4" s="63" t="s">
        <v>200</v>
      </c>
      <c r="C4" s="90" t="s">
        <v>214</v>
      </c>
      <c r="D4" s="63" t="s">
        <v>231</v>
      </c>
      <c r="E4" s="63" t="s">
        <v>232</v>
      </c>
      <c r="F4" s="63" t="s">
        <v>233</v>
      </c>
      <c r="G4" s="63" t="s">
        <v>234</v>
      </c>
      <c r="H4" s="63" t="s">
        <v>133</v>
      </c>
      <c r="I4" s="63" t="s">
        <v>200</v>
      </c>
      <c r="J4" s="90" t="s">
        <v>214</v>
      </c>
      <c r="K4" s="63" t="s">
        <v>231</v>
      </c>
      <c r="L4" s="63" t="s">
        <v>232</v>
      </c>
      <c r="M4" s="63" t="s">
        <v>233</v>
      </c>
      <c r="N4" s="63" t="s">
        <v>234</v>
      </c>
      <c r="O4" s="63" t="s">
        <v>200</v>
      </c>
      <c r="P4" s="63" t="s">
        <v>214</v>
      </c>
      <c r="Q4" s="90" t="s">
        <v>214</v>
      </c>
      <c r="R4" s="63" t="s">
        <v>231</v>
      </c>
      <c r="S4" s="63" t="s">
        <v>232</v>
      </c>
      <c r="T4" s="63" t="s">
        <v>233</v>
      </c>
      <c r="U4" s="63" t="s">
        <v>234</v>
      </c>
      <c r="V4" s="24" t="s">
        <v>133</v>
      </c>
      <c r="W4" s="24" t="s">
        <v>200</v>
      </c>
      <c r="X4" s="24" t="s">
        <v>219</v>
      </c>
      <c r="Y4" s="24" t="s">
        <v>196</v>
      </c>
      <c r="Z4" s="24" t="s">
        <v>197</v>
      </c>
      <c r="AA4" s="24" t="s">
        <v>198</v>
      </c>
      <c r="AB4" s="24" t="s">
        <v>199</v>
      </c>
      <c r="AC4" s="24" t="s">
        <v>219</v>
      </c>
      <c r="AD4" s="24" t="s">
        <v>196</v>
      </c>
      <c r="AE4" s="24" t="s">
        <v>197</v>
      </c>
      <c r="AF4" s="24" t="s">
        <v>198</v>
      </c>
      <c r="AG4" s="24" t="s">
        <v>199</v>
      </c>
      <c r="AH4" s="24" t="s">
        <v>219</v>
      </c>
      <c r="AI4" s="24" t="s">
        <v>196</v>
      </c>
      <c r="AJ4" s="24" t="s">
        <v>197</v>
      </c>
      <c r="AK4" s="24" t="s">
        <v>198</v>
      </c>
      <c r="AL4" s="24" t="s">
        <v>199</v>
      </c>
      <c r="AM4" s="76" t="s">
        <v>184</v>
      </c>
      <c r="AN4" s="76" t="s">
        <v>0</v>
      </c>
      <c r="AO4" s="24" t="s">
        <v>219</v>
      </c>
      <c r="AP4" s="24" t="s">
        <v>196</v>
      </c>
      <c r="AQ4" s="24" t="s">
        <v>197</v>
      </c>
      <c r="AR4" s="24" t="s">
        <v>198</v>
      </c>
      <c r="AS4" s="24" t="s">
        <v>199</v>
      </c>
      <c r="AT4" s="24" t="s">
        <v>219</v>
      </c>
      <c r="AU4" s="24" t="s">
        <v>196</v>
      </c>
      <c r="AV4" s="24" t="s">
        <v>197</v>
      </c>
      <c r="AW4" s="24" t="s">
        <v>198</v>
      </c>
      <c r="AX4" s="24" t="s">
        <v>199</v>
      </c>
      <c r="AY4" s="24" t="s">
        <v>219</v>
      </c>
      <c r="AZ4" s="24" t="s">
        <v>196</v>
      </c>
      <c r="BA4" s="24" t="s">
        <v>197</v>
      </c>
      <c r="BB4" s="24" t="s">
        <v>198</v>
      </c>
      <c r="BC4" s="24" t="s">
        <v>199</v>
      </c>
      <c r="BD4" s="63" t="s">
        <v>133</v>
      </c>
      <c r="BE4" s="63" t="s">
        <v>200</v>
      </c>
      <c r="BF4" s="86" t="s">
        <v>214</v>
      </c>
      <c r="BG4" s="86" t="s">
        <v>231</v>
      </c>
      <c r="BH4" s="86" t="s">
        <v>232</v>
      </c>
      <c r="BI4" s="86" t="s">
        <v>233</v>
      </c>
      <c r="BJ4" s="86" t="s">
        <v>234</v>
      </c>
      <c r="BK4" s="63" t="s">
        <v>133</v>
      </c>
      <c r="BL4" s="63" t="s">
        <v>200</v>
      </c>
      <c r="BM4" s="86" t="s">
        <v>214</v>
      </c>
      <c r="BN4" s="86" t="s">
        <v>231</v>
      </c>
      <c r="BO4" s="86" t="s">
        <v>232</v>
      </c>
      <c r="BP4" s="86" t="s">
        <v>233</v>
      </c>
      <c r="BQ4" s="86" t="s">
        <v>234</v>
      </c>
      <c r="BR4" s="63" t="s">
        <v>133</v>
      </c>
      <c r="BS4" s="63" t="s">
        <v>200</v>
      </c>
      <c r="BT4" s="86" t="s">
        <v>214</v>
      </c>
      <c r="BU4" s="86" t="s">
        <v>231</v>
      </c>
      <c r="BV4" s="86" t="s">
        <v>232</v>
      </c>
      <c r="BW4" s="86" t="s">
        <v>233</v>
      </c>
      <c r="BX4" s="86" t="s">
        <v>234</v>
      </c>
      <c r="BY4" s="24"/>
      <c r="BZ4" s="24"/>
      <c r="CA4" s="24"/>
      <c r="CB4" s="24"/>
      <c r="CC4" s="24"/>
      <c r="CD4" s="24"/>
      <c r="CE4" s="24"/>
      <c r="CF4" s="24"/>
      <c r="CG4" s="92"/>
      <c r="CH4" s="5" t="s">
        <v>133</v>
      </c>
      <c r="CI4" s="5" t="s">
        <v>200</v>
      </c>
      <c r="CJ4" s="5" t="s">
        <v>240</v>
      </c>
      <c r="CK4" s="5" t="s">
        <v>133</v>
      </c>
      <c r="CL4" s="5" t="s">
        <v>200</v>
      </c>
      <c r="CM4" s="5" t="s">
        <v>240</v>
      </c>
      <c r="CN4" s="5" t="s">
        <v>133</v>
      </c>
      <c r="CO4" s="5" t="s">
        <v>200</v>
      </c>
      <c r="CP4" s="5" t="s">
        <v>240</v>
      </c>
      <c r="CQ4" t="s">
        <v>75</v>
      </c>
      <c r="CR4" s="95">
        <v>78547.88</v>
      </c>
      <c r="CS4" s="95">
        <v>83507.78</v>
      </c>
      <c r="CT4" s="95">
        <v>74673.149999999994</v>
      </c>
      <c r="CU4" s="95">
        <v>63441.04</v>
      </c>
      <c r="CV4" s="95">
        <v>64476.9</v>
      </c>
      <c r="CW4" s="95">
        <v>57542.34</v>
      </c>
      <c r="CX4" s="95">
        <v>83815.89</v>
      </c>
      <c r="CY4" s="95">
        <v>81559.710000000006</v>
      </c>
      <c r="CZ4" s="95">
        <v>121882.53</v>
      </c>
      <c r="DA4" s="95">
        <v>161527.14000000001</v>
      </c>
      <c r="DB4" s="95">
        <v>197790.97</v>
      </c>
      <c r="DC4" s="95">
        <v>165796.26</v>
      </c>
      <c r="DD4" s="93" t="s">
        <v>200</v>
      </c>
      <c r="DE4" s="81" t="s">
        <v>133</v>
      </c>
      <c r="DF4" s="81">
        <v>202204</v>
      </c>
      <c r="DG4" s="81" t="s">
        <v>200</v>
      </c>
      <c r="DH4" s="81" t="s">
        <v>133</v>
      </c>
      <c r="DI4" s="84">
        <v>202205</v>
      </c>
      <c r="DJ4" s="81" t="s">
        <v>0</v>
      </c>
      <c r="DK4" s="81" t="s">
        <v>237</v>
      </c>
      <c r="DL4" s="81">
        <v>202206</v>
      </c>
      <c r="DM4" s="81" t="s">
        <v>236</v>
      </c>
      <c r="DN4" s="81">
        <v>202204</v>
      </c>
      <c r="DO4" s="81" t="s">
        <v>236</v>
      </c>
      <c r="DP4" s="81">
        <v>202205</v>
      </c>
      <c r="DQ4" s="81" t="s">
        <v>236</v>
      </c>
      <c r="DR4" s="81">
        <v>202206</v>
      </c>
      <c r="DS4" s="81" t="s">
        <v>236</v>
      </c>
      <c r="DT4" s="81">
        <v>202204</v>
      </c>
      <c r="DU4" s="81" t="s">
        <v>236</v>
      </c>
      <c r="DV4" s="81">
        <v>202205</v>
      </c>
      <c r="DW4" s="81" t="s">
        <v>236</v>
      </c>
      <c r="DX4" s="81">
        <v>202206</v>
      </c>
    </row>
    <row r="5" spans="1:128" ht="30" customHeight="1" x14ac:dyDescent="0.2">
      <c r="A5" s="63" t="s">
        <v>34</v>
      </c>
      <c r="B5" s="63" t="s">
        <v>243</v>
      </c>
      <c r="C5" s="90">
        <v>144</v>
      </c>
      <c r="D5" s="63">
        <v>61058.34</v>
      </c>
      <c r="E5" s="63">
        <v>26917.46</v>
      </c>
      <c r="F5" s="63">
        <v>149187.34</v>
      </c>
      <c r="G5" s="63">
        <v>237163.14</v>
      </c>
      <c r="H5" s="97" t="s">
        <v>34</v>
      </c>
      <c r="I5" s="97" t="s">
        <v>243</v>
      </c>
      <c r="J5" s="163">
        <v>150</v>
      </c>
      <c r="K5" s="100">
        <v>36240.65</v>
      </c>
      <c r="L5" s="100">
        <v>25142.84</v>
      </c>
      <c r="M5" s="99">
        <v>157378.32999999999</v>
      </c>
      <c r="N5" s="99">
        <v>218761.82</v>
      </c>
      <c r="O5" s="63" t="s">
        <v>34</v>
      </c>
      <c r="P5" s="63" t="s">
        <v>243</v>
      </c>
      <c r="Q5" s="90">
        <v>137</v>
      </c>
      <c r="R5" s="63">
        <v>55526.69</v>
      </c>
      <c r="S5" s="63">
        <v>25500.16</v>
      </c>
      <c r="T5" s="63">
        <v>168042.41</v>
      </c>
      <c r="U5" s="63">
        <v>249069.26</v>
      </c>
      <c r="V5" s="64" t="s">
        <v>34</v>
      </c>
      <c r="W5" t="s">
        <v>35</v>
      </c>
      <c r="X5">
        <v>1</v>
      </c>
      <c r="Y5" s="63">
        <v>82.45</v>
      </c>
      <c r="Z5" s="63">
        <v>53.83</v>
      </c>
      <c r="AA5" s="63">
        <v>302.58000000000004</v>
      </c>
      <c r="AB5" s="63">
        <v>438.86</v>
      </c>
      <c r="AC5">
        <v>1</v>
      </c>
      <c r="AD5" s="63">
        <v>84.64</v>
      </c>
      <c r="AE5" s="63">
        <v>82.45</v>
      </c>
      <c r="AF5" s="63">
        <v>356.41000000000008</v>
      </c>
      <c r="AG5" s="63">
        <v>523.5</v>
      </c>
      <c r="AH5">
        <v>1</v>
      </c>
      <c r="AI5" s="63">
        <v>85.48</v>
      </c>
      <c r="AJ5" s="63">
        <v>84.64</v>
      </c>
      <c r="AK5" s="63">
        <v>438.85999999999996</v>
      </c>
      <c r="AL5" s="63">
        <v>608.98</v>
      </c>
      <c r="AM5" s="63" t="s">
        <v>34</v>
      </c>
      <c r="AN5" s="63" t="s">
        <v>35</v>
      </c>
      <c r="AO5" s="63">
        <v>2</v>
      </c>
      <c r="AP5" s="63">
        <v>281.67</v>
      </c>
      <c r="AQ5" s="63">
        <v>312.97000000000003</v>
      </c>
      <c r="AR5" s="63">
        <v>971.94</v>
      </c>
      <c r="AS5" s="63">
        <v>1566.58</v>
      </c>
      <c r="AT5" s="63">
        <v>1</v>
      </c>
      <c r="AU5" s="63">
        <v>59.27</v>
      </c>
      <c r="AV5" s="63">
        <v>84.24</v>
      </c>
      <c r="AW5" s="63">
        <v>608.98</v>
      </c>
      <c r="AX5" s="63">
        <v>752.49</v>
      </c>
      <c r="AY5" s="63">
        <v>1</v>
      </c>
      <c r="AZ5" s="63">
        <v>39.33</v>
      </c>
      <c r="BA5" s="63">
        <v>59.27</v>
      </c>
      <c r="BB5" s="63">
        <v>693.22</v>
      </c>
      <c r="BC5" s="63">
        <v>791.82</v>
      </c>
      <c r="BD5" s="97" t="s">
        <v>34</v>
      </c>
      <c r="BE5" s="97" t="s">
        <v>243</v>
      </c>
      <c r="BF5" s="99">
        <v>2</v>
      </c>
      <c r="BG5" s="100">
        <v>175.1</v>
      </c>
      <c r="BH5" s="100">
        <v>218.66</v>
      </c>
      <c r="BI5" s="99">
        <v>483.39</v>
      </c>
      <c r="BJ5" s="99">
        <v>877.15</v>
      </c>
      <c r="BK5" s="97" t="s">
        <v>34</v>
      </c>
      <c r="BL5" s="97" t="s">
        <v>243</v>
      </c>
      <c r="BM5" s="99">
        <v>4</v>
      </c>
      <c r="BN5" s="100">
        <v>208.5</v>
      </c>
      <c r="BO5" s="100">
        <v>175.1</v>
      </c>
      <c r="BP5" s="99">
        <v>702.05</v>
      </c>
      <c r="BQ5" s="99">
        <v>1085.6500000000001</v>
      </c>
      <c r="BR5" s="97" t="s">
        <v>34</v>
      </c>
      <c r="BS5" s="97" t="s">
        <v>243</v>
      </c>
      <c r="BT5" s="99">
        <v>3</v>
      </c>
      <c r="BU5" s="100">
        <v>57.09</v>
      </c>
      <c r="BV5" s="100">
        <v>58.25</v>
      </c>
      <c r="BW5" s="99">
        <v>68.069999999999993</v>
      </c>
      <c r="BX5" s="99">
        <v>183.41</v>
      </c>
      <c r="BY5" s="63"/>
      <c r="BZ5" s="63"/>
      <c r="CA5" s="63"/>
      <c r="CB5" s="63"/>
      <c r="CC5" s="63"/>
      <c r="CD5" s="63"/>
      <c r="CE5" s="63"/>
      <c r="CF5" s="63"/>
      <c r="CG5" s="63"/>
      <c r="CH5" s="87" t="str">
        <f>A5</f>
        <v>COM</v>
      </c>
      <c r="CI5" s="87" t="str">
        <f>B5</f>
        <v xml:space="preserve"> 98901  </v>
      </c>
      <c r="CJ5" s="63">
        <f>D5*1.6%+E5*6.3%+F5*28.9%</f>
        <v>45787.874679999994</v>
      </c>
      <c r="CK5" s="63" t="str">
        <f>H5</f>
        <v>COM</v>
      </c>
      <c r="CL5" s="63" t="str">
        <f>I5</f>
        <v xml:space="preserve"> 98901  </v>
      </c>
      <c r="CM5" s="63">
        <f>K5*1.6%+L5*6.3%+M5*28.9%</f>
        <v>47646.186689999995</v>
      </c>
      <c r="CN5" s="63" t="str">
        <f>O5</f>
        <v>COM</v>
      </c>
      <c r="CO5" s="63" t="str">
        <f>P5</f>
        <v xml:space="preserve"> 98901  </v>
      </c>
      <c r="CP5" s="63">
        <f>R5*1.6%+S5*6.3%+T5*28.9%</f>
        <v>51059.193610000002</v>
      </c>
      <c r="CQ5" t="s">
        <v>34</v>
      </c>
      <c r="CR5" s="95">
        <v>35411.49</v>
      </c>
      <c r="CS5" s="95">
        <v>19861.990000000002</v>
      </c>
      <c r="CT5" s="95">
        <v>1614.2</v>
      </c>
      <c r="CU5" s="95">
        <v>209.93</v>
      </c>
      <c r="CV5" s="95">
        <v>2347.21</v>
      </c>
      <c r="CW5" s="95">
        <v>3702.39</v>
      </c>
      <c r="CX5" s="95">
        <v>16587.84</v>
      </c>
      <c r="CY5" s="95">
        <v>21717.759999999998</v>
      </c>
      <c r="CZ5" s="95">
        <v>41593.57</v>
      </c>
      <c r="DA5" s="95">
        <v>26622.79</v>
      </c>
      <c r="DB5" s="95">
        <v>22917.54</v>
      </c>
      <c r="DC5" s="95">
        <v>16743.23</v>
      </c>
      <c r="DD5" s="94" t="s">
        <v>35</v>
      </c>
      <c r="DE5" s="82" t="s">
        <v>34</v>
      </c>
      <c r="DF5" s="83">
        <v>7</v>
      </c>
      <c r="DG5" s="51" t="s">
        <v>35</v>
      </c>
      <c r="DH5" s="51" t="s">
        <v>34</v>
      </c>
      <c r="DI5" s="52">
        <v>3</v>
      </c>
      <c r="DJ5" s="51" t="s">
        <v>35</v>
      </c>
      <c r="DK5" s="51" t="s">
        <v>34</v>
      </c>
      <c r="DL5" s="52">
        <v>1</v>
      </c>
      <c r="DM5" s="82" t="s">
        <v>104</v>
      </c>
      <c r="DN5" s="83">
        <v>3846.37</v>
      </c>
      <c r="DO5" s="82" t="s">
        <v>104</v>
      </c>
      <c r="DP5" s="83">
        <v>520.66</v>
      </c>
      <c r="DQ5" s="82" t="s">
        <v>104</v>
      </c>
      <c r="DR5" s="83">
        <v>1526.8</v>
      </c>
      <c r="DS5" s="28" t="s">
        <v>87</v>
      </c>
      <c r="DT5">
        <v>1498.41</v>
      </c>
      <c r="DU5" s="28" t="s">
        <v>104</v>
      </c>
      <c r="DV5">
        <v>483.7</v>
      </c>
      <c r="DW5" s="28" t="s">
        <v>87</v>
      </c>
      <c r="DX5">
        <v>813.78</v>
      </c>
    </row>
    <row r="6" spans="1:128" ht="16" x14ac:dyDescent="0.2">
      <c r="A6" s="63" t="s">
        <v>34</v>
      </c>
      <c r="B6" s="63" t="s">
        <v>244</v>
      </c>
      <c r="C6" s="90">
        <v>211</v>
      </c>
      <c r="D6" s="63">
        <v>77087.199999999997</v>
      </c>
      <c r="E6" s="63">
        <v>28345.49</v>
      </c>
      <c r="F6" s="63">
        <v>125741.79</v>
      </c>
      <c r="G6" s="63">
        <v>231174.48</v>
      </c>
      <c r="H6" s="97" t="s">
        <v>34</v>
      </c>
      <c r="I6" s="97" t="s">
        <v>244</v>
      </c>
      <c r="J6" s="163">
        <v>217</v>
      </c>
      <c r="K6" s="100">
        <v>92293.42</v>
      </c>
      <c r="L6" s="100">
        <v>21740.240000000002</v>
      </c>
      <c r="M6" s="99">
        <v>138675.70000000001</v>
      </c>
      <c r="N6" s="99">
        <v>252709.36</v>
      </c>
      <c r="O6" s="63" t="s">
        <v>34</v>
      </c>
      <c r="P6" s="63" t="s">
        <v>244</v>
      </c>
      <c r="Q6" s="90">
        <v>182</v>
      </c>
      <c r="R6" s="63">
        <v>35377.08</v>
      </c>
      <c r="S6" s="63">
        <v>18130.43</v>
      </c>
      <c r="T6" s="63">
        <v>147129.49</v>
      </c>
      <c r="U6" s="63">
        <v>200637</v>
      </c>
      <c r="V6" s="64" t="s">
        <v>34</v>
      </c>
      <c r="W6" t="s">
        <v>36</v>
      </c>
      <c r="X6">
        <v>1</v>
      </c>
      <c r="Y6" s="63">
        <v>201.67</v>
      </c>
      <c r="Z6" s="63">
        <v>184.35</v>
      </c>
      <c r="AA6" s="63">
        <v>790.64</v>
      </c>
      <c r="AB6" s="63">
        <v>1176.6600000000001</v>
      </c>
      <c r="AC6">
        <v>1</v>
      </c>
      <c r="AD6" s="63">
        <v>199.22</v>
      </c>
      <c r="AE6" s="63">
        <v>201.67</v>
      </c>
      <c r="AF6" s="63">
        <v>974.99</v>
      </c>
      <c r="AG6" s="63">
        <v>1375.88</v>
      </c>
      <c r="AH6">
        <v>1</v>
      </c>
      <c r="AI6" s="63">
        <v>141.61000000000001</v>
      </c>
      <c r="AJ6" s="63">
        <v>199.22</v>
      </c>
      <c r="AK6" s="63">
        <v>1176.6600000000001</v>
      </c>
      <c r="AL6" s="63">
        <v>1517.49</v>
      </c>
      <c r="AM6" s="63" t="s">
        <v>34</v>
      </c>
      <c r="AN6" s="63" t="s">
        <v>36</v>
      </c>
      <c r="AO6" s="63">
        <v>3</v>
      </c>
      <c r="AP6" s="63">
        <v>220.20999999999998</v>
      </c>
      <c r="AQ6" s="63">
        <v>220.32</v>
      </c>
      <c r="AR6" s="63">
        <v>1375.88</v>
      </c>
      <c r="AS6" s="63">
        <v>1816.4099999999999</v>
      </c>
      <c r="AT6" s="63">
        <v>2</v>
      </c>
      <c r="AU6" s="63">
        <v>95.4</v>
      </c>
      <c r="AV6" s="63">
        <v>149.07</v>
      </c>
      <c r="AW6" s="63">
        <v>1017.49</v>
      </c>
      <c r="AX6" s="63">
        <v>1261.96</v>
      </c>
      <c r="AY6" s="63">
        <v>3</v>
      </c>
      <c r="AZ6" s="63">
        <v>96.28</v>
      </c>
      <c r="BA6" s="63">
        <v>87.4</v>
      </c>
      <c r="BB6" s="63">
        <v>1166.56</v>
      </c>
      <c r="BC6" s="63">
        <v>1350.24</v>
      </c>
      <c r="BD6" s="97" t="s">
        <v>34</v>
      </c>
      <c r="BE6" s="97" t="s">
        <v>244</v>
      </c>
      <c r="BF6" s="99">
        <v>3</v>
      </c>
      <c r="BG6" s="100">
        <v>253.64</v>
      </c>
      <c r="BH6" s="100">
        <v>125.48</v>
      </c>
      <c r="BI6" s="99">
        <v>307.49</v>
      </c>
      <c r="BJ6" s="99">
        <v>686.61</v>
      </c>
      <c r="BK6" s="97" t="s">
        <v>34</v>
      </c>
      <c r="BL6" s="97" t="s">
        <v>244</v>
      </c>
      <c r="BM6" s="99">
        <v>2</v>
      </c>
      <c r="BN6" s="100">
        <v>114.2</v>
      </c>
      <c r="BO6" s="100">
        <v>108.06</v>
      </c>
      <c r="BP6" s="99">
        <v>432.97</v>
      </c>
      <c r="BQ6" s="99">
        <v>655.23</v>
      </c>
      <c r="BR6" s="97" t="s">
        <v>34</v>
      </c>
      <c r="BS6" s="97" t="s">
        <v>244</v>
      </c>
      <c r="BT6" s="99">
        <v>2</v>
      </c>
      <c r="BU6" s="100">
        <v>88.44</v>
      </c>
      <c r="BV6" s="100">
        <v>106.2</v>
      </c>
      <c r="BW6" s="99">
        <v>541.03</v>
      </c>
      <c r="BX6" s="99">
        <v>735.67</v>
      </c>
      <c r="BY6" s="63"/>
      <c r="BZ6" s="63"/>
      <c r="CA6" s="63"/>
      <c r="CB6" s="63"/>
      <c r="CC6" s="63"/>
      <c r="CD6" s="63"/>
      <c r="CE6" s="63"/>
      <c r="CF6" s="63"/>
      <c r="CG6" s="63"/>
      <c r="CH6" s="87" t="str">
        <f t="shared" ref="CH6:CH69" si="0">A6</f>
        <v>COM</v>
      </c>
      <c r="CI6" s="87" t="str">
        <f t="shared" ref="CI6:CI69" si="1">B6</f>
        <v xml:space="preserve"> 98902  </v>
      </c>
      <c r="CJ6" s="63">
        <f t="shared" ref="CJ6:CJ69" si="2">D6*1.6%+E6*6.3%+F6*28.9%</f>
        <v>39358.538379999998</v>
      </c>
      <c r="CK6" s="63" t="str">
        <f t="shared" ref="CK6:CK69" si="3">H6</f>
        <v>COM</v>
      </c>
      <c r="CL6" s="63" t="str">
        <f t="shared" ref="CL6:CL69" si="4">I6</f>
        <v xml:space="preserve"> 98902  </v>
      </c>
      <c r="CM6" s="63">
        <f t="shared" ref="CM6:CM69" si="5">K6*1.6%+L6*6.3%+M6*28.9%</f>
        <v>42923.60714</v>
      </c>
      <c r="CN6" s="63" t="str">
        <f t="shared" ref="CN6:CN69" si="6">O6</f>
        <v>COM</v>
      </c>
      <c r="CO6" s="63" t="str">
        <f t="shared" ref="CO6:CO69" si="7">P6</f>
        <v xml:space="preserve"> 98902  </v>
      </c>
      <c r="CP6" s="63">
        <f t="shared" ref="CP6:CP69" si="8">R6*1.6%+S6*6.3%+T6*28.9%</f>
        <v>44228.672979999996</v>
      </c>
      <c r="DD6" s="94" t="s">
        <v>36</v>
      </c>
      <c r="DE6" s="82" t="s">
        <v>34</v>
      </c>
      <c r="DF6" s="83">
        <v>2</v>
      </c>
      <c r="DG6" s="51" t="s">
        <v>36</v>
      </c>
      <c r="DH6" s="51" t="s">
        <v>34</v>
      </c>
      <c r="DI6" s="52">
        <v>5</v>
      </c>
      <c r="DJ6" s="51" t="s">
        <v>36</v>
      </c>
      <c r="DK6" s="51" t="s">
        <v>34</v>
      </c>
      <c r="DL6" s="52">
        <v>7</v>
      </c>
      <c r="DM6" s="82" t="s">
        <v>87</v>
      </c>
      <c r="DN6" s="83">
        <v>137166.95000000004</v>
      </c>
      <c r="DO6" s="82" t="s">
        <v>87</v>
      </c>
      <c r="DP6" s="83">
        <v>22809.379999999997</v>
      </c>
      <c r="DQ6" s="82" t="s">
        <v>87</v>
      </c>
      <c r="DR6" s="83">
        <v>26742.51999999999</v>
      </c>
      <c r="DS6" s="28" t="s">
        <v>88</v>
      </c>
      <c r="DT6">
        <v>2372.83</v>
      </c>
      <c r="DU6" s="28" t="s">
        <v>87</v>
      </c>
      <c r="DV6">
        <v>298.23</v>
      </c>
      <c r="DW6" s="28" t="s">
        <v>88</v>
      </c>
      <c r="DX6">
        <v>251.74</v>
      </c>
    </row>
    <row r="7" spans="1:128" ht="15" customHeight="1" x14ac:dyDescent="0.2">
      <c r="A7" s="63" t="s">
        <v>34</v>
      </c>
      <c r="B7" s="63" t="s">
        <v>245</v>
      </c>
      <c r="C7" s="90">
        <v>130</v>
      </c>
      <c r="D7" s="63">
        <v>34608.06</v>
      </c>
      <c r="E7" s="63">
        <v>11749.03</v>
      </c>
      <c r="F7" s="63">
        <v>70588.160000000003</v>
      </c>
      <c r="G7" s="63">
        <v>116945.25</v>
      </c>
      <c r="H7" s="97" t="s">
        <v>34</v>
      </c>
      <c r="I7" s="97" t="s">
        <v>245</v>
      </c>
      <c r="J7" s="163">
        <v>111</v>
      </c>
      <c r="K7" s="100">
        <v>16723.79</v>
      </c>
      <c r="L7" s="100">
        <v>17935.02</v>
      </c>
      <c r="M7" s="99">
        <v>79059.27</v>
      </c>
      <c r="N7" s="99">
        <v>113718.08</v>
      </c>
      <c r="O7" s="63" t="s">
        <v>34</v>
      </c>
      <c r="P7" s="63" t="s">
        <v>245</v>
      </c>
      <c r="Q7" s="90">
        <v>99</v>
      </c>
      <c r="R7" s="63">
        <v>20368.419999999998</v>
      </c>
      <c r="S7" s="63">
        <v>10085.67</v>
      </c>
      <c r="T7" s="63">
        <v>76672.52</v>
      </c>
      <c r="U7" s="63">
        <v>107126.61</v>
      </c>
      <c r="V7" s="64" t="s">
        <v>34</v>
      </c>
      <c r="W7" t="s">
        <v>40</v>
      </c>
      <c r="X7">
        <v>2</v>
      </c>
      <c r="Y7" s="63">
        <v>158.37</v>
      </c>
      <c r="Z7" s="63">
        <v>111.77</v>
      </c>
      <c r="AA7" s="63">
        <v>460.42</v>
      </c>
      <c r="AB7" s="63">
        <v>730.56000000000006</v>
      </c>
      <c r="AC7">
        <v>2</v>
      </c>
      <c r="AD7" s="63">
        <v>150.01</v>
      </c>
      <c r="AE7" s="63">
        <v>158.37</v>
      </c>
      <c r="AF7" s="63">
        <v>572.18999999999994</v>
      </c>
      <c r="AG7" s="63">
        <v>880.56999999999994</v>
      </c>
      <c r="AH7">
        <v>2</v>
      </c>
      <c r="AI7" s="63">
        <v>110.55000000000001</v>
      </c>
      <c r="AJ7" s="63">
        <v>150.01</v>
      </c>
      <c r="AK7" s="63">
        <v>730.56000000000006</v>
      </c>
      <c r="AL7" s="63">
        <v>991.12</v>
      </c>
      <c r="AM7" s="63" t="s">
        <v>34</v>
      </c>
      <c r="AN7" s="63" t="s">
        <v>37</v>
      </c>
      <c r="AO7" s="63">
        <v>1</v>
      </c>
      <c r="AP7" s="63">
        <v>11.54</v>
      </c>
      <c r="AQ7" s="63">
        <v>0</v>
      </c>
      <c r="AR7" s="63">
        <v>0</v>
      </c>
      <c r="AS7" s="63">
        <v>11.54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97" t="s">
        <v>34</v>
      </c>
      <c r="BE7" s="97" t="s">
        <v>245</v>
      </c>
      <c r="BF7" s="99">
        <v>3</v>
      </c>
      <c r="BG7" s="100">
        <v>138.84</v>
      </c>
      <c r="BH7" s="100">
        <v>40.46</v>
      </c>
      <c r="BI7" s="99">
        <v>68.31</v>
      </c>
      <c r="BJ7" s="99">
        <v>247.61</v>
      </c>
      <c r="BK7" s="97" t="s">
        <v>34</v>
      </c>
      <c r="BL7" s="97" t="s">
        <v>245</v>
      </c>
      <c r="BM7" s="99">
        <v>2</v>
      </c>
      <c r="BN7" s="100">
        <v>183.01</v>
      </c>
      <c r="BO7" s="100">
        <v>28.26</v>
      </c>
      <c r="BP7" s="99">
        <v>81.819999999999993</v>
      </c>
      <c r="BQ7" s="99">
        <v>293.08999999999997</v>
      </c>
      <c r="BR7" s="97" t="s">
        <v>34</v>
      </c>
      <c r="BS7" s="97" t="s">
        <v>245</v>
      </c>
      <c r="BT7" s="99">
        <v>2</v>
      </c>
      <c r="BU7" s="100">
        <v>183.23</v>
      </c>
      <c r="BV7" s="100">
        <v>104.83</v>
      </c>
      <c r="BW7" s="99">
        <v>106.26</v>
      </c>
      <c r="BX7" s="99">
        <v>394.32</v>
      </c>
      <c r="BY7" s="63"/>
      <c r="BZ7" s="63"/>
      <c r="CA7" s="63"/>
      <c r="CB7" s="63"/>
      <c r="CC7" s="63"/>
      <c r="CD7" s="63"/>
      <c r="CE7" s="63"/>
      <c r="CF7" s="63"/>
      <c r="CG7" s="63"/>
      <c r="CH7" s="87" t="str">
        <f t="shared" si="0"/>
        <v>COM</v>
      </c>
      <c r="CI7" s="87" t="str">
        <f t="shared" si="1"/>
        <v xml:space="preserve"> 98903  </v>
      </c>
      <c r="CJ7" s="63">
        <f t="shared" si="2"/>
        <v>21693.896090000002</v>
      </c>
      <c r="CK7" s="63" t="str">
        <f t="shared" si="3"/>
        <v>COM</v>
      </c>
      <c r="CL7" s="63" t="str">
        <f t="shared" si="4"/>
        <v xml:space="preserve"> 98903  </v>
      </c>
      <c r="CM7" s="63">
        <f t="shared" si="5"/>
        <v>24245.61593</v>
      </c>
      <c r="CN7" s="63" t="str">
        <f t="shared" si="6"/>
        <v>COM</v>
      </c>
      <c r="CO7" s="63" t="str">
        <f t="shared" si="7"/>
        <v xml:space="preserve"> 98903  </v>
      </c>
      <c r="CP7" s="63">
        <f t="shared" si="8"/>
        <v>23119.65021</v>
      </c>
      <c r="DD7" s="82" t="s">
        <v>44</v>
      </c>
      <c r="DE7" s="82" t="s">
        <v>34</v>
      </c>
      <c r="DF7" s="83">
        <v>1</v>
      </c>
      <c r="DG7" s="51" t="s">
        <v>37</v>
      </c>
      <c r="DH7" s="51" t="s">
        <v>34</v>
      </c>
      <c r="DI7" s="52">
        <v>1</v>
      </c>
      <c r="DJ7" s="51" t="s">
        <v>40</v>
      </c>
      <c r="DK7" s="51" t="s">
        <v>34</v>
      </c>
      <c r="DL7" s="52">
        <v>4</v>
      </c>
      <c r="DM7" s="82" t="s">
        <v>116</v>
      </c>
      <c r="DN7" s="83">
        <v>36862.79</v>
      </c>
      <c r="DO7" s="82" t="s">
        <v>116</v>
      </c>
      <c r="DP7" s="83">
        <v>3875.33</v>
      </c>
      <c r="DQ7" s="82" t="s">
        <v>116</v>
      </c>
      <c r="DR7" s="83">
        <v>5619.56</v>
      </c>
      <c r="DS7" s="28" t="s">
        <v>90</v>
      </c>
      <c r="DT7">
        <v>1146.9700000000003</v>
      </c>
      <c r="DU7" s="28" t="s">
        <v>116</v>
      </c>
      <c r="DV7">
        <v>25.41</v>
      </c>
      <c r="DW7" s="28" t="s">
        <v>89</v>
      </c>
      <c r="DX7">
        <v>324.35000000000002</v>
      </c>
    </row>
    <row r="8" spans="1:128" ht="16" x14ac:dyDescent="0.2">
      <c r="A8" s="63" t="s">
        <v>34</v>
      </c>
      <c r="B8" s="63" t="s">
        <v>246</v>
      </c>
      <c r="C8" s="90"/>
      <c r="D8" s="63">
        <v>0</v>
      </c>
      <c r="E8" s="63">
        <v>0</v>
      </c>
      <c r="F8" s="63">
        <v>0</v>
      </c>
      <c r="G8" s="63">
        <v>0</v>
      </c>
      <c r="H8" s="97" t="s">
        <v>34</v>
      </c>
      <c r="I8" s="97" t="s">
        <v>246</v>
      </c>
      <c r="J8" s="163"/>
      <c r="K8" s="100">
        <v>0</v>
      </c>
      <c r="L8" s="100">
        <v>0</v>
      </c>
      <c r="M8" s="99">
        <v>0</v>
      </c>
      <c r="N8" s="99">
        <v>0</v>
      </c>
      <c r="O8" s="63" t="s">
        <v>34</v>
      </c>
      <c r="P8" s="63" t="s">
        <v>246</v>
      </c>
      <c r="Q8" s="90"/>
      <c r="R8" s="63">
        <v>0</v>
      </c>
      <c r="S8" s="63">
        <v>0</v>
      </c>
      <c r="T8" s="63">
        <v>0</v>
      </c>
      <c r="U8" s="63">
        <v>0</v>
      </c>
      <c r="V8" s="64" t="s">
        <v>34</v>
      </c>
      <c r="W8" t="s">
        <v>51</v>
      </c>
      <c r="Y8" s="63"/>
      <c r="Z8" s="63"/>
      <c r="AA8" s="63"/>
      <c r="AB8" s="63"/>
      <c r="AD8" s="63"/>
      <c r="AE8" s="63"/>
      <c r="AF8" s="63"/>
      <c r="AG8" s="63"/>
      <c r="AH8">
        <v>1</v>
      </c>
      <c r="AI8" s="63">
        <v>18.28</v>
      </c>
      <c r="AJ8" s="63">
        <v>0</v>
      </c>
      <c r="AK8" s="63">
        <v>0</v>
      </c>
      <c r="AL8" s="63">
        <v>18.28</v>
      </c>
      <c r="AM8" s="63" t="s">
        <v>34</v>
      </c>
      <c r="AN8" s="63" t="s">
        <v>40</v>
      </c>
      <c r="AO8" s="63">
        <v>2</v>
      </c>
      <c r="AP8" s="63">
        <v>110.6</v>
      </c>
      <c r="AQ8" s="63">
        <v>110.55000000000001</v>
      </c>
      <c r="AR8" s="63">
        <v>880.56999999999994</v>
      </c>
      <c r="AS8" s="63">
        <v>1101.72</v>
      </c>
      <c r="AT8" s="63">
        <v>2</v>
      </c>
      <c r="AU8" s="63">
        <v>83.91</v>
      </c>
      <c r="AV8" s="63">
        <v>110.6</v>
      </c>
      <c r="AW8" s="63">
        <v>888.12</v>
      </c>
      <c r="AX8" s="63">
        <v>1082.6300000000001</v>
      </c>
      <c r="AY8" s="63">
        <v>2</v>
      </c>
      <c r="AZ8" s="63">
        <v>63.03</v>
      </c>
      <c r="BA8" s="63">
        <v>83.91</v>
      </c>
      <c r="BB8" s="63">
        <v>996.87</v>
      </c>
      <c r="BC8" s="63">
        <v>1143.81</v>
      </c>
      <c r="BD8" s="97" t="s">
        <v>34</v>
      </c>
      <c r="BE8" s="97" t="s">
        <v>248</v>
      </c>
      <c r="BF8" s="99">
        <v>4</v>
      </c>
      <c r="BG8" s="100">
        <v>524.79</v>
      </c>
      <c r="BH8" s="100">
        <v>486.04</v>
      </c>
      <c r="BI8" s="99">
        <v>2728.77</v>
      </c>
      <c r="BJ8" s="99">
        <v>3739.6</v>
      </c>
      <c r="BK8" s="97" t="s">
        <v>34</v>
      </c>
      <c r="BL8" s="97" t="s">
        <v>248</v>
      </c>
      <c r="BM8" s="99">
        <v>4</v>
      </c>
      <c r="BN8" s="100">
        <v>508.28</v>
      </c>
      <c r="BO8" s="100">
        <v>524.79</v>
      </c>
      <c r="BP8" s="99">
        <v>2922.87</v>
      </c>
      <c r="BQ8" s="99">
        <v>3955.94</v>
      </c>
      <c r="BR8" s="97" t="s">
        <v>34</v>
      </c>
      <c r="BS8" s="97" t="s">
        <v>248</v>
      </c>
      <c r="BT8" s="99">
        <v>3</v>
      </c>
      <c r="BU8" s="100">
        <v>488.96</v>
      </c>
      <c r="BV8" s="100">
        <v>470.95</v>
      </c>
      <c r="BW8" s="99">
        <v>3373.23</v>
      </c>
      <c r="BX8" s="99">
        <v>4333.1400000000003</v>
      </c>
      <c r="BY8" s="63"/>
      <c r="BZ8" s="63"/>
      <c r="CA8" s="63"/>
      <c r="CB8" s="63"/>
      <c r="CC8" s="63"/>
      <c r="CD8" s="63"/>
      <c r="CE8" s="63"/>
      <c r="CF8" s="63"/>
      <c r="CG8" s="63"/>
      <c r="CH8" s="87" t="str">
        <f t="shared" si="0"/>
        <v>COM</v>
      </c>
      <c r="CI8" s="87" t="str">
        <f t="shared" si="1"/>
        <v xml:space="preserve"> 98904  </v>
      </c>
      <c r="CJ8" s="63">
        <f t="shared" si="2"/>
        <v>0</v>
      </c>
      <c r="CK8" s="63" t="str">
        <f t="shared" si="3"/>
        <v>COM</v>
      </c>
      <c r="CL8" s="63" t="str">
        <f t="shared" si="4"/>
        <v xml:space="preserve"> 98904  </v>
      </c>
      <c r="CM8" s="63">
        <f t="shared" si="5"/>
        <v>0</v>
      </c>
      <c r="CN8" s="63" t="str">
        <f t="shared" si="6"/>
        <v>COM</v>
      </c>
      <c r="CO8" s="63" t="str">
        <f t="shared" si="7"/>
        <v xml:space="preserve"> 98904  </v>
      </c>
      <c r="CP8" s="63">
        <f t="shared" si="8"/>
        <v>0</v>
      </c>
      <c r="DD8" s="82" t="s">
        <v>45</v>
      </c>
      <c r="DE8" s="82" t="s">
        <v>34</v>
      </c>
      <c r="DF8" s="83">
        <v>1</v>
      </c>
      <c r="DG8" s="51" t="s">
        <v>44</v>
      </c>
      <c r="DH8" s="51" t="s">
        <v>34</v>
      </c>
      <c r="DI8" s="52">
        <v>2</v>
      </c>
      <c r="DJ8" s="51" t="s">
        <v>45</v>
      </c>
      <c r="DK8" s="51" t="s">
        <v>34</v>
      </c>
      <c r="DL8" s="52">
        <v>2</v>
      </c>
      <c r="DM8" s="82" t="s">
        <v>88</v>
      </c>
      <c r="DN8" s="83">
        <v>43475.349999999984</v>
      </c>
      <c r="DO8" s="82" t="s">
        <v>88</v>
      </c>
      <c r="DP8" s="83">
        <v>77490.83</v>
      </c>
      <c r="DQ8" s="82" t="s">
        <v>88</v>
      </c>
      <c r="DR8" s="83">
        <v>56967.369999999995</v>
      </c>
      <c r="DS8" s="28" t="s">
        <v>118</v>
      </c>
      <c r="DT8">
        <v>244.25</v>
      </c>
      <c r="DU8" s="28" t="s">
        <v>88</v>
      </c>
      <c r="DV8">
        <v>1566.4299999999998</v>
      </c>
      <c r="DW8" s="28" t="s">
        <v>117</v>
      </c>
      <c r="DX8">
        <v>634.85</v>
      </c>
    </row>
    <row r="9" spans="1:128" ht="16" x14ac:dyDescent="0.2">
      <c r="A9" s="63" t="s">
        <v>34</v>
      </c>
      <c r="B9" s="63" t="s">
        <v>247</v>
      </c>
      <c r="C9" s="90"/>
      <c r="D9" s="63">
        <v>0</v>
      </c>
      <c r="E9" s="63">
        <v>0</v>
      </c>
      <c r="F9" s="63">
        <v>0</v>
      </c>
      <c r="G9" s="63">
        <v>0</v>
      </c>
      <c r="H9" s="97" t="s">
        <v>34</v>
      </c>
      <c r="I9" s="97" t="s">
        <v>247</v>
      </c>
      <c r="J9" s="163"/>
      <c r="K9" s="100">
        <v>0</v>
      </c>
      <c r="L9" s="100">
        <v>0</v>
      </c>
      <c r="M9" s="99">
        <v>0</v>
      </c>
      <c r="N9" s="99">
        <v>0</v>
      </c>
      <c r="O9" s="63" t="s">
        <v>34</v>
      </c>
      <c r="P9" s="63" t="s">
        <v>247</v>
      </c>
      <c r="Q9" s="90"/>
      <c r="R9" s="63">
        <v>0</v>
      </c>
      <c r="S9" s="63">
        <v>0</v>
      </c>
      <c r="T9" s="63">
        <v>0</v>
      </c>
      <c r="U9" s="63">
        <v>0</v>
      </c>
      <c r="V9" s="64" t="s">
        <v>34</v>
      </c>
      <c r="W9" t="s">
        <v>53</v>
      </c>
      <c r="X9">
        <v>1</v>
      </c>
      <c r="Y9" s="63">
        <v>693.32</v>
      </c>
      <c r="Z9" s="63">
        <v>625.79999999999995</v>
      </c>
      <c r="AA9" s="63">
        <v>8208.19</v>
      </c>
      <c r="AB9" s="63">
        <v>9527.31</v>
      </c>
      <c r="AC9">
        <v>1</v>
      </c>
      <c r="AD9" s="63">
        <v>651.21</v>
      </c>
      <c r="AE9" s="63">
        <v>693.32</v>
      </c>
      <c r="AF9" s="63">
        <v>8491.43</v>
      </c>
      <c r="AG9" s="63">
        <v>9835.9599999999991</v>
      </c>
      <c r="AH9">
        <v>1</v>
      </c>
      <c r="AI9" s="63">
        <v>746.89</v>
      </c>
      <c r="AJ9" s="63">
        <v>651.21</v>
      </c>
      <c r="AK9" s="63">
        <v>9184.75</v>
      </c>
      <c r="AL9" s="63">
        <v>10582.85</v>
      </c>
      <c r="AM9" s="63" t="s">
        <v>34</v>
      </c>
      <c r="AN9" s="63" t="s">
        <v>51</v>
      </c>
      <c r="AO9" s="63">
        <v>2</v>
      </c>
      <c r="AP9" s="63">
        <v>275.97000000000003</v>
      </c>
      <c r="AQ9" s="63">
        <v>333.69000000000005</v>
      </c>
      <c r="AR9" s="63">
        <v>0</v>
      </c>
      <c r="AS9" s="63">
        <v>609.66000000000008</v>
      </c>
      <c r="AT9" s="63">
        <v>2</v>
      </c>
      <c r="AU9" s="63">
        <v>275.96999999999997</v>
      </c>
      <c r="AV9" s="63">
        <v>0</v>
      </c>
      <c r="AW9" s="63">
        <v>0</v>
      </c>
      <c r="AX9" s="63">
        <v>275.96999999999997</v>
      </c>
      <c r="AY9" s="63">
        <v>2</v>
      </c>
      <c r="AZ9" s="63">
        <v>275.97000000000003</v>
      </c>
      <c r="BA9" s="63">
        <v>0</v>
      </c>
      <c r="BB9" s="63">
        <v>0</v>
      </c>
      <c r="BC9" s="63">
        <v>275.97000000000003</v>
      </c>
      <c r="BD9" s="97" t="s">
        <v>34</v>
      </c>
      <c r="BE9" s="97" t="s">
        <v>253</v>
      </c>
      <c r="BF9" s="99">
        <v>1</v>
      </c>
      <c r="BG9" s="100">
        <v>14.03</v>
      </c>
      <c r="BH9" s="100">
        <v>15.24</v>
      </c>
      <c r="BI9" s="99">
        <v>129.47</v>
      </c>
      <c r="BJ9" s="99">
        <v>158.74</v>
      </c>
      <c r="BK9" s="97" t="s">
        <v>34</v>
      </c>
      <c r="BL9" s="97" t="s">
        <v>253</v>
      </c>
      <c r="BM9" s="99">
        <v>1</v>
      </c>
      <c r="BN9" s="100">
        <v>13.91</v>
      </c>
      <c r="BO9" s="100">
        <v>14.03</v>
      </c>
      <c r="BP9" s="99">
        <v>49.92</v>
      </c>
      <c r="BQ9" s="99">
        <v>77.86</v>
      </c>
      <c r="BR9" s="97" t="s">
        <v>34</v>
      </c>
      <c r="BS9" s="97" t="s">
        <v>253</v>
      </c>
      <c r="BT9" s="99">
        <v>1</v>
      </c>
      <c r="BU9" s="100">
        <v>14.05</v>
      </c>
      <c r="BV9" s="100">
        <v>0</v>
      </c>
      <c r="BW9" s="99">
        <v>0</v>
      </c>
      <c r="BX9" s="99">
        <v>14.05</v>
      </c>
      <c r="BY9" s="63"/>
      <c r="BZ9" s="63"/>
      <c r="CA9" s="63"/>
      <c r="CB9" s="63"/>
      <c r="CC9" s="63"/>
      <c r="CD9" s="63"/>
      <c r="CE9" s="63"/>
      <c r="CF9" s="63"/>
      <c r="CG9" s="63"/>
      <c r="CH9" s="87" t="str">
        <f t="shared" si="0"/>
        <v>COM</v>
      </c>
      <c r="CI9" s="87" t="str">
        <f t="shared" si="1"/>
        <v xml:space="preserve"> 98907  </v>
      </c>
      <c r="CJ9" s="63">
        <f t="shared" si="2"/>
        <v>0</v>
      </c>
      <c r="CK9" s="63" t="str">
        <f t="shared" si="3"/>
        <v>COM</v>
      </c>
      <c r="CL9" s="63" t="str">
        <f t="shared" si="4"/>
        <v xml:space="preserve"> 98907  </v>
      </c>
      <c r="CM9" s="63">
        <f t="shared" si="5"/>
        <v>0</v>
      </c>
      <c r="CN9" s="63" t="str">
        <f t="shared" si="6"/>
        <v>COM</v>
      </c>
      <c r="CO9" s="63" t="str">
        <f t="shared" si="7"/>
        <v xml:space="preserve"> 98907  </v>
      </c>
      <c r="CP9" s="63">
        <f t="shared" si="8"/>
        <v>0</v>
      </c>
      <c r="DD9" s="82" t="s">
        <v>48</v>
      </c>
      <c r="DE9" s="82" t="s">
        <v>34</v>
      </c>
      <c r="DF9" s="83">
        <v>2</v>
      </c>
      <c r="DG9" s="51" t="s">
        <v>53</v>
      </c>
      <c r="DH9" s="51" t="s">
        <v>34</v>
      </c>
      <c r="DI9" s="52">
        <v>1</v>
      </c>
      <c r="DJ9" s="51" t="s">
        <v>69</v>
      </c>
      <c r="DK9" s="51" t="s">
        <v>34</v>
      </c>
      <c r="DL9" s="52">
        <v>1</v>
      </c>
      <c r="DM9" s="82" t="s">
        <v>89</v>
      </c>
      <c r="DN9" s="83">
        <v>29938.639999999999</v>
      </c>
      <c r="DO9" s="82" t="s">
        <v>209</v>
      </c>
      <c r="DP9" s="83">
        <v>312.62</v>
      </c>
      <c r="DQ9" s="82" t="s">
        <v>89</v>
      </c>
      <c r="DR9" s="83">
        <v>16394.39</v>
      </c>
      <c r="DS9" s="28" t="s">
        <v>96</v>
      </c>
      <c r="DT9">
        <v>376.46000000000004</v>
      </c>
      <c r="DU9" s="28" t="s">
        <v>89</v>
      </c>
      <c r="DV9">
        <v>280.28999999999996</v>
      </c>
      <c r="DW9" s="28" t="s">
        <v>90</v>
      </c>
      <c r="DX9">
        <v>186.02</v>
      </c>
    </row>
    <row r="10" spans="1:128" ht="16" x14ac:dyDescent="0.2">
      <c r="A10" s="63" t="s">
        <v>34</v>
      </c>
      <c r="B10" s="63" t="s">
        <v>248</v>
      </c>
      <c r="C10" s="90">
        <v>119</v>
      </c>
      <c r="D10" s="63">
        <v>39004.730000000003</v>
      </c>
      <c r="E10" s="63">
        <v>10177.83</v>
      </c>
      <c r="F10" s="63">
        <v>33853.78</v>
      </c>
      <c r="G10" s="63">
        <v>83036.34</v>
      </c>
      <c r="H10" s="97" t="s">
        <v>34</v>
      </c>
      <c r="I10" s="97" t="s">
        <v>248</v>
      </c>
      <c r="J10" s="163">
        <v>117</v>
      </c>
      <c r="K10" s="100">
        <v>27323.46</v>
      </c>
      <c r="L10" s="100">
        <v>9326.8700000000008</v>
      </c>
      <c r="M10" s="99">
        <v>35083.31</v>
      </c>
      <c r="N10" s="99">
        <v>71733.64</v>
      </c>
      <c r="O10" s="63" t="s">
        <v>34</v>
      </c>
      <c r="P10" s="63" t="s">
        <v>248</v>
      </c>
      <c r="Q10" s="90">
        <v>114</v>
      </c>
      <c r="R10" s="63">
        <v>22063.93</v>
      </c>
      <c r="S10" s="63">
        <v>7836.95</v>
      </c>
      <c r="T10" s="63">
        <v>33871.31</v>
      </c>
      <c r="U10" s="63">
        <v>63772.19</v>
      </c>
      <c r="V10" s="64" t="s">
        <v>34</v>
      </c>
      <c r="W10" t="s">
        <v>54</v>
      </c>
      <c r="X10">
        <v>1</v>
      </c>
      <c r="Y10" s="63">
        <v>133.37</v>
      </c>
      <c r="Z10" s="63">
        <v>100.97</v>
      </c>
      <c r="AA10" s="63">
        <v>523.95000000000005</v>
      </c>
      <c r="AB10" s="63">
        <v>758.29</v>
      </c>
      <c r="AD10" s="63"/>
      <c r="AE10" s="63"/>
      <c r="AF10" s="63"/>
      <c r="AG10" s="63"/>
      <c r="AH10">
        <v>1</v>
      </c>
      <c r="AI10" s="63">
        <v>28.62</v>
      </c>
      <c r="AJ10" s="63">
        <v>0</v>
      </c>
      <c r="AK10" s="63">
        <v>0</v>
      </c>
      <c r="AL10" s="63">
        <v>28.62</v>
      </c>
      <c r="AM10" s="63" t="s">
        <v>34</v>
      </c>
      <c r="AN10" s="63" t="s">
        <v>53</v>
      </c>
      <c r="AO10" s="63">
        <v>1</v>
      </c>
      <c r="AP10" s="63">
        <v>661.59</v>
      </c>
      <c r="AQ10" s="63">
        <v>746.89</v>
      </c>
      <c r="AR10" s="63">
        <v>9835.9599999999991</v>
      </c>
      <c r="AS10" s="63">
        <v>11244.44</v>
      </c>
      <c r="AT10" s="63">
        <v>1</v>
      </c>
      <c r="AU10" s="63">
        <v>524.17999999999995</v>
      </c>
      <c r="AV10" s="63">
        <v>661.59</v>
      </c>
      <c r="AW10" s="63">
        <v>9982.85</v>
      </c>
      <c r="AX10" s="63">
        <v>11168.62</v>
      </c>
      <c r="AY10" s="63">
        <v>1</v>
      </c>
      <c r="AZ10" s="63">
        <v>426.92</v>
      </c>
      <c r="BA10" s="63">
        <v>524.17999999999995</v>
      </c>
      <c r="BB10" s="63">
        <v>10244.44</v>
      </c>
      <c r="BC10" s="63">
        <v>11195.54</v>
      </c>
      <c r="BD10" s="97" t="s">
        <v>34</v>
      </c>
      <c r="BE10" s="97" t="s">
        <v>254</v>
      </c>
      <c r="BF10" s="99"/>
      <c r="BG10" s="100">
        <v>0</v>
      </c>
      <c r="BH10" s="100">
        <v>0</v>
      </c>
      <c r="BI10" s="99">
        <v>0</v>
      </c>
      <c r="BJ10" s="99">
        <v>0</v>
      </c>
      <c r="BK10" s="97" t="s">
        <v>34</v>
      </c>
      <c r="BL10" s="97" t="s">
        <v>254</v>
      </c>
      <c r="BM10" s="99"/>
      <c r="BN10" s="100">
        <v>0</v>
      </c>
      <c r="BO10" s="100">
        <v>0</v>
      </c>
      <c r="BP10" s="99">
        <v>0</v>
      </c>
      <c r="BQ10" s="99">
        <v>0</v>
      </c>
      <c r="BR10" s="97" t="s">
        <v>34</v>
      </c>
      <c r="BS10" s="97" t="s">
        <v>254</v>
      </c>
      <c r="BT10" s="99"/>
      <c r="BU10" s="100">
        <v>0</v>
      </c>
      <c r="BV10" s="100">
        <v>0</v>
      </c>
      <c r="BW10" s="99">
        <v>0</v>
      </c>
      <c r="BX10" s="99">
        <v>0</v>
      </c>
      <c r="BY10" s="63"/>
      <c r="BZ10" s="63"/>
      <c r="CA10" s="63"/>
      <c r="CB10" s="63"/>
      <c r="CC10" s="63"/>
      <c r="CD10" s="63"/>
      <c r="CE10" s="63"/>
      <c r="CF10" s="63"/>
      <c r="CG10" s="63"/>
      <c r="CH10" s="87" t="str">
        <f t="shared" si="0"/>
        <v>COM</v>
      </c>
      <c r="CI10" s="87" t="str">
        <f t="shared" si="1"/>
        <v xml:space="preserve"> 98908  </v>
      </c>
      <c r="CJ10" s="63">
        <f t="shared" si="2"/>
        <v>11049.021389999998</v>
      </c>
      <c r="CK10" s="63" t="str">
        <f t="shared" si="3"/>
        <v>COM</v>
      </c>
      <c r="CL10" s="63" t="str">
        <f t="shared" si="4"/>
        <v xml:space="preserve"> 98908  </v>
      </c>
      <c r="CM10" s="63">
        <f t="shared" si="5"/>
        <v>11163.844759999998</v>
      </c>
      <c r="CN10" s="63" t="str">
        <f t="shared" si="6"/>
        <v>COM</v>
      </c>
      <c r="CO10" s="63" t="str">
        <f t="shared" si="7"/>
        <v xml:space="preserve"> 98908  </v>
      </c>
      <c r="CP10" s="63">
        <f t="shared" si="8"/>
        <v>10635.559319999998</v>
      </c>
      <c r="DD10" s="82" t="s">
        <v>56</v>
      </c>
      <c r="DE10" s="82" t="s">
        <v>34</v>
      </c>
      <c r="DF10" s="83">
        <v>1</v>
      </c>
      <c r="DG10" s="51" t="s">
        <v>55</v>
      </c>
      <c r="DH10" s="51" t="s">
        <v>34</v>
      </c>
      <c r="DI10" s="52">
        <v>3</v>
      </c>
      <c r="DJ10" s="51" t="s">
        <v>35</v>
      </c>
      <c r="DK10" s="51" t="s">
        <v>75</v>
      </c>
      <c r="DL10" s="52">
        <v>43</v>
      </c>
      <c r="DM10" s="82" t="s">
        <v>90</v>
      </c>
      <c r="DN10" s="83">
        <v>13886.690000000002</v>
      </c>
      <c r="DO10" s="82" t="s">
        <v>89</v>
      </c>
      <c r="DP10" s="83">
        <v>21393.79</v>
      </c>
      <c r="DQ10" s="82" t="s">
        <v>117</v>
      </c>
      <c r="DR10" s="83">
        <v>673.7</v>
      </c>
      <c r="DS10" s="28" t="s">
        <v>105</v>
      </c>
      <c r="DT10">
        <v>92.76</v>
      </c>
      <c r="DU10" s="28" t="s">
        <v>90</v>
      </c>
      <c r="DV10">
        <v>1131.82</v>
      </c>
      <c r="DW10" s="28" t="s">
        <v>111</v>
      </c>
      <c r="DX10">
        <v>44.32</v>
      </c>
    </row>
    <row r="11" spans="1:128" ht="16" x14ac:dyDescent="0.2">
      <c r="A11" s="63" t="s">
        <v>34</v>
      </c>
      <c r="B11" s="63" t="s">
        <v>249</v>
      </c>
      <c r="C11" s="90"/>
      <c r="D11" s="63">
        <v>0</v>
      </c>
      <c r="E11" s="63">
        <v>0</v>
      </c>
      <c r="F11" s="63">
        <v>0</v>
      </c>
      <c r="G11" s="63">
        <v>0</v>
      </c>
      <c r="H11" s="97" t="s">
        <v>34</v>
      </c>
      <c r="I11" s="97" t="s">
        <v>249</v>
      </c>
      <c r="J11" s="163"/>
      <c r="K11" s="100">
        <v>0</v>
      </c>
      <c r="L11" s="100">
        <v>0</v>
      </c>
      <c r="M11" s="99">
        <v>0</v>
      </c>
      <c r="N11" s="99">
        <v>0</v>
      </c>
      <c r="O11" s="63" t="s">
        <v>34</v>
      </c>
      <c r="P11" s="63" t="s">
        <v>249</v>
      </c>
      <c r="Q11" s="90"/>
      <c r="R11" s="63">
        <v>0</v>
      </c>
      <c r="S11" s="63">
        <v>0</v>
      </c>
      <c r="T11" s="63">
        <v>0</v>
      </c>
      <c r="U11" s="63">
        <v>0</v>
      </c>
      <c r="V11" s="64" t="s">
        <v>34</v>
      </c>
      <c r="W11" t="s">
        <v>55</v>
      </c>
      <c r="X11">
        <v>13</v>
      </c>
      <c r="Y11" s="63">
        <v>2679.3199999999997</v>
      </c>
      <c r="Z11" s="63">
        <v>4508.4800000000005</v>
      </c>
      <c r="AA11" s="63">
        <v>8955.01</v>
      </c>
      <c r="AB11" s="63">
        <v>16142.810000000001</v>
      </c>
      <c r="AC11">
        <v>13</v>
      </c>
      <c r="AD11" s="63">
        <v>4720.25</v>
      </c>
      <c r="AE11" s="63">
        <v>2679.3</v>
      </c>
      <c r="AF11" s="63">
        <v>12509.89</v>
      </c>
      <c r="AG11" s="63">
        <v>19909.439999999999</v>
      </c>
      <c r="AH11">
        <v>7</v>
      </c>
      <c r="AI11" s="63">
        <v>2581.9499999999998</v>
      </c>
      <c r="AJ11" s="63">
        <v>1965.0300000000002</v>
      </c>
      <c r="AK11" s="63">
        <v>3186.9</v>
      </c>
      <c r="AL11" s="63">
        <v>7733.88</v>
      </c>
      <c r="AM11" s="63" t="s">
        <v>34</v>
      </c>
      <c r="AN11" s="63" t="s">
        <v>54</v>
      </c>
      <c r="AO11" s="63">
        <v>1</v>
      </c>
      <c r="AP11" s="63">
        <v>153.22</v>
      </c>
      <c r="AQ11" s="63">
        <v>28.62</v>
      </c>
      <c r="AR11" s="63">
        <v>0</v>
      </c>
      <c r="AS11" s="63">
        <v>181.84</v>
      </c>
      <c r="AT11" s="63">
        <v>1</v>
      </c>
      <c r="AU11" s="63">
        <v>53.68</v>
      </c>
      <c r="AV11" s="63">
        <v>153.22</v>
      </c>
      <c r="AW11" s="63">
        <v>28.62</v>
      </c>
      <c r="AX11" s="63">
        <v>235.52</v>
      </c>
      <c r="AY11" s="63">
        <v>1</v>
      </c>
      <c r="AZ11" s="63">
        <v>99.66</v>
      </c>
      <c r="BA11" s="63">
        <v>53.68</v>
      </c>
      <c r="BB11" s="63">
        <v>179.99</v>
      </c>
      <c r="BC11" s="63">
        <v>333.33</v>
      </c>
      <c r="BD11" s="97" t="s">
        <v>34</v>
      </c>
      <c r="BE11" s="97" t="s">
        <v>256</v>
      </c>
      <c r="BF11" s="99"/>
      <c r="BG11" s="100"/>
      <c r="BH11" s="100"/>
      <c r="BI11" s="99"/>
      <c r="BJ11" s="99"/>
      <c r="BK11" s="97" t="s">
        <v>34</v>
      </c>
      <c r="BL11" s="97" t="s">
        <v>256</v>
      </c>
      <c r="BM11" s="99"/>
      <c r="BN11" s="100"/>
      <c r="BO11" s="100"/>
      <c r="BP11" s="99"/>
      <c r="BQ11" s="99"/>
      <c r="BR11" s="97" t="s">
        <v>34</v>
      </c>
      <c r="BS11" s="97" t="s">
        <v>256</v>
      </c>
      <c r="BT11" s="99"/>
      <c r="BU11" s="100">
        <v>0</v>
      </c>
      <c r="BV11" s="100">
        <v>0</v>
      </c>
      <c r="BW11" s="99">
        <v>0</v>
      </c>
      <c r="BX11" s="99">
        <v>0</v>
      </c>
      <c r="BY11" s="63"/>
      <c r="BZ11" s="63"/>
      <c r="CA11" s="63"/>
      <c r="CB11" s="63"/>
      <c r="CC11" s="63"/>
      <c r="CD11" s="63"/>
      <c r="CE11" s="63"/>
      <c r="CF11" s="63"/>
      <c r="CG11" s="63"/>
      <c r="CH11" s="87" t="str">
        <f t="shared" si="0"/>
        <v>COM</v>
      </c>
      <c r="CI11" s="87" t="str">
        <f t="shared" si="1"/>
        <v xml:space="preserve"> 98920  </v>
      </c>
      <c r="CJ11" s="63">
        <f t="shared" si="2"/>
        <v>0</v>
      </c>
      <c r="CK11" s="63" t="str">
        <f t="shared" si="3"/>
        <v>COM</v>
      </c>
      <c r="CL11" s="63" t="str">
        <f t="shared" si="4"/>
        <v xml:space="preserve"> 98920  </v>
      </c>
      <c r="CM11" s="63">
        <f t="shared" si="5"/>
        <v>0</v>
      </c>
      <c r="CN11" s="63" t="str">
        <f t="shared" si="6"/>
        <v>COM</v>
      </c>
      <c r="CO11" s="63" t="str">
        <f t="shared" si="7"/>
        <v xml:space="preserve"> 98920  </v>
      </c>
      <c r="CP11" s="63">
        <f t="shared" si="8"/>
        <v>0</v>
      </c>
      <c r="DD11" s="82" t="s">
        <v>62</v>
      </c>
      <c r="DE11" s="82" t="s">
        <v>34</v>
      </c>
      <c r="DF11" s="83">
        <v>3</v>
      </c>
      <c r="DG11" s="51" t="s">
        <v>35</v>
      </c>
      <c r="DH11" s="51" t="s">
        <v>75</v>
      </c>
      <c r="DI11" s="52">
        <v>52</v>
      </c>
      <c r="DJ11" s="51" t="s">
        <v>36</v>
      </c>
      <c r="DK11" s="51" t="s">
        <v>75</v>
      </c>
      <c r="DL11" s="52">
        <v>78</v>
      </c>
      <c r="DM11" s="82" t="s">
        <v>118</v>
      </c>
      <c r="DN11" s="83">
        <v>246</v>
      </c>
      <c r="DO11" s="82" t="s">
        <v>90</v>
      </c>
      <c r="DP11" s="83">
        <v>13682.06</v>
      </c>
      <c r="DQ11" s="82" t="s">
        <v>90</v>
      </c>
      <c r="DR11" s="83">
        <v>19280.309999999998</v>
      </c>
      <c r="DS11" s="28" t="s">
        <v>99</v>
      </c>
      <c r="DT11">
        <v>2192.3599999999997</v>
      </c>
      <c r="DU11" s="28" t="s">
        <v>111</v>
      </c>
      <c r="DV11">
        <v>185.65</v>
      </c>
      <c r="DW11" s="28" t="s">
        <v>98</v>
      </c>
      <c r="DX11">
        <v>82.68</v>
      </c>
    </row>
    <row r="12" spans="1:128" ht="16" x14ac:dyDescent="0.2">
      <c r="A12" s="63" t="s">
        <v>34</v>
      </c>
      <c r="B12" s="63" t="s">
        <v>250</v>
      </c>
      <c r="C12" s="90">
        <v>2</v>
      </c>
      <c r="D12" s="63">
        <v>124.99</v>
      </c>
      <c r="E12" s="63">
        <v>144.72</v>
      </c>
      <c r="F12" s="63">
        <v>148.97999999999999</v>
      </c>
      <c r="G12" s="63">
        <v>418.69</v>
      </c>
      <c r="H12" s="97" t="s">
        <v>34</v>
      </c>
      <c r="I12" s="97" t="s">
        <v>250</v>
      </c>
      <c r="J12" s="163">
        <v>4</v>
      </c>
      <c r="K12" s="100">
        <v>278.48</v>
      </c>
      <c r="L12" s="100">
        <v>121.77</v>
      </c>
      <c r="M12" s="99">
        <v>147.34</v>
      </c>
      <c r="N12" s="99">
        <v>547.59</v>
      </c>
      <c r="O12" s="63" t="s">
        <v>34</v>
      </c>
      <c r="P12" s="63" t="s">
        <v>250</v>
      </c>
      <c r="Q12" s="90">
        <v>3</v>
      </c>
      <c r="R12" s="63">
        <v>124.59</v>
      </c>
      <c r="S12" s="63">
        <v>125.29</v>
      </c>
      <c r="T12" s="63">
        <v>269.11</v>
      </c>
      <c r="U12" s="63">
        <v>518.99</v>
      </c>
      <c r="V12" s="64" t="s">
        <v>34</v>
      </c>
      <c r="W12" t="s">
        <v>56</v>
      </c>
      <c r="X12">
        <v>4</v>
      </c>
      <c r="Y12" s="63">
        <v>378.67</v>
      </c>
      <c r="Z12" s="63">
        <v>249.13</v>
      </c>
      <c r="AA12" s="63">
        <v>728.58</v>
      </c>
      <c r="AB12" s="63">
        <v>1356.3799999999999</v>
      </c>
      <c r="AC12">
        <v>4</v>
      </c>
      <c r="AD12" s="63">
        <v>357.79999999999995</v>
      </c>
      <c r="AE12" s="63">
        <v>209.84</v>
      </c>
      <c r="AF12" s="63">
        <v>977.71</v>
      </c>
      <c r="AG12" s="63">
        <v>1545.35</v>
      </c>
      <c r="AH12">
        <v>3</v>
      </c>
      <c r="AI12" s="63">
        <v>297.18</v>
      </c>
      <c r="AJ12" s="63">
        <v>174.7</v>
      </c>
      <c r="AK12" s="63">
        <v>1176.78</v>
      </c>
      <c r="AL12" s="63">
        <v>1648.6599999999999</v>
      </c>
      <c r="AM12" s="63" t="s">
        <v>34</v>
      </c>
      <c r="AN12" s="63" t="s">
        <v>55</v>
      </c>
      <c r="AO12" s="63">
        <v>6</v>
      </c>
      <c r="AP12" s="63">
        <v>6418.74</v>
      </c>
      <c r="AQ12" s="63">
        <v>11.34</v>
      </c>
      <c r="AR12" s="63">
        <v>650.48</v>
      </c>
      <c r="AS12" s="63">
        <v>7080.56</v>
      </c>
      <c r="AT12" s="63">
        <v>6</v>
      </c>
      <c r="AU12" s="63">
        <v>4152.47</v>
      </c>
      <c r="AV12" s="63">
        <v>1531.2599999999998</v>
      </c>
      <c r="AW12" s="63">
        <v>88.2</v>
      </c>
      <c r="AX12" s="63">
        <v>5771.93</v>
      </c>
      <c r="AY12" s="63">
        <v>4</v>
      </c>
      <c r="AZ12" s="63">
        <v>2645.64</v>
      </c>
      <c r="BA12" s="63">
        <v>79.990000000000009</v>
      </c>
      <c r="BB12" s="63">
        <v>22.92</v>
      </c>
      <c r="BC12" s="63">
        <v>2748.55</v>
      </c>
      <c r="BD12" s="97" t="s">
        <v>34</v>
      </c>
      <c r="BE12" s="97" t="s">
        <v>258</v>
      </c>
      <c r="BF12" s="99"/>
      <c r="BG12" s="100">
        <v>0</v>
      </c>
      <c r="BH12" s="100">
        <v>0</v>
      </c>
      <c r="BI12" s="99">
        <v>0</v>
      </c>
      <c r="BJ12" s="99">
        <v>0</v>
      </c>
      <c r="BK12" s="97" t="s">
        <v>34</v>
      </c>
      <c r="BL12" s="97" t="s">
        <v>258</v>
      </c>
      <c r="BM12" s="99"/>
      <c r="BN12" s="100">
        <v>0</v>
      </c>
      <c r="BO12" s="100">
        <v>0</v>
      </c>
      <c r="BP12" s="99">
        <v>0</v>
      </c>
      <c r="BQ12" s="99">
        <v>0</v>
      </c>
      <c r="BR12" s="97" t="s">
        <v>34</v>
      </c>
      <c r="BS12" s="97" t="s">
        <v>258</v>
      </c>
      <c r="BT12" s="99">
        <v>1</v>
      </c>
      <c r="BU12" s="100">
        <v>0.02</v>
      </c>
      <c r="BV12" s="100">
        <v>0</v>
      </c>
      <c r="BW12" s="99">
        <v>0</v>
      </c>
      <c r="BX12" s="99">
        <v>0.02</v>
      </c>
      <c r="BY12" s="63"/>
      <c r="BZ12" s="63"/>
      <c r="CA12" s="63"/>
      <c r="CB12" s="63"/>
      <c r="CC12" s="63"/>
      <c r="CD12" s="63"/>
      <c r="CE12" s="63"/>
      <c r="CF12" s="63"/>
      <c r="CG12" s="63"/>
      <c r="CH12" s="87" t="str">
        <f t="shared" si="0"/>
        <v>COM</v>
      </c>
      <c r="CI12" s="87" t="str">
        <f t="shared" si="1"/>
        <v xml:space="preserve"> 98921  </v>
      </c>
      <c r="CJ12" s="63">
        <f t="shared" si="2"/>
        <v>54.172419999999988</v>
      </c>
      <c r="CK12" s="63" t="str">
        <f t="shared" si="3"/>
        <v>COM</v>
      </c>
      <c r="CL12" s="63" t="str">
        <f t="shared" si="4"/>
        <v xml:space="preserve"> 98921  </v>
      </c>
      <c r="CM12" s="63">
        <f t="shared" si="5"/>
        <v>54.708449999999999</v>
      </c>
      <c r="CN12" s="63" t="str">
        <f t="shared" si="6"/>
        <v>COM</v>
      </c>
      <c r="CO12" s="63" t="str">
        <f t="shared" si="7"/>
        <v xml:space="preserve"> 98921  </v>
      </c>
      <c r="CP12" s="63">
        <f t="shared" si="8"/>
        <v>87.659500000000008</v>
      </c>
      <c r="DD12" s="82" t="s">
        <v>64</v>
      </c>
      <c r="DE12" s="82" t="s">
        <v>34</v>
      </c>
      <c r="DF12" s="83">
        <v>1</v>
      </c>
      <c r="DG12" s="51" t="s">
        <v>36</v>
      </c>
      <c r="DH12" s="51" t="s">
        <v>75</v>
      </c>
      <c r="DI12" s="52">
        <v>83</v>
      </c>
      <c r="DJ12" s="51" t="s">
        <v>37</v>
      </c>
      <c r="DK12" s="51" t="s">
        <v>75</v>
      </c>
      <c r="DL12" s="52">
        <v>20</v>
      </c>
      <c r="DM12" s="82" t="s">
        <v>228</v>
      </c>
      <c r="DN12" s="83">
        <v>884.12</v>
      </c>
      <c r="DO12" s="82" t="s">
        <v>118</v>
      </c>
      <c r="DP12" s="83">
        <v>1865.6100000000001</v>
      </c>
      <c r="DQ12" s="82" t="s">
        <v>118</v>
      </c>
      <c r="DR12" s="83">
        <v>1301.81</v>
      </c>
      <c r="DS12" s="28" t="s">
        <v>91</v>
      </c>
      <c r="DT12">
        <v>407.03</v>
      </c>
      <c r="DU12" s="28" t="s">
        <v>96</v>
      </c>
      <c r="DV12">
        <v>59.2</v>
      </c>
      <c r="DW12" s="28" t="s">
        <v>99</v>
      </c>
      <c r="DX12">
        <v>208.89000000000001</v>
      </c>
    </row>
    <row r="13" spans="1:128" ht="16" x14ac:dyDescent="0.2">
      <c r="A13" s="63" t="s">
        <v>34</v>
      </c>
      <c r="B13" s="63" t="s">
        <v>251</v>
      </c>
      <c r="C13" s="90">
        <v>8</v>
      </c>
      <c r="D13" s="63">
        <v>12752.59</v>
      </c>
      <c r="E13" s="63">
        <v>88.99</v>
      </c>
      <c r="F13" s="63">
        <v>592.67999999999995</v>
      </c>
      <c r="G13" s="63">
        <v>13434.26</v>
      </c>
      <c r="H13" s="97" t="s">
        <v>34</v>
      </c>
      <c r="I13" s="97" t="s">
        <v>251</v>
      </c>
      <c r="J13" s="163">
        <v>10</v>
      </c>
      <c r="K13" s="100">
        <v>12113.39</v>
      </c>
      <c r="L13" s="100">
        <v>11846.26</v>
      </c>
      <c r="M13" s="99">
        <v>621.6</v>
      </c>
      <c r="N13" s="99">
        <v>24581.25</v>
      </c>
      <c r="O13" s="63" t="s">
        <v>34</v>
      </c>
      <c r="P13" s="63" t="s">
        <v>251</v>
      </c>
      <c r="Q13" s="90">
        <v>8</v>
      </c>
      <c r="R13" s="63">
        <v>12831.93</v>
      </c>
      <c r="S13" s="63">
        <v>5103.8599999999997</v>
      </c>
      <c r="T13" s="63">
        <v>6531.14</v>
      </c>
      <c r="U13" s="63">
        <v>24466.93</v>
      </c>
      <c r="V13" s="64" t="s">
        <v>34</v>
      </c>
      <c r="W13" t="s">
        <v>57</v>
      </c>
      <c r="X13">
        <v>1</v>
      </c>
      <c r="Y13" s="63">
        <v>191.52</v>
      </c>
      <c r="Z13" s="63">
        <v>111.91</v>
      </c>
      <c r="AA13" s="63">
        <v>298.69</v>
      </c>
      <c r="AB13" s="63">
        <v>602.12</v>
      </c>
      <c r="AC13">
        <v>1</v>
      </c>
      <c r="AD13" s="63">
        <v>139.04</v>
      </c>
      <c r="AE13" s="63">
        <v>191.52</v>
      </c>
      <c r="AF13" s="63">
        <v>110.6</v>
      </c>
      <c r="AG13" s="63">
        <v>441.16</v>
      </c>
      <c r="AH13">
        <v>1</v>
      </c>
      <c r="AI13" s="63">
        <v>86.41</v>
      </c>
      <c r="AJ13" s="63">
        <v>139.04</v>
      </c>
      <c r="AK13" s="63">
        <v>302.12</v>
      </c>
      <c r="AL13" s="63">
        <v>527.57000000000005</v>
      </c>
      <c r="AM13" s="63" t="s">
        <v>34</v>
      </c>
      <c r="AN13" s="63" t="s">
        <v>56</v>
      </c>
      <c r="AO13" s="63">
        <v>3</v>
      </c>
      <c r="AP13" s="63">
        <v>374.25</v>
      </c>
      <c r="AQ13" s="63">
        <v>107.31</v>
      </c>
      <c r="AR13" s="63">
        <v>1098.31</v>
      </c>
      <c r="AS13" s="63">
        <v>1579.87</v>
      </c>
      <c r="AT13" s="63">
        <v>3</v>
      </c>
      <c r="AU13" s="63">
        <v>385.42</v>
      </c>
      <c r="AV13" s="63">
        <v>374.25</v>
      </c>
      <c r="AW13" s="63">
        <v>1205.6199999999999</v>
      </c>
      <c r="AX13" s="63">
        <v>1965.29</v>
      </c>
      <c r="AY13" s="63">
        <v>2</v>
      </c>
      <c r="AZ13" s="63">
        <v>193.02</v>
      </c>
      <c r="BA13" s="63">
        <v>273.23</v>
      </c>
      <c r="BB13" s="63">
        <v>252.38</v>
      </c>
      <c r="BC13" s="63">
        <v>718.63</v>
      </c>
      <c r="BD13" s="97" t="s">
        <v>34</v>
      </c>
      <c r="BE13" s="97" t="s">
        <v>259</v>
      </c>
      <c r="BF13" s="99">
        <v>1</v>
      </c>
      <c r="BG13" s="100">
        <v>255.72</v>
      </c>
      <c r="BH13" s="100">
        <v>20.25</v>
      </c>
      <c r="BI13" s="99">
        <v>0</v>
      </c>
      <c r="BJ13" s="99">
        <v>275.97000000000003</v>
      </c>
      <c r="BK13" s="97" t="s">
        <v>34</v>
      </c>
      <c r="BL13" s="97" t="s">
        <v>259</v>
      </c>
      <c r="BM13" s="99">
        <v>1</v>
      </c>
      <c r="BN13" s="100">
        <v>275.97000000000003</v>
      </c>
      <c r="BO13" s="100">
        <v>0</v>
      </c>
      <c r="BP13" s="99">
        <v>0</v>
      </c>
      <c r="BQ13" s="99">
        <v>275.97000000000003</v>
      </c>
      <c r="BR13" s="97" t="s">
        <v>34</v>
      </c>
      <c r="BS13" s="97" t="s">
        <v>259</v>
      </c>
      <c r="BT13" s="99">
        <v>1</v>
      </c>
      <c r="BU13" s="100">
        <v>284.66000000000003</v>
      </c>
      <c r="BV13" s="100">
        <v>275.97000000000003</v>
      </c>
      <c r="BW13" s="99">
        <v>0</v>
      </c>
      <c r="BX13" s="99">
        <v>560.63</v>
      </c>
      <c r="BY13" s="63"/>
      <c r="BZ13" s="63"/>
      <c r="CA13" s="63"/>
      <c r="CB13" s="63"/>
      <c r="CC13" s="63"/>
      <c r="CD13" s="63"/>
      <c r="CE13" s="63"/>
      <c r="CF13" s="63"/>
      <c r="CG13" s="63"/>
      <c r="CH13" s="87" t="str">
        <f t="shared" si="0"/>
        <v>COM</v>
      </c>
      <c r="CI13" s="87" t="str">
        <f t="shared" si="1"/>
        <v xml:space="preserve"> 98923  </v>
      </c>
      <c r="CJ13" s="63">
        <f t="shared" si="2"/>
        <v>380.93232999999998</v>
      </c>
      <c r="CK13" s="63" t="str">
        <f t="shared" si="3"/>
        <v>COM</v>
      </c>
      <c r="CL13" s="63" t="str">
        <f t="shared" si="4"/>
        <v xml:space="preserve"> 98923  </v>
      </c>
      <c r="CM13" s="63">
        <f t="shared" si="5"/>
        <v>1119.7710199999999</v>
      </c>
      <c r="CN13" s="63" t="str">
        <f t="shared" si="6"/>
        <v>COM</v>
      </c>
      <c r="CO13" s="63" t="str">
        <f t="shared" si="7"/>
        <v xml:space="preserve"> 98923  </v>
      </c>
      <c r="CP13" s="63">
        <f t="shared" si="8"/>
        <v>2414.3535200000001</v>
      </c>
      <c r="DD13" s="82" t="s">
        <v>35</v>
      </c>
      <c r="DE13" s="82" t="s">
        <v>75</v>
      </c>
      <c r="DF13" s="83">
        <v>42</v>
      </c>
      <c r="DG13" s="51" t="s">
        <v>37</v>
      </c>
      <c r="DH13" s="51" t="s">
        <v>75</v>
      </c>
      <c r="DI13" s="52">
        <v>17</v>
      </c>
      <c r="DJ13" s="51" t="s">
        <v>40</v>
      </c>
      <c r="DK13" s="51" t="s">
        <v>75</v>
      </c>
      <c r="DL13" s="52">
        <v>33</v>
      </c>
      <c r="DM13" s="82" t="s">
        <v>96</v>
      </c>
      <c r="DN13" s="83">
        <v>5556.7099999999991</v>
      </c>
      <c r="DO13" s="82" t="s">
        <v>111</v>
      </c>
      <c r="DP13" s="83">
        <v>322.28999999999996</v>
      </c>
      <c r="DQ13" s="82" t="s">
        <v>111</v>
      </c>
      <c r="DR13" s="83">
        <v>4010.65</v>
      </c>
      <c r="DS13" s="28" t="s">
        <v>100</v>
      </c>
      <c r="DT13">
        <v>288</v>
      </c>
      <c r="DU13" s="28" t="s">
        <v>94</v>
      </c>
      <c r="DV13">
        <v>743.66</v>
      </c>
      <c r="DW13" s="28" t="s">
        <v>91</v>
      </c>
      <c r="DX13">
        <v>96.210000000000008</v>
      </c>
    </row>
    <row r="14" spans="1:128" ht="16" x14ac:dyDescent="0.2">
      <c r="A14" s="63" t="s">
        <v>34</v>
      </c>
      <c r="B14" s="63" t="s">
        <v>252</v>
      </c>
      <c r="C14" s="90">
        <v>35</v>
      </c>
      <c r="D14" s="63">
        <v>5841.59</v>
      </c>
      <c r="E14" s="63">
        <v>5030.47</v>
      </c>
      <c r="F14" s="63">
        <v>16375.5</v>
      </c>
      <c r="G14" s="63">
        <v>27247.56</v>
      </c>
      <c r="H14" s="97" t="s">
        <v>34</v>
      </c>
      <c r="I14" s="97" t="s">
        <v>252</v>
      </c>
      <c r="J14" s="163">
        <v>26</v>
      </c>
      <c r="K14" s="100">
        <v>3401.06</v>
      </c>
      <c r="L14" s="100">
        <v>4372.5</v>
      </c>
      <c r="M14" s="99">
        <v>20459.97</v>
      </c>
      <c r="N14" s="99">
        <v>28233.53</v>
      </c>
      <c r="O14" s="63" t="s">
        <v>34</v>
      </c>
      <c r="P14" s="63" t="s">
        <v>252</v>
      </c>
      <c r="Q14" s="90">
        <v>33</v>
      </c>
      <c r="R14" s="63">
        <v>4337.2700000000004</v>
      </c>
      <c r="S14" s="63">
        <v>3182.68</v>
      </c>
      <c r="T14" s="63">
        <v>22246.7</v>
      </c>
      <c r="U14" s="63">
        <v>29766.65</v>
      </c>
      <c r="V14" s="64" t="s">
        <v>34</v>
      </c>
      <c r="W14" t="s">
        <v>64</v>
      </c>
      <c r="X14">
        <v>2</v>
      </c>
      <c r="Y14" s="63">
        <v>522.01</v>
      </c>
      <c r="Z14" s="63">
        <v>305.81</v>
      </c>
      <c r="AA14" s="63">
        <v>46.45</v>
      </c>
      <c r="AB14" s="63">
        <v>874.2700000000001</v>
      </c>
      <c r="AC14">
        <v>2</v>
      </c>
      <c r="AD14" s="63">
        <v>338.57000000000005</v>
      </c>
      <c r="AE14" s="63">
        <v>522.01</v>
      </c>
      <c r="AF14" s="63">
        <v>352.26</v>
      </c>
      <c r="AG14" s="63">
        <v>1212.8399999999999</v>
      </c>
      <c r="AH14">
        <v>1</v>
      </c>
      <c r="AI14" s="63">
        <v>126.21</v>
      </c>
      <c r="AJ14" s="63">
        <v>188.49</v>
      </c>
      <c r="AK14" s="63">
        <v>716.19</v>
      </c>
      <c r="AL14" s="63">
        <v>1030.8900000000001</v>
      </c>
      <c r="AM14" s="63" t="s">
        <v>34</v>
      </c>
      <c r="AN14" s="63" t="s">
        <v>57</v>
      </c>
      <c r="AO14" s="63">
        <v>1</v>
      </c>
      <c r="AP14" s="63">
        <v>86.45</v>
      </c>
      <c r="AQ14" s="63">
        <v>86.41</v>
      </c>
      <c r="AR14" s="63">
        <v>441.16</v>
      </c>
      <c r="AS14" s="63">
        <v>614.02</v>
      </c>
      <c r="AT14" s="63">
        <v>1</v>
      </c>
      <c r="AU14" s="63">
        <v>74.27</v>
      </c>
      <c r="AV14" s="63">
        <v>86.45</v>
      </c>
      <c r="AW14" s="63">
        <v>527.57000000000005</v>
      </c>
      <c r="AX14" s="63">
        <v>688.29</v>
      </c>
      <c r="AY14" s="63">
        <v>1</v>
      </c>
      <c r="AZ14" s="63">
        <v>54.78</v>
      </c>
      <c r="BA14" s="63">
        <v>74.27</v>
      </c>
      <c r="BB14" s="63">
        <v>614.02</v>
      </c>
      <c r="BC14" s="63">
        <v>743.07</v>
      </c>
      <c r="BD14" s="97" t="s">
        <v>34</v>
      </c>
      <c r="BE14" s="97" t="s">
        <v>260</v>
      </c>
      <c r="BF14" s="99"/>
      <c r="BG14" s="100">
        <v>0</v>
      </c>
      <c r="BH14" s="100">
        <v>0</v>
      </c>
      <c r="BI14" s="99">
        <v>0</v>
      </c>
      <c r="BJ14" s="99">
        <v>0</v>
      </c>
      <c r="BK14" s="97" t="s">
        <v>34</v>
      </c>
      <c r="BL14" s="97" t="s">
        <v>260</v>
      </c>
      <c r="BM14" s="99"/>
      <c r="BN14" s="100">
        <v>0</v>
      </c>
      <c r="BO14" s="100">
        <v>0</v>
      </c>
      <c r="BP14" s="99">
        <v>0</v>
      </c>
      <c r="BQ14" s="99">
        <v>0</v>
      </c>
      <c r="BR14" s="97" t="s">
        <v>34</v>
      </c>
      <c r="BS14" s="97" t="s">
        <v>260</v>
      </c>
      <c r="BT14" s="99"/>
      <c r="BU14" s="100">
        <v>0</v>
      </c>
      <c r="BV14" s="100">
        <v>0</v>
      </c>
      <c r="BW14" s="99">
        <v>0</v>
      </c>
      <c r="BX14" s="99">
        <v>0</v>
      </c>
      <c r="BY14" s="63"/>
      <c r="BZ14" s="63"/>
      <c r="CA14" s="63"/>
      <c r="CB14" s="63"/>
      <c r="CC14" s="63"/>
      <c r="CD14" s="63"/>
      <c r="CE14" s="63"/>
      <c r="CF14" s="63"/>
      <c r="CG14" s="63"/>
      <c r="CH14" s="87" t="str">
        <f t="shared" si="0"/>
        <v>COM</v>
      </c>
      <c r="CI14" s="87" t="str">
        <f t="shared" si="1"/>
        <v xml:space="preserve"> 98930  </v>
      </c>
      <c r="CJ14" s="63">
        <f t="shared" si="2"/>
        <v>5142.9045499999993</v>
      </c>
      <c r="CK14" s="63" t="str">
        <f t="shared" si="3"/>
        <v>COM</v>
      </c>
      <c r="CL14" s="63" t="str">
        <f t="shared" si="4"/>
        <v xml:space="preserve"> 98930  </v>
      </c>
      <c r="CM14" s="63">
        <f t="shared" si="5"/>
        <v>6242.8157900000006</v>
      </c>
      <c r="CN14" s="63" t="str">
        <f t="shared" si="6"/>
        <v>COM</v>
      </c>
      <c r="CO14" s="63" t="str">
        <f t="shared" si="7"/>
        <v xml:space="preserve"> 98930  </v>
      </c>
      <c r="CP14" s="63">
        <f t="shared" si="8"/>
        <v>6699.2014600000002</v>
      </c>
      <c r="DD14" s="82" t="s">
        <v>36</v>
      </c>
      <c r="DE14" s="82" t="s">
        <v>75</v>
      </c>
      <c r="DF14" s="83">
        <v>70</v>
      </c>
      <c r="DG14" s="51" t="s">
        <v>40</v>
      </c>
      <c r="DH14" s="51" t="s">
        <v>75</v>
      </c>
      <c r="DI14" s="52">
        <v>24</v>
      </c>
      <c r="DJ14" s="51" t="s">
        <v>42</v>
      </c>
      <c r="DK14" s="51" t="s">
        <v>75</v>
      </c>
      <c r="DL14" s="52">
        <v>1</v>
      </c>
      <c r="DM14" s="82" t="s">
        <v>229</v>
      </c>
      <c r="DN14" s="83">
        <v>6460.72</v>
      </c>
      <c r="DO14" s="82" t="s">
        <v>228</v>
      </c>
      <c r="DP14" s="83">
        <v>2241.7600000000002</v>
      </c>
      <c r="DQ14" s="82" t="s">
        <v>96</v>
      </c>
      <c r="DR14" s="83">
        <v>13479.569999999996</v>
      </c>
      <c r="DS14" s="28" t="s">
        <v>101</v>
      </c>
      <c r="DT14">
        <v>185.77</v>
      </c>
      <c r="DU14" s="28" t="s">
        <v>97</v>
      </c>
      <c r="DV14">
        <v>875.23</v>
      </c>
      <c r="DW14" s="28" t="s">
        <v>101</v>
      </c>
      <c r="DX14">
        <v>26.82</v>
      </c>
    </row>
    <row r="15" spans="1:128" ht="15" customHeight="1" x14ac:dyDescent="0.2">
      <c r="A15" s="63" t="s">
        <v>34</v>
      </c>
      <c r="B15" s="63" t="s">
        <v>253</v>
      </c>
      <c r="C15" s="90">
        <v>21</v>
      </c>
      <c r="D15" s="63">
        <v>6404.16</v>
      </c>
      <c r="E15" s="63">
        <v>2597.5300000000002</v>
      </c>
      <c r="F15" s="63">
        <v>9506.0300000000007</v>
      </c>
      <c r="G15" s="63">
        <v>18507.72</v>
      </c>
      <c r="H15" s="97" t="s">
        <v>34</v>
      </c>
      <c r="I15" s="97" t="s">
        <v>253</v>
      </c>
      <c r="J15" s="163">
        <v>22</v>
      </c>
      <c r="K15" s="100">
        <v>5317.66</v>
      </c>
      <c r="L15" s="100">
        <v>2353.5100000000002</v>
      </c>
      <c r="M15" s="99">
        <v>10989.1</v>
      </c>
      <c r="N15" s="99">
        <v>18660.27</v>
      </c>
      <c r="O15" s="63" t="s">
        <v>34</v>
      </c>
      <c r="P15" s="63" t="s">
        <v>253</v>
      </c>
      <c r="Q15" s="90">
        <v>22</v>
      </c>
      <c r="R15" s="63">
        <v>18746.490000000002</v>
      </c>
      <c r="S15" s="63">
        <v>3335.86</v>
      </c>
      <c r="T15" s="63">
        <v>4863.8100000000004</v>
      </c>
      <c r="U15" s="63">
        <v>26946.16</v>
      </c>
      <c r="V15" s="65" t="s">
        <v>34</v>
      </c>
      <c r="W15" t="s">
        <v>69</v>
      </c>
      <c r="Y15" s="63"/>
      <c r="Z15" s="63"/>
      <c r="AA15" s="63"/>
      <c r="AB15" s="63"/>
      <c r="AC15">
        <v>2</v>
      </c>
      <c r="AD15" s="63">
        <v>27.21</v>
      </c>
      <c r="AE15" s="63">
        <v>0</v>
      </c>
      <c r="AF15" s="63">
        <v>0</v>
      </c>
      <c r="AG15" s="63">
        <v>27.21</v>
      </c>
      <c r="AI15" s="63"/>
      <c r="AJ15" s="63"/>
      <c r="AK15" s="63"/>
      <c r="AL15" s="63"/>
      <c r="AM15" s="63" t="s">
        <v>34</v>
      </c>
      <c r="AN15" s="63" t="s">
        <v>58</v>
      </c>
      <c r="AO15" s="63">
        <v>2</v>
      </c>
      <c r="AP15" s="63">
        <v>128.22</v>
      </c>
      <c r="AQ15" s="63">
        <v>133.96</v>
      </c>
      <c r="AR15" s="63">
        <v>260.51</v>
      </c>
      <c r="AS15" s="63">
        <v>522.69000000000005</v>
      </c>
      <c r="AT15" s="63">
        <v>2</v>
      </c>
      <c r="AU15" s="63">
        <v>133.66</v>
      </c>
      <c r="AV15" s="63">
        <v>128.22</v>
      </c>
      <c r="AW15" s="63">
        <v>329.98</v>
      </c>
      <c r="AX15" s="63">
        <v>591.86</v>
      </c>
      <c r="AY15" s="63">
        <v>2</v>
      </c>
      <c r="AZ15" s="63">
        <v>132.91</v>
      </c>
      <c r="BA15" s="63">
        <v>133.66</v>
      </c>
      <c r="BB15" s="63">
        <v>422.5</v>
      </c>
      <c r="BC15" s="63">
        <v>689.06999999999994</v>
      </c>
      <c r="BD15" s="97" t="s">
        <v>34</v>
      </c>
      <c r="BE15" s="97" t="s">
        <v>261</v>
      </c>
      <c r="BF15" s="99">
        <v>4</v>
      </c>
      <c r="BG15" s="100">
        <v>1032.08</v>
      </c>
      <c r="BH15" s="100">
        <v>1150.3399999999999</v>
      </c>
      <c r="BI15" s="99">
        <v>15795.81</v>
      </c>
      <c r="BJ15" s="99">
        <v>17978.23</v>
      </c>
      <c r="BK15" s="97" t="s">
        <v>34</v>
      </c>
      <c r="BL15" s="97" t="s">
        <v>261</v>
      </c>
      <c r="BM15" s="99">
        <v>4</v>
      </c>
      <c r="BN15" s="100">
        <v>718.42</v>
      </c>
      <c r="BO15" s="100">
        <v>1032.08</v>
      </c>
      <c r="BP15" s="99">
        <v>16894.400000000001</v>
      </c>
      <c r="BQ15" s="99">
        <v>18644.900000000001</v>
      </c>
      <c r="BR15" s="97" t="s">
        <v>34</v>
      </c>
      <c r="BS15" s="97" t="s">
        <v>261</v>
      </c>
      <c r="BT15" s="99">
        <v>4</v>
      </c>
      <c r="BU15" s="100">
        <v>695.77</v>
      </c>
      <c r="BV15" s="100">
        <v>691.38</v>
      </c>
      <c r="BW15" s="99">
        <v>17382.02</v>
      </c>
      <c r="BX15" s="99">
        <v>18769.169999999998</v>
      </c>
      <c r="BY15" s="63"/>
      <c r="BZ15" s="63"/>
      <c r="CA15" s="63"/>
      <c r="CB15" s="63"/>
      <c r="CC15" s="63"/>
      <c r="CD15" s="63"/>
      <c r="CE15" s="63"/>
      <c r="CF15" s="63"/>
      <c r="CG15" s="63"/>
      <c r="CH15" s="87" t="str">
        <f t="shared" si="0"/>
        <v>COM</v>
      </c>
      <c r="CI15" s="87" t="str">
        <f t="shared" si="1"/>
        <v xml:space="preserve"> 98932  </v>
      </c>
      <c r="CJ15" s="63">
        <f t="shared" si="2"/>
        <v>3013.3536199999999</v>
      </c>
      <c r="CK15" s="63" t="str">
        <f t="shared" si="3"/>
        <v>COM</v>
      </c>
      <c r="CL15" s="63" t="str">
        <f t="shared" si="4"/>
        <v xml:space="preserve"> 98932  </v>
      </c>
      <c r="CM15" s="63">
        <f t="shared" si="5"/>
        <v>3409.2035899999996</v>
      </c>
      <c r="CN15" s="63" t="str">
        <f t="shared" si="6"/>
        <v>COM</v>
      </c>
      <c r="CO15" s="63" t="str">
        <f t="shared" si="7"/>
        <v xml:space="preserve"> 98932  </v>
      </c>
      <c r="CP15" s="63">
        <f t="shared" si="8"/>
        <v>1915.7441100000001</v>
      </c>
      <c r="DD15" s="82" t="s">
        <v>37</v>
      </c>
      <c r="DE15" s="82" t="s">
        <v>75</v>
      </c>
      <c r="DF15" s="83">
        <v>12</v>
      </c>
      <c r="DG15" s="51" t="s">
        <v>42</v>
      </c>
      <c r="DH15" s="51" t="s">
        <v>75</v>
      </c>
      <c r="DI15" s="52">
        <v>2</v>
      </c>
      <c r="DJ15" s="51" t="s">
        <v>43</v>
      </c>
      <c r="DK15" s="51" t="s">
        <v>75</v>
      </c>
      <c r="DL15" s="52">
        <v>2</v>
      </c>
      <c r="DM15" s="82" t="s">
        <v>94</v>
      </c>
      <c r="DN15" s="83">
        <v>1754.52</v>
      </c>
      <c r="DO15" s="82" t="s">
        <v>96</v>
      </c>
      <c r="DP15" s="83">
        <v>6774.0999999999995</v>
      </c>
      <c r="DQ15" s="82" t="s">
        <v>229</v>
      </c>
      <c r="DR15" s="83">
        <v>13118.890000000001</v>
      </c>
      <c r="DS15" s="28" t="s">
        <v>112</v>
      </c>
      <c r="DT15">
        <v>107.29</v>
      </c>
      <c r="DU15" s="28" t="s">
        <v>107</v>
      </c>
      <c r="DV15">
        <v>351.48</v>
      </c>
      <c r="DW15" s="28" t="s">
        <v>92</v>
      </c>
      <c r="DX15">
        <v>206.48</v>
      </c>
    </row>
    <row r="16" spans="1:128" ht="15" customHeight="1" x14ac:dyDescent="0.2">
      <c r="A16" s="63" t="s">
        <v>34</v>
      </c>
      <c r="B16" s="63" t="s">
        <v>254</v>
      </c>
      <c r="C16" s="90">
        <v>10</v>
      </c>
      <c r="D16" s="63">
        <v>4962.75</v>
      </c>
      <c r="E16" s="63">
        <v>4707.51</v>
      </c>
      <c r="F16" s="63">
        <v>9254.01</v>
      </c>
      <c r="G16" s="63">
        <v>18924.27</v>
      </c>
      <c r="H16" s="97" t="s">
        <v>34</v>
      </c>
      <c r="I16" s="97" t="s">
        <v>254</v>
      </c>
      <c r="J16" s="163">
        <v>15</v>
      </c>
      <c r="K16" s="100">
        <v>12472.63</v>
      </c>
      <c r="L16" s="100">
        <v>4343.49</v>
      </c>
      <c r="M16" s="99">
        <v>9700.11</v>
      </c>
      <c r="N16" s="99">
        <v>26516.23</v>
      </c>
      <c r="O16" s="63" t="s">
        <v>34</v>
      </c>
      <c r="P16" s="63" t="s">
        <v>254</v>
      </c>
      <c r="Q16" s="90">
        <v>9</v>
      </c>
      <c r="R16" s="63">
        <v>2245.06</v>
      </c>
      <c r="S16" s="63">
        <v>1212.82</v>
      </c>
      <c r="T16" s="63">
        <v>3237.76</v>
      </c>
      <c r="U16" s="63">
        <v>6695.64</v>
      </c>
      <c r="V16" s="64" t="s">
        <v>75</v>
      </c>
      <c r="W16" t="s">
        <v>35</v>
      </c>
      <c r="X16">
        <v>333</v>
      </c>
      <c r="Y16" s="63">
        <v>31436.930000000011</v>
      </c>
      <c r="Z16" s="63">
        <v>13117.869999999999</v>
      </c>
      <c r="AA16" s="63">
        <v>108321.59</v>
      </c>
      <c r="AB16" s="63">
        <v>152876.39000000007</v>
      </c>
      <c r="AC16">
        <v>336</v>
      </c>
      <c r="AD16" s="63">
        <v>38705.400000000016</v>
      </c>
      <c r="AE16" s="63">
        <v>26860.429999999989</v>
      </c>
      <c r="AF16" s="63">
        <v>96853.610000000044</v>
      </c>
      <c r="AG16" s="63">
        <v>162419.43999999994</v>
      </c>
      <c r="AH16">
        <v>305</v>
      </c>
      <c r="AI16" s="63">
        <v>31631.389999999985</v>
      </c>
      <c r="AJ16" s="63">
        <v>28430.359999999997</v>
      </c>
      <c r="AK16" s="63">
        <v>100862.74000000006</v>
      </c>
      <c r="AL16" s="63">
        <v>160924.49000000005</v>
      </c>
      <c r="AM16" s="63" t="s">
        <v>34</v>
      </c>
      <c r="AN16" s="63" t="s">
        <v>64</v>
      </c>
      <c r="AO16" s="63">
        <v>1</v>
      </c>
      <c r="AP16" s="63">
        <v>144.96</v>
      </c>
      <c r="AQ16" s="63">
        <v>126.21</v>
      </c>
      <c r="AR16" s="63">
        <v>904.68</v>
      </c>
      <c r="AS16" s="63">
        <v>1175.8499999999999</v>
      </c>
      <c r="AT16" s="63">
        <v>1</v>
      </c>
      <c r="AU16" s="63">
        <v>118.02</v>
      </c>
      <c r="AV16" s="63">
        <v>144.96</v>
      </c>
      <c r="AW16" s="63">
        <v>1030.8900000000001</v>
      </c>
      <c r="AX16" s="63">
        <v>1293.8699999999999</v>
      </c>
      <c r="AY16" s="63">
        <v>1</v>
      </c>
      <c r="AZ16" s="63">
        <v>100.32</v>
      </c>
      <c r="BA16" s="63">
        <v>118.02</v>
      </c>
      <c r="BB16" s="63">
        <v>1175.8499999999999</v>
      </c>
      <c r="BC16" s="63">
        <v>1394.19</v>
      </c>
      <c r="BD16" s="97" t="s">
        <v>34</v>
      </c>
      <c r="BE16" s="97" t="s">
        <v>262</v>
      </c>
      <c r="BF16" s="99"/>
      <c r="BG16" s="100">
        <v>0</v>
      </c>
      <c r="BH16" s="100">
        <v>0</v>
      </c>
      <c r="BI16" s="99">
        <v>0</v>
      </c>
      <c r="BJ16" s="99">
        <v>0</v>
      </c>
      <c r="BK16" s="97" t="s">
        <v>34</v>
      </c>
      <c r="BL16" s="97" t="s">
        <v>262</v>
      </c>
      <c r="BM16" s="99"/>
      <c r="BN16" s="100">
        <v>0</v>
      </c>
      <c r="BO16" s="100">
        <v>0</v>
      </c>
      <c r="BP16" s="99">
        <v>0</v>
      </c>
      <c r="BQ16" s="99">
        <v>0</v>
      </c>
      <c r="BR16" s="97" t="s">
        <v>34</v>
      </c>
      <c r="BS16" s="97" t="s">
        <v>262</v>
      </c>
      <c r="BT16" s="99"/>
      <c r="BU16" s="100">
        <v>0</v>
      </c>
      <c r="BV16" s="100">
        <v>0</v>
      </c>
      <c r="BW16" s="99">
        <v>0</v>
      </c>
      <c r="BX16" s="99">
        <v>0</v>
      </c>
      <c r="BY16" s="63"/>
      <c r="BZ16" s="63"/>
      <c r="CA16" s="63"/>
      <c r="CB16" s="63"/>
      <c r="CC16" s="63"/>
      <c r="CD16" s="63"/>
      <c r="CE16" s="63"/>
      <c r="CF16" s="63"/>
      <c r="CG16" s="63"/>
      <c r="CH16" s="87" t="str">
        <f t="shared" si="0"/>
        <v>COM</v>
      </c>
      <c r="CI16" s="87" t="str">
        <f t="shared" si="1"/>
        <v xml:space="preserve"> 98933  </v>
      </c>
      <c r="CJ16" s="63">
        <f t="shared" si="2"/>
        <v>3050.3860199999999</v>
      </c>
      <c r="CK16" s="63" t="str">
        <f t="shared" si="3"/>
        <v>COM</v>
      </c>
      <c r="CL16" s="63" t="str">
        <f t="shared" si="4"/>
        <v xml:space="preserve"> 98933  </v>
      </c>
      <c r="CM16" s="63">
        <f t="shared" si="5"/>
        <v>3276.5337400000003</v>
      </c>
      <c r="CN16" s="63" t="str">
        <f t="shared" si="6"/>
        <v>COM</v>
      </c>
      <c r="CO16" s="63" t="str">
        <f t="shared" si="7"/>
        <v xml:space="preserve"> 98933  </v>
      </c>
      <c r="CP16" s="63">
        <f t="shared" si="8"/>
        <v>1048.04126</v>
      </c>
      <c r="DD16" s="82" t="s">
        <v>40</v>
      </c>
      <c r="DE16" s="82" t="s">
        <v>75</v>
      </c>
      <c r="DF16" s="83">
        <v>27</v>
      </c>
      <c r="DG16" s="51" t="s">
        <v>43</v>
      </c>
      <c r="DH16" s="51" t="s">
        <v>75</v>
      </c>
      <c r="DI16" s="52">
        <v>2</v>
      </c>
      <c r="DJ16" s="51" t="s">
        <v>44</v>
      </c>
      <c r="DK16" s="51" t="s">
        <v>75</v>
      </c>
      <c r="DL16" s="52">
        <v>11</v>
      </c>
      <c r="DM16" s="82" t="s">
        <v>95</v>
      </c>
      <c r="DN16" s="83">
        <v>812.97</v>
      </c>
      <c r="DO16" s="82" t="s">
        <v>94</v>
      </c>
      <c r="DP16" s="83">
        <v>4968.25</v>
      </c>
      <c r="DQ16" s="82" t="s">
        <v>94</v>
      </c>
      <c r="DR16" s="83">
        <v>3960.69</v>
      </c>
      <c r="DS16" s="28" t="s">
        <v>108</v>
      </c>
      <c r="DT16">
        <v>531.48</v>
      </c>
      <c r="DU16" s="28" t="s">
        <v>99</v>
      </c>
      <c r="DV16">
        <v>13.72</v>
      </c>
      <c r="DW16" s="28" t="s">
        <v>108</v>
      </c>
      <c r="DX16">
        <v>37.520000000000003</v>
      </c>
    </row>
    <row r="17" spans="1:128" ht="15" customHeight="1" x14ac:dyDescent="0.2">
      <c r="A17" s="63" t="s">
        <v>34</v>
      </c>
      <c r="B17" s="63" t="s">
        <v>255</v>
      </c>
      <c r="C17" s="90">
        <v>3</v>
      </c>
      <c r="D17" s="63">
        <v>894.92</v>
      </c>
      <c r="E17" s="63">
        <v>251.12</v>
      </c>
      <c r="F17" s="63">
        <v>3411</v>
      </c>
      <c r="G17" s="63">
        <v>4557.04</v>
      </c>
      <c r="H17" s="97" t="s">
        <v>34</v>
      </c>
      <c r="I17" s="97" t="s">
        <v>255</v>
      </c>
      <c r="J17" s="163">
        <v>5</v>
      </c>
      <c r="K17" s="100">
        <v>2304.4499999999998</v>
      </c>
      <c r="L17" s="100">
        <v>894.92</v>
      </c>
      <c r="M17" s="99">
        <v>3660.62</v>
      </c>
      <c r="N17" s="99">
        <v>6859.99</v>
      </c>
      <c r="O17" s="63" t="s">
        <v>34</v>
      </c>
      <c r="P17" s="63" t="s">
        <v>255</v>
      </c>
      <c r="Q17" s="90">
        <v>3</v>
      </c>
      <c r="R17" s="63">
        <v>248.54</v>
      </c>
      <c r="S17" s="63">
        <v>149.49</v>
      </c>
      <c r="T17" s="63">
        <v>4195.9399999999996</v>
      </c>
      <c r="U17" s="63">
        <v>4593.97</v>
      </c>
      <c r="V17" s="64" t="s">
        <v>75</v>
      </c>
      <c r="W17" t="s">
        <v>36</v>
      </c>
      <c r="X17">
        <v>499</v>
      </c>
      <c r="Y17" s="63">
        <v>58180.5</v>
      </c>
      <c r="Z17" s="63">
        <v>37954.749999999985</v>
      </c>
      <c r="AA17" s="63">
        <v>129300.97000000002</v>
      </c>
      <c r="AB17" s="63">
        <v>225436.21999999991</v>
      </c>
      <c r="AC17">
        <v>435</v>
      </c>
      <c r="AD17" s="63">
        <v>49054.080000000016</v>
      </c>
      <c r="AE17" s="63">
        <v>36710.58</v>
      </c>
      <c r="AF17" s="63">
        <v>125421.33000000007</v>
      </c>
      <c r="AG17" s="63">
        <v>211185.99000000022</v>
      </c>
      <c r="AH17">
        <v>404</v>
      </c>
      <c r="AI17" s="63">
        <v>48531.760000000017</v>
      </c>
      <c r="AJ17" s="63">
        <v>30608.820000000007</v>
      </c>
      <c r="AK17" s="63">
        <v>129772.16000000008</v>
      </c>
      <c r="AL17" s="63">
        <v>208912.74000000017</v>
      </c>
      <c r="AM17" s="63" t="s">
        <v>75</v>
      </c>
      <c r="AN17" s="63" t="s">
        <v>35</v>
      </c>
      <c r="AO17" s="63">
        <v>211</v>
      </c>
      <c r="AP17" s="63">
        <v>26722.789999999979</v>
      </c>
      <c r="AQ17" s="63">
        <v>14655.059999999996</v>
      </c>
      <c r="AR17" s="63">
        <v>64402.299999999988</v>
      </c>
      <c r="AS17" s="63">
        <v>105780.15000000004</v>
      </c>
      <c r="AT17" s="63">
        <v>273</v>
      </c>
      <c r="AU17" s="63">
        <v>23274.179999999993</v>
      </c>
      <c r="AV17" s="63">
        <v>18765.139999999989</v>
      </c>
      <c r="AW17" s="63">
        <v>59339.409999999989</v>
      </c>
      <c r="AX17" s="63">
        <v>101378.7300000001</v>
      </c>
      <c r="AY17" s="63">
        <v>288</v>
      </c>
      <c r="AZ17" s="63">
        <v>19098.05000000001</v>
      </c>
      <c r="BA17" s="63">
        <v>18716.599999999984</v>
      </c>
      <c r="BB17" s="63">
        <v>68141.52999999997</v>
      </c>
      <c r="BC17" s="63">
        <v>105956.18</v>
      </c>
      <c r="BD17" s="97" t="s">
        <v>34</v>
      </c>
      <c r="BE17" s="97" t="s">
        <v>263</v>
      </c>
      <c r="BF17" s="99">
        <v>12</v>
      </c>
      <c r="BG17" s="100">
        <v>7009.14</v>
      </c>
      <c r="BH17" s="100">
        <v>6796.64</v>
      </c>
      <c r="BI17" s="99">
        <v>12804.87</v>
      </c>
      <c r="BJ17" s="99">
        <v>26610.65</v>
      </c>
      <c r="BK17" s="97" t="s">
        <v>34</v>
      </c>
      <c r="BL17" s="97" t="s">
        <v>263</v>
      </c>
      <c r="BM17" s="99">
        <v>10</v>
      </c>
      <c r="BN17" s="100">
        <v>1313.7</v>
      </c>
      <c r="BO17" s="100">
        <v>5363.27</v>
      </c>
      <c r="BP17" s="99">
        <v>8252.94</v>
      </c>
      <c r="BQ17" s="99">
        <v>14929.91</v>
      </c>
      <c r="BR17" s="97" t="s">
        <v>34</v>
      </c>
      <c r="BS17" s="97" t="s">
        <v>263</v>
      </c>
      <c r="BT17" s="99">
        <v>11</v>
      </c>
      <c r="BU17" s="100">
        <v>2391.38</v>
      </c>
      <c r="BV17" s="100">
        <v>3562.5</v>
      </c>
      <c r="BW17" s="99">
        <v>9960.16</v>
      </c>
      <c r="BX17" s="99">
        <v>15914.04</v>
      </c>
      <c r="BY17" s="63"/>
      <c r="BZ17" s="63"/>
      <c r="CA17" s="63"/>
      <c r="CB17" s="63"/>
      <c r="CC17" s="63"/>
      <c r="CD17" s="63"/>
      <c r="CE17" s="63"/>
      <c r="CF17" s="63"/>
      <c r="CG17" s="63"/>
      <c r="CH17" s="87" t="str">
        <f t="shared" si="0"/>
        <v>COM</v>
      </c>
      <c r="CI17" s="87" t="str">
        <f t="shared" si="1"/>
        <v xml:space="preserve"> 98935  </v>
      </c>
      <c r="CJ17" s="63">
        <f t="shared" si="2"/>
        <v>1015.9182799999999</v>
      </c>
      <c r="CK17" s="63" t="str">
        <f t="shared" si="3"/>
        <v>COM</v>
      </c>
      <c r="CL17" s="63" t="str">
        <f t="shared" si="4"/>
        <v xml:space="preserve"> 98935  </v>
      </c>
      <c r="CM17" s="63">
        <f t="shared" si="5"/>
        <v>1151.1703399999999</v>
      </c>
      <c r="CN17" s="63" t="str">
        <f t="shared" si="6"/>
        <v>COM</v>
      </c>
      <c r="CO17" s="63" t="str">
        <f t="shared" si="7"/>
        <v xml:space="preserve"> 98935  </v>
      </c>
      <c r="CP17" s="63">
        <f t="shared" si="8"/>
        <v>1226.02117</v>
      </c>
      <c r="DD17" s="82" t="s">
        <v>42</v>
      </c>
      <c r="DE17" s="82" t="s">
        <v>75</v>
      </c>
      <c r="DF17" s="83">
        <v>1</v>
      </c>
      <c r="DG17" s="51" t="s">
        <v>44</v>
      </c>
      <c r="DH17" s="51" t="s">
        <v>75</v>
      </c>
      <c r="DI17" s="52">
        <v>10</v>
      </c>
      <c r="DJ17" s="51" t="s">
        <v>45</v>
      </c>
      <c r="DK17" s="51" t="s">
        <v>75</v>
      </c>
      <c r="DL17" s="52">
        <v>8</v>
      </c>
      <c r="DM17" s="82" t="s">
        <v>97</v>
      </c>
      <c r="DN17" s="83">
        <v>10833.52</v>
      </c>
      <c r="DO17" s="82" t="s">
        <v>97</v>
      </c>
      <c r="DP17" s="83">
        <v>4970.0099999999993</v>
      </c>
      <c r="DQ17" s="82" t="s">
        <v>97</v>
      </c>
      <c r="DR17" s="83">
        <v>987.61</v>
      </c>
      <c r="DS17" s="28" t="s">
        <v>239</v>
      </c>
      <c r="DT17">
        <v>55.27</v>
      </c>
      <c r="DU17" s="28" t="s">
        <v>91</v>
      </c>
      <c r="DV17">
        <v>57.73</v>
      </c>
      <c r="DW17" s="28" t="s">
        <v>109</v>
      </c>
      <c r="DX17">
        <v>38.24</v>
      </c>
    </row>
    <row r="18" spans="1:128" ht="15" customHeight="1" x14ac:dyDescent="0.2">
      <c r="A18" s="63" t="s">
        <v>34</v>
      </c>
      <c r="B18" s="63" t="s">
        <v>256</v>
      </c>
      <c r="C18" s="90">
        <v>22</v>
      </c>
      <c r="D18" s="63">
        <v>5597.76</v>
      </c>
      <c r="E18" s="63">
        <v>3459.05</v>
      </c>
      <c r="F18" s="63">
        <v>10766.45</v>
      </c>
      <c r="G18" s="63">
        <v>19823.259999999998</v>
      </c>
      <c r="H18" s="97" t="s">
        <v>34</v>
      </c>
      <c r="I18" s="97" t="s">
        <v>256</v>
      </c>
      <c r="J18" s="163">
        <v>28</v>
      </c>
      <c r="K18" s="100">
        <v>2671.01</v>
      </c>
      <c r="L18" s="100">
        <v>4117.3999999999996</v>
      </c>
      <c r="M18" s="99">
        <v>13328.91</v>
      </c>
      <c r="N18" s="99">
        <v>20117.32</v>
      </c>
      <c r="O18" s="63" t="s">
        <v>34</v>
      </c>
      <c r="P18" s="63" t="s">
        <v>256</v>
      </c>
      <c r="Q18" s="90">
        <v>23</v>
      </c>
      <c r="R18" s="63">
        <v>1451.96</v>
      </c>
      <c r="S18" s="63">
        <v>1007.84</v>
      </c>
      <c r="T18" s="63">
        <v>12022.74</v>
      </c>
      <c r="U18" s="63">
        <v>14482.54</v>
      </c>
      <c r="V18" s="64" t="s">
        <v>75</v>
      </c>
      <c r="W18" t="s">
        <v>37</v>
      </c>
      <c r="X18">
        <v>154</v>
      </c>
      <c r="Y18" s="63">
        <v>12124.110000000002</v>
      </c>
      <c r="Z18" s="63">
        <v>17322.79</v>
      </c>
      <c r="AA18" s="63">
        <v>46842.47</v>
      </c>
      <c r="AB18" s="63">
        <v>76289.369999999981</v>
      </c>
      <c r="AC18">
        <v>135</v>
      </c>
      <c r="AD18" s="63">
        <v>23367.7</v>
      </c>
      <c r="AE18" s="63">
        <v>12528.059999999996</v>
      </c>
      <c r="AF18" s="63">
        <v>42778.3</v>
      </c>
      <c r="AG18" s="63">
        <v>78674.059999999969</v>
      </c>
      <c r="AH18">
        <v>128</v>
      </c>
      <c r="AI18" s="63">
        <v>19977.450000000004</v>
      </c>
      <c r="AJ18" s="63">
        <v>15623.970000000003</v>
      </c>
      <c r="AK18" s="63">
        <v>39963.990000000005</v>
      </c>
      <c r="AL18" s="63">
        <v>75565.410000000018</v>
      </c>
      <c r="AM18" s="63" t="s">
        <v>75</v>
      </c>
      <c r="AN18" s="63" t="s">
        <v>36</v>
      </c>
      <c r="AO18" s="63">
        <v>365</v>
      </c>
      <c r="AP18" s="63">
        <v>40123.880000000026</v>
      </c>
      <c r="AQ18" s="63">
        <v>21211.610000000011</v>
      </c>
      <c r="AR18" s="63">
        <v>81045.709999999977</v>
      </c>
      <c r="AS18" s="63">
        <v>142381.20000000007</v>
      </c>
      <c r="AT18" s="63">
        <v>462</v>
      </c>
      <c r="AU18" s="63">
        <v>36110.44999999999</v>
      </c>
      <c r="AV18" s="63">
        <v>31734.28</v>
      </c>
      <c r="AW18" s="63">
        <v>76670.480000000025</v>
      </c>
      <c r="AX18" s="63">
        <v>144515.21000000014</v>
      </c>
      <c r="AY18" s="63">
        <v>450</v>
      </c>
      <c r="AZ18" s="63">
        <v>27560.960000000017</v>
      </c>
      <c r="BA18" s="63">
        <v>27924.91</v>
      </c>
      <c r="BB18" s="63">
        <v>90407.959999999977</v>
      </c>
      <c r="BC18" s="63">
        <v>145893.82999999999</v>
      </c>
      <c r="BD18" s="97" t="s">
        <v>34</v>
      </c>
      <c r="BE18" s="97" t="s">
        <v>264</v>
      </c>
      <c r="BF18" s="99"/>
      <c r="BG18" s="100">
        <v>0</v>
      </c>
      <c r="BH18" s="100">
        <v>0</v>
      </c>
      <c r="BI18" s="99">
        <v>0</v>
      </c>
      <c r="BJ18" s="99">
        <v>0</v>
      </c>
      <c r="BK18" s="97" t="s">
        <v>34</v>
      </c>
      <c r="BL18" s="97" t="s">
        <v>264</v>
      </c>
      <c r="BM18" s="99">
        <v>1</v>
      </c>
      <c r="BN18" s="100">
        <v>13.93</v>
      </c>
      <c r="BO18" s="100">
        <v>0</v>
      </c>
      <c r="BP18" s="99">
        <v>0</v>
      </c>
      <c r="BQ18" s="99">
        <v>13.93</v>
      </c>
      <c r="BR18" s="97" t="s">
        <v>34</v>
      </c>
      <c r="BS18" s="97" t="s">
        <v>264</v>
      </c>
      <c r="BT18" s="99"/>
      <c r="BU18" s="100">
        <v>0</v>
      </c>
      <c r="BV18" s="100">
        <v>0</v>
      </c>
      <c r="BW18" s="99">
        <v>0</v>
      </c>
      <c r="BX18" s="99">
        <v>0</v>
      </c>
      <c r="BY18" s="63"/>
      <c r="BZ18" s="63"/>
      <c r="CA18" s="63"/>
      <c r="CB18" s="63"/>
      <c r="CC18" s="63"/>
      <c r="CD18" s="63"/>
      <c r="CE18" s="63"/>
      <c r="CF18" s="63"/>
      <c r="CG18" s="63"/>
      <c r="CH18" s="87" t="str">
        <f t="shared" si="0"/>
        <v>COM</v>
      </c>
      <c r="CI18" s="87" t="str">
        <f t="shared" si="1"/>
        <v xml:space="preserve"> 98936  </v>
      </c>
      <c r="CJ18" s="63">
        <f t="shared" si="2"/>
        <v>3418.9883599999998</v>
      </c>
      <c r="CK18" s="63" t="str">
        <f t="shared" si="3"/>
        <v>COM</v>
      </c>
      <c r="CL18" s="63" t="str">
        <f t="shared" si="4"/>
        <v xml:space="preserve"> 98936  </v>
      </c>
      <c r="CM18" s="63">
        <f t="shared" si="5"/>
        <v>4154.1873499999992</v>
      </c>
      <c r="CN18" s="63" t="str">
        <f t="shared" si="6"/>
        <v>COM</v>
      </c>
      <c r="CO18" s="63" t="str">
        <f t="shared" si="7"/>
        <v xml:space="preserve"> 98936  </v>
      </c>
      <c r="CP18" s="63">
        <f t="shared" si="8"/>
        <v>3561.2971399999997</v>
      </c>
      <c r="DD18" s="82" t="s">
        <v>44</v>
      </c>
      <c r="DE18" s="82" t="s">
        <v>75</v>
      </c>
      <c r="DF18" s="83">
        <v>10</v>
      </c>
      <c r="DG18" s="51" t="s">
        <v>45</v>
      </c>
      <c r="DH18" s="51" t="s">
        <v>75</v>
      </c>
      <c r="DI18" s="52">
        <v>10</v>
      </c>
      <c r="DJ18" s="51" t="s">
        <v>47</v>
      </c>
      <c r="DK18" s="51" t="s">
        <v>75</v>
      </c>
      <c r="DL18" s="52">
        <v>5</v>
      </c>
      <c r="DM18" s="82" t="s">
        <v>235</v>
      </c>
      <c r="DN18" s="83">
        <v>3408.66</v>
      </c>
      <c r="DO18" s="82" t="s">
        <v>98</v>
      </c>
      <c r="DP18" s="83">
        <v>1795.8400000000001</v>
      </c>
      <c r="DQ18" s="82" t="s">
        <v>98</v>
      </c>
      <c r="DR18" s="83">
        <v>8728.6899999999987</v>
      </c>
      <c r="DS18" s="28" t="s">
        <v>102</v>
      </c>
      <c r="DT18">
        <v>420.68</v>
      </c>
      <c r="DU18" s="28" t="s">
        <v>100</v>
      </c>
      <c r="DV18">
        <v>366.25</v>
      </c>
      <c r="DW18" s="28" t="s">
        <v>103</v>
      </c>
      <c r="DX18">
        <v>62.370000000000005</v>
      </c>
    </row>
    <row r="19" spans="1:128" ht="16" x14ac:dyDescent="0.2">
      <c r="A19" s="63" t="s">
        <v>34</v>
      </c>
      <c r="B19" s="63" t="s">
        <v>257</v>
      </c>
      <c r="C19" s="90">
        <v>30</v>
      </c>
      <c r="D19" s="63">
        <v>7391.49</v>
      </c>
      <c r="E19" s="63">
        <v>4778.6499999999996</v>
      </c>
      <c r="F19" s="63">
        <v>8347.56</v>
      </c>
      <c r="G19" s="63">
        <v>20517.7</v>
      </c>
      <c r="H19" s="97" t="s">
        <v>34</v>
      </c>
      <c r="I19" s="97" t="s">
        <v>257</v>
      </c>
      <c r="J19" s="163">
        <v>23</v>
      </c>
      <c r="K19" s="100">
        <v>22048.7</v>
      </c>
      <c r="L19" s="100">
        <v>2871.67</v>
      </c>
      <c r="M19" s="99">
        <v>10115.209999999999</v>
      </c>
      <c r="N19" s="99">
        <v>35035.58</v>
      </c>
      <c r="O19" s="63" t="s">
        <v>34</v>
      </c>
      <c r="P19" s="63" t="s">
        <v>257</v>
      </c>
      <c r="Q19" s="90">
        <v>24</v>
      </c>
      <c r="R19" s="63">
        <v>4627.24</v>
      </c>
      <c r="S19" s="63">
        <v>2140.11</v>
      </c>
      <c r="T19" s="63">
        <v>10508.45</v>
      </c>
      <c r="U19" s="63">
        <v>17275.8</v>
      </c>
      <c r="V19" s="64" t="s">
        <v>75</v>
      </c>
      <c r="W19" t="s">
        <v>40</v>
      </c>
      <c r="X19">
        <v>134</v>
      </c>
      <c r="Y19" s="63">
        <v>20642.350000000002</v>
      </c>
      <c r="Z19" s="63">
        <v>10329.730000000001</v>
      </c>
      <c r="AA19" s="63">
        <v>39272.14</v>
      </c>
      <c r="AB19" s="63">
        <v>70244.219999999972</v>
      </c>
      <c r="AC19">
        <v>122</v>
      </c>
      <c r="AD19" s="63">
        <v>17080.960000000003</v>
      </c>
      <c r="AE19" s="63">
        <v>14339.39</v>
      </c>
      <c r="AF19" s="63">
        <v>39897.889999999992</v>
      </c>
      <c r="AG19" s="63">
        <v>71318.239999999976</v>
      </c>
      <c r="AH19">
        <v>129</v>
      </c>
      <c r="AI19" s="63">
        <v>17412.430000000004</v>
      </c>
      <c r="AJ19" s="63">
        <v>12146.710000000003</v>
      </c>
      <c r="AK19" s="63">
        <v>40888.28</v>
      </c>
      <c r="AL19" s="63">
        <v>70447.419999999969</v>
      </c>
      <c r="AM19" s="63" t="s">
        <v>75</v>
      </c>
      <c r="AN19" s="63" t="s">
        <v>37</v>
      </c>
      <c r="AO19" s="63">
        <v>80</v>
      </c>
      <c r="AP19" s="63">
        <v>16663.53</v>
      </c>
      <c r="AQ19" s="63">
        <v>5417.21</v>
      </c>
      <c r="AR19" s="63">
        <v>25254.269999999997</v>
      </c>
      <c r="AS19" s="63">
        <v>47335.00999999998</v>
      </c>
      <c r="AT19" s="63">
        <v>113</v>
      </c>
      <c r="AU19" s="63">
        <v>11637.790000000003</v>
      </c>
      <c r="AV19" s="63">
        <v>10980.169999999998</v>
      </c>
      <c r="AW19" s="63">
        <v>25342.269999999997</v>
      </c>
      <c r="AX19" s="63">
        <v>47960.230000000018</v>
      </c>
      <c r="AY19" s="63">
        <v>112</v>
      </c>
      <c r="AZ19" s="63">
        <v>6240.24</v>
      </c>
      <c r="BA19" s="63">
        <v>11103.550000000003</v>
      </c>
      <c r="BB19" s="63">
        <v>28124.939999999991</v>
      </c>
      <c r="BC19" s="63">
        <v>45468.729999999981</v>
      </c>
      <c r="BD19" s="97" t="s">
        <v>34</v>
      </c>
      <c r="BE19" s="97" t="s">
        <v>265</v>
      </c>
      <c r="BF19" s="99">
        <v>1</v>
      </c>
      <c r="BG19" s="100">
        <v>9.94</v>
      </c>
      <c r="BH19" s="100">
        <v>0</v>
      </c>
      <c r="BI19" s="99">
        <v>0</v>
      </c>
      <c r="BJ19" s="99">
        <v>9.94</v>
      </c>
      <c r="BK19" s="97" t="s">
        <v>34</v>
      </c>
      <c r="BL19" s="97" t="s">
        <v>265</v>
      </c>
      <c r="BM19" s="99">
        <v>1</v>
      </c>
      <c r="BN19" s="100">
        <v>78.38</v>
      </c>
      <c r="BO19" s="100">
        <v>9.94</v>
      </c>
      <c r="BP19" s="99">
        <v>0</v>
      </c>
      <c r="BQ19" s="99">
        <v>88.32</v>
      </c>
      <c r="BR19" s="97" t="s">
        <v>34</v>
      </c>
      <c r="BS19" s="97" t="s">
        <v>265</v>
      </c>
      <c r="BT19" s="99">
        <v>1</v>
      </c>
      <c r="BU19" s="100">
        <v>93.93</v>
      </c>
      <c r="BV19" s="100">
        <v>78.38</v>
      </c>
      <c r="BW19" s="99">
        <v>9.94</v>
      </c>
      <c r="BX19" s="99">
        <v>182.25</v>
      </c>
      <c r="BY19" s="63"/>
      <c r="BZ19" s="63"/>
      <c r="CA19" s="63"/>
      <c r="CB19" s="63"/>
      <c r="CC19" s="63"/>
      <c r="CD19" s="63"/>
      <c r="CE19" s="63"/>
      <c r="CF19" s="63"/>
      <c r="CG19" s="63"/>
      <c r="CH19" s="87" t="str">
        <f t="shared" si="0"/>
        <v>COM</v>
      </c>
      <c r="CI19" s="87" t="str">
        <f t="shared" si="1"/>
        <v xml:space="preserve"> 98937  </v>
      </c>
      <c r="CJ19" s="63">
        <f t="shared" si="2"/>
        <v>2831.7636299999995</v>
      </c>
      <c r="CK19" s="63" t="str">
        <f t="shared" si="3"/>
        <v>COM</v>
      </c>
      <c r="CL19" s="63" t="str">
        <f t="shared" si="4"/>
        <v xml:space="preserve"> 98937  </v>
      </c>
      <c r="CM19" s="63">
        <f t="shared" si="5"/>
        <v>3456.9900999999995</v>
      </c>
      <c r="CN19" s="63" t="str">
        <f t="shared" si="6"/>
        <v>COM</v>
      </c>
      <c r="CO19" s="63" t="str">
        <f t="shared" si="7"/>
        <v xml:space="preserve"> 98937  </v>
      </c>
      <c r="CP19" s="63">
        <f t="shared" si="8"/>
        <v>3245.8048200000003</v>
      </c>
      <c r="DD19" s="82" t="s">
        <v>45</v>
      </c>
      <c r="DE19" s="82" t="s">
        <v>75</v>
      </c>
      <c r="DF19" s="83">
        <v>4</v>
      </c>
      <c r="DG19" s="51" t="s">
        <v>47</v>
      </c>
      <c r="DH19" s="51" t="s">
        <v>75</v>
      </c>
      <c r="DI19" s="52">
        <v>8</v>
      </c>
      <c r="DJ19" s="51" t="s">
        <v>48</v>
      </c>
      <c r="DK19" s="51" t="s">
        <v>75</v>
      </c>
      <c r="DL19" s="52">
        <v>5</v>
      </c>
      <c r="DM19" s="82" t="s">
        <v>98</v>
      </c>
      <c r="DN19" s="83">
        <v>4000.92</v>
      </c>
      <c r="DO19" s="82" t="s">
        <v>107</v>
      </c>
      <c r="DP19" s="83">
        <v>2345.36</v>
      </c>
      <c r="DQ19" s="82" t="s">
        <v>107</v>
      </c>
      <c r="DR19" s="83">
        <v>364.77</v>
      </c>
      <c r="DS19" s="28" t="s">
        <v>121</v>
      </c>
      <c r="DT19">
        <v>112.08</v>
      </c>
      <c r="DU19" s="28" t="s">
        <v>101</v>
      </c>
      <c r="DV19">
        <v>717.42</v>
      </c>
      <c r="DW19" s="28" t="s">
        <v>93</v>
      </c>
      <c r="DX19">
        <v>251.57</v>
      </c>
    </row>
    <row r="20" spans="1:128" ht="16" x14ac:dyDescent="0.2">
      <c r="A20" s="63" t="s">
        <v>34</v>
      </c>
      <c r="B20" s="63" t="s">
        <v>258</v>
      </c>
      <c r="C20" s="90">
        <v>10</v>
      </c>
      <c r="D20" s="63">
        <v>1289.72</v>
      </c>
      <c r="E20" s="63">
        <v>689.5</v>
      </c>
      <c r="F20" s="63">
        <v>2782.83</v>
      </c>
      <c r="G20" s="63">
        <v>4762.05</v>
      </c>
      <c r="H20" s="97" t="s">
        <v>34</v>
      </c>
      <c r="I20" s="97" t="s">
        <v>258</v>
      </c>
      <c r="J20" s="163">
        <v>10</v>
      </c>
      <c r="K20" s="100">
        <v>1068.6099999999999</v>
      </c>
      <c r="L20" s="100">
        <v>661.54</v>
      </c>
      <c r="M20" s="99">
        <v>3129.92</v>
      </c>
      <c r="N20" s="99">
        <v>4860.07</v>
      </c>
      <c r="O20" s="63" t="s">
        <v>34</v>
      </c>
      <c r="P20" s="63" t="s">
        <v>258</v>
      </c>
      <c r="Q20" s="90">
        <v>13</v>
      </c>
      <c r="R20" s="63">
        <v>38937.919999999998</v>
      </c>
      <c r="S20" s="63">
        <v>769.53</v>
      </c>
      <c r="T20" s="63">
        <v>3791.46</v>
      </c>
      <c r="U20" s="63">
        <v>43498.91</v>
      </c>
      <c r="V20" s="64" t="s">
        <v>75</v>
      </c>
      <c r="W20" t="s">
        <v>42</v>
      </c>
      <c r="X20">
        <v>30</v>
      </c>
      <c r="Y20" s="63">
        <v>3313.1399999999994</v>
      </c>
      <c r="Z20" s="63">
        <v>1536.6599999999996</v>
      </c>
      <c r="AA20" s="63">
        <v>4328.84</v>
      </c>
      <c r="AB20" s="63">
        <v>9178.64</v>
      </c>
      <c r="AC20">
        <v>28</v>
      </c>
      <c r="AD20" s="63">
        <v>3243.89</v>
      </c>
      <c r="AE20" s="63">
        <v>2346.98</v>
      </c>
      <c r="AF20" s="63">
        <v>4639.5800000000008</v>
      </c>
      <c r="AG20" s="63">
        <v>10230.449999999999</v>
      </c>
      <c r="AH20">
        <v>30</v>
      </c>
      <c r="AI20" s="63">
        <v>3107.6699999999996</v>
      </c>
      <c r="AJ20" s="63">
        <v>2536.5899999999997</v>
      </c>
      <c r="AK20" s="63">
        <v>5123.18</v>
      </c>
      <c r="AL20" s="63">
        <v>10767.439999999997</v>
      </c>
      <c r="AM20" s="63" t="s">
        <v>75</v>
      </c>
      <c r="AN20" s="63" t="s">
        <v>40</v>
      </c>
      <c r="AO20" s="63">
        <v>138</v>
      </c>
      <c r="AP20" s="63">
        <v>17828.72</v>
      </c>
      <c r="AQ20" s="63">
        <v>9196.399999999996</v>
      </c>
      <c r="AR20" s="63">
        <v>41411.760000000002</v>
      </c>
      <c r="AS20" s="63">
        <v>68436.88</v>
      </c>
      <c r="AT20" s="63">
        <v>127</v>
      </c>
      <c r="AU20" s="63">
        <v>11302.890000000001</v>
      </c>
      <c r="AV20" s="63">
        <v>9409.5499999999975</v>
      </c>
      <c r="AW20" s="63">
        <v>28493.629999999997</v>
      </c>
      <c r="AX20" s="63">
        <v>49206.07</v>
      </c>
      <c r="AY20" s="63">
        <v>141</v>
      </c>
      <c r="AZ20" s="63">
        <v>9534.850000000004</v>
      </c>
      <c r="BA20" s="63">
        <v>9004.5099999999984</v>
      </c>
      <c r="BB20" s="63">
        <v>33980.019999999997</v>
      </c>
      <c r="BC20" s="63">
        <v>52519.380000000005</v>
      </c>
      <c r="BD20" s="97" t="s">
        <v>34</v>
      </c>
      <c r="BE20" s="97" t="s">
        <v>266</v>
      </c>
      <c r="BF20" s="99">
        <v>2</v>
      </c>
      <c r="BG20" s="100">
        <v>103.17</v>
      </c>
      <c r="BH20" s="100">
        <v>99.01</v>
      </c>
      <c r="BI20" s="99">
        <v>2132.19</v>
      </c>
      <c r="BJ20" s="99">
        <v>2334.37</v>
      </c>
      <c r="BK20" s="97" t="s">
        <v>34</v>
      </c>
      <c r="BL20" s="97" t="s">
        <v>266</v>
      </c>
      <c r="BM20" s="99">
        <v>2</v>
      </c>
      <c r="BN20" s="100">
        <v>103.58</v>
      </c>
      <c r="BO20" s="100">
        <v>103.17</v>
      </c>
      <c r="BP20" s="99">
        <v>2231.1999999999998</v>
      </c>
      <c r="BQ20" s="99">
        <v>2437.9499999999998</v>
      </c>
      <c r="BR20" s="97" t="s">
        <v>34</v>
      </c>
      <c r="BS20" s="97" t="s">
        <v>266</v>
      </c>
      <c r="BT20" s="99">
        <v>2</v>
      </c>
      <c r="BU20" s="100">
        <v>98.37</v>
      </c>
      <c r="BV20" s="100">
        <v>103.58</v>
      </c>
      <c r="BW20" s="99">
        <v>2334.37</v>
      </c>
      <c r="BX20" s="99">
        <v>2536.3200000000002</v>
      </c>
      <c r="BY20" s="63"/>
      <c r="BZ20" s="63"/>
      <c r="CA20" s="63"/>
      <c r="CB20" s="63"/>
      <c r="CC20" s="63"/>
      <c r="CD20" s="63"/>
      <c r="CE20" s="63"/>
      <c r="CF20" s="63"/>
      <c r="CG20" s="63"/>
      <c r="CH20" s="87" t="str">
        <f t="shared" si="0"/>
        <v>COM</v>
      </c>
      <c r="CI20" s="87" t="str">
        <f t="shared" si="1"/>
        <v xml:space="preserve"> 98938  </v>
      </c>
      <c r="CJ20" s="63">
        <f t="shared" si="2"/>
        <v>868.31188999999995</v>
      </c>
      <c r="CK20" s="63" t="str">
        <f t="shared" si="3"/>
        <v>COM</v>
      </c>
      <c r="CL20" s="63" t="str">
        <f t="shared" si="4"/>
        <v xml:space="preserve"> 98938  </v>
      </c>
      <c r="CM20" s="63">
        <f t="shared" si="5"/>
        <v>963.32165999999995</v>
      </c>
      <c r="CN20" s="63" t="str">
        <f t="shared" si="6"/>
        <v>COM</v>
      </c>
      <c r="CO20" s="63" t="str">
        <f t="shared" si="7"/>
        <v xml:space="preserve"> 98938  </v>
      </c>
      <c r="CP20" s="63">
        <f t="shared" si="8"/>
        <v>1767.2190499999999</v>
      </c>
      <c r="DD20" s="82" t="s">
        <v>46</v>
      </c>
      <c r="DE20" s="82" t="s">
        <v>75</v>
      </c>
      <c r="DF20" s="83">
        <v>3</v>
      </c>
      <c r="DG20" s="51" t="s">
        <v>48</v>
      </c>
      <c r="DH20" s="51" t="s">
        <v>75</v>
      </c>
      <c r="DI20" s="52">
        <v>5</v>
      </c>
      <c r="DJ20" s="51" t="s">
        <v>49</v>
      </c>
      <c r="DK20" s="51" t="s">
        <v>75</v>
      </c>
      <c r="DL20" s="52">
        <v>1</v>
      </c>
      <c r="DM20" s="82" t="s">
        <v>107</v>
      </c>
      <c r="DN20" s="83">
        <v>1717.83</v>
      </c>
      <c r="DO20" s="82" t="s">
        <v>105</v>
      </c>
      <c r="DP20" s="83">
        <v>8805.58</v>
      </c>
      <c r="DQ20" s="82" t="s">
        <v>105</v>
      </c>
      <c r="DR20" s="83">
        <v>18833.21</v>
      </c>
      <c r="DS20" s="28" t="s">
        <v>93</v>
      </c>
      <c r="DT20">
        <v>676.85</v>
      </c>
      <c r="DU20" s="28" t="s">
        <v>106</v>
      </c>
      <c r="DV20">
        <v>4047.04</v>
      </c>
      <c r="DW20" s="82"/>
      <c r="DX20" s="83"/>
    </row>
    <row r="21" spans="1:128" ht="16" x14ac:dyDescent="0.2">
      <c r="A21" s="63" t="s">
        <v>34</v>
      </c>
      <c r="B21" s="63" t="s">
        <v>259</v>
      </c>
      <c r="C21" s="90">
        <v>3</v>
      </c>
      <c r="D21" s="63">
        <v>581.22</v>
      </c>
      <c r="E21" s="63">
        <v>356.52</v>
      </c>
      <c r="F21" s="63">
        <v>0</v>
      </c>
      <c r="G21" s="63">
        <v>937.74</v>
      </c>
      <c r="H21" s="97" t="s">
        <v>34</v>
      </c>
      <c r="I21" s="97" t="s">
        <v>259</v>
      </c>
      <c r="J21" s="163">
        <v>2</v>
      </c>
      <c r="K21" s="100">
        <v>479.74</v>
      </c>
      <c r="L21" s="100">
        <v>294.99</v>
      </c>
      <c r="M21" s="99">
        <v>336.27</v>
      </c>
      <c r="N21" s="99">
        <v>1111</v>
      </c>
      <c r="O21" s="63" t="s">
        <v>34</v>
      </c>
      <c r="P21" s="63" t="s">
        <v>259</v>
      </c>
      <c r="Q21" s="90">
        <v>2</v>
      </c>
      <c r="R21" s="63">
        <v>514.52</v>
      </c>
      <c r="S21" s="63">
        <v>479.74</v>
      </c>
      <c r="T21" s="63">
        <v>631.26</v>
      </c>
      <c r="U21" s="63">
        <v>1625.52</v>
      </c>
      <c r="V21" s="64" t="s">
        <v>75</v>
      </c>
      <c r="W21" t="s">
        <v>43</v>
      </c>
      <c r="X21">
        <v>12</v>
      </c>
      <c r="Y21" s="63">
        <v>1420.9800000000002</v>
      </c>
      <c r="Z21" s="63">
        <v>313.93999999999994</v>
      </c>
      <c r="AA21" s="63">
        <v>413.26</v>
      </c>
      <c r="AB21" s="63">
        <v>2148.1799999999998</v>
      </c>
      <c r="AC21">
        <v>10</v>
      </c>
      <c r="AD21" s="63">
        <v>956.47</v>
      </c>
      <c r="AE21" s="63">
        <v>378.18</v>
      </c>
      <c r="AF21" s="63">
        <v>613.78</v>
      </c>
      <c r="AG21" s="63">
        <v>1948.43</v>
      </c>
      <c r="AH21">
        <v>7</v>
      </c>
      <c r="AI21" s="63">
        <v>902.11999999999989</v>
      </c>
      <c r="AJ21" s="63">
        <v>540.22</v>
      </c>
      <c r="AK21" s="63">
        <v>504.24</v>
      </c>
      <c r="AL21" s="63">
        <v>1946.58</v>
      </c>
      <c r="AM21" s="63" t="s">
        <v>75</v>
      </c>
      <c r="AN21" s="63" t="s">
        <v>42</v>
      </c>
      <c r="AO21" s="63">
        <v>23</v>
      </c>
      <c r="AP21" s="63">
        <v>2429.46</v>
      </c>
      <c r="AQ21" s="63">
        <v>1661.6300000000003</v>
      </c>
      <c r="AR21" s="63">
        <v>2633.0899999999997</v>
      </c>
      <c r="AS21" s="63">
        <v>6724.18</v>
      </c>
      <c r="AT21" s="63">
        <v>17</v>
      </c>
      <c r="AU21" s="63">
        <v>1035.6299999999999</v>
      </c>
      <c r="AV21" s="63">
        <v>1118.9299999999998</v>
      </c>
      <c r="AW21" s="63">
        <v>812.84</v>
      </c>
      <c r="AX21" s="63">
        <v>2967.3999999999996</v>
      </c>
      <c r="AY21" s="63">
        <v>18</v>
      </c>
      <c r="AZ21" s="63">
        <v>1039.6600000000001</v>
      </c>
      <c r="BA21" s="63">
        <v>965.9</v>
      </c>
      <c r="BB21" s="63">
        <v>1440.7700000000002</v>
      </c>
      <c r="BC21" s="63">
        <v>3446.329999999999</v>
      </c>
      <c r="BD21" s="97" t="s">
        <v>34</v>
      </c>
      <c r="BE21" s="97" t="s">
        <v>268</v>
      </c>
      <c r="BF21" s="99">
        <v>1</v>
      </c>
      <c r="BG21" s="100">
        <v>66.91</v>
      </c>
      <c r="BH21" s="100">
        <v>0</v>
      </c>
      <c r="BI21" s="99">
        <v>0</v>
      </c>
      <c r="BJ21" s="99">
        <v>66.91</v>
      </c>
      <c r="BK21" s="97" t="s">
        <v>34</v>
      </c>
      <c r="BL21" s="97" t="s">
        <v>268</v>
      </c>
      <c r="BM21" s="99">
        <v>1</v>
      </c>
      <c r="BN21" s="100">
        <v>71.06</v>
      </c>
      <c r="BO21" s="100">
        <v>66.91</v>
      </c>
      <c r="BP21" s="99">
        <v>0</v>
      </c>
      <c r="BQ21" s="99">
        <v>137.97</v>
      </c>
      <c r="BR21" s="97" t="s">
        <v>34</v>
      </c>
      <c r="BS21" s="97" t="s">
        <v>268</v>
      </c>
      <c r="BT21" s="99">
        <v>1</v>
      </c>
      <c r="BU21" s="100">
        <v>45.1</v>
      </c>
      <c r="BV21" s="100">
        <v>36.22</v>
      </c>
      <c r="BW21" s="99">
        <v>0</v>
      </c>
      <c r="BX21" s="99">
        <v>81.319999999999993</v>
      </c>
      <c r="BY21" s="63"/>
      <c r="BZ21" s="63"/>
      <c r="CA21" s="63"/>
      <c r="CB21" s="63"/>
      <c r="CC21" s="63"/>
      <c r="CD21" s="63"/>
      <c r="CE21" s="63"/>
      <c r="CF21" s="63"/>
      <c r="CG21" s="63"/>
      <c r="CH21" s="87" t="str">
        <f t="shared" si="0"/>
        <v>COM</v>
      </c>
      <c r="CI21" s="87" t="str">
        <f t="shared" si="1"/>
        <v xml:space="preserve"> 98939  </v>
      </c>
      <c r="CJ21" s="63">
        <f t="shared" si="2"/>
        <v>31.760280000000002</v>
      </c>
      <c r="CK21" s="63" t="str">
        <f t="shared" si="3"/>
        <v>COM</v>
      </c>
      <c r="CL21" s="63" t="str">
        <f t="shared" si="4"/>
        <v xml:space="preserve"> 98939  </v>
      </c>
      <c r="CM21" s="63">
        <f t="shared" si="5"/>
        <v>123.44223999999998</v>
      </c>
      <c r="CN21" s="63" t="str">
        <f t="shared" si="6"/>
        <v>COM</v>
      </c>
      <c r="CO21" s="63" t="str">
        <f t="shared" si="7"/>
        <v xml:space="preserve"> 98939  </v>
      </c>
      <c r="CP21" s="63">
        <f t="shared" si="8"/>
        <v>220.89007999999998</v>
      </c>
      <c r="DD21" s="82" t="s">
        <v>47</v>
      </c>
      <c r="DE21" s="82" t="s">
        <v>75</v>
      </c>
      <c r="DF21" s="83">
        <v>1</v>
      </c>
      <c r="DG21" s="51" t="s">
        <v>49</v>
      </c>
      <c r="DH21" s="51" t="s">
        <v>75</v>
      </c>
      <c r="DI21" s="52">
        <v>4</v>
      </c>
      <c r="DJ21" s="51" t="s">
        <v>50</v>
      </c>
      <c r="DK21" s="51" t="s">
        <v>75</v>
      </c>
      <c r="DL21" s="52">
        <v>5</v>
      </c>
      <c r="DM21" s="82" t="s">
        <v>105</v>
      </c>
      <c r="DN21" s="83">
        <v>8217.83</v>
      </c>
      <c r="DO21" s="82" t="s">
        <v>99</v>
      </c>
      <c r="DP21" s="83">
        <v>3237.1299999999997</v>
      </c>
      <c r="DQ21" s="82" t="s">
        <v>99</v>
      </c>
      <c r="DR21" s="83">
        <v>13015.95</v>
      </c>
      <c r="DS21" s="82"/>
      <c r="DT21" s="83"/>
      <c r="DU21" s="28" t="s">
        <v>92</v>
      </c>
      <c r="DV21">
        <v>39.5</v>
      </c>
    </row>
    <row r="22" spans="1:128" ht="16" x14ac:dyDescent="0.2">
      <c r="A22" s="63" t="s">
        <v>34</v>
      </c>
      <c r="B22" s="63" t="s">
        <v>260</v>
      </c>
      <c r="C22" s="90">
        <v>75</v>
      </c>
      <c r="D22" s="63">
        <v>97876.77</v>
      </c>
      <c r="E22" s="63">
        <v>6696.17</v>
      </c>
      <c r="F22" s="63">
        <v>26033.23</v>
      </c>
      <c r="G22" s="63">
        <v>130606.17</v>
      </c>
      <c r="H22" s="97" t="s">
        <v>34</v>
      </c>
      <c r="I22" s="97" t="s">
        <v>260</v>
      </c>
      <c r="J22" s="163">
        <v>61</v>
      </c>
      <c r="K22" s="100">
        <v>8271.08</v>
      </c>
      <c r="L22" s="100">
        <v>5996.71</v>
      </c>
      <c r="M22" s="99">
        <v>28986.47</v>
      </c>
      <c r="N22" s="99">
        <v>43254.26</v>
      </c>
      <c r="O22" s="63" t="s">
        <v>34</v>
      </c>
      <c r="P22" s="63" t="s">
        <v>260</v>
      </c>
      <c r="Q22" s="90">
        <v>58</v>
      </c>
      <c r="R22" s="63">
        <v>7333.03</v>
      </c>
      <c r="S22" s="63">
        <v>4775.0200000000004</v>
      </c>
      <c r="T22" s="63">
        <v>26280.99</v>
      </c>
      <c r="U22" s="63">
        <v>38389.040000000001</v>
      </c>
      <c r="V22" s="64" t="s">
        <v>75</v>
      </c>
      <c r="W22" t="s">
        <v>44</v>
      </c>
      <c r="X22">
        <v>126</v>
      </c>
      <c r="Y22" s="63">
        <v>13777.860000000002</v>
      </c>
      <c r="Z22" s="63">
        <v>2546.3800000000006</v>
      </c>
      <c r="AA22" s="63">
        <v>23293.820000000007</v>
      </c>
      <c r="AB22" s="63">
        <v>39618.06</v>
      </c>
      <c r="AC22">
        <v>129</v>
      </c>
      <c r="AD22" s="63">
        <v>18660.630000000005</v>
      </c>
      <c r="AE22" s="63">
        <v>9575.59</v>
      </c>
      <c r="AF22" s="63">
        <v>19541.330000000005</v>
      </c>
      <c r="AG22" s="63">
        <v>47777.55</v>
      </c>
      <c r="AH22">
        <v>117</v>
      </c>
      <c r="AI22" s="63">
        <v>14596.069999999996</v>
      </c>
      <c r="AJ22" s="63">
        <v>12011.650000000005</v>
      </c>
      <c r="AK22" s="63">
        <v>22702.269999999993</v>
      </c>
      <c r="AL22" s="63">
        <v>49309.990000000005</v>
      </c>
      <c r="AM22" s="63" t="s">
        <v>75</v>
      </c>
      <c r="AN22" s="63" t="s">
        <v>43</v>
      </c>
      <c r="AO22" s="63">
        <v>7</v>
      </c>
      <c r="AP22" s="63">
        <v>972.86</v>
      </c>
      <c r="AQ22" s="63">
        <v>816.88</v>
      </c>
      <c r="AR22" s="63">
        <v>1136.3800000000001</v>
      </c>
      <c r="AS22" s="63">
        <v>2926.12</v>
      </c>
      <c r="AT22" s="63">
        <v>7</v>
      </c>
      <c r="AU22" s="63">
        <v>743.91</v>
      </c>
      <c r="AV22" s="63">
        <v>529.92999999999995</v>
      </c>
      <c r="AW22" s="63">
        <v>436.44</v>
      </c>
      <c r="AX22" s="63">
        <v>1710.28</v>
      </c>
      <c r="AY22" s="63">
        <v>6</v>
      </c>
      <c r="AZ22" s="63">
        <v>418.67999999999995</v>
      </c>
      <c r="BA22" s="63">
        <v>449</v>
      </c>
      <c r="BB22" s="63">
        <v>319.14999999999998</v>
      </c>
      <c r="BC22" s="63">
        <v>1186.83</v>
      </c>
      <c r="BD22" s="97" t="s">
        <v>34</v>
      </c>
      <c r="BE22" s="97" t="s">
        <v>269</v>
      </c>
      <c r="BF22" s="99">
        <v>1</v>
      </c>
      <c r="BG22" s="100">
        <v>14.14</v>
      </c>
      <c r="BH22" s="100">
        <v>14.02</v>
      </c>
      <c r="BI22" s="99">
        <v>803.96</v>
      </c>
      <c r="BJ22" s="99">
        <v>832.12</v>
      </c>
      <c r="BK22" s="97" t="s">
        <v>34</v>
      </c>
      <c r="BL22" s="97" t="s">
        <v>269</v>
      </c>
      <c r="BM22" s="99">
        <v>1</v>
      </c>
      <c r="BN22" s="100">
        <v>14.14</v>
      </c>
      <c r="BO22" s="100">
        <v>14.14</v>
      </c>
      <c r="BP22" s="99">
        <v>817.98</v>
      </c>
      <c r="BQ22" s="99">
        <v>846.26</v>
      </c>
      <c r="BR22" s="97" t="s">
        <v>34</v>
      </c>
      <c r="BS22" s="97" t="s">
        <v>269</v>
      </c>
      <c r="BT22" s="99">
        <v>1</v>
      </c>
      <c r="BU22" s="100">
        <v>14.05</v>
      </c>
      <c r="BV22" s="100">
        <v>14.14</v>
      </c>
      <c r="BW22" s="99">
        <v>832.12</v>
      </c>
      <c r="BX22" s="99">
        <v>860.31</v>
      </c>
      <c r="BY22" s="63"/>
      <c r="BZ22" s="63"/>
      <c r="CA22" s="63"/>
      <c r="CB22" s="63"/>
      <c r="CC22" s="63"/>
      <c r="CD22" s="63"/>
      <c r="CE22" s="63"/>
      <c r="CF22" s="63"/>
      <c r="CG22" s="63"/>
      <c r="CH22" s="87" t="str">
        <f t="shared" si="0"/>
        <v>COM</v>
      </c>
      <c r="CI22" s="87" t="str">
        <f t="shared" si="1"/>
        <v xml:space="preserve"> 98942  </v>
      </c>
      <c r="CJ22" s="63">
        <f t="shared" si="2"/>
        <v>9511.4904999999999</v>
      </c>
      <c r="CK22" s="63" t="str">
        <f t="shared" si="3"/>
        <v>COM</v>
      </c>
      <c r="CL22" s="63" t="str">
        <f t="shared" si="4"/>
        <v xml:space="preserve"> 98942  </v>
      </c>
      <c r="CM22" s="63">
        <f t="shared" si="5"/>
        <v>8887.2198399999997</v>
      </c>
      <c r="CN22" s="63" t="str">
        <f t="shared" si="6"/>
        <v>COM</v>
      </c>
      <c r="CO22" s="63" t="str">
        <f t="shared" si="7"/>
        <v xml:space="preserve"> 98942  </v>
      </c>
      <c r="CP22" s="63">
        <f t="shared" si="8"/>
        <v>8013.36085</v>
      </c>
      <c r="DD22" s="82" t="s">
        <v>48</v>
      </c>
      <c r="DE22" s="82" t="s">
        <v>75</v>
      </c>
      <c r="DF22" s="83">
        <v>2</v>
      </c>
      <c r="DG22" s="51" t="s">
        <v>50</v>
      </c>
      <c r="DH22" s="51" t="s">
        <v>75</v>
      </c>
      <c r="DI22" s="52">
        <v>2</v>
      </c>
      <c r="DJ22" s="51" t="s">
        <v>52</v>
      </c>
      <c r="DK22" s="51" t="s">
        <v>75</v>
      </c>
      <c r="DL22" s="52">
        <v>15</v>
      </c>
      <c r="DM22" s="82" t="s">
        <v>119</v>
      </c>
      <c r="DN22" s="83">
        <v>323.75</v>
      </c>
      <c r="DO22" s="82" t="s">
        <v>230</v>
      </c>
      <c r="DP22" s="83">
        <v>26.13</v>
      </c>
      <c r="DQ22" s="82" t="s">
        <v>91</v>
      </c>
      <c r="DR22" s="83">
        <v>15281.879999999997</v>
      </c>
      <c r="DS22" s="82"/>
      <c r="DT22" s="83"/>
      <c r="DU22" s="28" t="s">
        <v>108</v>
      </c>
      <c r="DV22">
        <v>557.77</v>
      </c>
    </row>
    <row r="23" spans="1:128" ht="16" x14ac:dyDescent="0.2">
      <c r="A23" s="63" t="s">
        <v>34</v>
      </c>
      <c r="B23" s="63" t="s">
        <v>261</v>
      </c>
      <c r="C23" s="90">
        <v>120</v>
      </c>
      <c r="D23" s="63">
        <v>27287.89</v>
      </c>
      <c r="E23" s="63">
        <v>16270.63</v>
      </c>
      <c r="F23" s="63">
        <v>83869.22</v>
      </c>
      <c r="G23" s="63">
        <v>127427.74</v>
      </c>
      <c r="H23" s="97" t="s">
        <v>34</v>
      </c>
      <c r="I23" s="97" t="s">
        <v>261</v>
      </c>
      <c r="J23" s="163">
        <v>110</v>
      </c>
      <c r="K23" s="100">
        <v>21976.59</v>
      </c>
      <c r="L23" s="100">
        <v>14617.51</v>
      </c>
      <c r="M23" s="99">
        <v>93239.29</v>
      </c>
      <c r="N23" s="99">
        <v>129833.39</v>
      </c>
      <c r="O23" s="63" t="s">
        <v>34</v>
      </c>
      <c r="P23" s="63" t="s">
        <v>261</v>
      </c>
      <c r="Q23" s="90">
        <v>122</v>
      </c>
      <c r="R23" s="63">
        <v>43262.879999999997</v>
      </c>
      <c r="S23" s="63">
        <v>12893.66</v>
      </c>
      <c r="T23" s="63">
        <v>92795.57</v>
      </c>
      <c r="U23" s="63">
        <v>148952.10999999999</v>
      </c>
      <c r="V23" s="64" t="s">
        <v>75</v>
      </c>
      <c r="W23" t="s">
        <v>45</v>
      </c>
      <c r="X23">
        <v>65</v>
      </c>
      <c r="Y23" s="63">
        <v>9483.39</v>
      </c>
      <c r="Z23" s="63">
        <v>4037.5699999999997</v>
      </c>
      <c r="AA23" s="63">
        <v>9259.3299999999981</v>
      </c>
      <c r="AB23" s="63">
        <v>22780.29</v>
      </c>
      <c r="AC23">
        <v>60</v>
      </c>
      <c r="AD23" s="63">
        <v>8412.2400000000016</v>
      </c>
      <c r="AE23" s="63">
        <v>6164.9900000000016</v>
      </c>
      <c r="AF23" s="63">
        <v>11314.839999999998</v>
      </c>
      <c r="AG23" s="63">
        <v>25892.070000000007</v>
      </c>
      <c r="AH23">
        <v>52</v>
      </c>
      <c r="AI23" s="63">
        <v>8369.9700000000012</v>
      </c>
      <c r="AJ23" s="63">
        <v>5313.69</v>
      </c>
      <c r="AK23" s="63">
        <v>13230.82</v>
      </c>
      <c r="AL23" s="63">
        <v>26914.479999999996</v>
      </c>
      <c r="AM23" s="63" t="s">
        <v>75</v>
      </c>
      <c r="AN23" s="63" t="s">
        <v>44</v>
      </c>
      <c r="AO23" s="63">
        <v>122</v>
      </c>
      <c r="AP23" s="63">
        <v>16865.719999999998</v>
      </c>
      <c r="AQ23" s="63">
        <v>5815.5799999999981</v>
      </c>
      <c r="AR23" s="63">
        <v>16871.650000000001</v>
      </c>
      <c r="AS23" s="63">
        <v>39552.950000000004</v>
      </c>
      <c r="AT23" s="63">
        <v>106</v>
      </c>
      <c r="AU23" s="63">
        <v>9592.43</v>
      </c>
      <c r="AV23" s="63">
        <v>10715.220000000001</v>
      </c>
      <c r="AW23" s="63">
        <v>17200.75</v>
      </c>
      <c r="AX23" s="63">
        <v>37508.399999999994</v>
      </c>
      <c r="AY23" s="63">
        <v>94</v>
      </c>
      <c r="AZ23" s="63">
        <v>6676.5399999999954</v>
      </c>
      <c r="BA23" s="63">
        <v>6496.699999999998</v>
      </c>
      <c r="BB23" s="63">
        <v>20503.23</v>
      </c>
      <c r="BC23" s="63">
        <v>33676.47</v>
      </c>
      <c r="BD23" s="97" t="s">
        <v>34</v>
      </c>
      <c r="BE23" s="97" t="s">
        <v>270</v>
      </c>
      <c r="BF23" s="99"/>
      <c r="BG23" s="100">
        <v>0</v>
      </c>
      <c r="BH23" s="100">
        <v>0</v>
      </c>
      <c r="BI23" s="99">
        <v>0</v>
      </c>
      <c r="BJ23" s="99">
        <v>0</v>
      </c>
      <c r="BK23" s="97" t="s">
        <v>34</v>
      </c>
      <c r="BL23" s="97" t="s">
        <v>270</v>
      </c>
      <c r="BM23" s="99"/>
      <c r="BN23" s="100">
        <v>0</v>
      </c>
      <c r="BO23" s="100">
        <v>0</v>
      </c>
      <c r="BP23" s="99">
        <v>0</v>
      </c>
      <c r="BQ23" s="99">
        <v>0</v>
      </c>
      <c r="BR23" s="97" t="s">
        <v>34</v>
      </c>
      <c r="BS23" s="97" t="s">
        <v>270</v>
      </c>
      <c r="BT23" s="99"/>
      <c r="BU23" s="100">
        <v>0</v>
      </c>
      <c r="BV23" s="100">
        <v>0</v>
      </c>
      <c r="BW23" s="99">
        <v>0</v>
      </c>
      <c r="BX23" s="99">
        <v>0</v>
      </c>
      <c r="BY23" s="63"/>
      <c r="BZ23" s="63"/>
      <c r="CA23" s="63"/>
      <c r="CB23" s="63"/>
      <c r="CC23" s="63"/>
      <c r="CD23" s="63"/>
      <c r="CE23" s="63"/>
      <c r="CF23" s="63"/>
      <c r="CG23" s="63"/>
      <c r="CH23" s="87" t="str">
        <f t="shared" si="0"/>
        <v>COM</v>
      </c>
      <c r="CI23" s="87" t="str">
        <f t="shared" si="1"/>
        <v xml:space="preserve"> 98944  </v>
      </c>
      <c r="CJ23" s="63">
        <f t="shared" si="2"/>
        <v>25699.860509999999</v>
      </c>
      <c r="CK23" s="63" t="str">
        <f t="shared" si="3"/>
        <v>COM</v>
      </c>
      <c r="CL23" s="63" t="str">
        <f t="shared" si="4"/>
        <v xml:space="preserve"> 98944  </v>
      </c>
      <c r="CM23" s="63">
        <f t="shared" si="5"/>
        <v>28218.683379999995</v>
      </c>
      <c r="CN23" s="63" t="str">
        <f t="shared" si="6"/>
        <v>COM</v>
      </c>
      <c r="CO23" s="63" t="str">
        <f t="shared" si="7"/>
        <v xml:space="preserve"> 98944  </v>
      </c>
      <c r="CP23" s="63">
        <f t="shared" si="8"/>
        <v>28322.426390000001</v>
      </c>
      <c r="DD23" s="82" t="s">
        <v>49</v>
      </c>
      <c r="DE23" s="82" t="s">
        <v>75</v>
      </c>
      <c r="DF23" s="83">
        <v>3</v>
      </c>
      <c r="DG23" s="51" t="s">
        <v>52</v>
      </c>
      <c r="DH23" s="51" t="s">
        <v>75</v>
      </c>
      <c r="DI23" s="52">
        <v>8</v>
      </c>
      <c r="DJ23" s="51" t="s">
        <v>53</v>
      </c>
      <c r="DK23" s="51" t="s">
        <v>75</v>
      </c>
      <c r="DL23" s="52">
        <v>24</v>
      </c>
      <c r="DM23" s="82" t="s">
        <v>99</v>
      </c>
      <c r="DN23" s="83">
        <v>6153.13</v>
      </c>
      <c r="DO23" s="82" t="s">
        <v>91</v>
      </c>
      <c r="DP23" s="83">
        <v>8601.6400000000012</v>
      </c>
      <c r="DQ23" s="82" t="s">
        <v>101</v>
      </c>
      <c r="DR23" s="83">
        <v>12896.43</v>
      </c>
      <c r="DS23" s="82"/>
      <c r="DT23" s="83"/>
      <c r="DU23" s="28" t="s">
        <v>123</v>
      </c>
      <c r="DV23">
        <v>100</v>
      </c>
    </row>
    <row r="24" spans="1:128" ht="16" x14ac:dyDescent="0.2">
      <c r="A24" s="63" t="s">
        <v>34</v>
      </c>
      <c r="B24" s="63" t="s">
        <v>262</v>
      </c>
      <c r="C24" s="90">
        <v>13</v>
      </c>
      <c r="D24" s="63">
        <v>9338.7000000000007</v>
      </c>
      <c r="E24" s="63">
        <v>1724.67</v>
      </c>
      <c r="F24" s="63">
        <v>3152.09</v>
      </c>
      <c r="G24" s="63">
        <v>14215.46</v>
      </c>
      <c r="H24" s="97" t="s">
        <v>34</v>
      </c>
      <c r="I24" s="97" t="s">
        <v>262</v>
      </c>
      <c r="J24" s="163">
        <v>10</v>
      </c>
      <c r="K24" s="100">
        <v>6816.13</v>
      </c>
      <c r="L24" s="100">
        <v>7329.66</v>
      </c>
      <c r="M24" s="99">
        <v>3281.97</v>
      </c>
      <c r="N24" s="99">
        <v>17427.759999999998</v>
      </c>
      <c r="O24" s="63" t="s">
        <v>34</v>
      </c>
      <c r="P24" s="63" t="s">
        <v>262</v>
      </c>
      <c r="Q24" s="90">
        <v>12</v>
      </c>
      <c r="R24" s="63">
        <v>7065.03</v>
      </c>
      <c r="S24" s="63">
        <v>6701.99</v>
      </c>
      <c r="T24" s="63">
        <v>5517.69</v>
      </c>
      <c r="U24" s="63">
        <v>19284.71</v>
      </c>
      <c r="V24" s="64" t="s">
        <v>75</v>
      </c>
      <c r="W24" t="s">
        <v>46</v>
      </c>
      <c r="X24">
        <v>13</v>
      </c>
      <c r="Y24" s="63">
        <v>2066.14</v>
      </c>
      <c r="Z24" s="63">
        <v>946.89</v>
      </c>
      <c r="AA24" s="63">
        <v>4403.7800000000007</v>
      </c>
      <c r="AB24" s="63">
        <v>7416.8099999999995</v>
      </c>
      <c r="AC24">
        <v>16</v>
      </c>
      <c r="AD24" s="63">
        <v>2809.6800000000007</v>
      </c>
      <c r="AE24" s="63">
        <v>1645.77</v>
      </c>
      <c r="AF24" s="63">
        <v>3636.87</v>
      </c>
      <c r="AG24" s="63">
        <v>8092.32</v>
      </c>
      <c r="AH24">
        <v>13</v>
      </c>
      <c r="AI24" s="63">
        <v>2769.9599999999996</v>
      </c>
      <c r="AJ24" s="63">
        <v>1606.1000000000001</v>
      </c>
      <c r="AK24" s="63">
        <v>4285.37</v>
      </c>
      <c r="AL24" s="63">
        <v>8661.43</v>
      </c>
      <c r="AM24" s="63" t="s">
        <v>75</v>
      </c>
      <c r="AN24" s="63" t="s">
        <v>45</v>
      </c>
      <c r="AO24" s="63">
        <v>70</v>
      </c>
      <c r="AP24" s="63">
        <v>8042.1100000000024</v>
      </c>
      <c r="AQ24" s="63">
        <v>5124.9800000000005</v>
      </c>
      <c r="AR24" s="63">
        <v>11746.42</v>
      </c>
      <c r="AS24" s="63">
        <v>24913.509999999995</v>
      </c>
      <c r="AT24" s="63">
        <v>65</v>
      </c>
      <c r="AU24" s="63">
        <v>6887.5999999999995</v>
      </c>
      <c r="AV24" s="63">
        <v>5470.8300000000017</v>
      </c>
      <c r="AW24" s="63">
        <v>12364.869999999999</v>
      </c>
      <c r="AX24" s="63">
        <v>24723.300000000003</v>
      </c>
      <c r="AY24" s="63">
        <v>62</v>
      </c>
      <c r="AZ24" s="63">
        <v>4633.95</v>
      </c>
      <c r="BA24" s="63">
        <v>4489.8599999999997</v>
      </c>
      <c r="BB24" s="63">
        <v>13716.31</v>
      </c>
      <c r="BC24" s="63">
        <v>22840.12</v>
      </c>
      <c r="BD24" s="97" t="s">
        <v>34</v>
      </c>
      <c r="BE24" s="97" t="s">
        <v>272</v>
      </c>
      <c r="BF24" s="99">
        <v>2</v>
      </c>
      <c r="BG24" s="100">
        <v>264.07</v>
      </c>
      <c r="BH24" s="100">
        <v>315.29000000000002</v>
      </c>
      <c r="BI24" s="99">
        <v>122.47</v>
      </c>
      <c r="BJ24" s="99">
        <v>701.83</v>
      </c>
      <c r="BK24" s="97" t="s">
        <v>34</v>
      </c>
      <c r="BL24" s="97" t="s">
        <v>272</v>
      </c>
      <c r="BM24" s="99">
        <v>2</v>
      </c>
      <c r="BN24" s="100">
        <v>186.18</v>
      </c>
      <c r="BO24" s="100">
        <v>130.81</v>
      </c>
      <c r="BP24" s="99">
        <v>290.61</v>
      </c>
      <c r="BQ24" s="99">
        <v>607.6</v>
      </c>
      <c r="BR24" s="97" t="s">
        <v>34</v>
      </c>
      <c r="BS24" s="97" t="s">
        <v>272</v>
      </c>
      <c r="BT24" s="99">
        <v>2</v>
      </c>
      <c r="BU24" s="100">
        <v>204.17</v>
      </c>
      <c r="BV24" s="100">
        <v>186.18</v>
      </c>
      <c r="BW24" s="99">
        <v>421.42</v>
      </c>
      <c r="BX24" s="99">
        <v>811.77</v>
      </c>
      <c r="BY24" s="63"/>
      <c r="BZ24" s="63"/>
      <c r="CA24" s="63"/>
      <c r="CB24" s="63"/>
      <c r="CC24" s="63"/>
      <c r="CD24" s="63"/>
      <c r="CE24" s="63"/>
      <c r="CF24" s="63"/>
      <c r="CG24" s="63"/>
      <c r="CH24" s="87" t="str">
        <f t="shared" si="0"/>
        <v>COM</v>
      </c>
      <c r="CI24" s="87" t="str">
        <f t="shared" si="1"/>
        <v xml:space="preserve"> 98947  </v>
      </c>
      <c r="CJ24" s="63">
        <f t="shared" si="2"/>
        <v>1169.0274199999999</v>
      </c>
      <c r="CK24" s="63" t="str">
        <f t="shared" si="3"/>
        <v>COM</v>
      </c>
      <c r="CL24" s="63" t="str">
        <f t="shared" si="4"/>
        <v xml:space="preserve"> 98947  </v>
      </c>
      <c r="CM24" s="63">
        <f t="shared" si="5"/>
        <v>1519.3159899999998</v>
      </c>
      <c r="CN24" s="63" t="str">
        <f t="shared" si="6"/>
        <v>COM</v>
      </c>
      <c r="CO24" s="63" t="str">
        <f t="shared" si="7"/>
        <v xml:space="preserve"> 98947  </v>
      </c>
      <c r="CP24" s="63">
        <f t="shared" si="8"/>
        <v>2129.8782599999995</v>
      </c>
      <c r="DD24" s="82" t="s">
        <v>50</v>
      </c>
      <c r="DE24" s="82" t="s">
        <v>75</v>
      </c>
      <c r="DF24" s="83">
        <v>4</v>
      </c>
      <c r="DG24" s="51" t="s">
        <v>53</v>
      </c>
      <c r="DH24" s="51" t="s">
        <v>75</v>
      </c>
      <c r="DI24" s="52">
        <v>14</v>
      </c>
      <c r="DJ24" s="51" t="s">
        <v>55</v>
      </c>
      <c r="DK24" s="51" t="s">
        <v>75</v>
      </c>
      <c r="DL24" s="52">
        <v>10</v>
      </c>
      <c r="DM24" s="82" t="s">
        <v>91</v>
      </c>
      <c r="DN24" s="83">
        <v>13567.78</v>
      </c>
      <c r="DO24" s="82" t="s">
        <v>100</v>
      </c>
      <c r="DP24" s="83">
        <v>1998.21</v>
      </c>
      <c r="DQ24" s="82" t="s">
        <v>106</v>
      </c>
      <c r="DR24" s="83">
        <v>10743.409999999998</v>
      </c>
      <c r="DS24" s="82"/>
      <c r="DT24" s="83"/>
      <c r="DU24" s="28" t="s">
        <v>93</v>
      </c>
      <c r="DV24">
        <v>485.87</v>
      </c>
    </row>
    <row r="25" spans="1:128" ht="16" x14ac:dyDescent="0.2">
      <c r="A25" s="63" t="s">
        <v>34</v>
      </c>
      <c r="B25" s="63" t="s">
        <v>263</v>
      </c>
      <c r="C25" s="90">
        <v>104</v>
      </c>
      <c r="D25" s="63">
        <v>56410.3</v>
      </c>
      <c r="E25" s="63">
        <v>32482.22</v>
      </c>
      <c r="F25" s="63">
        <v>96251.63</v>
      </c>
      <c r="G25" s="63">
        <v>185144.15</v>
      </c>
      <c r="H25" s="97" t="s">
        <v>34</v>
      </c>
      <c r="I25" s="97" t="s">
        <v>263</v>
      </c>
      <c r="J25" s="163">
        <v>80</v>
      </c>
      <c r="K25" s="100">
        <v>33468.89</v>
      </c>
      <c r="L25" s="100">
        <v>25782.12</v>
      </c>
      <c r="M25" s="99">
        <v>88742.21</v>
      </c>
      <c r="N25" s="99">
        <v>147993.22</v>
      </c>
      <c r="O25" s="63" t="s">
        <v>34</v>
      </c>
      <c r="P25" s="63" t="s">
        <v>263</v>
      </c>
      <c r="Q25" s="90">
        <v>64</v>
      </c>
      <c r="R25" s="63">
        <v>12229.41</v>
      </c>
      <c r="S25" s="63">
        <v>18023.5</v>
      </c>
      <c r="T25" s="63">
        <v>100905.83</v>
      </c>
      <c r="U25" s="63">
        <v>131158.74</v>
      </c>
      <c r="V25" s="64" t="s">
        <v>75</v>
      </c>
      <c r="W25" t="s">
        <v>47</v>
      </c>
      <c r="X25">
        <v>34</v>
      </c>
      <c r="Y25" s="63">
        <v>133.03</v>
      </c>
      <c r="Z25" s="63">
        <v>4183.7900000000018</v>
      </c>
      <c r="AA25" s="63">
        <v>11296.63</v>
      </c>
      <c r="AB25" s="63">
        <v>15613.449999999997</v>
      </c>
      <c r="AC25">
        <v>36</v>
      </c>
      <c r="AD25" s="63">
        <v>5386.1899999999987</v>
      </c>
      <c r="AE25" s="63">
        <v>3199.7899999999991</v>
      </c>
      <c r="AF25" s="63">
        <v>9655.1299999999992</v>
      </c>
      <c r="AG25" s="63">
        <v>18241.11</v>
      </c>
      <c r="AH25">
        <v>35</v>
      </c>
      <c r="AI25" s="63">
        <v>4519.24</v>
      </c>
      <c r="AJ25" s="63">
        <v>3991.81</v>
      </c>
      <c r="AK25" s="63">
        <v>11393.04</v>
      </c>
      <c r="AL25" s="63">
        <v>19904.090000000007</v>
      </c>
      <c r="AM25" s="63" t="s">
        <v>75</v>
      </c>
      <c r="AN25" s="63" t="s">
        <v>46</v>
      </c>
      <c r="AO25" s="63">
        <v>14</v>
      </c>
      <c r="AP25" s="63">
        <v>2979.36</v>
      </c>
      <c r="AQ25" s="63">
        <v>1537.0099999999998</v>
      </c>
      <c r="AR25" s="63">
        <v>3997.5499999999997</v>
      </c>
      <c r="AS25" s="63">
        <v>8513.92</v>
      </c>
      <c r="AT25" s="63">
        <v>13</v>
      </c>
      <c r="AU25" s="63">
        <v>1970.31</v>
      </c>
      <c r="AV25" s="63">
        <v>1584.2799999999997</v>
      </c>
      <c r="AW25" s="63">
        <v>2184.11</v>
      </c>
      <c r="AX25" s="63">
        <v>5738.7</v>
      </c>
      <c r="AY25" s="63">
        <v>14</v>
      </c>
      <c r="AZ25" s="63">
        <v>1288.82</v>
      </c>
      <c r="BA25" s="63">
        <v>1610.39</v>
      </c>
      <c r="BB25" s="63">
        <v>2290.59</v>
      </c>
      <c r="BC25" s="63">
        <v>5189.7999999999993</v>
      </c>
      <c r="BD25" s="97" t="s">
        <v>34</v>
      </c>
      <c r="BE25" s="97" t="s">
        <v>276</v>
      </c>
      <c r="BF25" s="99">
        <v>1</v>
      </c>
      <c r="BG25" s="100">
        <v>20.399999999999999</v>
      </c>
      <c r="BH25" s="100">
        <v>7.0000000000000007E-2</v>
      </c>
      <c r="BI25" s="99">
        <v>0</v>
      </c>
      <c r="BJ25" s="99">
        <v>20.47</v>
      </c>
      <c r="BK25" s="97" t="s">
        <v>34</v>
      </c>
      <c r="BL25" s="97" t="s">
        <v>276</v>
      </c>
      <c r="BM25" s="99">
        <v>1</v>
      </c>
      <c r="BN25" s="100">
        <v>16.149999999999999</v>
      </c>
      <c r="BO25" s="100">
        <v>0</v>
      </c>
      <c r="BP25" s="99">
        <v>0</v>
      </c>
      <c r="BQ25" s="99">
        <v>16.149999999999999</v>
      </c>
      <c r="BR25" s="97" t="s">
        <v>34</v>
      </c>
      <c r="BS25" s="97" t="s">
        <v>276</v>
      </c>
      <c r="BT25" s="99">
        <v>1</v>
      </c>
      <c r="BU25" s="100">
        <v>14.29</v>
      </c>
      <c r="BV25" s="100">
        <v>16.149999999999999</v>
      </c>
      <c r="BW25" s="99">
        <v>0</v>
      </c>
      <c r="BX25" s="99">
        <v>30.44</v>
      </c>
      <c r="BY25" s="63"/>
      <c r="BZ25" s="63"/>
      <c r="CA25" s="63"/>
      <c r="CB25" s="63"/>
      <c r="CC25" s="63"/>
      <c r="CD25" s="63"/>
      <c r="CE25" s="63"/>
      <c r="CF25" s="63"/>
      <c r="CG25" s="63"/>
      <c r="CH25" s="87" t="str">
        <f t="shared" si="0"/>
        <v>COM</v>
      </c>
      <c r="CI25" s="87" t="str">
        <f t="shared" si="1"/>
        <v xml:space="preserve"> 98948  </v>
      </c>
      <c r="CJ25" s="63">
        <f t="shared" si="2"/>
        <v>30765.665730000001</v>
      </c>
      <c r="CK25" s="63" t="str">
        <f t="shared" si="3"/>
        <v>COM</v>
      </c>
      <c r="CL25" s="63" t="str">
        <f t="shared" si="4"/>
        <v xml:space="preserve"> 98948  </v>
      </c>
      <c r="CM25" s="63">
        <f t="shared" si="5"/>
        <v>27806.27449</v>
      </c>
      <c r="CN25" s="63" t="str">
        <f t="shared" si="6"/>
        <v>COM</v>
      </c>
      <c r="CO25" s="63" t="str">
        <f t="shared" si="7"/>
        <v xml:space="preserve"> 98948  </v>
      </c>
      <c r="CP25" s="63">
        <f t="shared" si="8"/>
        <v>30492.93593</v>
      </c>
      <c r="DD25" s="82" t="s">
        <v>51</v>
      </c>
      <c r="DE25" s="82" t="s">
        <v>75</v>
      </c>
      <c r="DF25" s="83">
        <v>1</v>
      </c>
      <c r="DG25" s="51" t="s">
        <v>54</v>
      </c>
      <c r="DH25" s="51" t="s">
        <v>75</v>
      </c>
      <c r="DI25" s="52">
        <v>2</v>
      </c>
      <c r="DJ25" s="51" t="s">
        <v>56</v>
      </c>
      <c r="DK25" s="51" t="s">
        <v>75</v>
      </c>
      <c r="DL25" s="52">
        <v>11</v>
      </c>
      <c r="DM25" s="82" t="s">
        <v>100</v>
      </c>
      <c r="DN25" s="83">
        <v>14766.66</v>
      </c>
      <c r="DO25" s="82" t="s">
        <v>120</v>
      </c>
      <c r="DP25" s="83">
        <v>605.54</v>
      </c>
      <c r="DQ25" s="82" t="s">
        <v>110</v>
      </c>
      <c r="DR25" s="83">
        <v>151</v>
      </c>
      <c r="DS25" s="82"/>
      <c r="DT25" s="83"/>
      <c r="DU25" s="28" t="s">
        <v>34</v>
      </c>
      <c r="DV25">
        <v>26.47</v>
      </c>
    </row>
    <row r="26" spans="1:128" ht="16" x14ac:dyDescent="0.2">
      <c r="A26" s="63" t="s">
        <v>34</v>
      </c>
      <c r="B26" s="63" t="s">
        <v>264</v>
      </c>
      <c r="C26" s="90">
        <v>92</v>
      </c>
      <c r="D26" s="63">
        <v>42288.79</v>
      </c>
      <c r="E26" s="63">
        <v>17095.849999999999</v>
      </c>
      <c r="F26" s="63">
        <v>34658.42</v>
      </c>
      <c r="G26" s="63">
        <v>94043.06</v>
      </c>
      <c r="H26" s="97" t="s">
        <v>34</v>
      </c>
      <c r="I26" s="97" t="s">
        <v>264</v>
      </c>
      <c r="J26" s="163">
        <v>87</v>
      </c>
      <c r="K26" s="100">
        <v>58290.71</v>
      </c>
      <c r="L26" s="100">
        <v>26554.43</v>
      </c>
      <c r="M26" s="99">
        <v>29750.82</v>
      </c>
      <c r="N26" s="99">
        <v>114595.96</v>
      </c>
      <c r="O26" s="63" t="s">
        <v>34</v>
      </c>
      <c r="P26" s="63" t="s">
        <v>264</v>
      </c>
      <c r="Q26" s="90">
        <v>86</v>
      </c>
      <c r="R26" s="63">
        <v>58934.66</v>
      </c>
      <c r="S26" s="63">
        <v>15981.27</v>
      </c>
      <c r="T26" s="63">
        <v>35653.75</v>
      </c>
      <c r="U26" s="63">
        <v>110569.68</v>
      </c>
      <c r="V26" s="64" t="s">
        <v>75</v>
      </c>
      <c r="W26" t="s">
        <v>48</v>
      </c>
      <c r="X26">
        <v>13</v>
      </c>
      <c r="Y26" s="63">
        <v>1614.1799999999998</v>
      </c>
      <c r="Z26" s="63">
        <v>0</v>
      </c>
      <c r="AA26" s="63">
        <v>3178.0299999999997</v>
      </c>
      <c r="AB26" s="63">
        <v>4792.21</v>
      </c>
      <c r="AC26">
        <v>18</v>
      </c>
      <c r="AD26" s="63">
        <v>2667.92</v>
      </c>
      <c r="AE26" s="63">
        <v>1196.54</v>
      </c>
      <c r="AF26" s="63">
        <v>2449.58</v>
      </c>
      <c r="AG26" s="63">
        <v>6314.0399999999991</v>
      </c>
      <c r="AH26">
        <v>18</v>
      </c>
      <c r="AI26" s="63">
        <v>2339.1999999999998</v>
      </c>
      <c r="AJ26" s="63">
        <v>1467.6000000000001</v>
      </c>
      <c r="AK26" s="63">
        <v>2548.02</v>
      </c>
      <c r="AL26" s="63">
        <v>6354.82</v>
      </c>
      <c r="AM26" s="63" t="s">
        <v>75</v>
      </c>
      <c r="AN26" s="63" t="s">
        <v>47</v>
      </c>
      <c r="AO26" s="63">
        <v>18</v>
      </c>
      <c r="AP26" s="63">
        <v>3649.1000000000004</v>
      </c>
      <c r="AQ26" s="63">
        <v>2854.5299999999993</v>
      </c>
      <c r="AR26" s="63">
        <v>7538.88</v>
      </c>
      <c r="AS26" s="63">
        <v>14042.51</v>
      </c>
      <c r="AT26" s="63">
        <v>27</v>
      </c>
      <c r="AU26" s="63">
        <v>2949.8099999999995</v>
      </c>
      <c r="AV26" s="63">
        <v>2544.98</v>
      </c>
      <c r="AW26" s="63">
        <v>8319.7799999999988</v>
      </c>
      <c r="AX26" s="63">
        <v>13814.57</v>
      </c>
      <c r="AY26" s="63">
        <v>23</v>
      </c>
      <c r="AZ26" s="63">
        <v>1887.0899999999997</v>
      </c>
      <c r="BA26" s="63">
        <v>1954.6600000000003</v>
      </c>
      <c r="BB26" s="63">
        <v>9184.8200000000015</v>
      </c>
      <c r="BC26" s="63">
        <v>13026.569999999998</v>
      </c>
      <c r="BD26" s="97" t="s">
        <v>75</v>
      </c>
      <c r="BE26" s="97" t="s">
        <v>243</v>
      </c>
      <c r="BF26" s="99">
        <v>276</v>
      </c>
      <c r="BG26" s="100">
        <v>29701.45</v>
      </c>
      <c r="BH26" s="100">
        <v>27198.720000000001</v>
      </c>
      <c r="BI26" s="99">
        <v>73685.27</v>
      </c>
      <c r="BJ26" s="99">
        <v>130585.44</v>
      </c>
      <c r="BK26" s="97" t="s">
        <v>75</v>
      </c>
      <c r="BL26" s="97" t="s">
        <v>243</v>
      </c>
      <c r="BM26" s="99">
        <v>297</v>
      </c>
      <c r="BN26" s="100">
        <v>27098.720000000001</v>
      </c>
      <c r="BO26" s="100">
        <v>22853.77</v>
      </c>
      <c r="BP26" s="99">
        <v>82064.960000000006</v>
      </c>
      <c r="BQ26" s="99">
        <v>132017.45000000001</v>
      </c>
      <c r="BR26" s="97" t="s">
        <v>75</v>
      </c>
      <c r="BS26" s="97" t="s">
        <v>243</v>
      </c>
      <c r="BT26" s="99">
        <v>307</v>
      </c>
      <c r="BU26" s="100">
        <v>26939.040000000001</v>
      </c>
      <c r="BV26" s="100">
        <v>20948.38</v>
      </c>
      <c r="BW26" s="99">
        <v>71511.89</v>
      </c>
      <c r="BX26" s="99">
        <v>119399.31</v>
      </c>
      <c r="BY26" s="63"/>
      <c r="BZ26" s="63"/>
      <c r="CA26" s="63"/>
      <c r="CB26" s="63"/>
      <c r="CC26" s="63"/>
      <c r="CD26" s="63"/>
      <c r="CE26" s="63"/>
      <c r="CF26" s="63"/>
      <c r="CG26" s="63"/>
      <c r="CH26" s="87" t="str">
        <f t="shared" si="0"/>
        <v>COM</v>
      </c>
      <c r="CI26" s="87" t="str">
        <f t="shared" si="1"/>
        <v xml:space="preserve"> 98951  </v>
      </c>
      <c r="CJ26" s="63">
        <f t="shared" si="2"/>
        <v>11769.942569999999</v>
      </c>
      <c r="CK26" s="63" t="str">
        <f t="shared" si="3"/>
        <v>COM</v>
      </c>
      <c r="CL26" s="63" t="str">
        <f t="shared" si="4"/>
        <v xml:space="preserve"> 98951  </v>
      </c>
      <c r="CM26" s="63">
        <f t="shared" si="5"/>
        <v>11203.567429999999</v>
      </c>
      <c r="CN26" s="63" t="str">
        <f t="shared" si="6"/>
        <v>COM</v>
      </c>
      <c r="CO26" s="63" t="str">
        <f t="shared" si="7"/>
        <v xml:space="preserve"> 98951  </v>
      </c>
      <c r="CP26" s="63">
        <f t="shared" si="8"/>
        <v>12253.70832</v>
      </c>
      <c r="DD26" s="82" t="s">
        <v>52</v>
      </c>
      <c r="DE26" s="82" t="s">
        <v>75</v>
      </c>
      <c r="DF26" s="83">
        <v>12</v>
      </c>
      <c r="DG26" s="51" t="s">
        <v>55</v>
      </c>
      <c r="DH26" s="51" t="s">
        <v>75</v>
      </c>
      <c r="DI26" s="52">
        <v>15</v>
      </c>
      <c r="DJ26" s="51" t="s">
        <v>57</v>
      </c>
      <c r="DK26" s="51" t="s">
        <v>75</v>
      </c>
      <c r="DL26" s="52">
        <v>1</v>
      </c>
      <c r="DM26" s="82" t="s">
        <v>101</v>
      </c>
      <c r="DN26" s="83">
        <v>1263.4099999999999</v>
      </c>
      <c r="DO26" s="82" t="s">
        <v>101</v>
      </c>
      <c r="DP26" s="83">
        <v>9730.01</v>
      </c>
      <c r="DQ26" s="82" t="s">
        <v>92</v>
      </c>
      <c r="DR26" s="83">
        <v>3068.56</v>
      </c>
    </row>
    <row r="27" spans="1:128" ht="16" x14ac:dyDescent="0.2">
      <c r="A27" s="63" t="s">
        <v>34</v>
      </c>
      <c r="B27" s="63" t="s">
        <v>265</v>
      </c>
      <c r="C27" s="90">
        <v>6</v>
      </c>
      <c r="D27" s="63">
        <v>1422.5</v>
      </c>
      <c r="E27" s="63">
        <v>1367.54</v>
      </c>
      <c r="F27" s="63">
        <v>901.1</v>
      </c>
      <c r="G27" s="63">
        <v>3691.14</v>
      </c>
      <c r="H27" s="97" t="s">
        <v>34</v>
      </c>
      <c r="I27" s="97" t="s">
        <v>265</v>
      </c>
      <c r="J27" s="163">
        <v>16</v>
      </c>
      <c r="K27" s="100">
        <v>7450.23</v>
      </c>
      <c r="L27" s="100">
        <v>1422.5</v>
      </c>
      <c r="M27" s="99">
        <v>2268.64</v>
      </c>
      <c r="N27" s="99">
        <v>11141.37</v>
      </c>
      <c r="O27" s="63" t="s">
        <v>34</v>
      </c>
      <c r="P27" s="63" t="s">
        <v>265</v>
      </c>
      <c r="Q27" s="90">
        <v>7</v>
      </c>
      <c r="R27" s="63">
        <v>1688.1</v>
      </c>
      <c r="S27" s="63">
        <v>290.47000000000003</v>
      </c>
      <c r="T27" s="63">
        <v>1212.77</v>
      </c>
      <c r="U27" s="63">
        <v>3191.34</v>
      </c>
      <c r="V27" s="64" t="s">
        <v>75</v>
      </c>
      <c r="W27" t="s">
        <v>49</v>
      </c>
      <c r="X27">
        <v>14</v>
      </c>
      <c r="Y27" s="63">
        <v>2263.73</v>
      </c>
      <c r="Z27" s="63">
        <v>935.78000000000009</v>
      </c>
      <c r="AA27" s="63">
        <v>1307.76</v>
      </c>
      <c r="AB27" s="63">
        <v>4507.2699999999995</v>
      </c>
      <c r="AC27">
        <v>13</v>
      </c>
      <c r="AD27" s="63">
        <v>2250.4899999999998</v>
      </c>
      <c r="AE27" s="63">
        <v>1471.5000000000002</v>
      </c>
      <c r="AF27" s="63">
        <v>1928.42</v>
      </c>
      <c r="AG27" s="63">
        <v>5650.41</v>
      </c>
      <c r="AH27">
        <v>12</v>
      </c>
      <c r="AI27" s="63">
        <v>2113.25</v>
      </c>
      <c r="AJ27" s="63">
        <v>1943.6799999999998</v>
      </c>
      <c r="AK27" s="63">
        <v>2633.01</v>
      </c>
      <c r="AL27" s="63">
        <v>6689.9400000000005</v>
      </c>
      <c r="AM27" s="63" t="s">
        <v>75</v>
      </c>
      <c r="AN27" s="63" t="s">
        <v>48</v>
      </c>
      <c r="AO27" s="63">
        <v>20</v>
      </c>
      <c r="AP27" s="63">
        <v>3342.97</v>
      </c>
      <c r="AQ27" s="63">
        <v>1878.65</v>
      </c>
      <c r="AR27" s="63">
        <v>6397.5999999999995</v>
      </c>
      <c r="AS27" s="63">
        <v>11619.220000000001</v>
      </c>
      <c r="AT27" s="63">
        <v>20</v>
      </c>
      <c r="AU27" s="63">
        <v>2370.23</v>
      </c>
      <c r="AV27" s="63">
        <v>2506.62</v>
      </c>
      <c r="AW27" s="63">
        <v>6613.55</v>
      </c>
      <c r="AX27" s="63">
        <v>11490.4</v>
      </c>
      <c r="AY27" s="63">
        <v>26</v>
      </c>
      <c r="AZ27" s="63">
        <v>2073.31</v>
      </c>
      <c r="BA27" s="63">
        <v>2324.0300000000002</v>
      </c>
      <c r="BB27" s="63">
        <v>8257.8900000000012</v>
      </c>
      <c r="BC27" s="63">
        <v>12655.23</v>
      </c>
      <c r="BD27" s="97" t="s">
        <v>75</v>
      </c>
      <c r="BE27" s="97" t="s">
        <v>244</v>
      </c>
      <c r="BF27" s="99">
        <v>458</v>
      </c>
      <c r="BG27" s="100">
        <v>58575.74</v>
      </c>
      <c r="BH27" s="100">
        <v>45271.31</v>
      </c>
      <c r="BI27" s="99">
        <v>110215.08</v>
      </c>
      <c r="BJ27" s="99">
        <v>214062.13</v>
      </c>
      <c r="BK27" s="97" t="s">
        <v>75</v>
      </c>
      <c r="BL27" s="97" t="s">
        <v>244</v>
      </c>
      <c r="BM27" s="99">
        <v>450</v>
      </c>
      <c r="BN27" s="100">
        <v>35252.86</v>
      </c>
      <c r="BO27" s="100">
        <v>43073.04</v>
      </c>
      <c r="BP27" s="99">
        <v>120299.23</v>
      </c>
      <c r="BQ27" s="99">
        <v>198625.13</v>
      </c>
      <c r="BR27" s="97" t="s">
        <v>75</v>
      </c>
      <c r="BS27" s="97" t="s">
        <v>244</v>
      </c>
      <c r="BT27" s="99">
        <v>455</v>
      </c>
      <c r="BU27" s="100">
        <v>33733.47</v>
      </c>
      <c r="BV27" s="100">
        <v>32351.43</v>
      </c>
      <c r="BW27" s="99">
        <v>127268.74</v>
      </c>
      <c r="BX27" s="99">
        <v>193353.64</v>
      </c>
      <c r="BY27" s="63"/>
      <c r="BZ27" s="63"/>
      <c r="CA27" s="63"/>
      <c r="CB27" s="63"/>
      <c r="CC27" s="63"/>
      <c r="CD27" s="63"/>
      <c r="CE27" s="63"/>
      <c r="CF27" s="63"/>
      <c r="CG27" s="63"/>
      <c r="CH27" s="87" t="str">
        <f t="shared" si="0"/>
        <v>COM</v>
      </c>
      <c r="CI27" s="87" t="str">
        <f t="shared" si="1"/>
        <v xml:space="preserve"> 98952  </v>
      </c>
      <c r="CJ27" s="63">
        <f t="shared" si="2"/>
        <v>369.33291999999994</v>
      </c>
      <c r="CK27" s="63" t="str">
        <f t="shared" si="3"/>
        <v>COM</v>
      </c>
      <c r="CL27" s="63" t="str">
        <f t="shared" si="4"/>
        <v xml:space="preserve"> 98952  </v>
      </c>
      <c r="CM27" s="63">
        <f t="shared" si="5"/>
        <v>864.45813999999996</v>
      </c>
      <c r="CN27" s="63" t="str">
        <f t="shared" si="6"/>
        <v>COM</v>
      </c>
      <c r="CO27" s="63" t="str">
        <f t="shared" si="7"/>
        <v xml:space="preserve"> 98952  </v>
      </c>
      <c r="CP27" s="63">
        <f t="shared" si="8"/>
        <v>395.79973999999999</v>
      </c>
      <c r="DD27" s="82" t="s">
        <v>53</v>
      </c>
      <c r="DE27" s="82" t="s">
        <v>75</v>
      </c>
      <c r="DF27" s="83">
        <v>18</v>
      </c>
      <c r="DG27" s="51" t="s">
        <v>56</v>
      </c>
      <c r="DH27" s="51" t="s">
        <v>75</v>
      </c>
      <c r="DI27" s="52">
        <v>8</v>
      </c>
      <c r="DJ27" s="51" t="s">
        <v>58</v>
      </c>
      <c r="DK27" s="51" t="s">
        <v>75</v>
      </c>
      <c r="DL27" s="52">
        <v>6</v>
      </c>
      <c r="DM27" s="82" t="s">
        <v>112</v>
      </c>
      <c r="DN27" s="83">
        <v>107.29</v>
      </c>
      <c r="DO27" s="82" t="s">
        <v>106</v>
      </c>
      <c r="DP27" s="83">
        <v>20134.91</v>
      </c>
      <c r="DQ27" s="82" t="s">
        <v>108</v>
      </c>
      <c r="DR27" s="83">
        <v>3258.04</v>
      </c>
    </row>
    <row r="28" spans="1:128" ht="16" x14ac:dyDescent="0.2">
      <c r="A28" s="63" t="s">
        <v>34</v>
      </c>
      <c r="B28" s="63" t="s">
        <v>266</v>
      </c>
      <c r="C28" s="90">
        <v>53</v>
      </c>
      <c r="D28" s="63">
        <v>6883.12</v>
      </c>
      <c r="E28" s="63">
        <v>2767.15</v>
      </c>
      <c r="F28" s="63">
        <v>17351.46</v>
      </c>
      <c r="G28" s="63">
        <v>27001.73</v>
      </c>
      <c r="H28" s="97" t="s">
        <v>34</v>
      </c>
      <c r="I28" s="97" t="s">
        <v>266</v>
      </c>
      <c r="J28" s="163">
        <v>44</v>
      </c>
      <c r="K28" s="100">
        <v>10214.75</v>
      </c>
      <c r="L28" s="100">
        <v>2296.9299999999998</v>
      </c>
      <c r="M28" s="99">
        <v>18081.52</v>
      </c>
      <c r="N28" s="99">
        <v>30593.200000000001</v>
      </c>
      <c r="O28" s="63" t="s">
        <v>34</v>
      </c>
      <c r="P28" s="63" t="s">
        <v>266</v>
      </c>
      <c r="Q28" s="90">
        <v>34</v>
      </c>
      <c r="R28" s="63">
        <v>4194.79</v>
      </c>
      <c r="S28" s="63">
        <v>2174.14</v>
      </c>
      <c r="T28" s="63">
        <v>18948.939999999999</v>
      </c>
      <c r="U28" s="63">
        <v>25317.87</v>
      </c>
      <c r="V28" s="64" t="s">
        <v>75</v>
      </c>
      <c r="W28" t="s">
        <v>50</v>
      </c>
      <c r="X28">
        <v>21</v>
      </c>
      <c r="Y28" s="63">
        <v>3998.1499999999992</v>
      </c>
      <c r="Z28" s="63">
        <v>1858.4599999999998</v>
      </c>
      <c r="AA28" s="63">
        <v>3204.29</v>
      </c>
      <c r="AB28" s="63">
        <v>9060.9</v>
      </c>
      <c r="AC28">
        <v>25</v>
      </c>
      <c r="AD28" s="63">
        <v>4314.8599999999997</v>
      </c>
      <c r="AE28" s="63">
        <v>2949.1200000000003</v>
      </c>
      <c r="AF28" s="63">
        <v>4587.0800000000008</v>
      </c>
      <c r="AG28" s="63">
        <v>11851.060000000001</v>
      </c>
      <c r="AH28">
        <v>18</v>
      </c>
      <c r="AI28" s="63">
        <v>3815.49</v>
      </c>
      <c r="AJ28" s="63">
        <v>2717.9800000000005</v>
      </c>
      <c r="AK28" s="63">
        <v>6047.8300000000008</v>
      </c>
      <c r="AL28" s="63">
        <v>12581.3</v>
      </c>
      <c r="AM28" s="63" t="s">
        <v>75</v>
      </c>
      <c r="AN28" s="63" t="s">
        <v>49</v>
      </c>
      <c r="AO28" s="63">
        <v>16</v>
      </c>
      <c r="AP28" s="63">
        <v>2550.34</v>
      </c>
      <c r="AQ28" s="63">
        <v>589.24</v>
      </c>
      <c r="AR28" s="63">
        <v>1533.27</v>
      </c>
      <c r="AS28" s="63">
        <v>4672.8500000000004</v>
      </c>
      <c r="AT28" s="63">
        <v>18</v>
      </c>
      <c r="AU28" s="63">
        <v>1813.83</v>
      </c>
      <c r="AV28" s="63">
        <v>1871.5600000000002</v>
      </c>
      <c r="AW28" s="63">
        <v>884.96</v>
      </c>
      <c r="AX28" s="63">
        <v>4570.3499999999995</v>
      </c>
      <c r="AY28" s="63">
        <v>17</v>
      </c>
      <c r="AZ28" s="63">
        <v>1282.1400000000001</v>
      </c>
      <c r="BA28" s="63">
        <v>1505.9900000000002</v>
      </c>
      <c r="BB28" s="63">
        <v>1558.97</v>
      </c>
      <c r="BC28" s="63">
        <v>4347.0999999999995</v>
      </c>
      <c r="BD28" s="97" t="s">
        <v>75</v>
      </c>
      <c r="BE28" s="97" t="s">
        <v>245</v>
      </c>
      <c r="BF28" s="99">
        <v>138</v>
      </c>
      <c r="BG28" s="100">
        <v>23488.42</v>
      </c>
      <c r="BH28" s="100">
        <v>14942.63</v>
      </c>
      <c r="BI28" s="99">
        <v>41139.629999999997</v>
      </c>
      <c r="BJ28" s="99">
        <v>79570.679999999993</v>
      </c>
      <c r="BK28" s="97" t="s">
        <v>75</v>
      </c>
      <c r="BL28" s="97" t="s">
        <v>245</v>
      </c>
      <c r="BM28" s="99">
        <v>131</v>
      </c>
      <c r="BN28" s="100">
        <v>11961.58</v>
      </c>
      <c r="BO28" s="100">
        <v>16621.48</v>
      </c>
      <c r="BP28" s="99">
        <v>46174.6</v>
      </c>
      <c r="BQ28" s="99">
        <v>74757.66</v>
      </c>
      <c r="BR28" s="97" t="s">
        <v>75</v>
      </c>
      <c r="BS28" s="97" t="s">
        <v>245</v>
      </c>
      <c r="BT28" s="99">
        <v>141</v>
      </c>
      <c r="BU28" s="100">
        <v>14534.39</v>
      </c>
      <c r="BV28" s="100">
        <v>12379.46</v>
      </c>
      <c r="BW28" s="99">
        <v>51631.19</v>
      </c>
      <c r="BX28" s="99">
        <v>78545.039999999994</v>
      </c>
      <c r="BY28" s="63"/>
      <c r="BZ28" s="63"/>
      <c r="CA28" s="63"/>
      <c r="CB28" s="63"/>
      <c r="CC28" s="63"/>
      <c r="CD28" s="63"/>
      <c r="CE28" s="63"/>
      <c r="CF28" s="63"/>
      <c r="CG28" s="63"/>
      <c r="CH28" s="87" t="str">
        <f t="shared" si="0"/>
        <v>COM</v>
      </c>
      <c r="CI28" s="87" t="str">
        <f t="shared" si="1"/>
        <v xml:space="preserve"> 98953  </v>
      </c>
      <c r="CJ28" s="63">
        <f t="shared" si="2"/>
        <v>5299.0323099999996</v>
      </c>
      <c r="CK28" s="63" t="str">
        <f t="shared" si="3"/>
        <v>COM</v>
      </c>
      <c r="CL28" s="63" t="str">
        <f t="shared" si="4"/>
        <v xml:space="preserve"> 98953  </v>
      </c>
      <c r="CM28" s="63">
        <f t="shared" si="5"/>
        <v>5533.7018699999999</v>
      </c>
      <c r="CN28" s="63" t="str">
        <f t="shared" si="6"/>
        <v>COM</v>
      </c>
      <c r="CO28" s="63" t="str">
        <f t="shared" si="7"/>
        <v xml:space="preserve"> 98953  </v>
      </c>
      <c r="CP28" s="63">
        <f t="shared" si="8"/>
        <v>5680.3311199999989</v>
      </c>
      <c r="DD28" s="82" t="s">
        <v>54</v>
      </c>
      <c r="DE28" s="82" t="s">
        <v>75</v>
      </c>
      <c r="DF28" s="83">
        <v>4</v>
      </c>
      <c r="DG28" s="51" t="s">
        <v>57</v>
      </c>
      <c r="DH28" s="51" t="s">
        <v>75</v>
      </c>
      <c r="DI28" s="52">
        <v>1</v>
      </c>
      <c r="DJ28" s="51" t="s">
        <v>61</v>
      </c>
      <c r="DK28" s="51" t="s">
        <v>75</v>
      </c>
      <c r="DL28" s="52">
        <v>8</v>
      </c>
      <c r="DM28" s="82" t="s">
        <v>106</v>
      </c>
      <c r="DN28" s="83">
        <v>9061.7699999999986</v>
      </c>
      <c r="DO28" s="82" t="s">
        <v>110</v>
      </c>
      <c r="DP28" s="83">
        <v>184.94</v>
      </c>
      <c r="DQ28" s="82" t="s">
        <v>102</v>
      </c>
      <c r="DR28" s="83">
        <v>1257.81</v>
      </c>
    </row>
    <row r="29" spans="1:128" ht="16" x14ac:dyDescent="0.2">
      <c r="A29" s="63" t="s">
        <v>34</v>
      </c>
      <c r="B29" s="63" t="s">
        <v>267</v>
      </c>
      <c r="C29" s="90"/>
      <c r="D29" s="63">
        <v>0</v>
      </c>
      <c r="E29" s="63">
        <v>0</v>
      </c>
      <c r="F29" s="63">
        <v>0</v>
      </c>
      <c r="G29" s="63">
        <v>0</v>
      </c>
      <c r="H29" s="97" t="s">
        <v>34</v>
      </c>
      <c r="I29" s="97" t="s">
        <v>267</v>
      </c>
      <c r="J29" s="163"/>
      <c r="K29" s="100">
        <v>0</v>
      </c>
      <c r="L29" s="100">
        <v>0</v>
      </c>
      <c r="M29" s="99">
        <v>0</v>
      </c>
      <c r="N29" s="99">
        <v>0</v>
      </c>
      <c r="O29" s="63" t="s">
        <v>34</v>
      </c>
      <c r="P29" s="63" t="s">
        <v>267</v>
      </c>
      <c r="Q29" s="90"/>
      <c r="R29" s="63">
        <v>0</v>
      </c>
      <c r="S29" s="63">
        <v>0</v>
      </c>
      <c r="T29" s="63">
        <v>0</v>
      </c>
      <c r="U29" s="63">
        <v>0</v>
      </c>
      <c r="V29" s="64" t="s">
        <v>75</v>
      </c>
      <c r="W29" t="s">
        <v>51</v>
      </c>
      <c r="X29">
        <v>2</v>
      </c>
      <c r="Y29" s="63">
        <v>297.95999999999998</v>
      </c>
      <c r="Z29" s="63">
        <v>166.29</v>
      </c>
      <c r="AA29" s="63">
        <v>464.19</v>
      </c>
      <c r="AB29" s="63">
        <v>928.44</v>
      </c>
      <c r="AC29">
        <v>2</v>
      </c>
      <c r="AD29" s="63">
        <v>302.51</v>
      </c>
      <c r="AE29" s="63">
        <v>297.95999999999998</v>
      </c>
      <c r="AF29" s="63">
        <v>326.63</v>
      </c>
      <c r="AG29" s="63">
        <v>927.1</v>
      </c>
      <c r="AH29">
        <v>3</v>
      </c>
      <c r="AI29" s="63">
        <v>430.87</v>
      </c>
      <c r="AJ29" s="63">
        <v>302.51</v>
      </c>
      <c r="AK29" s="63">
        <v>624.59</v>
      </c>
      <c r="AL29" s="63">
        <v>1357.97</v>
      </c>
      <c r="AM29" s="63" t="s">
        <v>75</v>
      </c>
      <c r="AN29" s="63" t="s">
        <v>50</v>
      </c>
      <c r="AO29" s="63">
        <v>20</v>
      </c>
      <c r="AP29" s="63">
        <v>2877.3399999999992</v>
      </c>
      <c r="AQ29" s="63">
        <v>2598.4499999999998</v>
      </c>
      <c r="AR29" s="63">
        <v>5369.6799999999994</v>
      </c>
      <c r="AS29" s="63">
        <v>10845.470000000001</v>
      </c>
      <c r="AT29" s="63">
        <v>20</v>
      </c>
      <c r="AU29" s="63">
        <v>2185.4100000000003</v>
      </c>
      <c r="AV29" s="63">
        <v>2187.2199999999998</v>
      </c>
      <c r="AW29" s="63">
        <v>7354.56</v>
      </c>
      <c r="AX29" s="63">
        <v>11727.189999999999</v>
      </c>
      <c r="AY29" s="63">
        <v>16</v>
      </c>
      <c r="AZ29" s="63">
        <v>1290.6500000000001</v>
      </c>
      <c r="BA29" s="63">
        <v>1464.5</v>
      </c>
      <c r="BB29" s="63">
        <v>7747.07</v>
      </c>
      <c r="BC29" s="63">
        <v>10502.220000000001</v>
      </c>
      <c r="BD29" s="97" t="s">
        <v>75</v>
      </c>
      <c r="BE29" s="97" t="s">
        <v>248</v>
      </c>
      <c r="BF29" s="99">
        <v>147</v>
      </c>
      <c r="BG29" s="100">
        <v>16924.82</v>
      </c>
      <c r="BH29" s="100">
        <v>13056.85</v>
      </c>
      <c r="BI29" s="99">
        <v>26597.22</v>
      </c>
      <c r="BJ29" s="99">
        <v>56578.89</v>
      </c>
      <c r="BK29" s="97" t="s">
        <v>75</v>
      </c>
      <c r="BL29" s="97" t="s">
        <v>248</v>
      </c>
      <c r="BM29" s="99">
        <v>164</v>
      </c>
      <c r="BN29" s="100">
        <v>16093.68</v>
      </c>
      <c r="BO29" s="100">
        <v>13318.2</v>
      </c>
      <c r="BP29" s="99">
        <v>32940.1</v>
      </c>
      <c r="BQ29" s="99">
        <v>62351.98</v>
      </c>
      <c r="BR29" s="97" t="s">
        <v>75</v>
      </c>
      <c r="BS29" s="97" t="s">
        <v>248</v>
      </c>
      <c r="BT29" s="99">
        <v>169</v>
      </c>
      <c r="BU29" s="100">
        <v>14945.68</v>
      </c>
      <c r="BV29" s="100">
        <v>12526.55</v>
      </c>
      <c r="BW29" s="99">
        <v>35393.83</v>
      </c>
      <c r="BX29" s="99">
        <v>62866.06</v>
      </c>
      <c r="BY29" s="63"/>
      <c r="BZ29" s="63"/>
      <c r="CA29" s="63"/>
      <c r="CB29" s="63"/>
      <c r="CC29" s="63"/>
      <c r="CD29" s="63"/>
      <c r="CE29" s="63"/>
      <c r="CF29" s="63"/>
      <c r="CG29" s="63"/>
      <c r="CH29" s="87" t="str">
        <f t="shared" si="0"/>
        <v>COM</v>
      </c>
      <c r="CI29" s="87" t="str">
        <f t="shared" si="1"/>
        <v xml:space="preserve"> 99301  </v>
      </c>
      <c r="CJ29" s="63">
        <f t="shared" si="2"/>
        <v>0</v>
      </c>
      <c r="CK29" s="63" t="str">
        <f t="shared" si="3"/>
        <v>COM</v>
      </c>
      <c r="CL29" s="63" t="str">
        <f t="shared" si="4"/>
        <v xml:space="preserve"> 99301  </v>
      </c>
      <c r="CM29" s="63">
        <f t="shared" si="5"/>
        <v>0</v>
      </c>
      <c r="CN29" s="63" t="str">
        <f t="shared" si="6"/>
        <v>COM</v>
      </c>
      <c r="CO29" s="63" t="str">
        <f t="shared" si="7"/>
        <v xml:space="preserve"> 99301  </v>
      </c>
      <c r="CP29" s="63">
        <f t="shared" si="8"/>
        <v>0</v>
      </c>
      <c r="DD29" s="82" t="s">
        <v>55</v>
      </c>
      <c r="DE29" s="82" t="s">
        <v>75</v>
      </c>
      <c r="DF29" s="83">
        <v>4</v>
      </c>
      <c r="DG29" s="51" t="s">
        <v>58</v>
      </c>
      <c r="DH29" s="51" t="s">
        <v>75</v>
      </c>
      <c r="DI29" s="52">
        <v>4</v>
      </c>
      <c r="DJ29" s="51" t="s">
        <v>62</v>
      </c>
      <c r="DK29" s="51" t="s">
        <v>75</v>
      </c>
      <c r="DL29" s="52">
        <v>4</v>
      </c>
      <c r="DM29" s="82" t="s">
        <v>92</v>
      </c>
      <c r="DN29" s="83">
        <v>815.67</v>
      </c>
      <c r="DO29" s="82" t="s">
        <v>92</v>
      </c>
      <c r="DP29" s="83">
        <v>1075.3699999999999</v>
      </c>
      <c r="DQ29" s="82" t="s">
        <v>109</v>
      </c>
      <c r="DR29" s="83">
        <v>5187.25</v>
      </c>
    </row>
    <row r="30" spans="1:128" ht="16" x14ac:dyDescent="0.2">
      <c r="A30" s="63" t="s">
        <v>34</v>
      </c>
      <c r="B30" s="63" t="s">
        <v>268</v>
      </c>
      <c r="C30" s="90">
        <v>11</v>
      </c>
      <c r="D30" s="63">
        <v>4195.21</v>
      </c>
      <c r="E30" s="63">
        <v>3288.76</v>
      </c>
      <c r="F30" s="63">
        <v>6324.62</v>
      </c>
      <c r="G30" s="63">
        <v>13808.59</v>
      </c>
      <c r="H30" s="97" t="s">
        <v>34</v>
      </c>
      <c r="I30" s="97" t="s">
        <v>268</v>
      </c>
      <c r="J30" s="163">
        <v>11</v>
      </c>
      <c r="K30" s="100">
        <v>3753.46</v>
      </c>
      <c r="L30" s="100">
        <v>2908.48</v>
      </c>
      <c r="M30" s="99">
        <v>9229.9599999999991</v>
      </c>
      <c r="N30" s="99">
        <v>15891.9</v>
      </c>
      <c r="O30" s="63" t="s">
        <v>34</v>
      </c>
      <c r="P30" s="63" t="s">
        <v>268</v>
      </c>
      <c r="Q30" s="90">
        <v>9</v>
      </c>
      <c r="R30" s="63">
        <v>3323.06</v>
      </c>
      <c r="S30" s="63">
        <v>2145.0100000000002</v>
      </c>
      <c r="T30" s="63">
        <v>9124.0400000000009</v>
      </c>
      <c r="U30" s="63">
        <v>14592.11</v>
      </c>
      <c r="V30" s="64" t="s">
        <v>75</v>
      </c>
      <c r="W30" t="s">
        <v>52</v>
      </c>
      <c r="X30">
        <v>53</v>
      </c>
      <c r="Y30" s="63">
        <v>7811.3099999999986</v>
      </c>
      <c r="Z30" s="63">
        <v>3574.7999999999997</v>
      </c>
      <c r="AA30" s="63">
        <v>18230.71</v>
      </c>
      <c r="AB30" s="63">
        <v>29616.820000000007</v>
      </c>
      <c r="AC30">
        <v>59</v>
      </c>
      <c r="AD30" s="63">
        <v>8228.7400000000016</v>
      </c>
      <c r="AE30" s="63">
        <v>5531.7300000000005</v>
      </c>
      <c r="AF30" s="63">
        <v>18668.09</v>
      </c>
      <c r="AG30" s="63">
        <v>32428.560000000005</v>
      </c>
      <c r="AH30">
        <v>60</v>
      </c>
      <c r="AI30" s="63">
        <v>6539.569999999997</v>
      </c>
      <c r="AJ30" s="63">
        <v>6276.5200000000013</v>
      </c>
      <c r="AK30" s="63">
        <v>20773.29</v>
      </c>
      <c r="AL30" s="63">
        <v>33589.380000000005</v>
      </c>
      <c r="AM30" s="63" t="s">
        <v>75</v>
      </c>
      <c r="AN30" s="63" t="s">
        <v>51</v>
      </c>
      <c r="AO30" s="63">
        <v>4</v>
      </c>
      <c r="AP30" s="63">
        <v>607.5</v>
      </c>
      <c r="AQ30" s="63">
        <v>319.60000000000002</v>
      </c>
      <c r="AR30" s="63">
        <v>101.06</v>
      </c>
      <c r="AS30" s="63">
        <v>1028.1600000000001</v>
      </c>
      <c r="AT30" s="63">
        <v>2</v>
      </c>
      <c r="AU30" s="63">
        <v>240.44</v>
      </c>
      <c r="AV30" s="63">
        <v>246.99</v>
      </c>
      <c r="AW30" s="63">
        <v>0</v>
      </c>
      <c r="AX30" s="63">
        <v>487.43</v>
      </c>
      <c r="AY30" s="63">
        <v>2</v>
      </c>
      <c r="AZ30" s="63">
        <v>175.95</v>
      </c>
      <c r="BA30" s="63">
        <v>240.44</v>
      </c>
      <c r="BB30" s="63">
        <v>246.99</v>
      </c>
      <c r="BC30" s="63">
        <v>663.38</v>
      </c>
      <c r="BD30" s="97" t="s">
        <v>75</v>
      </c>
      <c r="BE30" s="97" t="s">
        <v>250</v>
      </c>
      <c r="BF30" s="99">
        <v>26</v>
      </c>
      <c r="BG30" s="100">
        <v>3470.79</v>
      </c>
      <c r="BH30" s="100">
        <v>3385.47</v>
      </c>
      <c r="BI30" s="99">
        <v>4225.8100000000004</v>
      </c>
      <c r="BJ30" s="99">
        <v>11082.07</v>
      </c>
      <c r="BK30" s="97" t="s">
        <v>75</v>
      </c>
      <c r="BL30" s="97" t="s">
        <v>250</v>
      </c>
      <c r="BM30" s="99">
        <v>28</v>
      </c>
      <c r="BN30" s="100">
        <v>2625.79</v>
      </c>
      <c r="BO30" s="100">
        <v>2144.58</v>
      </c>
      <c r="BP30" s="99">
        <v>4419.3999999999996</v>
      </c>
      <c r="BQ30" s="99">
        <v>9189.77</v>
      </c>
      <c r="BR30" s="97" t="s">
        <v>75</v>
      </c>
      <c r="BS30" s="97" t="s">
        <v>250</v>
      </c>
      <c r="BT30" s="99">
        <v>28</v>
      </c>
      <c r="BU30" s="100">
        <v>2408.62</v>
      </c>
      <c r="BV30" s="100">
        <v>1972.36</v>
      </c>
      <c r="BW30" s="99">
        <v>3953.08</v>
      </c>
      <c r="BX30" s="99">
        <v>8334.06</v>
      </c>
      <c r="BY30" s="63"/>
      <c r="BZ30" s="63"/>
      <c r="CA30" s="63"/>
      <c r="CB30" s="63"/>
      <c r="CC30" s="63"/>
      <c r="CD30" s="63"/>
      <c r="CE30" s="63"/>
      <c r="CF30" s="63"/>
      <c r="CG30" s="63"/>
      <c r="CH30" s="87" t="str">
        <f t="shared" si="0"/>
        <v>COM</v>
      </c>
      <c r="CI30" s="87" t="str">
        <f t="shared" si="1"/>
        <v xml:space="preserve"> 99323  </v>
      </c>
      <c r="CJ30" s="63">
        <f t="shared" si="2"/>
        <v>2102.13042</v>
      </c>
      <c r="CK30" s="63" t="str">
        <f t="shared" si="3"/>
        <v>COM</v>
      </c>
      <c r="CL30" s="63" t="str">
        <f t="shared" si="4"/>
        <v xml:space="preserve"> 99323  </v>
      </c>
      <c r="CM30" s="63">
        <f t="shared" si="5"/>
        <v>2910.7480399999995</v>
      </c>
      <c r="CN30" s="63" t="str">
        <f t="shared" si="6"/>
        <v>COM</v>
      </c>
      <c r="CO30" s="63" t="str">
        <f t="shared" si="7"/>
        <v xml:space="preserve"> 99323  </v>
      </c>
      <c r="CP30" s="63">
        <f t="shared" si="8"/>
        <v>2825.1521500000003</v>
      </c>
      <c r="DD30" s="82" t="s">
        <v>56</v>
      </c>
      <c r="DE30" s="82" t="s">
        <v>75</v>
      </c>
      <c r="DF30" s="83">
        <v>7</v>
      </c>
      <c r="DG30" s="51" t="s">
        <v>60</v>
      </c>
      <c r="DH30" s="51" t="s">
        <v>75</v>
      </c>
      <c r="DI30" s="52">
        <v>2</v>
      </c>
      <c r="DJ30" s="51" t="s">
        <v>64</v>
      </c>
      <c r="DK30" s="51" t="s">
        <v>75</v>
      </c>
      <c r="DL30" s="52">
        <v>2</v>
      </c>
      <c r="DM30" s="82" t="s">
        <v>114</v>
      </c>
      <c r="DN30" s="83">
        <v>355.49</v>
      </c>
      <c r="DO30" s="82" t="s">
        <v>114</v>
      </c>
      <c r="DP30" s="83">
        <v>491.71999999999997</v>
      </c>
      <c r="DQ30" s="82" t="s">
        <v>113</v>
      </c>
      <c r="DR30" s="83">
        <v>167.2</v>
      </c>
    </row>
    <row r="31" spans="1:128" ht="16" x14ac:dyDescent="0.2">
      <c r="A31" s="63" t="s">
        <v>34</v>
      </c>
      <c r="B31" s="63" t="s">
        <v>269</v>
      </c>
      <c r="C31" s="90">
        <v>13</v>
      </c>
      <c r="D31" s="63">
        <v>2033.82</v>
      </c>
      <c r="E31" s="63">
        <v>755.55</v>
      </c>
      <c r="F31" s="63">
        <v>9053.09</v>
      </c>
      <c r="G31" s="63">
        <v>11842.46</v>
      </c>
      <c r="H31" s="97" t="s">
        <v>34</v>
      </c>
      <c r="I31" s="97" t="s">
        <v>269</v>
      </c>
      <c r="J31" s="163">
        <v>11</v>
      </c>
      <c r="K31" s="100">
        <v>2941.88</v>
      </c>
      <c r="L31" s="100">
        <v>1612.36</v>
      </c>
      <c r="M31" s="99">
        <v>9022.36</v>
      </c>
      <c r="N31" s="99">
        <v>13576.6</v>
      </c>
      <c r="O31" s="63" t="s">
        <v>34</v>
      </c>
      <c r="P31" s="63" t="s">
        <v>269</v>
      </c>
      <c r="Q31" s="90">
        <v>12</v>
      </c>
      <c r="R31" s="63">
        <v>2039.44</v>
      </c>
      <c r="S31" s="63">
        <v>2365.62</v>
      </c>
      <c r="T31" s="63">
        <v>4272.84</v>
      </c>
      <c r="U31" s="63">
        <v>8677.9</v>
      </c>
      <c r="V31" s="64" t="s">
        <v>75</v>
      </c>
      <c r="W31" t="s">
        <v>53</v>
      </c>
      <c r="X31">
        <v>250</v>
      </c>
      <c r="Y31" s="63">
        <v>32273.290000000015</v>
      </c>
      <c r="Z31" s="63">
        <v>15041.320000000007</v>
      </c>
      <c r="AA31" s="63">
        <v>50308.319999999992</v>
      </c>
      <c r="AB31" s="63">
        <v>97622.930000000008</v>
      </c>
      <c r="AC31">
        <v>256</v>
      </c>
      <c r="AD31" s="63">
        <v>32186.19000000001</v>
      </c>
      <c r="AE31" s="63">
        <v>21950.77</v>
      </c>
      <c r="AF31" s="63">
        <v>53139.290000000008</v>
      </c>
      <c r="AG31" s="63">
        <v>107276.24999999991</v>
      </c>
      <c r="AH31">
        <v>239</v>
      </c>
      <c r="AI31" s="63">
        <v>29404.710000000003</v>
      </c>
      <c r="AJ31" s="63">
        <v>22802.910000000011</v>
      </c>
      <c r="AK31" s="63">
        <v>61586.479999999989</v>
      </c>
      <c r="AL31" s="63">
        <v>113794.09999999998</v>
      </c>
      <c r="AM31" s="63" t="s">
        <v>75</v>
      </c>
      <c r="AN31" s="63" t="s">
        <v>52</v>
      </c>
      <c r="AO31" s="63">
        <v>57</v>
      </c>
      <c r="AP31" s="63">
        <v>7351.3999999999987</v>
      </c>
      <c r="AQ31" s="63">
        <v>3222.22</v>
      </c>
      <c r="AR31" s="63">
        <v>13116.01</v>
      </c>
      <c r="AS31" s="63">
        <v>23689.629999999997</v>
      </c>
      <c r="AT31" s="63">
        <v>49</v>
      </c>
      <c r="AU31" s="63">
        <v>4615.2200000000012</v>
      </c>
      <c r="AV31" s="63">
        <v>4596.08</v>
      </c>
      <c r="AW31" s="63">
        <v>11373</v>
      </c>
      <c r="AX31" s="63">
        <v>20584.300000000007</v>
      </c>
      <c r="AY31" s="63">
        <v>48</v>
      </c>
      <c r="AZ31" s="63">
        <v>4097.2899999999991</v>
      </c>
      <c r="BA31" s="63">
        <v>3561.1200000000008</v>
      </c>
      <c r="BB31" s="63">
        <v>14283.54</v>
      </c>
      <c r="BC31" s="63">
        <v>21941.950000000008</v>
      </c>
      <c r="BD31" s="97" t="s">
        <v>75</v>
      </c>
      <c r="BE31" s="97" t="s">
        <v>251</v>
      </c>
      <c r="BF31" s="99">
        <v>3</v>
      </c>
      <c r="BG31" s="100">
        <v>438.19</v>
      </c>
      <c r="BH31" s="100">
        <v>415.54</v>
      </c>
      <c r="BI31" s="99">
        <v>169.1</v>
      </c>
      <c r="BJ31" s="99">
        <v>1022.83</v>
      </c>
      <c r="BK31" s="97" t="s">
        <v>75</v>
      </c>
      <c r="BL31" s="97" t="s">
        <v>251</v>
      </c>
      <c r="BM31" s="99">
        <v>5</v>
      </c>
      <c r="BN31" s="100">
        <v>808.41</v>
      </c>
      <c r="BO31" s="100">
        <v>438.19</v>
      </c>
      <c r="BP31" s="99">
        <v>446.82</v>
      </c>
      <c r="BQ31" s="99">
        <v>1693.42</v>
      </c>
      <c r="BR31" s="97" t="s">
        <v>75</v>
      </c>
      <c r="BS31" s="97" t="s">
        <v>251</v>
      </c>
      <c r="BT31" s="99">
        <v>5</v>
      </c>
      <c r="BU31" s="100">
        <v>707.31</v>
      </c>
      <c r="BV31" s="100">
        <v>683.41</v>
      </c>
      <c r="BW31" s="99">
        <v>765.47</v>
      </c>
      <c r="BX31" s="99">
        <v>2156.19</v>
      </c>
      <c r="BY31" s="63"/>
      <c r="BZ31" s="63"/>
      <c r="CA31" s="63"/>
      <c r="CB31" s="63"/>
      <c r="CC31" s="63"/>
      <c r="CD31" s="63"/>
      <c r="CE31" s="63"/>
      <c r="CF31" s="63"/>
      <c r="CG31" s="63"/>
      <c r="CH31" s="87" t="str">
        <f t="shared" si="0"/>
        <v>COM</v>
      </c>
      <c r="CI31" s="87" t="str">
        <f t="shared" si="1"/>
        <v xml:space="preserve"> 99324  </v>
      </c>
      <c r="CJ31" s="63">
        <f t="shared" si="2"/>
        <v>2696.48378</v>
      </c>
      <c r="CK31" s="63" t="str">
        <f t="shared" si="3"/>
        <v>COM</v>
      </c>
      <c r="CL31" s="63" t="str">
        <f t="shared" si="4"/>
        <v xml:space="preserve"> 99324  </v>
      </c>
      <c r="CM31" s="63">
        <f t="shared" si="5"/>
        <v>2756.1107999999999</v>
      </c>
      <c r="CN31" s="63" t="str">
        <f t="shared" si="6"/>
        <v>COM</v>
      </c>
      <c r="CO31" s="63" t="str">
        <f t="shared" si="7"/>
        <v xml:space="preserve"> 99324  </v>
      </c>
      <c r="CP31" s="63">
        <f t="shared" si="8"/>
        <v>1416.51586</v>
      </c>
      <c r="DD31" s="82" t="s">
        <v>58</v>
      </c>
      <c r="DE31" s="82" t="s">
        <v>75</v>
      </c>
      <c r="DF31" s="83">
        <v>4</v>
      </c>
      <c r="DG31" s="51" t="s">
        <v>61</v>
      </c>
      <c r="DH31" s="51" t="s">
        <v>75</v>
      </c>
      <c r="DI31" s="52">
        <v>15</v>
      </c>
      <c r="DJ31" s="51" t="s">
        <v>65</v>
      </c>
      <c r="DK31" s="51" t="s">
        <v>75</v>
      </c>
      <c r="DL31" s="52">
        <v>1</v>
      </c>
      <c r="DM31" s="82" t="s">
        <v>108</v>
      </c>
      <c r="DN31" s="83">
        <v>7074.1899999999987</v>
      </c>
      <c r="DO31" s="82" t="s">
        <v>108</v>
      </c>
      <c r="DP31" s="83">
        <v>3092.06</v>
      </c>
      <c r="DQ31" s="82" t="s">
        <v>103</v>
      </c>
      <c r="DR31" s="83">
        <v>62.370000000000005</v>
      </c>
    </row>
    <row r="32" spans="1:128" ht="16" x14ac:dyDescent="0.2">
      <c r="A32" s="63" t="s">
        <v>34</v>
      </c>
      <c r="B32" s="63" t="s">
        <v>270</v>
      </c>
      <c r="C32" s="90">
        <v>47</v>
      </c>
      <c r="D32" s="63">
        <v>17155.7</v>
      </c>
      <c r="E32" s="63">
        <v>8776.68</v>
      </c>
      <c r="F32" s="63">
        <v>10676.64</v>
      </c>
      <c r="G32" s="63">
        <v>36609.019999999997</v>
      </c>
      <c r="H32" s="97" t="s">
        <v>34</v>
      </c>
      <c r="I32" s="97" t="s">
        <v>270</v>
      </c>
      <c r="J32" s="163">
        <v>44</v>
      </c>
      <c r="K32" s="100">
        <v>17276.740000000002</v>
      </c>
      <c r="L32" s="100">
        <v>8206.16</v>
      </c>
      <c r="M32" s="99">
        <v>9901.91</v>
      </c>
      <c r="N32" s="99">
        <v>35384.81</v>
      </c>
      <c r="O32" s="63" t="s">
        <v>34</v>
      </c>
      <c r="P32" s="63" t="s">
        <v>270</v>
      </c>
      <c r="Q32" s="90">
        <v>42</v>
      </c>
      <c r="R32" s="63">
        <v>16807.84</v>
      </c>
      <c r="S32" s="63">
        <v>13392.25</v>
      </c>
      <c r="T32" s="63">
        <v>14769.18</v>
      </c>
      <c r="U32" s="63">
        <v>44969.27</v>
      </c>
      <c r="V32" s="64" t="s">
        <v>75</v>
      </c>
      <c r="W32" t="s">
        <v>54</v>
      </c>
      <c r="X32">
        <v>26</v>
      </c>
      <c r="Y32" s="63">
        <v>4191.3899999999994</v>
      </c>
      <c r="Z32" s="63">
        <v>1967.6399999999994</v>
      </c>
      <c r="AA32" s="63">
        <v>7375.23</v>
      </c>
      <c r="AB32" s="63">
        <v>13534.260000000004</v>
      </c>
      <c r="AC32">
        <v>23</v>
      </c>
      <c r="AD32" s="63">
        <v>3436.2299999999996</v>
      </c>
      <c r="AE32" s="63">
        <v>2624.47</v>
      </c>
      <c r="AF32" s="63">
        <v>5988.99</v>
      </c>
      <c r="AG32" s="63">
        <v>12049.689999999999</v>
      </c>
      <c r="AH32">
        <v>23</v>
      </c>
      <c r="AI32" s="63">
        <v>3459.11</v>
      </c>
      <c r="AJ32" s="63">
        <v>2530.2199999999993</v>
      </c>
      <c r="AK32" s="63">
        <v>6666.49</v>
      </c>
      <c r="AL32" s="63">
        <v>12655.819999999998</v>
      </c>
      <c r="AM32" s="63" t="s">
        <v>75</v>
      </c>
      <c r="AN32" s="63" t="s">
        <v>53</v>
      </c>
      <c r="AO32" s="63">
        <v>242</v>
      </c>
      <c r="AP32" s="63">
        <v>28305.73000000001</v>
      </c>
      <c r="AQ32" s="63">
        <v>16468.009999999998</v>
      </c>
      <c r="AR32" s="63">
        <v>43441.819999999985</v>
      </c>
      <c r="AS32" s="63">
        <v>88215.56</v>
      </c>
      <c r="AT32" s="63">
        <v>221</v>
      </c>
      <c r="AU32" s="63">
        <v>18700.34</v>
      </c>
      <c r="AV32" s="63">
        <v>19176.350000000002</v>
      </c>
      <c r="AW32" s="63">
        <v>44690.959999999985</v>
      </c>
      <c r="AX32" s="63">
        <v>82567.650000000038</v>
      </c>
      <c r="AY32" s="63">
        <v>204</v>
      </c>
      <c r="AZ32" s="63">
        <v>13329.590000000006</v>
      </c>
      <c r="BA32" s="63">
        <v>13164.570000000002</v>
      </c>
      <c r="BB32" s="63">
        <v>43049.880000000012</v>
      </c>
      <c r="BC32" s="63">
        <v>69544.040000000008</v>
      </c>
      <c r="BD32" s="97" t="s">
        <v>75</v>
      </c>
      <c r="BE32" s="97" t="s">
        <v>252</v>
      </c>
      <c r="BF32" s="99">
        <v>136</v>
      </c>
      <c r="BG32" s="100">
        <v>17023.75</v>
      </c>
      <c r="BH32" s="100">
        <v>14024.46</v>
      </c>
      <c r="BI32" s="99">
        <v>27506.23</v>
      </c>
      <c r="BJ32" s="99">
        <v>58554.44</v>
      </c>
      <c r="BK32" s="97" t="s">
        <v>75</v>
      </c>
      <c r="BL32" s="97" t="s">
        <v>252</v>
      </c>
      <c r="BM32" s="99">
        <v>140</v>
      </c>
      <c r="BN32" s="100">
        <v>10931.53</v>
      </c>
      <c r="BO32" s="100">
        <v>12675.89</v>
      </c>
      <c r="BP32" s="99">
        <v>32747.46</v>
      </c>
      <c r="BQ32" s="99">
        <v>56354.879999999997</v>
      </c>
      <c r="BR32" s="97" t="s">
        <v>75</v>
      </c>
      <c r="BS32" s="97" t="s">
        <v>252</v>
      </c>
      <c r="BT32" s="99">
        <v>145</v>
      </c>
      <c r="BU32" s="100">
        <v>11697.85</v>
      </c>
      <c r="BV32" s="100">
        <v>8490.69</v>
      </c>
      <c r="BW32" s="99">
        <v>34549.82</v>
      </c>
      <c r="BX32" s="99">
        <v>54738.36</v>
      </c>
      <c r="BY32" s="63"/>
      <c r="BZ32" s="63"/>
      <c r="CA32" s="63"/>
      <c r="CB32" s="63"/>
      <c r="CC32" s="63"/>
      <c r="CD32" s="63"/>
      <c r="CE32" s="63"/>
      <c r="CF32" s="63"/>
      <c r="CG32" s="63"/>
      <c r="CH32" s="87" t="str">
        <f t="shared" si="0"/>
        <v>COM</v>
      </c>
      <c r="CI32" s="87" t="str">
        <f t="shared" si="1"/>
        <v xml:space="preserve"> 99328  </v>
      </c>
      <c r="CJ32" s="63">
        <f t="shared" si="2"/>
        <v>3912.9709999999995</v>
      </c>
      <c r="CK32" s="63" t="str">
        <f t="shared" si="3"/>
        <v>COM</v>
      </c>
      <c r="CL32" s="63" t="str">
        <f t="shared" si="4"/>
        <v xml:space="preserve"> 99328  </v>
      </c>
      <c r="CM32" s="63">
        <f t="shared" si="5"/>
        <v>3655.0679099999998</v>
      </c>
      <c r="CN32" s="63" t="str">
        <f t="shared" si="6"/>
        <v>COM</v>
      </c>
      <c r="CO32" s="63" t="str">
        <f t="shared" si="7"/>
        <v xml:space="preserve"> 99328  </v>
      </c>
      <c r="CP32" s="63">
        <f t="shared" si="8"/>
        <v>5380.9302100000004</v>
      </c>
      <c r="DD32" s="82" t="s">
        <v>60</v>
      </c>
      <c r="DE32" s="82" t="s">
        <v>75</v>
      </c>
      <c r="DF32" s="83">
        <v>1</v>
      </c>
      <c r="DG32" s="51" t="s">
        <v>62</v>
      </c>
      <c r="DH32" s="51" t="s">
        <v>75</v>
      </c>
      <c r="DI32" s="52">
        <v>4</v>
      </c>
      <c r="DJ32" s="51" t="s">
        <v>68</v>
      </c>
      <c r="DK32" s="51" t="s">
        <v>75</v>
      </c>
      <c r="DL32" s="52">
        <v>2</v>
      </c>
      <c r="DM32" s="82" t="s">
        <v>239</v>
      </c>
      <c r="DN32" s="83">
        <v>55.27</v>
      </c>
      <c r="DO32" s="82" t="s">
        <v>102</v>
      </c>
      <c r="DP32" s="83">
        <v>1690.17</v>
      </c>
      <c r="DQ32" s="82" t="s">
        <v>132</v>
      </c>
      <c r="DR32" s="83">
        <v>34.46</v>
      </c>
    </row>
    <row r="33" spans="1:128" ht="16" x14ac:dyDescent="0.2">
      <c r="A33" s="63" t="s">
        <v>34</v>
      </c>
      <c r="B33" s="63" t="s">
        <v>271</v>
      </c>
      <c r="C33" s="90">
        <v>4</v>
      </c>
      <c r="D33" s="63">
        <v>270.64</v>
      </c>
      <c r="E33" s="63">
        <v>236.98</v>
      </c>
      <c r="F33" s="63">
        <v>1715.21</v>
      </c>
      <c r="G33" s="63">
        <v>2222.83</v>
      </c>
      <c r="H33" s="97" t="s">
        <v>34</v>
      </c>
      <c r="I33" s="97" t="s">
        <v>271</v>
      </c>
      <c r="J33" s="163">
        <v>5</v>
      </c>
      <c r="K33" s="100">
        <v>216.17</v>
      </c>
      <c r="L33" s="100">
        <v>128.36000000000001</v>
      </c>
      <c r="M33" s="99">
        <v>1952.19</v>
      </c>
      <c r="N33" s="99">
        <v>2296.7199999999998</v>
      </c>
      <c r="O33" s="63" t="s">
        <v>34</v>
      </c>
      <c r="P33" s="63" t="s">
        <v>271</v>
      </c>
      <c r="Q33" s="90">
        <v>4</v>
      </c>
      <c r="R33" s="63">
        <v>101.13</v>
      </c>
      <c r="S33" s="63">
        <v>74.41</v>
      </c>
      <c r="T33" s="63">
        <v>2080.5500000000002</v>
      </c>
      <c r="U33" s="63">
        <v>2256.09</v>
      </c>
      <c r="V33" s="64" t="s">
        <v>75</v>
      </c>
      <c r="W33" t="s">
        <v>55</v>
      </c>
      <c r="X33">
        <v>240</v>
      </c>
      <c r="Y33" s="63">
        <v>25609.339999999986</v>
      </c>
      <c r="Z33" s="63">
        <v>26396.11</v>
      </c>
      <c r="AA33" s="63">
        <v>74329.720000000016</v>
      </c>
      <c r="AB33" s="63">
        <v>126335.17000000003</v>
      </c>
      <c r="AC33">
        <v>210</v>
      </c>
      <c r="AD33" s="63">
        <v>26696.689999999991</v>
      </c>
      <c r="AE33" s="63">
        <v>18613.46000000001</v>
      </c>
      <c r="AF33" s="63">
        <v>81173.069999999963</v>
      </c>
      <c r="AG33" s="63">
        <v>126483.22000000013</v>
      </c>
      <c r="AH33">
        <v>211</v>
      </c>
      <c r="AI33" s="63">
        <v>32558.65</v>
      </c>
      <c r="AJ33" s="63">
        <v>20629.849999999999</v>
      </c>
      <c r="AK33" s="63">
        <v>81261.080000000045</v>
      </c>
      <c r="AL33" s="63">
        <v>134449.57999999996</v>
      </c>
      <c r="AM33" s="63" t="s">
        <v>75</v>
      </c>
      <c r="AN33" s="63" t="s">
        <v>54</v>
      </c>
      <c r="AO33" s="63">
        <v>25</v>
      </c>
      <c r="AP33" s="63">
        <v>4306.41</v>
      </c>
      <c r="AQ33" s="63">
        <v>2346.75</v>
      </c>
      <c r="AR33" s="63">
        <v>8891.81</v>
      </c>
      <c r="AS33" s="63">
        <v>15544.97</v>
      </c>
      <c r="AT33" s="63">
        <v>22</v>
      </c>
      <c r="AU33" s="63">
        <v>2490.4</v>
      </c>
      <c r="AV33" s="63">
        <v>2515.0600000000004</v>
      </c>
      <c r="AW33" s="63">
        <v>4244.97</v>
      </c>
      <c r="AX33" s="63">
        <v>9250.4299999999967</v>
      </c>
      <c r="AY33" s="63">
        <v>22</v>
      </c>
      <c r="AZ33" s="63">
        <v>1908.73</v>
      </c>
      <c r="BA33" s="63">
        <v>2246.75</v>
      </c>
      <c r="BB33" s="63">
        <v>6391.6399999999994</v>
      </c>
      <c r="BC33" s="63">
        <v>10547.12</v>
      </c>
      <c r="BD33" s="97" t="s">
        <v>75</v>
      </c>
      <c r="BE33" s="97" t="s">
        <v>253</v>
      </c>
      <c r="BF33" s="99">
        <v>78</v>
      </c>
      <c r="BG33" s="100">
        <v>9035.14</v>
      </c>
      <c r="BH33" s="100">
        <v>9600.19</v>
      </c>
      <c r="BI33" s="99">
        <v>21997.42</v>
      </c>
      <c r="BJ33" s="99">
        <v>40632.75</v>
      </c>
      <c r="BK33" s="97" t="s">
        <v>75</v>
      </c>
      <c r="BL33" s="97" t="s">
        <v>253</v>
      </c>
      <c r="BM33" s="99">
        <v>79</v>
      </c>
      <c r="BN33" s="100">
        <v>6930.86</v>
      </c>
      <c r="BO33" s="100">
        <v>7225.5600000000104</v>
      </c>
      <c r="BP33" s="99">
        <v>26751.99</v>
      </c>
      <c r="BQ33" s="99">
        <v>40908.410000000003</v>
      </c>
      <c r="BR33" s="97" t="s">
        <v>75</v>
      </c>
      <c r="BS33" s="97" t="s">
        <v>253</v>
      </c>
      <c r="BT33" s="99">
        <v>77</v>
      </c>
      <c r="BU33" s="100">
        <v>5786.41</v>
      </c>
      <c r="BV33" s="100">
        <v>4715.3500000000004</v>
      </c>
      <c r="BW33" s="99">
        <v>24621.63</v>
      </c>
      <c r="BX33" s="99">
        <v>35123.39</v>
      </c>
      <c r="BY33" s="63"/>
      <c r="BZ33" s="63"/>
      <c r="CA33" s="63"/>
      <c r="CB33" s="63"/>
      <c r="CC33" s="63"/>
      <c r="CD33" s="63"/>
      <c r="CE33" s="63"/>
      <c r="CF33" s="63"/>
      <c r="CG33" s="63"/>
      <c r="CH33" s="87" t="str">
        <f t="shared" si="0"/>
        <v>COM</v>
      </c>
      <c r="CI33" s="87" t="str">
        <f t="shared" si="1"/>
        <v xml:space="preserve"> 99329  </v>
      </c>
      <c r="CJ33" s="63">
        <f t="shared" si="2"/>
        <v>514.95566999999994</v>
      </c>
      <c r="CK33" s="63" t="str">
        <f t="shared" si="3"/>
        <v>COM</v>
      </c>
      <c r="CL33" s="63" t="str">
        <f t="shared" si="4"/>
        <v xml:space="preserve"> 99329  </v>
      </c>
      <c r="CM33" s="63">
        <f t="shared" si="5"/>
        <v>575.72830999999996</v>
      </c>
      <c r="CN33" s="63" t="str">
        <f t="shared" si="6"/>
        <v>COM</v>
      </c>
      <c r="CO33" s="63" t="str">
        <f t="shared" si="7"/>
        <v xml:space="preserve"> 99329  </v>
      </c>
      <c r="CP33" s="63">
        <f t="shared" si="8"/>
        <v>607.58486000000005</v>
      </c>
      <c r="DD33" s="82" t="s">
        <v>61</v>
      </c>
      <c r="DE33" s="82" t="s">
        <v>75</v>
      </c>
      <c r="DF33" s="83">
        <v>12</v>
      </c>
      <c r="DG33" s="51" t="s">
        <v>64</v>
      </c>
      <c r="DH33" s="51" t="s">
        <v>75</v>
      </c>
      <c r="DI33" s="52">
        <v>2</v>
      </c>
      <c r="DJ33" s="51" t="s">
        <v>69</v>
      </c>
      <c r="DK33" s="51" t="s">
        <v>75</v>
      </c>
      <c r="DL33" s="52">
        <v>31</v>
      </c>
      <c r="DM33" s="82" t="s">
        <v>102</v>
      </c>
      <c r="DN33" s="83">
        <v>7634.17</v>
      </c>
      <c r="DO33" s="63" t="s">
        <v>109</v>
      </c>
      <c r="DP33" s="63">
        <v>1231.29</v>
      </c>
      <c r="DQ33" s="82" t="s">
        <v>93</v>
      </c>
      <c r="DR33" s="83">
        <v>16224.520000000002</v>
      </c>
    </row>
    <row r="34" spans="1:128" ht="16" x14ac:dyDescent="0.2">
      <c r="A34" s="63" t="s">
        <v>34</v>
      </c>
      <c r="B34" s="63" t="s">
        <v>272</v>
      </c>
      <c r="C34" s="90">
        <v>21</v>
      </c>
      <c r="D34" s="63">
        <v>3623.39</v>
      </c>
      <c r="E34" s="63">
        <v>2578.83</v>
      </c>
      <c r="F34" s="63">
        <v>4116.7</v>
      </c>
      <c r="G34" s="63">
        <v>10318.92</v>
      </c>
      <c r="H34" s="97" t="s">
        <v>34</v>
      </c>
      <c r="I34" s="97" t="s">
        <v>272</v>
      </c>
      <c r="J34" s="163">
        <v>16</v>
      </c>
      <c r="K34" s="100">
        <v>1568.6</v>
      </c>
      <c r="L34" s="100">
        <v>1246.28</v>
      </c>
      <c r="M34" s="99">
        <v>4219.03</v>
      </c>
      <c r="N34" s="99">
        <v>7033.91</v>
      </c>
      <c r="O34" s="63" t="s">
        <v>34</v>
      </c>
      <c r="P34" s="63" t="s">
        <v>272</v>
      </c>
      <c r="Q34" s="90">
        <v>16</v>
      </c>
      <c r="R34" s="63">
        <v>4206.63</v>
      </c>
      <c r="S34" s="63">
        <v>1136.8399999999999</v>
      </c>
      <c r="T34" s="63">
        <v>1445.38</v>
      </c>
      <c r="U34" s="63">
        <v>6788.85</v>
      </c>
      <c r="V34" s="64" t="s">
        <v>75</v>
      </c>
      <c r="W34" t="s">
        <v>56</v>
      </c>
      <c r="X34">
        <v>264</v>
      </c>
      <c r="Y34" s="63">
        <v>49352.189999999988</v>
      </c>
      <c r="Z34" s="63">
        <v>17325.079999999998</v>
      </c>
      <c r="AA34" s="63">
        <v>146351.56999999995</v>
      </c>
      <c r="AB34" s="63">
        <v>213028.83999999994</v>
      </c>
      <c r="AC34">
        <v>262</v>
      </c>
      <c r="AD34" s="63">
        <v>48161.080000000009</v>
      </c>
      <c r="AE34" s="63">
        <v>37597.669999999984</v>
      </c>
      <c r="AF34" s="63">
        <v>145433.37</v>
      </c>
      <c r="AG34" s="63">
        <v>231192.11999999991</v>
      </c>
      <c r="AH34">
        <v>256</v>
      </c>
      <c r="AI34" s="63">
        <v>45703.320000000022</v>
      </c>
      <c r="AJ34" s="63">
        <v>35284.24000000002</v>
      </c>
      <c r="AK34" s="63">
        <v>161485.21000000005</v>
      </c>
      <c r="AL34" s="63">
        <v>242472.77</v>
      </c>
      <c r="AM34" s="63" t="s">
        <v>75</v>
      </c>
      <c r="AN34" s="63" t="s">
        <v>55</v>
      </c>
      <c r="AO34" s="63">
        <v>145</v>
      </c>
      <c r="AP34" s="63">
        <v>27504.920000000006</v>
      </c>
      <c r="AQ34" s="63">
        <v>10251.75</v>
      </c>
      <c r="AR34" s="63">
        <v>48155.639999999992</v>
      </c>
      <c r="AS34" s="63">
        <v>85912.31</v>
      </c>
      <c r="AT34" s="63">
        <v>233</v>
      </c>
      <c r="AU34" s="63">
        <v>22377.930000000008</v>
      </c>
      <c r="AV34" s="63">
        <v>24984.61</v>
      </c>
      <c r="AW34" s="63">
        <v>59147.379999999976</v>
      </c>
      <c r="AX34" s="63">
        <v>106509.92000000001</v>
      </c>
      <c r="AY34" s="63">
        <v>212</v>
      </c>
      <c r="AZ34" s="63">
        <v>10667.670000000002</v>
      </c>
      <c r="BA34" s="63">
        <v>22508.820000000011</v>
      </c>
      <c r="BB34" s="63">
        <v>65902.670000000013</v>
      </c>
      <c r="BC34" s="63">
        <v>99079.159999999989</v>
      </c>
      <c r="BD34" s="97" t="s">
        <v>75</v>
      </c>
      <c r="BE34" s="97" t="s">
        <v>254</v>
      </c>
      <c r="BF34" s="99">
        <v>14</v>
      </c>
      <c r="BG34" s="100">
        <v>2729.33</v>
      </c>
      <c r="BH34" s="100">
        <v>2602.4499999999998</v>
      </c>
      <c r="BI34" s="99">
        <v>6010.59</v>
      </c>
      <c r="BJ34" s="99">
        <v>11342.37</v>
      </c>
      <c r="BK34" s="97" t="s">
        <v>75</v>
      </c>
      <c r="BL34" s="97" t="s">
        <v>254</v>
      </c>
      <c r="BM34" s="99">
        <v>13</v>
      </c>
      <c r="BN34" s="100">
        <v>1797.56</v>
      </c>
      <c r="BO34" s="100">
        <v>2211.19</v>
      </c>
      <c r="BP34" s="99">
        <v>7207.61</v>
      </c>
      <c r="BQ34" s="99">
        <v>11216.36</v>
      </c>
      <c r="BR34" s="97" t="s">
        <v>75</v>
      </c>
      <c r="BS34" s="97" t="s">
        <v>254</v>
      </c>
      <c r="BT34" s="99">
        <v>13</v>
      </c>
      <c r="BU34" s="100">
        <v>2040.01</v>
      </c>
      <c r="BV34" s="100">
        <v>1602.04</v>
      </c>
      <c r="BW34" s="99">
        <v>7732.01</v>
      </c>
      <c r="BX34" s="99">
        <v>11374.06</v>
      </c>
      <c r="BY34" s="63"/>
      <c r="BZ34" s="63"/>
      <c r="CA34" s="63"/>
      <c r="CB34" s="63"/>
      <c r="CC34" s="63"/>
      <c r="CD34" s="63"/>
      <c r="CE34" s="63"/>
      <c r="CF34" s="63"/>
      <c r="CG34" s="63"/>
      <c r="CH34" s="87" t="str">
        <f t="shared" si="0"/>
        <v>COM</v>
      </c>
      <c r="CI34" s="87" t="str">
        <f t="shared" si="1"/>
        <v xml:space="preserve"> 99347  </v>
      </c>
      <c r="CJ34" s="63">
        <f t="shared" si="2"/>
        <v>1410.1668299999999</v>
      </c>
      <c r="CK34" s="63" t="str">
        <f t="shared" si="3"/>
        <v>COM</v>
      </c>
      <c r="CL34" s="63" t="str">
        <f t="shared" si="4"/>
        <v xml:space="preserve"> 99347  </v>
      </c>
      <c r="CM34" s="63">
        <f t="shared" si="5"/>
        <v>1322.9129099999998</v>
      </c>
      <c r="CN34" s="63" t="str">
        <f t="shared" si="6"/>
        <v>COM</v>
      </c>
      <c r="CO34" s="63" t="str">
        <f t="shared" si="7"/>
        <v xml:space="preserve"> 99347  </v>
      </c>
      <c r="CP34" s="63">
        <f t="shared" si="8"/>
        <v>556.64182000000005</v>
      </c>
      <c r="DD34" s="82" t="s">
        <v>62</v>
      </c>
      <c r="DE34" s="82" t="s">
        <v>75</v>
      </c>
      <c r="DF34" s="83">
        <v>9</v>
      </c>
      <c r="DG34" s="51" t="s">
        <v>67</v>
      </c>
      <c r="DH34" s="51" t="s">
        <v>75</v>
      </c>
      <c r="DI34" s="52">
        <v>1</v>
      </c>
      <c r="DJ34" s="51"/>
      <c r="DK34" s="51"/>
      <c r="DL34" s="52"/>
      <c r="DM34" s="82" t="s">
        <v>121</v>
      </c>
      <c r="DN34" s="83">
        <v>112.08</v>
      </c>
      <c r="DO34" s="63" t="s">
        <v>123</v>
      </c>
      <c r="DP34" s="63">
        <v>100</v>
      </c>
      <c r="DQ34" s="82"/>
      <c r="DR34" s="83"/>
    </row>
    <row r="35" spans="1:128" ht="16" x14ac:dyDescent="0.2">
      <c r="A35" s="63" t="s">
        <v>34</v>
      </c>
      <c r="B35" s="63" t="s">
        <v>273</v>
      </c>
      <c r="C35" s="90">
        <v>3</v>
      </c>
      <c r="D35" s="63">
        <v>158.79</v>
      </c>
      <c r="E35" s="63">
        <v>47.09</v>
      </c>
      <c r="F35" s="63">
        <v>16.100000000000001</v>
      </c>
      <c r="G35" s="63">
        <v>221.98</v>
      </c>
      <c r="H35" s="97" t="s">
        <v>34</v>
      </c>
      <c r="I35" s="97" t="s">
        <v>273</v>
      </c>
      <c r="J35" s="163">
        <v>2</v>
      </c>
      <c r="K35" s="100">
        <v>39.56</v>
      </c>
      <c r="L35" s="100">
        <v>29.03</v>
      </c>
      <c r="M35" s="99">
        <v>27.62</v>
      </c>
      <c r="N35" s="99">
        <v>96.21</v>
      </c>
      <c r="O35" s="63" t="s">
        <v>34</v>
      </c>
      <c r="P35" s="63" t="s">
        <v>273</v>
      </c>
      <c r="Q35" s="90">
        <v>3</v>
      </c>
      <c r="R35" s="63">
        <v>46.85</v>
      </c>
      <c r="S35" s="63">
        <v>31.33</v>
      </c>
      <c r="T35" s="63">
        <v>21.08</v>
      </c>
      <c r="U35" s="63">
        <v>99.26</v>
      </c>
      <c r="V35" s="64" t="s">
        <v>75</v>
      </c>
      <c r="W35" t="s">
        <v>57</v>
      </c>
      <c r="X35">
        <v>27</v>
      </c>
      <c r="Y35" s="63">
        <v>5309.04</v>
      </c>
      <c r="Z35" s="63">
        <v>2258.2500000000005</v>
      </c>
      <c r="AA35" s="63">
        <v>12663.800000000001</v>
      </c>
      <c r="AB35" s="63">
        <v>20231.090000000007</v>
      </c>
      <c r="AC35">
        <v>30</v>
      </c>
      <c r="AD35" s="63">
        <v>5355.170000000001</v>
      </c>
      <c r="AE35" s="63">
        <v>3752.7199999999993</v>
      </c>
      <c r="AF35" s="63">
        <v>12814.350000000002</v>
      </c>
      <c r="AG35" s="63">
        <v>21922.240000000002</v>
      </c>
      <c r="AH35">
        <v>33</v>
      </c>
      <c r="AI35" s="63">
        <v>6475.1699999999983</v>
      </c>
      <c r="AJ35" s="63">
        <v>3998.76</v>
      </c>
      <c r="AK35" s="63">
        <v>15403.26</v>
      </c>
      <c r="AL35" s="63">
        <v>25877.19</v>
      </c>
      <c r="AM35" s="63" t="s">
        <v>75</v>
      </c>
      <c r="AN35" s="63" t="s">
        <v>56</v>
      </c>
      <c r="AO35" s="63">
        <v>252</v>
      </c>
      <c r="AP35" s="63">
        <v>41246.120000000046</v>
      </c>
      <c r="AQ35" s="63">
        <v>16362.470000000003</v>
      </c>
      <c r="AR35" s="63">
        <v>86720.589999999982</v>
      </c>
      <c r="AS35" s="63">
        <v>144329.18000000002</v>
      </c>
      <c r="AT35" s="63">
        <v>234</v>
      </c>
      <c r="AU35" s="63">
        <v>28423.09</v>
      </c>
      <c r="AV35" s="63">
        <v>30398.349999999995</v>
      </c>
      <c r="AW35" s="63">
        <v>93627.23000000001</v>
      </c>
      <c r="AX35" s="63">
        <v>152448.66999999995</v>
      </c>
      <c r="AY35" s="63">
        <v>223</v>
      </c>
      <c r="AZ35" s="63">
        <v>19430.85999999999</v>
      </c>
      <c r="BA35" s="63">
        <v>22086.769999999997</v>
      </c>
      <c r="BB35" s="63">
        <v>110484.15999999999</v>
      </c>
      <c r="BC35" s="63">
        <v>152001.79</v>
      </c>
      <c r="BD35" s="97" t="s">
        <v>75</v>
      </c>
      <c r="BE35" s="97" t="s">
        <v>255</v>
      </c>
      <c r="BF35" s="99">
        <v>53</v>
      </c>
      <c r="BG35" s="100">
        <v>7597.51</v>
      </c>
      <c r="BH35" s="100">
        <v>5564.05</v>
      </c>
      <c r="BI35" s="99">
        <v>12792.13</v>
      </c>
      <c r="BJ35" s="99">
        <v>25953.69</v>
      </c>
      <c r="BK35" s="97" t="s">
        <v>75</v>
      </c>
      <c r="BL35" s="97" t="s">
        <v>255</v>
      </c>
      <c r="BM35" s="99">
        <v>51</v>
      </c>
      <c r="BN35" s="100">
        <v>5099.76</v>
      </c>
      <c r="BO35" s="100">
        <v>4440.3599999999997</v>
      </c>
      <c r="BP35" s="99">
        <v>13162.66</v>
      </c>
      <c r="BQ35" s="99">
        <v>22702.78</v>
      </c>
      <c r="BR35" s="97" t="s">
        <v>75</v>
      </c>
      <c r="BS35" s="97" t="s">
        <v>255</v>
      </c>
      <c r="BT35" s="99">
        <v>49</v>
      </c>
      <c r="BU35" s="100">
        <v>5034.0200000000004</v>
      </c>
      <c r="BV35" s="100">
        <v>3266.15</v>
      </c>
      <c r="BW35" s="99">
        <v>13198.12</v>
      </c>
      <c r="BX35" s="99">
        <v>21498.29</v>
      </c>
      <c r="BY35" s="63"/>
      <c r="BZ35" s="63"/>
      <c r="CA35" s="63"/>
      <c r="CB35" s="63"/>
      <c r="CC35" s="63"/>
      <c r="CD35" s="63"/>
      <c r="CE35" s="63"/>
      <c r="CF35" s="63"/>
      <c r="CG35" s="63"/>
      <c r="CH35" s="87" t="str">
        <f t="shared" si="0"/>
        <v>COM</v>
      </c>
      <c r="CI35" s="87" t="str">
        <f t="shared" si="1"/>
        <v xml:space="preserve"> 99348  </v>
      </c>
      <c r="CJ35" s="63">
        <f t="shared" si="2"/>
        <v>10.160209999999999</v>
      </c>
      <c r="CK35" s="63" t="str">
        <f t="shared" si="3"/>
        <v>COM</v>
      </c>
      <c r="CL35" s="63" t="str">
        <f t="shared" si="4"/>
        <v xml:space="preserve"> 99348  </v>
      </c>
      <c r="CM35" s="63">
        <f t="shared" si="5"/>
        <v>10.44403</v>
      </c>
      <c r="CN35" s="63" t="str">
        <f t="shared" si="6"/>
        <v>COM</v>
      </c>
      <c r="CO35" s="63" t="str">
        <f t="shared" si="7"/>
        <v xml:space="preserve"> 99348  </v>
      </c>
      <c r="CP35" s="63">
        <f t="shared" si="8"/>
        <v>8.8155099999999997</v>
      </c>
      <c r="DD35" s="82" t="s">
        <v>64</v>
      </c>
      <c r="DE35" s="82" t="s">
        <v>75</v>
      </c>
      <c r="DF35" s="83">
        <v>1</v>
      </c>
      <c r="DG35" s="51" t="s">
        <v>69</v>
      </c>
      <c r="DH35" s="51" t="s">
        <v>75</v>
      </c>
      <c r="DI35" s="52">
        <v>42</v>
      </c>
      <c r="DJ35" s="51"/>
      <c r="DK35" s="51"/>
      <c r="DL35" s="52"/>
      <c r="DM35" s="82" t="s">
        <v>109</v>
      </c>
      <c r="DN35" s="83">
        <v>634.5</v>
      </c>
      <c r="DO35" s="63" t="s">
        <v>93</v>
      </c>
      <c r="DP35" s="63">
        <v>15885</v>
      </c>
      <c r="DQ35" s="82"/>
      <c r="DR35" s="83"/>
    </row>
    <row r="36" spans="1:128" ht="16" x14ac:dyDescent="0.2">
      <c r="A36" s="63" t="s">
        <v>34</v>
      </c>
      <c r="B36" s="63" t="s">
        <v>274</v>
      </c>
      <c r="C36" s="90">
        <v>15</v>
      </c>
      <c r="D36" s="63">
        <v>16069.49</v>
      </c>
      <c r="E36" s="63">
        <v>2736.43</v>
      </c>
      <c r="F36" s="63">
        <v>8571.25</v>
      </c>
      <c r="G36" s="63">
        <v>27377.17</v>
      </c>
      <c r="H36" s="97" t="s">
        <v>34</v>
      </c>
      <c r="I36" s="97" t="s">
        <v>274</v>
      </c>
      <c r="J36" s="163">
        <v>11</v>
      </c>
      <c r="K36" s="100">
        <v>10447.9</v>
      </c>
      <c r="L36" s="100">
        <v>2276.19</v>
      </c>
      <c r="M36" s="99">
        <v>10135.120000000001</v>
      </c>
      <c r="N36" s="99">
        <v>22859.21</v>
      </c>
      <c r="O36" s="63" t="s">
        <v>34</v>
      </c>
      <c r="P36" s="63" t="s">
        <v>274</v>
      </c>
      <c r="Q36" s="90">
        <v>8</v>
      </c>
      <c r="R36" s="63">
        <v>178.17</v>
      </c>
      <c r="S36" s="63">
        <v>1582.98</v>
      </c>
      <c r="T36" s="63">
        <v>12178.69</v>
      </c>
      <c r="U36" s="63">
        <v>13939.84</v>
      </c>
      <c r="V36" s="64" t="s">
        <v>75</v>
      </c>
      <c r="W36" t="s">
        <v>58</v>
      </c>
      <c r="X36">
        <v>39</v>
      </c>
      <c r="Y36" s="63">
        <v>6824.369999999999</v>
      </c>
      <c r="Z36" s="63">
        <v>3635.88</v>
      </c>
      <c r="AA36" s="63">
        <v>10392.439999999999</v>
      </c>
      <c r="AB36" s="63">
        <v>20852.690000000006</v>
      </c>
      <c r="AC36">
        <v>40</v>
      </c>
      <c r="AD36" s="63">
        <v>6386.5000000000009</v>
      </c>
      <c r="AE36" s="63">
        <v>4892.4799999999996</v>
      </c>
      <c r="AF36" s="63">
        <v>8369.7900000000009</v>
      </c>
      <c r="AG36" s="63">
        <v>19648.77</v>
      </c>
      <c r="AH36">
        <v>35</v>
      </c>
      <c r="AI36" s="63">
        <v>6014.63</v>
      </c>
      <c r="AJ36" s="63">
        <v>4120.6900000000005</v>
      </c>
      <c r="AK36" s="63">
        <v>9096.86</v>
      </c>
      <c r="AL36" s="63">
        <v>19232.18</v>
      </c>
      <c r="AM36" s="63" t="s">
        <v>75</v>
      </c>
      <c r="AN36" s="63" t="s">
        <v>57</v>
      </c>
      <c r="AO36" s="63">
        <v>29</v>
      </c>
      <c r="AP36" s="63">
        <v>6534.0699999999988</v>
      </c>
      <c r="AQ36" s="63">
        <v>1791.72</v>
      </c>
      <c r="AR36" s="63">
        <v>4413.6499999999996</v>
      </c>
      <c r="AS36" s="63">
        <v>12739.44</v>
      </c>
      <c r="AT36" s="63">
        <v>30</v>
      </c>
      <c r="AU36" s="63">
        <v>4794.0800000000008</v>
      </c>
      <c r="AV36" s="63">
        <v>5893.5399999999991</v>
      </c>
      <c r="AW36" s="63">
        <v>5250.82</v>
      </c>
      <c r="AX36" s="63">
        <v>15938.44</v>
      </c>
      <c r="AY36" s="63">
        <v>33</v>
      </c>
      <c r="AZ36" s="63">
        <v>3531.2899999999991</v>
      </c>
      <c r="BA36" s="63">
        <v>3933.37</v>
      </c>
      <c r="BB36" s="63">
        <v>9761.0399999999991</v>
      </c>
      <c r="BC36" s="63">
        <v>17225.699999999997</v>
      </c>
      <c r="BD36" s="97" t="s">
        <v>75</v>
      </c>
      <c r="BE36" s="97" t="s">
        <v>256</v>
      </c>
      <c r="BF36" s="99">
        <v>19</v>
      </c>
      <c r="BG36" s="100">
        <v>2761.93</v>
      </c>
      <c r="BH36" s="100">
        <v>1997.47</v>
      </c>
      <c r="BI36" s="99">
        <v>3061.31</v>
      </c>
      <c r="BJ36" s="99">
        <v>7820.71</v>
      </c>
      <c r="BK36" s="97" t="s">
        <v>75</v>
      </c>
      <c r="BL36" s="97" t="s">
        <v>256</v>
      </c>
      <c r="BM36" s="99">
        <v>21</v>
      </c>
      <c r="BN36" s="100">
        <v>2242.65</v>
      </c>
      <c r="BO36" s="100">
        <v>2042.75</v>
      </c>
      <c r="BP36" s="99">
        <v>3385.78</v>
      </c>
      <c r="BQ36" s="99">
        <v>7671.18</v>
      </c>
      <c r="BR36" s="97" t="s">
        <v>75</v>
      </c>
      <c r="BS36" s="97" t="s">
        <v>256</v>
      </c>
      <c r="BT36" s="99">
        <v>23</v>
      </c>
      <c r="BU36" s="100">
        <v>2599.5300000000002</v>
      </c>
      <c r="BV36" s="100">
        <v>1591.85</v>
      </c>
      <c r="BW36" s="99">
        <v>4533.21</v>
      </c>
      <c r="BX36" s="99">
        <v>8724.59</v>
      </c>
      <c r="BY36" s="63"/>
      <c r="BZ36" s="63"/>
      <c r="CA36" s="63"/>
      <c r="CB36" s="63"/>
      <c r="CC36" s="63"/>
      <c r="CD36" s="63"/>
      <c r="CE36" s="63"/>
      <c r="CF36" s="63"/>
      <c r="CG36" s="63"/>
      <c r="CH36" s="87" t="str">
        <f t="shared" si="0"/>
        <v>COM</v>
      </c>
      <c r="CI36" s="87" t="str">
        <f t="shared" si="1"/>
        <v xml:space="preserve"> 99360  </v>
      </c>
      <c r="CJ36" s="63">
        <f t="shared" si="2"/>
        <v>2906.59818</v>
      </c>
      <c r="CK36" s="63" t="str">
        <f t="shared" si="3"/>
        <v>COM</v>
      </c>
      <c r="CL36" s="63" t="str">
        <f t="shared" si="4"/>
        <v xml:space="preserve"> 99360  </v>
      </c>
      <c r="CM36" s="63">
        <f t="shared" si="5"/>
        <v>3239.6160500000001</v>
      </c>
      <c r="CN36" s="63" t="str">
        <f t="shared" si="6"/>
        <v>COM</v>
      </c>
      <c r="CO36" s="63" t="str">
        <f t="shared" si="7"/>
        <v xml:space="preserve"> 99360  </v>
      </c>
      <c r="CP36" s="63">
        <f t="shared" si="8"/>
        <v>3622.2198699999999</v>
      </c>
      <c r="DD36" s="82" t="s">
        <v>67</v>
      </c>
      <c r="DE36" s="82" t="s">
        <v>75</v>
      </c>
      <c r="DF36" s="83">
        <v>2</v>
      </c>
      <c r="DG36" s="85"/>
      <c r="DH36" s="85"/>
      <c r="DI36" s="85"/>
      <c r="DJ36" s="51"/>
      <c r="DK36" s="51"/>
      <c r="DL36" s="52"/>
      <c r="DM36" s="82" t="s">
        <v>123</v>
      </c>
      <c r="DN36" s="83">
        <v>581.82000000000005</v>
      </c>
      <c r="DO36" s="63" t="s">
        <v>34</v>
      </c>
      <c r="DP36" s="63">
        <v>26.47</v>
      </c>
      <c r="DQ36" s="82"/>
      <c r="DR36" s="83"/>
    </row>
    <row r="37" spans="1:128" ht="16" x14ac:dyDescent="0.2">
      <c r="A37" s="63" t="s">
        <v>34</v>
      </c>
      <c r="B37" s="63" t="s">
        <v>275</v>
      </c>
      <c r="C37" s="90">
        <v>12</v>
      </c>
      <c r="D37" s="63">
        <v>1604.79</v>
      </c>
      <c r="E37" s="63">
        <v>746.15</v>
      </c>
      <c r="F37" s="63">
        <v>386.61</v>
      </c>
      <c r="G37" s="63">
        <v>2737.55</v>
      </c>
      <c r="H37" s="97" t="s">
        <v>34</v>
      </c>
      <c r="I37" s="97" t="s">
        <v>275</v>
      </c>
      <c r="J37" s="163">
        <v>10</v>
      </c>
      <c r="K37" s="100">
        <v>953.42</v>
      </c>
      <c r="L37" s="100">
        <v>603.03</v>
      </c>
      <c r="M37" s="99">
        <v>147</v>
      </c>
      <c r="N37" s="99">
        <v>1703.45</v>
      </c>
      <c r="O37" s="63" t="s">
        <v>34</v>
      </c>
      <c r="P37" s="63" t="s">
        <v>275</v>
      </c>
      <c r="Q37" s="90">
        <v>16</v>
      </c>
      <c r="R37" s="63">
        <v>1062.3699999999999</v>
      </c>
      <c r="S37" s="63">
        <v>416.94</v>
      </c>
      <c r="T37" s="63">
        <v>328.44</v>
      </c>
      <c r="U37" s="63">
        <v>1807.75</v>
      </c>
      <c r="V37" s="64" t="s">
        <v>75</v>
      </c>
      <c r="W37" t="s">
        <v>60</v>
      </c>
      <c r="X37">
        <v>11</v>
      </c>
      <c r="Y37" s="63">
        <v>1565.88</v>
      </c>
      <c r="Z37" s="63">
        <v>719.21</v>
      </c>
      <c r="AA37" s="63">
        <v>5132.3</v>
      </c>
      <c r="AB37" s="63">
        <v>7417.3899999999985</v>
      </c>
      <c r="AC37">
        <v>10</v>
      </c>
      <c r="AD37" s="63">
        <v>1410.4900000000002</v>
      </c>
      <c r="AE37" s="63">
        <v>1028.8800000000001</v>
      </c>
      <c r="AF37" s="63">
        <v>5233.76</v>
      </c>
      <c r="AG37" s="63">
        <v>7673.13</v>
      </c>
      <c r="AH37">
        <v>10</v>
      </c>
      <c r="AI37" s="63">
        <v>1480.58</v>
      </c>
      <c r="AJ37" s="63">
        <v>1131.3899999999999</v>
      </c>
      <c r="AK37" s="63">
        <v>6063.95</v>
      </c>
      <c r="AL37" s="63">
        <v>8675.92</v>
      </c>
      <c r="AM37" s="63" t="s">
        <v>75</v>
      </c>
      <c r="AN37" s="63" t="s">
        <v>58</v>
      </c>
      <c r="AO37" s="63">
        <v>37</v>
      </c>
      <c r="AP37" s="63">
        <v>4803.7700000000004</v>
      </c>
      <c r="AQ37" s="63">
        <v>2421.62</v>
      </c>
      <c r="AR37" s="63">
        <v>5650.2199999999993</v>
      </c>
      <c r="AS37" s="63">
        <v>12875.610000000002</v>
      </c>
      <c r="AT37" s="63">
        <v>35</v>
      </c>
      <c r="AU37" s="63">
        <v>3004.7100000000005</v>
      </c>
      <c r="AV37" s="63">
        <v>2677.0199999999995</v>
      </c>
      <c r="AW37" s="63">
        <v>3091.13</v>
      </c>
      <c r="AX37" s="63">
        <v>8772.8599999999988</v>
      </c>
      <c r="AY37" s="63">
        <v>34</v>
      </c>
      <c r="AZ37" s="63">
        <v>2191.9299999999998</v>
      </c>
      <c r="BA37" s="63">
        <v>2202.4800000000005</v>
      </c>
      <c r="BB37" s="63">
        <v>4859.49</v>
      </c>
      <c r="BC37" s="63">
        <v>9253.9000000000033</v>
      </c>
      <c r="BD37" s="97" t="s">
        <v>75</v>
      </c>
      <c r="BE37" s="97" t="s">
        <v>257</v>
      </c>
      <c r="BF37" s="99">
        <v>15</v>
      </c>
      <c r="BG37" s="100">
        <v>2500.89</v>
      </c>
      <c r="BH37" s="100">
        <v>2814.87</v>
      </c>
      <c r="BI37" s="99">
        <v>4645.09</v>
      </c>
      <c r="BJ37" s="99">
        <v>9960.85</v>
      </c>
      <c r="BK37" s="97" t="s">
        <v>75</v>
      </c>
      <c r="BL37" s="97" t="s">
        <v>257</v>
      </c>
      <c r="BM37" s="99">
        <v>17</v>
      </c>
      <c r="BN37" s="100">
        <v>1977.44</v>
      </c>
      <c r="BO37" s="100">
        <v>2303.54</v>
      </c>
      <c r="BP37" s="99">
        <v>6391.57</v>
      </c>
      <c r="BQ37" s="99">
        <v>10672.55</v>
      </c>
      <c r="BR37" s="97" t="s">
        <v>75</v>
      </c>
      <c r="BS37" s="97" t="s">
        <v>257</v>
      </c>
      <c r="BT37" s="99">
        <v>14</v>
      </c>
      <c r="BU37" s="100">
        <v>1610.21</v>
      </c>
      <c r="BV37" s="100">
        <v>1250.18</v>
      </c>
      <c r="BW37" s="99">
        <v>3075.18</v>
      </c>
      <c r="BX37" s="99">
        <v>5935.57</v>
      </c>
      <c r="BY37" s="63"/>
      <c r="BZ37" s="63"/>
      <c r="CA37" s="63"/>
      <c r="CB37" s="63"/>
      <c r="CC37" s="63"/>
      <c r="CD37" s="63"/>
      <c r="CE37" s="63"/>
      <c r="CF37" s="63"/>
      <c r="CG37" s="63"/>
      <c r="CH37" s="87" t="str">
        <f t="shared" si="0"/>
        <v>COM</v>
      </c>
      <c r="CI37" s="87" t="str">
        <f t="shared" si="1"/>
        <v xml:space="preserve"> 99361  </v>
      </c>
      <c r="CJ37" s="63">
        <f t="shared" si="2"/>
        <v>184.41437999999999</v>
      </c>
      <c r="CK37" s="63" t="str">
        <f t="shared" si="3"/>
        <v>COM</v>
      </c>
      <c r="CL37" s="63" t="str">
        <f t="shared" si="4"/>
        <v xml:space="preserve"> 99361  </v>
      </c>
      <c r="CM37" s="63">
        <f t="shared" si="5"/>
        <v>95.728610000000003</v>
      </c>
      <c r="CN37" s="63" t="str">
        <f t="shared" si="6"/>
        <v>COM</v>
      </c>
      <c r="CO37" s="63" t="str">
        <f t="shared" si="7"/>
        <v xml:space="preserve"> 99361  </v>
      </c>
      <c r="CP37" s="63">
        <f t="shared" si="8"/>
        <v>138.18430000000001</v>
      </c>
      <c r="DD37" s="82" t="s">
        <v>68</v>
      </c>
      <c r="DE37" s="82" t="s">
        <v>75</v>
      </c>
      <c r="DF37" s="83">
        <v>1</v>
      </c>
      <c r="DG37" s="85"/>
      <c r="DH37" s="85"/>
      <c r="DI37" s="85"/>
      <c r="DJ37" s="51"/>
      <c r="DK37" s="51"/>
      <c r="DL37" s="52"/>
      <c r="DM37" s="63" t="s">
        <v>103</v>
      </c>
      <c r="DN37" s="63">
        <v>154.21</v>
      </c>
      <c r="DO37" s="63"/>
      <c r="DP37" s="63"/>
      <c r="DQ37" s="82"/>
      <c r="DR37" s="83"/>
    </row>
    <row r="38" spans="1:128" x14ac:dyDescent="0.2">
      <c r="A38" s="63" t="s">
        <v>34</v>
      </c>
      <c r="B38" s="63" t="s">
        <v>276</v>
      </c>
      <c r="C38" s="90">
        <v>95</v>
      </c>
      <c r="D38" s="63">
        <v>17490.849999999999</v>
      </c>
      <c r="E38" s="63">
        <v>9785.2000000000007</v>
      </c>
      <c r="F38" s="63">
        <v>72174.679999999993</v>
      </c>
      <c r="G38" s="63">
        <v>99450.73</v>
      </c>
      <c r="H38" s="97" t="s">
        <v>34</v>
      </c>
      <c r="I38" s="97" t="s">
        <v>276</v>
      </c>
      <c r="J38" s="163">
        <v>99</v>
      </c>
      <c r="K38" s="100">
        <v>18700.419999999998</v>
      </c>
      <c r="L38" s="100">
        <v>8986.02</v>
      </c>
      <c r="M38" s="99">
        <v>73070.09</v>
      </c>
      <c r="N38" s="99">
        <v>100756.53</v>
      </c>
      <c r="O38" s="63" t="s">
        <v>34</v>
      </c>
      <c r="P38" s="63" t="s">
        <v>276</v>
      </c>
      <c r="Q38" s="90">
        <v>93</v>
      </c>
      <c r="R38" s="63">
        <v>12765.74</v>
      </c>
      <c r="S38" s="63">
        <v>8478.73</v>
      </c>
      <c r="T38" s="63">
        <v>78619.179999999993</v>
      </c>
      <c r="U38" s="63">
        <v>99863.65</v>
      </c>
      <c r="V38" s="64" t="s">
        <v>75</v>
      </c>
      <c r="W38" t="s">
        <v>61</v>
      </c>
      <c r="X38">
        <v>68</v>
      </c>
      <c r="Y38" s="63">
        <v>6397.7700000000013</v>
      </c>
      <c r="Z38" s="63">
        <v>2948.2500000000014</v>
      </c>
      <c r="AA38" s="63">
        <v>15197.049999999997</v>
      </c>
      <c r="AB38" s="63">
        <v>24543.07</v>
      </c>
      <c r="AC38">
        <v>71</v>
      </c>
      <c r="AD38" s="63">
        <v>6984.8</v>
      </c>
      <c r="AE38" s="63">
        <v>4229.4900000000007</v>
      </c>
      <c r="AF38" s="63">
        <v>13820.63</v>
      </c>
      <c r="AG38" s="63">
        <v>25034.920000000006</v>
      </c>
      <c r="AH38">
        <v>64</v>
      </c>
      <c r="AI38" s="63">
        <v>6170.84</v>
      </c>
      <c r="AJ38" s="63">
        <v>4888.67</v>
      </c>
      <c r="AK38" s="63">
        <v>13614.100000000002</v>
      </c>
      <c r="AL38" s="63">
        <v>24673.61</v>
      </c>
      <c r="AM38" s="63" t="s">
        <v>75</v>
      </c>
      <c r="AN38" s="63" t="s">
        <v>60</v>
      </c>
      <c r="AO38" s="63">
        <v>9</v>
      </c>
      <c r="AP38" s="63">
        <v>1939.4699999999998</v>
      </c>
      <c r="AQ38" s="63">
        <v>0</v>
      </c>
      <c r="AR38" s="63">
        <v>655.96</v>
      </c>
      <c r="AS38" s="63">
        <v>2595.4299999999998</v>
      </c>
      <c r="AT38" s="63">
        <v>8</v>
      </c>
      <c r="AU38" s="63">
        <v>654.37</v>
      </c>
      <c r="AV38" s="63">
        <v>837.34</v>
      </c>
      <c r="AW38" s="63">
        <v>1002.16</v>
      </c>
      <c r="AX38" s="63">
        <v>2493.87</v>
      </c>
      <c r="AY38" s="63">
        <v>6</v>
      </c>
      <c r="AZ38" s="63">
        <v>390</v>
      </c>
      <c r="BA38" s="63">
        <v>346.54999999999995</v>
      </c>
      <c r="BB38" s="63">
        <v>1115.77</v>
      </c>
      <c r="BC38" s="63">
        <v>1852.3200000000002</v>
      </c>
      <c r="BD38" s="97" t="s">
        <v>75</v>
      </c>
      <c r="BE38" s="97" t="s">
        <v>258</v>
      </c>
      <c r="BF38" s="99">
        <v>27</v>
      </c>
      <c r="BG38" s="100">
        <v>4694.07</v>
      </c>
      <c r="BH38" s="100">
        <v>3938.13</v>
      </c>
      <c r="BI38" s="99">
        <v>9232.82</v>
      </c>
      <c r="BJ38" s="99">
        <v>17865.02</v>
      </c>
      <c r="BK38" s="97" t="s">
        <v>75</v>
      </c>
      <c r="BL38" s="97" t="s">
        <v>258</v>
      </c>
      <c r="BM38" s="99">
        <v>28</v>
      </c>
      <c r="BN38" s="100">
        <v>3930.64</v>
      </c>
      <c r="BO38" s="100">
        <v>3900.69</v>
      </c>
      <c r="BP38" s="99">
        <v>11000.99</v>
      </c>
      <c r="BQ38" s="99">
        <v>18832.32</v>
      </c>
      <c r="BR38" s="97" t="s">
        <v>75</v>
      </c>
      <c r="BS38" s="97" t="s">
        <v>258</v>
      </c>
      <c r="BT38" s="99">
        <v>25</v>
      </c>
      <c r="BU38" s="100">
        <v>2700.38</v>
      </c>
      <c r="BV38" s="100">
        <v>2922.27</v>
      </c>
      <c r="BW38" s="99">
        <v>13392.73</v>
      </c>
      <c r="BX38" s="99">
        <v>19015.38</v>
      </c>
      <c r="BY38" s="63"/>
      <c r="BZ38" s="63"/>
      <c r="CA38" s="63"/>
      <c r="CB38" s="63"/>
      <c r="CC38" s="63"/>
      <c r="CD38" s="63"/>
      <c r="CE38" s="63"/>
      <c r="CF38" s="63"/>
      <c r="CG38" s="63"/>
      <c r="CH38" s="87" t="str">
        <f t="shared" si="0"/>
        <v>COM</v>
      </c>
      <c r="CI38" s="87" t="str">
        <f t="shared" si="1"/>
        <v xml:space="preserve"> 99362  </v>
      </c>
      <c r="CJ38" s="63">
        <f t="shared" si="2"/>
        <v>21754.803719999996</v>
      </c>
      <c r="CK38" s="63" t="str">
        <f t="shared" si="3"/>
        <v>COM</v>
      </c>
      <c r="CL38" s="63" t="str">
        <f t="shared" si="4"/>
        <v xml:space="preserve"> 99362  </v>
      </c>
      <c r="CM38" s="63">
        <f t="shared" si="5"/>
        <v>21982.581989999999</v>
      </c>
      <c r="CN38" s="63" t="str">
        <f t="shared" si="6"/>
        <v>COM</v>
      </c>
      <c r="CO38" s="63" t="str">
        <f t="shared" si="7"/>
        <v xml:space="preserve"> 99362  </v>
      </c>
      <c r="CP38" s="63">
        <f t="shared" si="8"/>
        <v>23459.354849999996</v>
      </c>
      <c r="DD38" t="s">
        <v>69</v>
      </c>
      <c r="DE38" t="s">
        <v>75</v>
      </c>
      <c r="DF38">
        <v>40</v>
      </c>
      <c r="DJ38" s="82"/>
      <c r="DK38" s="82"/>
      <c r="DL38" s="83"/>
      <c r="DM38" s="63" t="s">
        <v>93</v>
      </c>
      <c r="DN38" s="63">
        <v>14294.129999999997</v>
      </c>
      <c r="DO38" s="63"/>
      <c r="DP38" s="63"/>
      <c r="DQ38" s="63"/>
      <c r="DR38" s="63"/>
    </row>
    <row r="39" spans="1:128" ht="16" thickBot="1" x14ac:dyDescent="0.25">
      <c r="A39" s="63" t="s">
        <v>34</v>
      </c>
      <c r="B39" s="63" t="s">
        <v>277</v>
      </c>
      <c r="C39" s="90">
        <v>4</v>
      </c>
      <c r="D39" s="63">
        <v>493.21</v>
      </c>
      <c r="E39" s="63">
        <v>0</v>
      </c>
      <c r="F39" s="63">
        <v>0</v>
      </c>
      <c r="G39" s="63">
        <v>493.21</v>
      </c>
      <c r="H39" s="97" t="s">
        <v>34</v>
      </c>
      <c r="I39" s="97" t="s">
        <v>277</v>
      </c>
      <c r="J39" s="163">
        <v>4</v>
      </c>
      <c r="K39" s="100">
        <v>314.57</v>
      </c>
      <c r="L39" s="100">
        <v>89.97</v>
      </c>
      <c r="M39" s="99">
        <v>0</v>
      </c>
      <c r="N39" s="99">
        <v>404.54</v>
      </c>
      <c r="O39" s="63" t="s">
        <v>34</v>
      </c>
      <c r="P39" s="63" t="s">
        <v>277</v>
      </c>
      <c r="Q39" s="90"/>
      <c r="R39" s="63">
        <v>0</v>
      </c>
      <c r="S39" s="63">
        <v>0</v>
      </c>
      <c r="T39" s="63">
        <v>0</v>
      </c>
      <c r="U39" s="63">
        <v>0</v>
      </c>
      <c r="V39" s="64" t="s">
        <v>75</v>
      </c>
      <c r="W39" t="s">
        <v>62</v>
      </c>
      <c r="X39">
        <v>50</v>
      </c>
      <c r="Y39" s="63">
        <v>6368.5099999999984</v>
      </c>
      <c r="Z39" s="63">
        <v>4246.6599999999989</v>
      </c>
      <c r="AA39" s="63">
        <v>15224.999999999998</v>
      </c>
      <c r="AB39" s="63">
        <v>25840.170000000002</v>
      </c>
      <c r="AC39">
        <v>59</v>
      </c>
      <c r="AD39" s="63">
        <v>8016.5700000000033</v>
      </c>
      <c r="AE39" s="63">
        <v>4903.72</v>
      </c>
      <c r="AF39" s="63">
        <v>17493.309999999994</v>
      </c>
      <c r="AG39" s="63">
        <v>30413.600000000009</v>
      </c>
      <c r="AH39">
        <v>54</v>
      </c>
      <c r="AI39" s="63">
        <v>7886.2300000000014</v>
      </c>
      <c r="AJ39" s="63">
        <v>6264.8700000000026</v>
      </c>
      <c r="AK39" s="63">
        <v>19913.810000000001</v>
      </c>
      <c r="AL39" s="63">
        <v>34064.910000000003</v>
      </c>
      <c r="AM39" s="63" t="s">
        <v>75</v>
      </c>
      <c r="AN39" s="63" t="s">
        <v>61</v>
      </c>
      <c r="AO39" s="63">
        <v>56</v>
      </c>
      <c r="AP39" s="63">
        <v>5516.2199999999984</v>
      </c>
      <c r="AQ39" s="63">
        <v>2245.4200000000005</v>
      </c>
      <c r="AR39" s="63">
        <v>9455.1</v>
      </c>
      <c r="AS39" s="63">
        <v>17216.739999999998</v>
      </c>
      <c r="AT39" s="63">
        <v>53</v>
      </c>
      <c r="AU39" s="63">
        <v>3297.4000000000005</v>
      </c>
      <c r="AV39" s="63">
        <v>3233.45</v>
      </c>
      <c r="AW39" s="63">
        <v>7681.9900000000016</v>
      </c>
      <c r="AX39" s="63">
        <v>14212.84</v>
      </c>
      <c r="AY39" s="63">
        <v>58</v>
      </c>
      <c r="AZ39" s="63">
        <v>2984.47</v>
      </c>
      <c r="BA39" s="63">
        <v>2550.7400000000002</v>
      </c>
      <c r="BB39" s="63">
        <v>8668.630000000001</v>
      </c>
      <c r="BC39" s="63">
        <v>14203.839999999997</v>
      </c>
      <c r="BD39" s="97" t="s">
        <v>75</v>
      </c>
      <c r="BE39" s="97" t="s">
        <v>259</v>
      </c>
      <c r="BF39" s="99">
        <v>2</v>
      </c>
      <c r="BG39" s="100">
        <v>266.52999999999997</v>
      </c>
      <c r="BH39" s="100">
        <v>281.83999999999997</v>
      </c>
      <c r="BI39" s="99">
        <v>373</v>
      </c>
      <c r="BJ39" s="99">
        <v>921.37</v>
      </c>
      <c r="BK39" s="97" t="s">
        <v>75</v>
      </c>
      <c r="BL39" s="97" t="s">
        <v>259</v>
      </c>
      <c r="BM39" s="99">
        <v>1</v>
      </c>
      <c r="BN39" s="100">
        <v>84.68</v>
      </c>
      <c r="BO39" s="100">
        <v>0</v>
      </c>
      <c r="BP39" s="99">
        <v>0</v>
      </c>
      <c r="BQ39" s="99">
        <v>84.68</v>
      </c>
      <c r="BR39" s="97" t="s">
        <v>75</v>
      </c>
      <c r="BS39" s="97" t="s">
        <v>259</v>
      </c>
      <c r="BT39" s="99">
        <v>2</v>
      </c>
      <c r="BU39" s="100">
        <v>86.14</v>
      </c>
      <c r="BV39" s="100">
        <v>84.68</v>
      </c>
      <c r="BW39" s="99">
        <v>0</v>
      </c>
      <c r="BX39" s="99">
        <v>170.82</v>
      </c>
      <c r="BY39" s="63"/>
      <c r="BZ39" s="63"/>
      <c r="CA39" s="63"/>
      <c r="CB39" s="63"/>
      <c r="CC39" s="63"/>
      <c r="CD39" s="63"/>
      <c r="CE39" s="63"/>
      <c r="CF39" s="63"/>
      <c r="CG39" s="63"/>
      <c r="CH39" s="87" t="str">
        <f t="shared" si="0"/>
        <v>COM</v>
      </c>
      <c r="CI39" s="87" t="str">
        <f t="shared" si="1"/>
        <v xml:space="preserve"> 99363  </v>
      </c>
      <c r="CJ39" s="63">
        <f t="shared" si="2"/>
        <v>7.8913599999999997</v>
      </c>
      <c r="CK39" s="63" t="str">
        <f t="shared" si="3"/>
        <v>COM</v>
      </c>
      <c r="CL39" s="63" t="str">
        <f t="shared" si="4"/>
        <v xml:space="preserve"> 99363  </v>
      </c>
      <c r="CM39" s="63">
        <f t="shared" si="5"/>
        <v>10.701229999999999</v>
      </c>
      <c r="CN39" s="63" t="str">
        <f t="shared" si="6"/>
        <v>COM</v>
      </c>
      <c r="CO39" s="63" t="str">
        <f t="shared" si="7"/>
        <v xml:space="preserve"> 99363  </v>
      </c>
      <c r="CP39" s="63">
        <f t="shared" si="8"/>
        <v>0</v>
      </c>
      <c r="DD39" t="s">
        <v>70</v>
      </c>
      <c r="DE39" t="s">
        <v>75</v>
      </c>
      <c r="DF39">
        <v>1</v>
      </c>
      <c r="DM39" t="s">
        <v>124</v>
      </c>
      <c r="DN39">
        <v>2505.2600000000002</v>
      </c>
    </row>
    <row r="40" spans="1:128" ht="16" thickBot="1" x14ac:dyDescent="0.25">
      <c r="A40" s="63" t="s">
        <v>34</v>
      </c>
      <c r="B40" s="63" t="s">
        <v>278</v>
      </c>
      <c r="C40" s="90"/>
      <c r="D40" s="63">
        <v>0</v>
      </c>
      <c r="E40" s="63">
        <v>0</v>
      </c>
      <c r="F40" s="63">
        <v>0</v>
      </c>
      <c r="G40" s="63">
        <v>0</v>
      </c>
      <c r="H40" s="97" t="s">
        <v>34</v>
      </c>
      <c r="I40" s="97" t="s">
        <v>278</v>
      </c>
      <c r="J40" s="163"/>
      <c r="K40" s="100">
        <v>0</v>
      </c>
      <c r="L40" s="100">
        <v>0</v>
      </c>
      <c r="M40" s="99">
        <v>0</v>
      </c>
      <c r="N40" s="99">
        <v>0</v>
      </c>
      <c r="O40" s="63" t="s">
        <v>34</v>
      </c>
      <c r="P40" s="63" t="s">
        <v>278</v>
      </c>
      <c r="Q40" s="90"/>
      <c r="R40" s="63">
        <v>0</v>
      </c>
      <c r="S40" s="63">
        <v>0</v>
      </c>
      <c r="T40" s="63">
        <v>0</v>
      </c>
      <c r="U40" s="63">
        <v>0</v>
      </c>
      <c r="V40" s="64" t="s">
        <v>75</v>
      </c>
      <c r="W40" t="s">
        <v>63</v>
      </c>
      <c r="Y40" s="63"/>
      <c r="Z40" s="63"/>
      <c r="AA40" s="63"/>
      <c r="AB40" s="63"/>
      <c r="AC40">
        <v>1</v>
      </c>
      <c r="AD40" s="63">
        <v>38.520000000000003</v>
      </c>
      <c r="AE40" s="63">
        <v>0</v>
      </c>
      <c r="AF40" s="63">
        <v>0</v>
      </c>
      <c r="AG40" s="63">
        <v>38.520000000000003</v>
      </c>
      <c r="AH40">
        <v>1</v>
      </c>
      <c r="AI40" s="63">
        <v>52.38</v>
      </c>
      <c r="AJ40" s="63">
        <v>38.520000000000003</v>
      </c>
      <c r="AK40" s="63">
        <v>0</v>
      </c>
      <c r="AL40" s="63">
        <v>90.9</v>
      </c>
      <c r="AM40" s="63" t="s">
        <v>75</v>
      </c>
      <c r="AN40" s="63" t="s">
        <v>62</v>
      </c>
      <c r="AO40" s="63">
        <v>50</v>
      </c>
      <c r="AP40" s="63">
        <v>5974.7700000000023</v>
      </c>
      <c r="AQ40" s="63">
        <v>3424.5199999999995</v>
      </c>
      <c r="AR40" s="63">
        <v>13299.740000000002</v>
      </c>
      <c r="AS40" s="63">
        <v>22699.030000000002</v>
      </c>
      <c r="AT40" s="63">
        <v>59</v>
      </c>
      <c r="AU40" s="63">
        <v>5981.35</v>
      </c>
      <c r="AV40" s="63">
        <v>4858.5600000000004</v>
      </c>
      <c r="AW40" s="63">
        <v>15873.749999999998</v>
      </c>
      <c r="AX40" s="63">
        <v>26713.660000000007</v>
      </c>
      <c r="AY40" s="63">
        <v>57</v>
      </c>
      <c r="AZ40" s="63">
        <v>3983.29</v>
      </c>
      <c r="BA40" s="63">
        <v>4252.1100000000006</v>
      </c>
      <c r="BB40" s="63">
        <v>17676.759999999998</v>
      </c>
      <c r="BC40" s="63">
        <v>25912.16</v>
      </c>
      <c r="BD40" s="97" t="s">
        <v>75</v>
      </c>
      <c r="BE40" s="97" t="s">
        <v>260</v>
      </c>
      <c r="BF40" s="99">
        <v>56</v>
      </c>
      <c r="BG40" s="100">
        <v>7143.9</v>
      </c>
      <c r="BH40" s="100">
        <v>4984.4399999999996</v>
      </c>
      <c r="BI40" s="99">
        <v>13728.32</v>
      </c>
      <c r="BJ40" s="99">
        <v>25856.66</v>
      </c>
      <c r="BK40" s="97" t="s">
        <v>75</v>
      </c>
      <c r="BL40" s="97" t="s">
        <v>260</v>
      </c>
      <c r="BM40" s="99">
        <v>64</v>
      </c>
      <c r="BN40" s="100">
        <v>6302.8</v>
      </c>
      <c r="BO40" s="100">
        <v>5814.3</v>
      </c>
      <c r="BP40" s="99">
        <v>15742.36</v>
      </c>
      <c r="BQ40" s="99">
        <v>27859.46</v>
      </c>
      <c r="BR40" s="97" t="s">
        <v>75</v>
      </c>
      <c r="BS40" s="97" t="s">
        <v>260</v>
      </c>
      <c r="BT40" s="99">
        <v>66</v>
      </c>
      <c r="BU40" s="100">
        <v>7520.26</v>
      </c>
      <c r="BV40" s="100">
        <v>4103.5600000000004</v>
      </c>
      <c r="BW40" s="99">
        <v>14601.3</v>
      </c>
      <c r="BX40" s="99">
        <v>26225.119999999999</v>
      </c>
      <c r="BY40" s="63"/>
      <c r="BZ40" s="63"/>
      <c r="CA40" s="63"/>
      <c r="CB40" s="63"/>
      <c r="CC40" s="63"/>
      <c r="CD40" s="63"/>
      <c r="CE40" s="63"/>
      <c r="CF40" s="63"/>
      <c r="CG40" s="63"/>
      <c r="CH40" s="87" t="str">
        <f t="shared" si="0"/>
        <v>COM</v>
      </c>
      <c r="CI40" s="87" t="str">
        <f t="shared" si="1"/>
        <v xml:space="preserve">  WA    </v>
      </c>
      <c r="CJ40" s="63">
        <f t="shared" si="2"/>
        <v>0</v>
      </c>
      <c r="CK40" s="63" t="str">
        <f t="shared" si="3"/>
        <v>COM</v>
      </c>
      <c r="CL40" s="63" t="str">
        <f t="shared" si="4"/>
        <v xml:space="preserve">  WA    </v>
      </c>
      <c r="CM40" s="63">
        <f t="shared" si="5"/>
        <v>0</v>
      </c>
      <c r="CN40" s="63" t="str">
        <f t="shared" si="6"/>
        <v>COM</v>
      </c>
      <c r="CO40" s="63" t="str">
        <f t="shared" si="7"/>
        <v xml:space="preserve">  WA    </v>
      </c>
      <c r="CP40" s="63">
        <f t="shared" si="8"/>
        <v>0</v>
      </c>
      <c r="DD40" s="154"/>
      <c r="DE40" s="155"/>
      <c r="DF40" s="155">
        <f>SUM(DF13:DF39)</f>
        <v>296</v>
      </c>
      <c r="DG40" s="155"/>
      <c r="DH40" s="155"/>
      <c r="DI40" s="155">
        <f>SUM(DI11:DI35)</f>
        <v>337</v>
      </c>
      <c r="DJ40" s="155"/>
      <c r="DK40" s="155"/>
      <c r="DL40" s="155">
        <f>SUM(DL10:DL33)</f>
        <v>327</v>
      </c>
      <c r="DM40" s="155"/>
      <c r="DN40" s="165">
        <f>SUM(DN6,DN8:DN11,DN13,DN15:DN17,DN19:DN26,DN28:DN31,DN33,DN35:DN39)</f>
        <v>336793.86999999994</v>
      </c>
      <c r="DO40" s="155"/>
      <c r="DP40" s="165">
        <f>SUM(DP6,DP8,DP10:DP13,DP15:DP21,DP23:DP24,DP26:DP35)</f>
        <v>234675.55000000002</v>
      </c>
      <c r="DQ40" s="165"/>
      <c r="DR40" s="165">
        <f>SUM(DR6,DR8:DR9,DR11:DR14,DR16:DR31,DR33)</f>
        <v>252366.00999999995</v>
      </c>
      <c r="DS40" s="155"/>
      <c r="DT40" s="165">
        <f>SUM(DT5:DT14,DT16,DT18,DT20)</f>
        <v>10433.85</v>
      </c>
      <c r="DU40" s="165"/>
      <c r="DV40" s="165">
        <f>SUM(DV6,DV8:DV24)</f>
        <v>11877.29</v>
      </c>
      <c r="DW40" s="165"/>
      <c r="DX40" s="166">
        <f>SUM(DX5:DX7,DX9:DX19)</f>
        <v>2630.99</v>
      </c>
    </row>
    <row r="41" spans="1:128" x14ac:dyDescent="0.2">
      <c r="A41" s="63" t="s">
        <v>75</v>
      </c>
      <c r="B41" s="63" t="s">
        <v>279</v>
      </c>
      <c r="C41" s="90"/>
      <c r="D41" s="63">
        <v>0</v>
      </c>
      <c r="E41" s="63">
        <v>0</v>
      </c>
      <c r="F41" s="63">
        <v>0</v>
      </c>
      <c r="G41" s="63">
        <v>0</v>
      </c>
      <c r="H41" s="97" t="s">
        <v>75</v>
      </c>
      <c r="I41" s="97" t="s">
        <v>279</v>
      </c>
      <c r="J41" s="163"/>
      <c r="K41" s="100">
        <v>0</v>
      </c>
      <c r="L41" s="100">
        <v>0</v>
      </c>
      <c r="M41" s="99">
        <v>0</v>
      </c>
      <c r="N41" s="99">
        <v>0</v>
      </c>
      <c r="O41" s="63" t="s">
        <v>75</v>
      </c>
      <c r="P41" s="63" t="s">
        <v>279</v>
      </c>
      <c r="Q41" s="90">
        <v>1</v>
      </c>
      <c r="R41" s="63">
        <v>73.89</v>
      </c>
      <c r="S41" s="63">
        <v>0</v>
      </c>
      <c r="T41" s="63">
        <v>0</v>
      </c>
      <c r="U41" s="63">
        <v>73.89</v>
      </c>
      <c r="V41" s="64" t="s">
        <v>75</v>
      </c>
      <c r="W41" t="s">
        <v>64</v>
      </c>
      <c r="X41">
        <v>15</v>
      </c>
      <c r="Y41" s="63">
        <v>2121.62</v>
      </c>
      <c r="Z41" s="63">
        <v>1138.19</v>
      </c>
      <c r="AA41" s="63">
        <v>2862.71</v>
      </c>
      <c r="AB41" s="63">
        <v>6122.52</v>
      </c>
      <c r="AC41">
        <v>18</v>
      </c>
      <c r="AD41" s="63">
        <v>2195.0300000000002</v>
      </c>
      <c r="AE41" s="63">
        <v>1111.4400000000003</v>
      </c>
      <c r="AF41" s="63">
        <v>3449.29</v>
      </c>
      <c r="AG41" s="63">
        <v>6755.76</v>
      </c>
      <c r="AH41">
        <v>14</v>
      </c>
      <c r="AI41" s="63">
        <v>1611.9600000000003</v>
      </c>
      <c r="AJ41" s="63">
        <v>1601.55</v>
      </c>
      <c r="AK41" s="63">
        <v>3981.02</v>
      </c>
      <c r="AL41" s="63">
        <v>7194.53</v>
      </c>
      <c r="AM41" s="63" t="s">
        <v>75</v>
      </c>
      <c r="AN41" s="63" t="s">
        <v>63</v>
      </c>
      <c r="AO41" s="63">
        <v>1</v>
      </c>
      <c r="AP41" s="63">
        <v>58.34</v>
      </c>
      <c r="AQ41" s="63">
        <v>0</v>
      </c>
      <c r="AR41" s="63">
        <v>0</v>
      </c>
      <c r="AS41" s="63">
        <v>58.34</v>
      </c>
      <c r="AT41" s="63">
        <v>1</v>
      </c>
      <c r="AU41" s="63">
        <v>55.22</v>
      </c>
      <c r="AV41" s="63">
        <v>58.34</v>
      </c>
      <c r="AW41" s="63">
        <v>0</v>
      </c>
      <c r="AX41" s="63">
        <v>113.56</v>
      </c>
      <c r="AY41" s="63">
        <v>1</v>
      </c>
      <c r="AZ41" s="63">
        <v>49.43</v>
      </c>
      <c r="BA41" s="63">
        <v>55.22</v>
      </c>
      <c r="BB41" s="63">
        <v>58.34</v>
      </c>
      <c r="BC41" s="63">
        <v>162.99</v>
      </c>
      <c r="BD41" s="97" t="s">
        <v>75</v>
      </c>
      <c r="BE41" s="97" t="s">
        <v>261</v>
      </c>
      <c r="BF41" s="99">
        <v>276</v>
      </c>
      <c r="BG41" s="100">
        <v>36002.71</v>
      </c>
      <c r="BH41" s="100">
        <v>31234.41</v>
      </c>
      <c r="BI41" s="99">
        <v>67473.05</v>
      </c>
      <c r="BJ41" s="99">
        <v>134710.17000000001</v>
      </c>
      <c r="BK41" s="97" t="s">
        <v>75</v>
      </c>
      <c r="BL41" s="97" t="s">
        <v>261</v>
      </c>
      <c r="BM41" s="99">
        <v>274</v>
      </c>
      <c r="BN41" s="100">
        <v>25706.76</v>
      </c>
      <c r="BO41" s="100">
        <v>26729.01</v>
      </c>
      <c r="BP41" s="99">
        <v>74841.8</v>
      </c>
      <c r="BQ41" s="99">
        <v>127277.57</v>
      </c>
      <c r="BR41" s="97" t="s">
        <v>75</v>
      </c>
      <c r="BS41" s="97" t="s">
        <v>261</v>
      </c>
      <c r="BT41" s="99">
        <v>258</v>
      </c>
      <c r="BU41" s="100">
        <v>23064.22</v>
      </c>
      <c r="BV41" s="100">
        <v>18656.330000000002</v>
      </c>
      <c r="BW41" s="99">
        <v>72640.25</v>
      </c>
      <c r="BX41" s="99">
        <v>114360.8</v>
      </c>
      <c r="BY41" s="63"/>
      <c r="BZ41" s="63"/>
      <c r="CA41" s="63"/>
      <c r="CB41" s="63"/>
      <c r="CC41" s="63"/>
      <c r="CD41" s="63"/>
      <c r="CE41" s="63"/>
      <c r="CF41" s="63"/>
      <c r="CG41" s="63"/>
      <c r="CH41" s="87" t="str">
        <f t="shared" si="0"/>
        <v>RES</v>
      </c>
      <c r="CI41" s="87" t="str">
        <f t="shared" si="1"/>
        <v xml:space="preserve"> 98603  </v>
      </c>
      <c r="CJ41" s="63">
        <f t="shared" si="2"/>
        <v>0</v>
      </c>
      <c r="CK41" s="63" t="str">
        <f t="shared" si="3"/>
        <v>RES</v>
      </c>
      <c r="CL41" s="63" t="str">
        <f t="shared" si="4"/>
        <v xml:space="preserve"> 98603  </v>
      </c>
      <c r="CM41" s="63">
        <f t="shared" si="5"/>
        <v>0</v>
      </c>
      <c r="CN41" s="63" t="str">
        <f t="shared" si="6"/>
        <v>RES</v>
      </c>
      <c r="CO41" s="63" t="str">
        <f t="shared" si="7"/>
        <v xml:space="preserve"> 98603  </v>
      </c>
      <c r="CP41" s="63">
        <f t="shared" si="8"/>
        <v>1.18224</v>
      </c>
    </row>
    <row r="42" spans="1:128" x14ac:dyDescent="0.2">
      <c r="A42" s="63" t="s">
        <v>75</v>
      </c>
      <c r="B42" s="63" t="s">
        <v>243</v>
      </c>
      <c r="C42" s="90">
        <v>2561</v>
      </c>
      <c r="D42" s="63">
        <v>313893.83</v>
      </c>
      <c r="E42" s="63">
        <v>234976.32</v>
      </c>
      <c r="F42" s="63">
        <v>812932.59</v>
      </c>
      <c r="G42" s="63">
        <v>1361802.74</v>
      </c>
      <c r="H42" s="97" t="s">
        <v>75</v>
      </c>
      <c r="I42" s="97" t="s">
        <v>243</v>
      </c>
      <c r="J42" s="163">
        <v>2435</v>
      </c>
      <c r="K42" s="100">
        <v>228759.2</v>
      </c>
      <c r="L42" s="100">
        <v>203756.79</v>
      </c>
      <c r="M42" s="99">
        <v>892255.50000000105</v>
      </c>
      <c r="N42" s="99">
        <v>1324771.49</v>
      </c>
      <c r="O42" s="63" t="s">
        <v>75</v>
      </c>
      <c r="P42" s="63" t="s">
        <v>243</v>
      </c>
      <c r="Q42" s="90">
        <v>2400</v>
      </c>
      <c r="R42" s="63">
        <v>224746.6</v>
      </c>
      <c r="S42" s="63">
        <v>152365.47</v>
      </c>
      <c r="T42" s="63">
        <v>930358.39</v>
      </c>
      <c r="U42" s="63">
        <v>1307470.46</v>
      </c>
      <c r="V42" s="64" t="s">
        <v>75</v>
      </c>
      <c r="W42" t="s">
        <v>65</v>
      </c>
      <c r="X42">
        <v>8</v>
      </c>
      <c r="Y42" s="63">
        <v>1267.9000000000001</v>
      </c>
      <c r="Z42" s="63">
        <v>642.25</v>
      </c>
      <c r="AA42" s="63">
        <v>1277.8800000000001</v>
      </c>
      <c r="AB42" s="63">
        <v>3188.0299999999997</v>
      </c>
      <c r="AC42">
        <v>8</v>
      </c>
      <c r="AD42" s="63">
        <v>1107.6000000000001</v>
      </c>
      <c r="AE42" s="63">
        <v>814.58</v>
      </c>
      <c r="AF42" s="63">
        <v>1538.93</v>
      </c>
      <c r="AG42" s="63">
        <v>3461.11</v>
      </c>
      <c r="AH42">
        <v>7</v>
      </c>
      <c r="AI42" s="63">
        <v>1023.4100000000001</v>
      </c>
      <c r="AJ42" s="63">
        <v>698.64</v>
      </c>
      <c r="AK42" s="63">
        <v>1790.3700000000001</v>
      </c>
      <c r="AL42" s="63">
        <v>3512.4199999999996</v>
      </c>
      <c r="AM42" s="63" t="s">
        <v>75</v>
      </c>
      <c r="AN42" s="63" t="s">
        <v>64</v>
      </c>
      <c r="AO42" s="63">
        <v>15</v>
      </c>
      <c r="AP42" s="63">
        <v>1918.5900000000001</v>
      </c>
      <c r="AQ42" s="63">
        <v>1209.1399999999999</v>
      </c>
      <c r="AR42" s="63">
        <v>7104.7199999999993</v>
      </c>
      <c r="AS42" s="63">
        <v>10232.449999999999</v>
      </c>
      <c r="AT42" s="63">
        <v>18</v>
      </c>
      <c r="AU42" s="63">
        <v>1603.1000000000001</v>
      </c>
      <c r="AV42" s="63">
        <v>1396.4599999999998</v>
      </c>
      <c r="AW42" s="63">
        <v>7473.3600000000006</v>
      </c>
      <c r="AX42" s="63">
        <v>10472.92</v>
      </c>
      <c r="AY42" s="63">
        <v>18</v>
      </c>
      <c r="AZ42" s="63">
        <v>1322.72</v>
      </c>
      <c r="BA42" s="63">
        <v>1344.9</v>
      </c>
      <c r="BB42" s="63">
        <v>8676.9699999999993</v>
      </c>
      <c r="BC42" s="63">
        <v>11344.589999999998</v>
      </c>
      <c r="BD42" s="97" t="s">
        <v>75</v>
      </c>
      <c r="BE42" s="97" t="s">
        <v>262</v>
      </c>
      <c r="BF42" s="99">
        <v>25</v>
      </c>
      <c r="BG42" s="100">
        <v>4233.5200000000004</v>
      </c>
      <c r="BH42" s="100">
        <v>4383.8500000000004</v>
      </c>
      <c r="BI42" s="99">
        <v>9003.42</v>
      </c>
      <c r="BJ42" s="99">
        <v>17620.79</v>
      </c>
      <c r="BK42" s="97" t="s">
        <v>75</v>
      </c>
      <c r="BL42" s="97" t="s">
        <v>262</v>
      </c>
      <c r="BM42" s="99">
        <v>27</v>
      </c>
      <c r="BN42" s="100">
        <v>3707.59</v>
      </c>
      <c r="BO42" s="100">
        <v>3629.83</v>
      </c>
      <c r="BP42" s="99">
        <v>10590.02</v>
      </c>
      <c r="BQ42" s="99">
        <v>17927.439999999999</v>
      </c>
      <c r="BR42" s="97" t="s">
        <v>75</v>
      </c>
      <c r="BS42" s="97" t="s">
        <v>262</v>
      </c>
      <c r="BT42" s="99">
        <v>29</v>
      </c>
      <c r="BU42" s="100">
        <v>3699.99</v>
      </c>
      <c r="BV42" s="100">
        <v>3036.29</v>
      </c>
      <c r="BW42" s="99">
        <v>11893.6</v>
      </c>
      <c r="BX42" s="99">
        <v>18629.88</v>
      </c>
      <c r="BY42" s="63"/>
      <c r="BZ42" s="63"/>
      <c r="CA42" s="63"/>
      <c r="CB42" s="63"/>
      <c r="CC42" s="63"/>
      <c r="CD42" s="63"/>
      <c r="CE42" s="63"/>
      <c r="CF42" s="63"/>
      <c r="CG42" s="63"/>
      <c r="CH42" s="87" t="str">
        <f t="shared" si="0"/>
        <v>RES</v>
      </c>
      <c r="CI42" s="87" t="str">
        <f t="shared" si="1"/>
        <v xml:space="preserve"> 98901  </v>
      </c>
      <c r="CJ42" s="63">
        <f t="shared" si="2"/>
        <v>254763.32794999998</v>
      </c>
      <c r="CK42" s="63" t="str">
        <f t="shared" si="3"/>
        <v>RES</v>
      </c>
      <c r="CL42" s="63" t="str">
        <f t="shared" si="4"/>
        <v xml:space="preserve"> 98901  </v>
      </c>
      <c r="CM42" s="63">
        <f t="shared" si="5"/>
        <v>274358.66447000031</v>
      </c>
      <c r="CN42" s="63" t="str">
        <f t="shared" si="6"/>
        <v>RES</v>
      </c>
      <c r="CO42" s="63" t="str">
        <f t="shared" si="7"/>
        <v xml:space="preserve"> 98901  </v>
      </c>
      <c r="CP42" s="63">
        <f t="shared" si="8"/>
        <v>282068.54491999996</v>
      </c>
    </row>
    <row r="43" spans="1:128" x14ac:dyDescent="0.2">
      <c r="A43" s="63" t="s">
        <v>75</v>
      </c>
      <c r="B43" s="63" t="s">
        <v>244</v>
      </c>
      <c r="C43" s="90">
        <v>5058</v>
      </c>
      <c r="D43" s="63">
        <v>575040.72</v>
      </c>
      <c r="E43" s="63">
        <v>421765.74000000098</v>
      </c>
      <c r="F43" s="63">
        <v>1162955.74</v>
      </c>
      <c r="G43" s="63">
        <v>2159762.2000000002</v>
      </c>
      <c r="H43" s="97" t="s">
        <v>75</v>
      </c>
      <c r="I43" s="97" t="s">
        <v>244</v>
      </c>
      <c r="J43" s="163">
        <v>4651</v>
      </c>
      <c r="K43" s="100">
        <v>356148.23</v>
      </c>
      <c r="L43" s="100">
        <v>359777.66999999899</v>
      </c>
      <c r="M43" s="99">
        <v>1294061.8999999999</v>
      </c>
      <c r="N43" s="99">
        <v>2009987.8</v>
      </c>
      <c r="O43" s="63" t="s">
        <v>75</v>
      </c>
      <c r="P43" s="63" t="s">
        <v>244</v>
      </c>
      <c r="Q43" s="90">
        <v>4236</v>
      </c>
      <c r="R43" s="63">
        <v>280130.83999999898</v>
      </c>
      <c r="S43" s="63">
        <v>259387.43</v>
      </c>
      <c r="T43" s="63">
        <v>1357250.78</v>
      </c>
      <c r="U43" s="63">
        <v>1896769.05</v>
      </c>
      <c r="V43" s="64" t="s">
        <v>75</v>
      </c>
      <c r="W43" t="s">
        <v>67</v>
      </c>
      <c r="X43">
        <v>2</v>
      </c>
      <c r="Y43" s="63">
        <v>299.18</v>
      </c>
      <c r="Z43" s="63">
        <v>449.61</v>
      </c>
      <c r="AA43" s="63">
        <v>143.67000000000002</v>
      </c>
      <c r="AB43" s="63">
        <v>892.46</v>
      </c>
      <c r="AC43">
        <v>3</v>
      </c>
      <c r="AD43" s="63">
        <v>261.90999999999997</v>
      </c>
      <c r="AE43" s="63">
        <v>0</v>
      </c>
      <c r="AF43" s="63">
        <v>0</v>
      </c>
      <c r="AG43" s="63">
        <v>261.90999999999997</v>
      </c>
      <c r="AH43">
        <v>3</v>
      </c>
      <c r="AI43" s="63">
        <v>635.48</v>
      </c>
      <c r="AJ43" s="63">
        <v>240.09</v>
      </c>
      <c r="AK43" s="63">
        <v>0</v>
      </c>
      <c r="AL43" s="63">
        <v>875.56999999999994</v>
      </c>
      <c r="AM43" s="63" t="s">
        <v>75</v>
      </c>
      <c r="AN43" s="63" t="s">
        <v>65</v>
      </c>
      <c r="AO43" s="63">
        <v>9</v>
      </c>
      <c r="AP43" s="63">
        <v>1377.72</v>
      </c>
      <c r="AQ43" s="63">
        <v>275.25</v>
      </c>
      <c r="AR43" s="63">
        <v>180.67</v>
      </c>
      <c r="AS43" s="63">
        <v>1833.64</v>
      </c>
      <c r="AT43" s="63">
        <v>10</v>
      </c>
      <c r="AU43" s="63">
        <v>1373.5499999999997</v>
      </c>
      <c r="AV43" s="63">
        <v>1269.96</v>
      </c>
      <c r="AW43" s="63">
        <v>401.66999999999996</v>
      </c>
      <c r="AX43" s="63">
        <v>3045.18</v>
      </c>
      <c r="AY43" s="63">
        <v>9</v>
      </c>
      <c r="AZ43" s="63">
        <v>719.06</v>
      </c>
      <c r="BA43" s="63">
        <v>742.97</v>
      </c>
      <c r="BB43" s="63">
        <v>868.15</v>
      </c>
      <c r="BC43" s="63">
        <v>2330.1799999999998</v>
      </c>
      <c r="BD43" s="97" t="s">
        <v>75</v>
      </c>
      <c r="BE43" s="97" t="s">
        <v>263</v>
      </c>
      <c r="BF43" s="99">
        <v>242</v>
      </c>
      <c r="BG43" s="100">
        <v>40480.800000000003</v>
      </c>
      <c r="BH43" s="100">
        <v>36222.81</v>
      </c>
      <c r="BI43" s="99">
        <v>60161.53</v>
      </c>
      <c r="BJ43" s="99">
        <v>136865.14000000001</v>
      </c>
      <c r="BK43" s="97" t="s">
        <v>75</v>
      </c>
      <c r="BL43" s="97" t="s">
        <v>263</v>
      </c>
      <c r="BM43" s="99">
        <v>217</v>
      </c>
      <c r="BN43" s="100">
        <v>15801.74</v>
      </c>
      <c r="BO43" s="100">
        <v>29553.63</v>
      </c>
      <c r="BP43" s="99">
        <v>73905.87</v>
      </c>
      <c r="BQ43" s="99">
        <v>119261.24</v>
      </c>
      <c r="BR43" s="97" t="s">
        <v>75</v>
      </c>
      <c r="BS43" s="97" t="s">
        <v>263</v>
      </c>
      <c r="BT43" s="99">
        <v>207</v>
      </c>
      <c r="BU43" s="100">
        <v>16793.810000000001</v>
      </c>
      <c r="BV43" s="100">
        <v>18981.599999999999</v>
      </c>
      <c r="BW43" s="99">
        <v>81774.539999999994</v>
      </c>
      <c r="BX43" s="99">
        <v>117549.95</v>
      </c>
      <c r="BY43" s="63"/>
      <c r="BZ43" s="63"/>
      <c r="CA43" s="63"/>
      <c r="CB43" s="63"/>
      <c r="CC43" s="63"/>
      <c r="CD43" s="63"/>
      <c r="CE43" s="63"/>
      <c r="CF43" s="63"/>
      <c r="CG43" s="63"/>
      <c r="CH43" s="87" t="str">
        <f t="shared" si="0"/>
        <v>RES</v>
      </c>
      <c r="CI43" s="87" t="str">
        <f t="shared" si="1"/>
        <v xml:space="preserve"> 98902  </v>
      </c>
      <c r="CJ43" s="63">
        <f t="shared" si="2"/>
        <v>371866.10200000001</v>
      </c>
      <c r="CK43" s="63" t="str">
        <f t="shared" si="3"/>
        <v>RES</v>
      </c>
      <c r="CL43" s="63" t="str">
        <f t="shared" si="4"/>
        <v xml:space="preserve"> 98902  </v>
      </c>
      <c r="CM43" s="63">
        <f t="shared" si="5"/>
        <v>402348.25398999988</v>
      </c>
      <c r="CN43" s="63" t="str">
        <f t="shared" si="6"/>
        <v>RES</v>
      </c>
      <c r="CO43" s="63" t="str">
        <f t="shared" si="7"/>
        <v xml:space="preserve"> 98902  </v>
      </c>
      <c r="CP43" s="63">
        <f t="shared" si="8"/>
        <v>413068.97694999998</v>
      </c>
    </row>
    <row r="44" spans="1:128" x14ac:dyDescent="0.2">
      <c r="A44" s="63" t="s">
        <v>75</v>
      </c>
      <c r="B44" s="63" t="s">
        <v>245</v>
      </c>
      <c r="C44" s="90">
        <v>1966</v>
      </c>
      <c r="D44" s="63">
        <v>308601.89</v>
      </c>
      <c r="E44" s="63">
        <v>188226.01</v>
      </c>
      <c r="F44" s="63">
        <v>584700.59</v>
      </c>
      <c r="G44" s="63">
        <v>1081528.49</v>
      </c>
      <c r="H44" s="97" t="s">
        <v>75</v>
      </c>
      <c r="I44" s="97" t="s">
        <v>245</v>
      </c>
      <c r="J44" s="163">
        <v>1715</v>
      </c>
      <c r="K44" s="100">
        <v>170364.57</v>
      </c>
      <c r="L44" s="100">
        <v>187195.59</v>
      </c>
      <c r="M44" s="99">
        <v>643033.07999999996</v>
      </c>
      <c r="N44" s="99">
        <v>1000593.24</v>
      </c>
      <c r="O44" s="63" t="s">
        <v>75</v>
      </c>
      <c r="P44" s="63" t="s">
        <v>245</v>
      </c>
      <c r="Q44" s="90">
        <v>1685</v>
      </c>
      <c r="R44" s="63">
        <v>171330.6</v>
      </c>
      <c r="S44" s="63">
        <v>123836.08</v>
      </c>
      <c r="T44" s="63">
        <v>665032.31999999995</v>
      </c>
      <c r="U44" s="63">
        <v>960199</v>
      </c>
      <c r="V44" s="64" t="s">
        <v>75</v>
      </c>
      <c r="W44" t="s">
        <v>68</v>
      </c>
      <c r="X44">
        <v>7</v>
      </c>
      <c r="Y44" s="63">
        <v>1384.5500000000002</v>
      </c>
      <c r="Z44" s="63">
        <v>850.33</v>
      </c>
      <c r="AA44" s="63">
        <v>4534.6000000000004</v>
      </c>
      <c r="AB44" s="63">
        <v>6769.48</v>
      </c>
      <c r="AC44">
        <v>7</v>
      </c>
      <c r="AD44" s="63">
        <v>1234.47</v>
      </c>
      <c r="AE44" s="63">
        <v>1254.07</v>
      </c>
      <c r="AF44" s="63">
        <v>5197.8000000000011</v>
      </c>
      <c r="AG44" s="63">
        <v>7686.34</v>
      </c>
      <c r="AH44">
        <v>10</v>
      </c>
      <c r="AI44" s="63">
        <v>1087.42</v>
      </c>
      <c r="AJ44" s="63">
        <v>902.62999999999988</v>
      </c>
      <c r="AK44" s="63">
        <v>4391.05</v>
      </c>
      <c r="AL44" s="63">
        <v>6381.1</v>
      </c>
      <c r="AM44" s="63" t="s">
        <v>75</v>
      </c>
      <c r="AN44" s="63" t="s">
        <v>67</v>
      </c>
      <c r="AO44" s="63">
        <v>3</v>
      </c>
      <c r="AP44" s="63">
        <v>532.79999999999995</v>
      </c>
      <c r="AQ44" s="63">
        <v>171.06</v>
      </c>
      <c r="AR44" s="63">
        <v>0</v>
      </c>
      <c r="AS44" s="63">
        <v>703.86</v>
      </c>
      <c r="AT44" s="63">
        <v>4</v>
      </c>
      <c r="AU44" s="63">
        <v>457.57</v>
      </c>
      <c r="AV44" s="63">
        <v>423.20000000000005</v>
      </c>
      <c r="AW44" s="63">
        <v>340.78</v>
      </c>
      <c r="AX44" s="63">
        <v>1221.55</v>
      </c>
      <c r="AY44" s="63">
        <v>2</v>
      </c>
      <c r="AZ44" s="63">
        <v>171.57</v>
      </c>
      <c r="BA44" s="63">
        <v>112.02000000000001</v>
      </c>
      <c r="BB44" s="63">
        <v>36.99</v>
      </c>
      <c r="BC44" s="63">
        <v>320.58</v>
      </c>
      <c r="BD44" s="97" t="s">
        <v>75</v>
      </c>
      <c r="BE44" s="97" t="s">
        <v>264</v>
      </c>
      <c r="BF44" s="99">
        <v>254</v>
      </c>
      <c r="BG44" s="100">
        <v>39510.76</v>
      </c>
      <c r="BH44" s="100">
        <v>35538.519999999997</v>
      </c>
      <c r="BI44" s="99">
        <v>85797.23</v>
      </c>
      <c r="BJ44" s="99">
        <v>160846.51</v>
      </c>
      <c r="BK44" s="97" t="s">
        <v>75</v>
      </c>
      <c r="BL44" s="97" t="s">
        <v>264</v>
      </c>
      <c r="BM44" s="99">
        <v>246</v>
      </c>
      <c r="BN44" s="100">
        <v>28800.1</v>
      </c>
      <c r="BO44" s="100">
        <v>30706.78</v>
      </c>
      <c r="BP44" s="99">
        <v>104129.60000000001</v>
      </c>
      <c r="BQ44" s="99">
        <v>163636.48000000001</v>
      </c>
      <c r="BR44" s="97" t="s">
        <v>75</v>
      </c>
      <c r="BS44" s="97" t="s">
        <v>264</v>
      </c>
      <c r="BT44" s="99">
        <v>253</v>
      </c>
      <c r="BU44" s="100">
        <v>28387.35</v>
      </c>
      <c r="BV44" s="100">
        <v>23858.37</v>
      </c>
      <c r="BW44" s="99">
        <v>123263.95</v>
      </c>
      <c r="BX44" s="99">
        <v>175509.67</v>
      </c>
      <c r="BY44" s="63"/>
      <c r="BZ44" s="63"/>
      <c r="CA44" s="63"/>
      <c r="CB44" s="63"/>
      <c r="CC44" s="63"/>
      <c r="CD44" s="63"/>
      <c r="CE44" s="63"/>
      <c r="CF44" s="63"/>
      <c r="CG44" s="63"/>
      <c r="CH44" s="87" t="str">
        <f t="shared" si="0"/>
        <v>RES</v>
      </c>
      <c r="CI44" s="87" t="str">
        <f t="shared" si="1"/>
        <v xml:space="preserve"> 98903  </v>
      </c>
      <c r="CJ44" s="63">
        <f t="shared" si="2"/>
        <v>185774.33937999999</v>
      </c>
      <c r="CK44" s="63" t="str">
        <f t="shared" si="3"/>
        <v>RES</v>
      </c>
      <c r="CL44" s="63" t="str">
        <f t="shared" si="4"/>
        <v xml:space="preserve"> 98903  </v>
      </c>
      <c r="CM44" s="63">
        <f t="shared" si="5"/>
        <v>200355.71540999998</v>
      </c>
      <c r="CN44" s="63" t="str">
        <f t="shared" si="6"/>
        <v>RES</v>
      </c>
      <c r="CO44" s="63" t="str">
        <f t="shared" si="7"/>
        <v xml:space="preserve"> 98903  </v>
      </c>
      <c r="CP44" s="63">
        <f t="shared" si="8"/>
        <v>202737.30312</v>
      </c>
    </row>
    <row r="45" spans="1:128" x14ac:dyDescent="0.2">
      <c r="A45" s="63" t="s">
        <v>75</v>
      </c>
      <c r="B45" s="63" t="s">
        <v>246</v>
      </c>
      <c r="C45" s="90"/>
      <c r="D45" s="63">
        <v>0</v>
      </c>
      <c r="E45" s="63">
        <v>0</v>
      </c>
      <c r="F45" s="63">
        <v>0</v>
      </c>
      <c r="G45" s="63">
        <v>0</v>
      </c>
      <c r="H45" s="97" t="s">
        <v>75</v>
      </c>
      <c r="I45" s="97" t="s">
        <v>246</v>
      </c>
      <c r="J45" s="163"/>
      <c r="K45" s="100">
        <v>0</v>
      </c>
      <c r="L45" s="100">
        <v>0</v>
      </c>
      <c r="M45" s="99">
        <v>0</v>
      </c>
      <c r="N45" s="99">
        <v>0</v>
      </c>
      <c r="O45" s="63" t="s">
        <v>75</v>
      </c>
      <c r="P45" s="63" t="s">
        <v>246</v>
      </c>
      <c r="Q45" s="90"/>
      <c r="R45" s="63">
        <v>0</v>
      </c>
      <c r="S45" s="63">
        <v>0</v>
      </c>
      <c r="T45" s="63">
        <v>0</v>
      </c>
      <c r="U45" s="63">
        <v>0</v>
      </c>
      <c r="V45" s="64" t="s">
        <v>75</v>
      </c>
      <c r="W45" t="s">
        <v>69</v>
      </c>
      <c r="X45">
        <v>330</v>
      </c>
      <c r="Y45" s="63">
        <v>18309.45</v>
      </c>
      <c r="Z45" s="63">
        <v>18427.639999999992</v>
      </c>
      <c r="AA45" s="63">
        <v>90896.119999999952</v>
      </c>
      <c r="AB45" s="63">
        <v>127633.21000000009</v>
      </c>
      <c r="AC45">
        <v>352</v>
      </c>
      <c r="AD45" s="63">
        <v>36498.50999999998</v>
      </c>
      <c r="AE45" s="63">
        <v>23884.840000000018</v>
      </c>
      <c r="AF45" s="63">
        <v>82192.820000000065</v>
      </c>
      <c r="AG45" s="63">
        <v>142576.16999999987</v>
      </c>
      <c r="AH45">
        <v>322</v>
      </c>
      <c r="AI45" s="63">
        <v>29881.930000000011</v>
      </c>
      <c r="AJ45" s="63">
        <v>25029.860000000004</v>
      </c>
      <c r="AK45" s="63">
        <v>81492.030000000013</v>
      </c>
      <c r="AL45" s="63">
        <v>136403.82000000004</v>
      </c>
      <c r="AM45" s="63" t="s">
        <v>75</v>
      </c>
      <c r="AN45" s="63" t="s">
        <v>68</v>
      </c>
      <c r="AO45" s="63">
        <v>13</v>
      </c>
      <c r="AP45" s="63">
        <v>1850.9099999999999</v>
      </c>
      <c r="AQ45" s="63">
        <v>948.96999999999991</v>
      </c>
      <c r="AR45" s="63">
        <v>6510.2099999999991</v>
      </c>
      <c r="AS45" s="63">
        <v>9310.09</v>
      </c>
      <c r="AT45" s="63">
        <v>10</v>
      </c>
      <c r="AU45" s="63">
        <v>1188.46</v>
      </c>
      <c r="AV45" s="63">
        <v>1274.58</v>
      </c>
      <c r="AW45" s="63">
        <v>6963.33</v>
      </c>
      <c r="AX45" s="63">
        <v>9426.369999999999</v>
      </c>
      <c r="AY45" s="63">
        <v>9</v>
      </c>
      <c r="AZ45" s="63">
        <v>716.63000000000011</v>
      </c>
      <c r="BA45" s="63">
        <v>713.28</v>
      </c>
      <c r="BB45" s="63">
        <v>4440.93</v>
      </c>
      <c r="BC45" s="63">
        <v>5870.84</v>
      </c>
      <c r="BD45" s="97" t="s">
        <v>75</v>
      </c>
      <c r="BE45" s="97" t="s">
        <v>265</v>
      </c>
      <c r="BF45" s="99">
        <v>23</v>
      </c>
      <c r="BG45" s="100">
        <v>4354.87</v>
      </c>
      <c r="BH45" s="100">
        <v>4334.28</v>
      </c>
      <c r="BI45" s="99">
        <v>21181.279999999999</v>
      </c>
      <c r="BJ45" s="99">
        <v>29870.43</v>
      </c>
      <c r="BK45" s="97" t="s">
        <v>75</v>
      </c>
      <c r="BL45" s="97" t="s">
        <v>265</v>
      </c>
      <c r="BM45" s="99">
        <v>23</v>
      </c>
      <c r="BN45" s="100">
        <v>2972.2</v>
      </c>
      <c r="BO45" s="100">
        <v>3787.94</v>
      </c>
      <c r="BP45" s="99">
        <v>22537.73</v>
      </c>
      <c r="BQ45" s="99">
        <v>29297.87</v>
      </c>
      <c r="BR45" s="97" t="s">
        <v>75</v>
      </c>
      <c r="BS45" s="97" t="s">
        <v>265</v>
      </c>
      <c r="BT45" s="99">
        <v>27</v>
      </c>
      <c r="BU45" s="100">
        <v>3468.89</v>
      </c>
      <c r="BV45" s="100">
        <v>2686.12</v>
      </c>
      <c r="BW45" s="99">
        <v>24694.43</v>
      </c>
      <c r="BX45" s="99">
        <v>30849.439999999999</v>
      </c>
      <c r="BY45" s="63"/>
      <c r="BZ45" s="63"/>
      <c r="CA45" s="63"/>
      <c r="CB45" s="63"/>
      <c r="CC45" s="63"/>
      <c r="CD45" s="63"/>
      <c r="CE45" s="63"/>
      <c r="CF45" s="63"/>
      <c r="CG45" s="63"/>
      <c r="CH45" s="87" t="str">
        <f t="shared" si="0"/>
        <v>RES</v>
      </c>
      <c r="CI45" s="87" t="str">
        <f t="shared" si="1"/>
        <v xml:space="preserve"> 98904  </v>
      </c>
      <c r="CJ45" s="63">
        <f t="shared" si="2"/>
        <v>0</v>
      </c>
      <c r="CK45" s="63" t="str">
        <f t="shared" si="3"/>
        <v>RES</v>
      </c>
      <c r="CL45" s="63" t="str">
        <f t="shared" si="4"/>
        <v xml:space="preserve"> 98904  </v>
      </c>
      <c r="CM45" s="63">
        <f t="shared" si="5"/>
        <v>0</v>
      </c>
      <c r="CN45" s="63" t="str">
        <f t="shared" si="6"/>
        <v>RES</v>
      </c>
      <c r="CO45" s="63" t="str">
        <f t="shared" si="7"/>
        <v xml:space="preserve"> 98904  </v>
      </c>
      <c r="CP45" s="63">
        <f t="shared" si="8"/>
        <v>0</v>
      </c>
    </row>
    <row r="46" spans="1:128" x14ac:dyDescent="0.2">
      <c r="A46" s="63" t="s">
        <v>75</v>
      </c>
      <c r="B46" s="63" t="s">
        <v>248</v>
      </c>
      <c r="C46" s="90">
        <v>3781</v>
      </c>
      <c r="D46" s="63">
        <v>447775.07999999903</v>
      </c>
      <c r="E46" s="63">
        <v>320424.37999999902</v>
      </c>
      <c r="F46" s="63">
        <v>800777.29</v>
      </c>
      <c r="G46" s="63">
        <v>1568976.75</v>
      </c>
      <c r="H46" s="97" t="s">
        <v>75</v>
      </c>
      <c r="I46" s="97" t="s">
        <v>248</v>
      </c>
      <c r="J46" s="163">
        <v>3619</v>
      </c>
      <c r="K46" s="100">
        <v>357691.83</v>
      </c>
      <c r="L46" s="100">
        <v>255423.91</v>
      </c>
      <c r="M46" s="99">
        <v>877625.47</v>
      </c>
      <c r="N46" s="99">
        <v>1490741.21</v>
      </c>
      <c r="O46" s="63" t="s">
        <v>75</v>
      </c>
      <c r="P46" s="63" t="s">
        <v>248</v>
      </c>
      <c r="Q46" s="90">
        <v>3398</v>
      </c>
      <c r="R46" s="63">
        <v>287980.73</v>
      </c>
      <c r="S46" s="63">
        <v>208045.52</v>
      </c>
      <c r="T46" s="63">
        <v>892020.26999999897</v>
      </c>
      <c r="U46" s="63">
        <v>1388046.52</v>
      </c>
      <c r="V46" s="65" t="s">
        <v>75</v>
      </c>
      <c r="W46" t="s">
        <v>70</v>
      </c>
      <c r="X46">
        <v>1</v>
      </c>
      <c r="Y46" s="63">
        <v>0</v>
      </c>
      <c r="Z46" s="63">
        <v>212.55</v>
      </c>
      <c r="AA46" s="63">
        <v>501.59000000000003</v>
      </c>
      <c r="AB46" s="63">
        <v>714.14</v>
      </c>
      <c r="AC46">
        <v>1</v>
      </c>
      <c r="AD46" s="63">
        <v>232.62</v>
      </c>
      <c r="AE46" s="63">
        <v>0</v>
      </c>
      <c r="AF46" s="63">
        <v>714.1400000000001</v>
      </c>
      <c r="AG46" s="63">
        <v>946.76</v>
      </c>
      <c r="AH46">
        <v>2</v>
      </c>
      <c r="AI46" s="63">
        <v>268.65999999999997</v>
      </c>
      <c r="AJ46" s="63">
        <v>232.62</v>
      </c>
      <c r="AK46" s="63">
        <v>714.1400000000001</v>
      </c>
      <c r="AL46" s="63">
        <v>1215.42</v>
      </c>
      <c r="AM46" s="63" t="s">
        <v>75</v>
      </c>
      <c r="AN46" s="63" t="s">
        <v>69</v>
      </c>
      <c r="AO46" s="63">
        <v>221</v>
      </c>
      <c r="AP46" s="63">
        <v>26398.850000000002</v>
      </c>
      <c r="AQ46" s="63">
        <v>14125.529999999999</v>
      </c>
      <c r="AR46" s="63">
        <v>60914.19999999999</v>
      </c>
      <c r="AS46" s="63">
        <v>101438.57999999999</v>
      </c>
      <c r="AT46" s="63">
        <v>303</v>
      </c>
      <c r="AU46" s="63">
        <v>23270.860000000015</v>
      </c>
      <c r="AV46" s="63">
        <v>16987.059999999998</v>
      </c>
      <c r="AW46" s="63">
        <v>50785.33</v>
      </c>
      <c r="AX46" s="63">
        <v>91043.249999999956</v>
      </c>
      <c r="AY46" s="63">
        <v>286</v>
      </c>
      <c r="AZ46" s="63">
        <v>16749.61</v>
      </c>
      <c r="BA46" s="63">
        <v>14667.36</v>
      </c>
      <c r="BB46" s="63">
        <v>42328.309999999983</v>
      </c>
      <c r="BC46" s="63">
        <v>73745.279999999984</v>
      </c>
      <c r="BD46" s="97" t="s">
        <v>75</v>
      </c>
      <c r="BE46" s="97" t="s">
        <v>266</v>
      </c>
      <c r="BF46" s="99">
        <v>48</v>
      </c>
      <c r="BG46" s="100">
        <v>7437.1</v>
      </c>
      <c r="BH46" s="100">
        <v>7449.91</v>
      </c>
      <c r="BI46" s="99">
        <v>18216.330000000002</v>
      </c>
      <c r="BJ46" s="99">
        <v>33103.339999999997</v>
      </c>
      <c r="BK46" s="97" t="s">
        <v>75</v>
      </c>
      <c r="BL46" s="97" t="s">
        <v>266</v>
      </c>
      <c r="BM46" s="99">
        <v>52</v>
      </c>
      <c r="BN46" s="100">
        <v>5999.08</v>
      </c>
      <c r="BO46" s="100">
        <v>5412.22</v>
      </c>
      <c r="BP46" s="99">
        <v>16247.06</v>
      </c>
      <c r="BQ46" s="99">
        <v>27658.36</v>
      </c>
      <c r="BR46" s="97" t="s">
        <v>75</v>
      </c>
      <c r="BS46" s="97" t="s">
        <v>266</v>
      </c>
      <c r="BT46" s="99">
        <v>55</v>
      </c>
      <c r="BU46" s="100">
        <v>4846.97</v>
      </c>
      <c r="BV46" s="100">
        <v>4647.6899999999996</v>
      </c>
      <c r="BW46" s="99">
        <v>17556.55</v>
      </c>
      <c r="BX46" s="99">
        <v>27051.21</v>
      </c>
      <c r="BY46" s="63"/>
      <c r="BZ46" s="63"/>
      <c r="CA46" s="63"/>
      <c r="CB46" s="63"/>
      <c r="CC46" s="63"/>
      <c r="CD46" s="63"/>
      <c r="CE46" s="63"/>
      <c r="CF46" s="63"/>
      <c r="CG46" s="63"/>
      <c r="CH46" s="87" t="str">
        <f t="shared" si="0"/>
        <v>RES</v>
      </c>
      <c r="CI46" s="87" t="str">
        <f t="shared" si="1"/>
        <v xml:space="preserve"> 98908  </v>
      </c>
      <c r="CJ46" s="63">
        <f t="shared" si="2"/>
        <v>258775.77402999991</v>
      </c>
      <c r="CK46" s="63" t="str">
        <f t="shared" si="3"/>
        <v>RES</v>
      </c>
      <c r="CL46" s="63" t="str">
        <f t="shared" si="4"/>
        <v xml:space="preserve"> 98908  </v>
      </c>
      <c r="CM46" s="63">
        <f t="shared" si="5"/>
        <v>275448.53644</v>
      </c>
      <c r="CN46" s="63" t="str">
        <f t="shared" si="6"/>
        <v>RES</v>
      </c>
      <c r="CO46" s="63" t="str">
        <f t="shared" si="7"/>
        <v xml:space="preserve"> 98908  </v>
      </c>
      <c r="CP46" s="63">
        <f t="shared" si="8"/>
        <v>275508.41746999969</v>
      </c>
    </row>
    <row r="47" spans="1:128" x14ac:dyDescent="0.2">
      <c r="A47" s="63" t="s">
        <v>75</v>
      </c>
      <c r="B47" s="63" t="s">
        <v>249</v>
      </c>
      <c r="C47" s="90">
        <v>1</v>
      </c>
      <c r="D47" s="63">
        <v>178.37</v>
      </c>
      <c r="E47" s="63">
        <v>208.22</v>
      </c>
      <c r="F47" s="63">
        <v>597.02</v>
      </c>
      <c r="G47" s="63">
        <v>983.61</v>
      </c>
      <c r="H47" s="97" t="s">
        <v>75</v>
      </c>
      <c r="I47" s="97" t="s">
        <v>249</v>
      </c>
      <c r="J47" s="163">
        <v>1</v>
      </c>
      <c r="K47" s="100">
        <v>133.19999999999999</v>
      </c>
      <c r="L47" s="100">
        <v>178.37</v>
      </c>
      <c r="M47" s="99">
        <v>805.24</v>
      </c>
      <c r="N47" s="99">
        <v>1116.81</v>
      </c>
      <c r="O47" s="63" t="s">
        <v>75</v>
      </c>
      <c r="P47" s="63" t="s">
        <v>249</v>
      </c>
      <c r="Q47" s="90">
        <v>1</v>
      </c>
      <c r="R47" s="63">
        <v>112.07</v>
      </c>
      <c r="S47" s="63">
        <v>133.19999999999999</v>
      </c>
      <c r="T47" s="63">
        <v>703.86</v>
      </c>
      <c r="U47" s="63">
        <v>949.13</v>
      </c>
      <c r="AM47" t="s">
        <v>75</v>
      </c>
      <c r="AN47" s="63" t="s">
        <v>70</v>
      </c>
      <c r="AO47" s="63"/>
      <c r="AP47" s="63"/>
      <c r="AQ47" s="63"/>
      <c r="AR47" s="63"/>
      <c r="AS47" s="63"/>
      <c r="AT47" s="63">
        <v>1</v>
      </c>
      <c r="AU47" s="63">
        <v>126.95</v>
      </c>
      <c r="AV47" s="63">
        <v>142.22</v>
      </c>
      <c r="AW47" s="63">
        <v>0</v>
      </c>
      <c r="AX47" s="63">
        <v>269.17</v>
      </c>
      <c r="AY47" s="63">
        <v>1</v>
      </c>
      <c r="AZ47" s="63">
        <v>72.27</v>
      </c>
      <c r="BA47" s="63">
        <v>126.95</v>
      </c>
      <c r="BB47" s="63">
        <v>142.22</v>
      </c>
      <c r="BC47" s="63">
        <v>341.44</v>
      </c>
      <c r="BD47" s="97" t="s">
        <v>75</v>
      </c>
      <c r="BE47" s="97" t="s">
        <v>268</v>
      </c>
      <c r="BF47" s="99">
        <v>16</v>
      </c>
      <c r="BG47" s="100">
        <v>1418.15</v>
      </c>
      <c r="BH47" s="100">
        <v>2018.25</v>
      </c>
      <c r="BI47" s="99">
        <v>5177.5600000000004</v>
      </c>
      <c r="BJ47" s="99">
        <v>8613.9599999999991</v>
      </c>
      <c r="BK47" s="97" t="s">
        <v>75</v>
      </c>
      <c r="BL47" s="97" t="s">
        <v>268</v>
      </c>
      <c r="BM47" s="99">
        <v>13</v>
      </c>
      <c r="BN47" s="100">
        <v>1132.52</v>
      </c>
      <c r="BO47" s="100">
        <v>839.03</v>
      </c>
      <c r="BP47" s="99">
        <v>3144.86</v>
      </c>
      <c r="BQ47" s="99">
        <v>5116.41</v>
      </c>
      <c r="BR47" s="97" t="s">
        <v>75</v>
      </c>
      <c r="BS47" s="97" t="s">
        <v>268</v>
      </c>
      <c r="BT47" s="99">
        <v>10</v>
      </c>
      <c r="BU47" s="100">
        <v>703.39</v>
      </c>
      <c r="BV47" s="100">
        <v>468.91</v>
      </c>
      <c r="BW47" s="99">
        <v>1568.7</v>
      </c>
      <c r="BX47" s="99">
        <v>2741</v>
      </c>
      <c r="BY47" s="63"/>
      <c r="BZ47" s="63"/>
      <c r="CA47" s="63"/>
      <c r="CB47" s="63"/>
      <c r="CC47" s="63"/>
      <c r="CD47" s="63"/>
      <c r="CE47" s="63"/>
      <c r="CF47" s="63"/>
      <c r="CG47" s="63"/>
      <c r="CH47" s="87" t="str">
        <f t="shared" si="0"/>
        <v>RES</v>
      </c>
      <c r="CI47" s="87" t="str">
        <f t="shared" si="1"/>
        <v xml:space="preserve"> 98920  </v>
      </c>
      <c r="CJ47" s="63">
        <f t="shared" si="2"/>
        <v>188.51055999999997</v>
      </c>
      <c r="CK47" s="63" t="str">
        <f t="shared" si="3"/>
        <v>RES</v>
      </c>
      <c r="CL47" s="63" t="str">
        <f t="shared" si="4"/>
        <v xml:space="preserve"> 98920  </v>
      </c>
      <c r="CM47" s="63">
        <f t="shared" si="5"/>
        <v>246.08287000000001</v>
      </c>
      <c r="CN47" s="63" t="str">
        <f t="shared" si="6"/>
        <v>RES</v>
      </c>
      <c r="CO47" s="63" t="str">
        <f t="shared" si="7"/>
        <v xml:space="preserve"> 98920  </v>
      </c>
      <c r="CP47" s="63">
        <f t="shared" si="8"/>
        <v>213.60025999999999</v>
      </c>
    </row>
    <row r="48" spans="1:128" x14ac:dyDescent="0.2">
      <c r="A48" s="63" t="s">
        <v>75</v>
      </c>
      <c r="B48" s="63" t="s">
        <v>250</v>
      </c>
      <c r="C48" s="90">
        <v>91</v>
      </c>
      <c r="D48" s="63">
        <v>11784.67</v>
      </c>
      <c r="E48" s="63">
        <v>9630.39</v>
      </c>
      <c r="F48" s="63">
        <v>30304.49</v>
      </c>
      <c r="G48" s="63">
        <v>51719.55</v>
      </c>
      <c r="H48" s="97" t="s">
        <v>75</v>
      </c>
      <c r="I48" s="97" t="s">
        <v>250</v>
      </c>
      <c r="J48" s="163">
        <v>89</v>
      </c>
      <c r="K48" s="100">
        <v>9663.76</v>
      </c>
      <c r="L48" s="100">
        <v>7979.38</v>
      </c>
      <c r="M48" s="99">
        <v>32661.23</v>
      </c>
      <c r="N48" s="99">
        <v>50304.37</v>
      </c>
      <c r="O48" s="63" t="s">
        <v>75</v>
      </c>
      <c r="P48" s="63" t="s">
        <v>250</v>
      </c>
      <c r="Q48" s="90">
        <v>90</v>
      </c>
      <c r="R48" s="63">
        <v>8254.59</v>
      </c>
      <c r="S48" s="63">
        <v>6707.19</v>
      </c>
      <c r="T48" s="63">
        <v>34089.480000000003</v>
      </c>
      <c r="U48" s="63">
        <v>49051.26</v>
      </c>
      <c r="BD48" s="97" t="s">
        <v>75</v>
      </c>
      <c r="BE48" s="97" t="s">
        <v>269</v>
      </c>
      <c r="BF48" s="99">
        <v>87</v>
      </c>
      <c r="BG48" s="100">
        <v>7634.64</v>
      </c>
      <c r="BH48" s="100">
        <v>6943.7</v>
      </c>
      <c r="BI48" s="99">
        <v>15850.71</v>
      </c>
      <c r="BJ48" s="99">
        <v>30429.05</v>
      </c>
      <c r="BK48" s="97" t="s">
        <v>75</v>
      </c>
      <c r="BL48" s="97" t="s">
        <v>269</v>
      </c>
      <c r="BM48" s="99">
        <v>90</v>
      </c>
      <c r="BN48" s="100">
        <v>5464.54</v>
      </c>
      <c r="BO48" s="100">
        <v>5853.62</v>
      </c>
      <c r="BP48" s="99">
        <v>15510.14</v>
      </c>
      <c r="BQ48" s="99">
        <v>26828.3</v>
      </c>
      <c r="BR48" s="97" t="s">
        <v>75</v>
      </c>
      <c r="BS48" s="97" t="s">
        <v>269</v>
      </c>
      <c r="BT48" s="99">
        <v>89</v>
      </c>
      <c r="BU48" s="100">
        <v>5542.85</v>
      </c>
      <c r="BV48" s="100">
        <v>4061.66</v>
      </c>
      <c r="BW48" s="99">
        <v>14869</v>
      </c>
      <c r="BX48" s="99">
        <v>24473.51</v>
      </c>
      <c r="CH48" s="87" t="str">
        <f t="shared" si="0"/>
        <v>RES</v>
      </c>
      <c r="CI48" s="87" t="str">
        <f t="shared" si="1"/>
        <v xml:space="preserve"> 98921  </v>
      </c>
      <c r="CJ48" s="63">
        <f t="shared" si="2"/>
        <v>9553.2669000000005</v>
      </c>
      <c r="CK48" s="63" t="str">
        <f t="shared" si="3"/>
        <v>RES</v>
      </c>
      <c r="CL48" s="63" t="str">
        <f t="shared" si="4"/>
        <v xml:space="preserve"> 98921  </v>
      </c>
      <c r="CM48" s="63">
        <f t="shared" si="5"/>
        <v>10096.416569999998</v>
      </c>
      <c r="CN48" s="63" t="str">
        <f t="shared" si="6"/>
        <v>RES</v>
      </c>
      <c r="CO48" s="63" t="str">
        <f t="shared" si="7"/>
        <v xml:space="preserve"> 98921  </v>
      </c>
      <c r="CP48" s="63">
        <f t="shared" si="8"/>
        <v>10406.486130000001</v>
      </c>
    </row>
    <row r="49" spans="1:94" x14ac:dyDescent="0.2">
      <c r="A49" s="63" t="s">
        <v>75</v>
      </c>
      <c r="B49" s="63" t="s">
        <v>251</v>
      </c>
      <c r="C49" s="90">
        <v>145</v>
      </c>
      <c r="D49" s="63">
        <v>23910.29</v>
      </c>
      <c r="E49" s="63">
        <v>14996.79</v>
      </c>
      <c r="F49" s="63">
        <v>34739.589999999997</v>
      </c>
      <c r="G49" s="63">
        <v>73646.67</v>
      </c>
      <c r="H49" s="97" t="s">
        <v>75</v>
      </c>
      <c r="I49" s="97" t="s">
        <v>251</v>
      </c>
      <c r="J49" s="163">
        <v>132</v>
      </c>
      <c r="K49" s="100">
        <v>17787.88</v>
      </c>
      <c r="L49" s="100">
        <v>12972.32</v>
      </c>
      <c r="M49" s="99">
        <v>36795.35</v>
      </c>
      <c r="N49" s="99">
        <v>67555.55</v>
      </c>
      <c r="O49" s="63" t="s">
        <v>75</v>
      </c>
      <c r="P49" s="63" t="s">
        <v>251</v>
      </c>
      <c r="Q49" s="90">
        <v>124</v>
      </c>
      <c r="R49" s="63">
        <v>17017.810000000001</v>
      </c>
      <c r="S49" s="63">
        <v>11590.51</v>
      </c>
      <c r="T49" s="63">
        <v>40975.1</v>
      </c>
      <c r="U49" s="63">
        <v>69583.42</v>
      </c>
      <c r="BD49" s="97" t="s">
        <v>75</v>
      </c>
      <c r="BE49" s="97" t="s">
        <v>270</v>
      </c>
      <c r="BF49" s="99">
        <v>60</v>
      </c>
      <c r="BG49" s="100">
        <v>8851.77</v>
      </c>
      <c r="BH49" s="100">
        <v>6887.88</v>
      </c>
      <c r="BI49" s="99">
        <v>9988.52</v>
      </c>
      <c r="BJ49" s="99">
        <v>25728.17</v>
      </c>
      <c r="BK49" s="97" t="s">
        <v>75</v>
      </c>
      <c r="BL49" s="97" t="s">
        <v>270</v>
      </c>
      <c r="BM49" s="99">
        <v>62</v>
      </c>
      <c r="BN49" s="100">
        <v>7856.42</v>
      </c>
      <c r="BO49" s="100">
        <v>7310.93</v>
      </c>
      <c r="BP49" s="99">
        <v>14585.44</v>
      </c>
      <c r="BQ49" s="99">
        <v>29752.79</v>
      </c>
      <c r="BR49" s="97" t="s">
        <v>75</v>
      </c>
      <c r="BS49" s="97" t="s">
        <v>270</v>
      </c>
      <c r="BT49" s="99">
        <v>58</v>
      </c>
      <c r="BU49" s="100">
        <v>5431.92</v>
      </c>
      <c r="BV49" s="100">
        <v>5914.78</v>
      </c>
      <c r="BW49" s="99">
        <v>17759.93</v>
      </c>
      <c r="BX49" s="99">
        <v>29106.63</v>
      </c>
      <c r="CH49" s="87" t="str">
        <f t="shared" si="0"/>
        <v>RES</v>
      </c>
      <c r="CI49" s="87" t="str">
        <f t="shared" si="1"/>
        <v xml:space="preserve"> 98923  </v>
      </c>
      <c r="CJ49" s="63">
        <f t="shared" si="2"/>
        <v>11367.103919999998</v>
      </c>
      <c r="CK49" s="63" t="str">
        <f t="shared" si="3"/>
        <v>RES</v>
      </c>
      <c r="CL49" s="63" t="str">
        <f t="shared" si="4"/>
        <v xml:space="preserve"> 98923  </v>
      </c>
      <c r="CM49" s="63">
        <f t="shared" si="5"/>
        <v>11735.71839</v>
      </c>
      <c r="CN49" s="63" t="str">
        <f t="shared" si="6"/>
        <v>RES</v>
      </c>
      <c r="CO49" s="63" t="str">
        <f t="shared" si="7"/>
        <v xml:space="preserve"> 98923  </v>
      </c>
      <c r="CP49" s="63">
        <f t="shared" si="8"/>
        <v>12844.29099</v>
      </c>
    </row>
    <row r="50" spans="1:94" x14ac:dyDescent="0.2">
      <c r="A50" s="63" t="s">
        <v>75</v>
      </c>
      <c r="B50" s="63" t="s">
        <v>252</v>
      </c>
      <c r="C50" s="90">
        <v>1025</v>
      </c>
      <c r="D50" s="63">
        <v>133767.97</v>
      </c>
      <c r="E50" s="63">
        <v>82217.289999999994</v>
      </c>
      <c r="F50" s="63">
        <v>213517.34</v>
      </c>
      <c r="G50" s="63">
        <v>429502.6</v>
      </c>
      <c r="H50" s="97" t="s">
        <v>75</v>
      </c>
      <c r="I50" s="97" t="s">
        <v>252</v>
      </c>
      <c r="J50" s="163">
        <v>983</v>
      </c>
      <c r="K50" s="100">
        <v>86445.730000000098</v>
      </c>
      <c r="L50" s="100">
        <v>79612.630000000107</v>
      </c>
      <c r="M50" s="99">
        <v>242226.59</v>
      </c>
      <c r="N50" s="99">
        <v>408284.95</v>
      </c>
      <c r="O50" s="63" t="s">
        <v>75</v>
      </c>
      <c r="P50" s="63" t="s">
        <v>252</v>
      </c>
      <c r="Q50" s="90">
        <v>972</v>
      </c>
      <c r="R50" s="63">
        <v>88318.91</v>
      </c>
      <c r="S50" s="63">
        <v>53315.44</v>
      </c>
      <c r="T50" s="63">
        <v>260898.78</v>
      </c>
      <c r="U50" s="63">
        <v>402533.13</v>
      </c>
      <c r="BD50" s="97" t="s">
        <v>75</v>
      </c>
      <c r="BE50" s="97" t="s">
        <v>271</v>
      </c>
      <c r="BF50" s="99">
        <v>2</v>
      </c>
      <c r="BG50" s="100">
        <v>142.04</v>
      </c>
      <c r="BH50" s="100">
        <v>58.02</v>
      </c>
      <c r="BI50" s="99">
        <v>690.58</v>
      </c>
      <c r="BJ50" s="99">
        <v>890.64</v>
      </c>
      <c r="BK50" s="97" t="s">
        <v>75</v>
      </c>
      <c r="BL50" s="97" t="s">
        <v>271</v>
      </c>
      <c r="BM50" s="99">
        <v>2</v>
      </c>
      <c r="BN50" s="100">
        <v>286.79000000000002</v>
      </c>
      <c r="BO50" s="100">
        <v>142.04</v>
      </c>
      <c r="BP50" s="99">
        <v>748.6</v>
      </c>
      <c r="BQ50" s="99">
        <v>1177.43</v>
      </c>
      <c r="BR50" s="97" t="s">
        <v>75</v>
      </c>
      <c r="BS50" s="97" t="s">
        <v>271</v>
      </c>
      <c r="BT50" s="99">
        <v>3</v>
      </c>
      <c r="BU50" s="100">
        <v>451.25</v>
      </c>
      <c r="BV50" s="100">
        <v>267.8</v>
      </c>
      <c r="BW50" s="99">
        <v>807.88</v>
      </c>
      <c r="BX50" s="99">
        <v>1526.93</v>
      </c>
      <c r="CH50" s="87" t="str">
        <f t="shared" si="0"/>
        <v>RES</v>
      </c>
      <c r="CI50" s="87" t="str">
        <f t="shared" si="1"/>
        <v xml:space="preserve"> 98930  </v>
      </c>
      <c r="CJ50" s="63">
        <f t="shared" si="2"/>
        <v>69026.488049999985</v>
      </c>
      <c r="CK50" s="63" t="str">
        <f t="shared" si="3"/>
        <v>RES</v>
      </c>
      <c r="CL50" s="63" t="str">
        <f t="shared" si="4"/>
        <v xml:space="preserve"> 98930  </v>
      </c>
      <c r="CM50" s="63">
        <f t="shared" si="5"/>
        <v>76402.211880000003</v>
      </c>
      <c r="CN50" s="63" t="str">
        <f t="shared" si="6"/>
        <v>RES</v>
      </c>
      <c r="CO50" s="63" t="str">
        <f t="shared" si="7"/>
        <v xml:space="preserve"> 98930  </v>
      </c>
      <c r="CP50" s="63">
        <f t="shared" si="8"/>
        <v>80171.722699999998</v>
      </c>
    </row>
    <row r="51" spans="1:94" x14ac:dyDescent="0.2">
      <c r="A51" s="63" t="s">
        <v>75</v>
      </c>
      <c r="B51" s="63" t="s">
        <v>253</v>
      </c>
      <c r="C51" s="90">
        <v>551</v>
      </c>
      <c r="D51" s="63">
        <v>70517.000000000102</v>
      </c>
      <c r="E51" s="63">
        <v>56571.41</v>
      </c>
      <c r="F51" s="63">
        <v>139616.76</v>
      </c>
      <c r="G51" s="63">
        <v>266705.17</v>
      </c>
      <c r="H51" s="97" t="s">
        <v>75</v>
      </c>
      <c r="I51" s="97" t="s">
        <v>253</v>
      </c>
      <c r="J51" s="163">
        <v>536</v>
      </c>
      <c r="K51" s="100">
        <v>55357.66</v>
      </c>
      <c r="L51" s="100">
        <v>46153.23</v>
      </c>
      <c r="M51" s="99">
        <v>154057.41</v>
      </c>
      <c r="N51" s="99">
        <v>255568.3</v>
      </c>
      <c r="O51" s="63" t="s">
        <v>75</v>
      </c>
      <c r="P51" s="63" t="s">
        <v>253</v>
      </c>
      <c r="Q51" s="90">
        <v>521</v>
      </c>
      <c r="R51" s="63">
        <v>42750.01</v>
      </c>
      <c r="S51" s="63">
        <v>34873.24</v>
      </c>
      <c r="T51" s="63">
        <v>159785.15</v>
      </c>
      <c r="U51" s="63">
        <v>237408.4</v>
      </c>
      <c r="BD51" s="97" t="s">
        <v>75</v>
      </c>
      <c r="BE51" s="97" t="s">
        <v>272</v>
      </c>
      <c r="BF51" s="99">
        <v>15</v>
      </c>
      <c r="BG51" s="100">
        <v>1790.28</v>
      </c>
      <c r="BH51" s="100">
        <v>1304.3900000000001</v>
      </c>
      <c r="BI51" s="99">
        <v>2901.42</v>
      </c>
      <c r="BJ51" s="99">
        <v>5996.09</v>
      </c>
      <c r="BK51" s="97" t="s">
        <v>75</v>
      </c>
      <c r="BL51" s="97" t="s">
        <v>272</v>
      </c>
      <c r="BM51" s="99">
        <v>15</v>
      </c>
      <c r="BN51" s="100">
        <v>1747.66</v>
      </c>
      <c r="BO51" s="100">
        <v>1603.95</v>
      </c>
      <c r="BP51" s="99">
        <v>3829.1</v>
      </c>
      <c r="BQ51" s="99">
        <v>7180.71</v>
      </c>
      <c r="BR51" s="97" t="s">
        <v>75</v>
      </c>
      <c r="BS51" s="97" t="s">
        <v>272</v>
      </c>
      <c r="BT51" s="99">
        <v>16</v>
      </c>
      <c r="BU51" s="100">
        <v>1877.47</v>
      </c>
      <c r="BV51" s="100">
        <v>1322.91</v>
      </c>
      <c r="BW51" s="99">
        <v>4555.76</v>
      </c>
      <c r="BX51" s="99">
        <v>7756.14</v>
      </c>
      <c r="CH51" s="87" t="str">
        <f t="shared" si="0"/>
        <v>RES</v>
      </c>
      <c r="CI51" s="87" t="str">
        <f t="shared" si="1"/>
        <v xml:space="preserve"> 98932  </v>
      </c>
      <c r="CJ51" s="63">
        <f t="shared" si="2"/>
        <v>45041.514470000002</v>
      </c>
      <c r="CK51" s="63" t="str">
        <f t="shared" si="3"/>
        <v>RES</v>
      </c>
      <c r="CL51" s="63" t="str">
        <f t="shared" si="4"/>
        <v xml:space="preserve"> 98932  </v>
      </c>
      <c r="CM51" s="63">
        <f t="shared" si="5"/>
        <v>48315.967539999998</v>
      </c>
      <c r="CN51" s="63" t="str">
        <f t="shared" si="6"/>
        <v>RES</v>
      </c>
      <c r="CO51" s="63" t="str">
        <f t="shared" si="7"/>
        <v xml:space="preserve"> 98932  </v>
      </c>
      <c r="CP51" s="63">
        <f t="shared" si="8"/>
        <v>49058.922630000001</v>
      </c>
    </row>
    <row r="52" spans="1:94" x14ac:dyDescent="0.2">
      <c r="A52" s="63" t="s">
        <v>75</v>
      </c>
      <c r="B52" s="63" t="s">
        <v>254</v>
      </c>
      <c r="C52" s="90">
        <v>88</v>
      </c>
      <c r="D52" s="63">
        <v>15454.29</v>
      </c>
      <c r="E52" s="63">
        <v>11067.64</v>
      </c>
      <c r="F52" s="63">
        <v>31570.36</v>
      </c>
      <c r="G52" s="63">
        <v>58092.29</v>
      </c>
      <c r="H52" s="97" t="s">
        <v>75</v>
      </c>
      <c r="I52" s="97" t="s">
        <v>254</v>
      </c>
      <c r="J52" s="163">
        <v>82</v>
      </c>
      <c r="K52" s="100">
        <v>9981.06</v>
      </c>
      <c r="L52" s="100">
        <v>9799.7000000000098</v>
      </c>
      <c r="M52" s="99">
        <v>36169.129999999997</v>
      </c>
      <c r="N52" s="99">
        <v>55949.89</v>
      </c>
      <c r="O52" s="63" t="s">
        <v>75</v>
      </c>
      <c r="P52" s="63" t="s">
        <v>254</v>
      </c>
      <c r="Q52" s="90">
        <v>85</v>
      </c>
      <c r="R52" s="63">
        <v>9992.66</v>
      </c>
      <c r="S52" s="63">
        <v>6233.26</v>
      </c>
      <c r="T52" s="63">
        <v>37710.14</v>
      </c>
      <c r="U52" s="63">
        <v>53936.06</v>
      </c>
      <c r="BD52" s="97" t="s">
        <v>75</v>
      </c>
      <c r="BE52" s="97" t="s">
        <v>273</v>
      </c>
      <c r="BF52" s="99">
        <v>8</v>
      </c>
      <c r="BG52" s="100">
        <v>1302.9100000000001</v>
      </c>
      <c r="BH52" s="100">
        <v>1356.28</v>
      </c>
      <c r="BI52" s="99">
        <v>3571.46</v>
      </c>
      <c r="BJ52" s="99">
        <v>6230.65</v>
      </c>
      <c r="BK52" s="97" t="s">
        <v>75</v>
      </c>
      <c r="BL52" s="97" t="s">
        <v>273</v>
      </c>
      <c r="BM52" s="99">
        <v>6</v>
      </c>
      <c r="BN52" s="100">
        <v>789.59</v>
      </c>
      <c r="BO52" s="100">
        <v>788.37</v>
      </c>
      <c r="BP52" s="99">
        <v>3808.68</v>
      </c>
      <c r="BQ52" s="99">
        <v>5386.64</v>
      </c>
      <c r="BR52" s="97" t="s">
        <v>75</v>
      </c>
      <c r="BS52" s="97" t="s">
        <v>273</v>
      </c>
      <c r="BT52" s="99">
        <v>6</v>
      </c>
      <c r="BU52" s="100">
        <v>647.29</v>
      </c>
      <c r="BV52" s="100">
        <v>502.48</v>
      </c>
      <c r="BW52" s="99">
        <v>4575.45</v>
      </c>
      <c r="BX52" s="99">
        <v>5725.22</v>
      </c>
      <c r="CH52" s="87" t="str">
        <f t="shared" si="0"/>
        <v>RES</v>
      </c>
      <c r="CI52" s="87" t="str">
        <f t="shared" si="1"/>
        <v xml:space="preserve"> 98933  </v>
      </c>
      <c r="CJ52" s="63">
        <f t="shared" si="2"/>
        <v>10068.364</v>
      </c>
      <c r="CK52" s="63" t="str">
        <f t="shared" si="3"/>
        <v>RES</v>
      </c>
      <c r="CL52" s="63" t="str">
        <f t="shared" si="4"/>
        <v xml:space="preserve"> 98933  </v>
      </c>
      <c r="CM52" s="63">
        <f t="shared" si="5"/>
        <v>11229.956629999999</v>
      </c>
      <c r="CN52" s="63" t="str">
        <f t="shared" si="6"/>
        <v>RES</v>
      </c>
      <c r="CO52" s="63" t="str">
        <f t="shared" si="7"/>
        <v xml:space="preserve"> 98933  </v>
      </c>
      <c r="CP52" s="63">
        <f t="shared" si="8"/>
        <v>11450.808399999998</v>
      </c>
    </row>
    <row r="53" spans="1:94" x14ac:dyDescent="0.2">
      <c r="A53" s="63" t="s">
        <v>75</v>
      </c>
      <c r="B53" s="63" t="s">
        <v>255</v>
      </c>
      <c r="C53" s="90">
        <v>245</v>
      </c>
      <c r="D53" s="63">
        <v>37966.050000000003</v>
      </c>
      <c r="E53" s="63">
        <v>26030.3</v>
      </c>
      <c r="F53" s="63">
        <v>81292.86</v>
      </c>
      <c r="G53" s="63">
        <v>145289.21</v>
      </c>
      <c r="H53" s="97" t="s">
        <v>75</v>
      </c>
      <c r="I53" s="97" t="s">
        <v>255</v>
      </c>
      <c r="J53" s="163">
        <v>231</v>
      </c>
      <c r="K53" s="100">
        <v>25439.77</v>
      </c>
      <c r="L53" s="100">
        <v>24761.67</v>
      </c>
      <c r="M53" s="99">
        <v>94443.72</v>
      </c>
      <c r="N53" s="99">
        <v>144645.16</v>
      </c>
      <c r="O53" s="63" t="s">
        <v>75</v>
      </c>
      <c r="P53" s="63" t="s">
        <v>255</v>
      </c>
      <c r="Q53" s="90">
        <v>245</v>
      </c>
      <c r="R53" s="63">
        <v>28280.23</v>
      </c>
      <c r="S53" s="63">
        <v>17123.77</v>
      </c>
      <c r="T53" s="63">
        <v>103335.72</v>
      </c>
      <c r="U53" s="63">
        <v>148739.72</v>
      </c>
      <c r="BD53" s="97" t="s">
        <v>75</v>
      </c>
      <c r="BE53" s="97" t="s">
        <v>280</v>
      </c>
      <c r="BF53" s="99">
        <v>2</v>
      </c>
      <c r="BG53" s="100">
        <v>499.37</v>
      </c>
      <c r="BH53" s="100">
        <v>487.42</v>
      </c>
      <c r="BI53" s="99">
        <v>585.35</v>
      </c>
      <c r="BJ53" s="99">
        <v>1572.14</v>
      </c>
      <c r="BK53" s="97" t="s">
        <v>75</v>
      </c>
      <c r="BL53" s="97" t="s">
        <v>280</v>
      </c>
      <c r="BM53" s="99">
        <v>2</v>
      </c>
      <c r="BN53" s="100">
        <v>229.47</v>
      </c>
      <c r="BO53" s="100">
        <v>499.37</v>
      </c>
      <c r="BP53" s="99">
        <v>1072.77</v>
      </c>
      <c r="BQ53" s="99">
        <v>1801.61</v>
      </c>
      <c r="BR53" s="97" t="s">
        <v>75</v>
      </c>
      <c r="BS53" s="97" t="s">
        <v>280</v>
      </c>
      <c r="BT53" s="99">
        <v>2</v>
      </c>
      <c r="BU53" s="100">
        <v>314.22000000000003</v>
      </c>
      <c r="BV53" s="100">
        <v>229.47</v>
      </c>
      <c r="BW53" s="99">
        <v>1572.14</v>
      </c>
      <c r="BX53" s="99">
        <v>2115.83</v>
      </c>
      <c r="CH53" s="87" t="str">
        <f t="shared" si="0"/>
        <v>RES</v>
      </c>
      <c r="CI53" s="87" t="str">
        <f t="shared" si="1"/>
        <v xml:space="preserve"> 98935  </v>
      </c>
      <c r="CJ53" s="63">
        <f t="shared" si="2"/>
        <v>25741.002239999998</v>
      </c>
      <c r="CK53" s="63" t="str">
        <f t="shared" si="3"/>
        <v>RES</v>
      </c>
      <c r="CL53" s="63" t="str">
        <f t="shared" si="4"/>
        <v xml:space="preserve"> 98935  </v>
      </c>
      <c r="CM53" s="63">
        <f t="shared" si="5"/>
        <v>29261.256609999997</v>
      </c>
      <c r="CN53" s="63" t="str">
        <f t="shared" si="6"/>
        <v>RES</v>
      </c>
      <c r="CO53" s="63" t="str">
        <f t="shared" si="7"/>
        <v xml:space="preserve"> 98935  </v>
      </c>
      <c r="CP53" s="63">
        <f t="shared" si="8"/>
        <v>31395.304270000001</v>
      </c>
    </row>
    <row r="54" spans="1:94" x14ac:dyDescent="0.2">
      <c r="A54" s="63" t="s">
        <v>75</v>
      </c>
      <c r="B54" s="63" t="s">
        <v>256</v>
      </c>
      <c r="C54" s="90">
        <v>470</v>
      </c>
      <c r="D54" s="63">
        <v>65290.3</v>
      </c>
      <c r="E54" s="63">
        <v>40172.04</v>
      </c>
      <c r="F54" s="63">
        <v>162308.03</v>
      </c>
      <c r="G54" s="63">
        <v>267770.37</v>
      </c>
      <c r="H54" s="97" t="s">
        <v>75</v>
      </c>
      <c r="I54" s="97" t="s">
        <v>256</v>
      </c>
      <c r="J54" s="163">
        <v>452</v>
      </c>
      <c r="K54" s="100">
        <v>47701.59</v>
      </c>
      <c r="L54" s="100">
        <v>41815.14</v>
      </c>
      <c r="M54" s="99">
        <v>171411.91</v>
      </c>
      <c r="N54" s="99">
        <v>260928.64000000001</v>
      </c>
      <c r="O54" s="63" t="s">
        <v>75</v>
      </c>
      <c r="P54" s="63" t="s">
        <v>256</v>
      </c>
      <c r="Q54" s="90">
        <v>448</v>
      </c>
      <c r="R54" s="63">
        <v>48757.82</v>
      </c>
      <c r="S54" s="63">
        <v>31110.46</v>
      </c>
      <c r="T54" s="63">
        <v>189978.9</v>
      </c>
      <c r="U54" s="63">
        <v>269847.18</v>
      </c>
      <c r="BD54" s="97" t="s">
        <v>75</v>
      </c>
      <c r="BE54" s="97" t="s">
        <v>274</v>
      </c>
      <c r="BF54" s="99">
        <v>2</v>
      </c>
      <c r="BG54" s="100">
        <v>227.05</v>
      </c>
      <c r="BH54" s="100">
        <v>676.5</v>
      </c>
      <c r="BI54" s="99">
        <v>871.5</v>
      </c>
      <c r="BJ54" s="99">
        <v>1775.05</v>
      </c>
      <c r="BK54" s="97" t="s">
        <v>75</v>
      </c>
      <c r="BL54" s="97" t="s">
        <v>274</v>
      </c>
      <c r="BM54" s="99">
        <v>2</v>
      </c>
      <c r="BN54" s="100">
        <v>414.09</v>
      </c>
      <c r="BO54" s="100">
        <v>146.72999999999999</v>
      </c>
      <c r="BP54" s="99">
        <v>18.22</v>
      </c>
      <c r="BQ54" s="99">
        <v>579.04</v>
      </c>
      <c r="BR54" s="97" t="s">
        <v>75</v>
      </c>
      <c r="BS54" s="97" t="s">
        <v>274</v>
      </c>
      <c r="BT54" s="99">
        <v>1</v>
      </c>
      <c r="BU54" s="100">
        <v>0</v>
      </c>
      <c r="BV54" s="100">
        <v>280.91000000000003</v>
      </c>
      <c r="BW54" s="99">
        <v>164.95</v>
      </c>
      <c r="BX54" s="99">
        <v>445.86</v>
      </c>
      <c r="CH54" s="87" t="str">
        <f t="shared" si="0"/>
        <v>RES</v>
      </c>
      <c r="CI54" s="87" t="str">
        <f t="shared" si="1"/>
        <v xml:space="preserve"> 98936  </v>
      </c>
      <c r="CJ54" s="63">
        <f t="shared" si="2"/>
        <v>50482.503989999997</v>
      </c>
      <c r="CK54" s="63" t="str">
        <f t="shared" si="3"/>
        <v>RES</v>
      </c>
      <c r="CL54" s="63" t="str">
        <f t="shared" si="4"/>
        <v xml:space="preserve"> 98936  </v>
      </c>
      <c r="CM54" s="63">
        <f t="shared" si="5"/>
        <v>52935.621249999997</v>
      </c>
      <c r="CN54" s="63" t="str">
        <f t="shared" si="6"/>
        <v>RES</v>
      </c>
      <c r="CO54" s="63" t="str">
        <f t="shared" si="7"/>
        <v xml:space="preserve"> 98936  </v>
      </c>
      <c r="CP54" s="63">
        <f t="shared" si="8"/>
        <v>57643.986199999992</v>
      </c>
    </row>
    <row r="55" spans="1:94" x14ac:dyDescent="0.2">
      <c r="A55" s="63" t="s">
        <v>75</v>
      </c>
      <c r="B55" s="63" t="s">
        <v>257</v>
      </c>
      <c r="C55" s="90">
        <v>408</v>
      </c>
      <c r="D55" s="63">
        <v>59156.29</v>
      </c>
      <c r="E55" s="63">
        <v>41179.22</v>
      </c>
      <c r="F55" s="63">
        <v>89829.96</v>
      </c>
      <c r="G55" s="63">
        <v>190165.47</v>
      </c>
      <c r="H55" s="97" t="s">
        <v>75</v>
      </c>
      <c r="I55" s="97" t="s">
        <v>257</v>
      </c>
      <c r="J55" s="163">
        <v>387</v>
      </c>
      <c r="K55" s="100">
        <v>43546.82</v>
      </c>
      <c r="L55" s="100">
        <v>35422.620000000003</v>
      </c>
      <c r="M55" s="99">
        <v>101272.85</v>
      </c>
      <c r="N55" s="99">
        <v>180242.29</v>
      </c>
      <c r="O55" s="63" t="s">
        <v>75</v>
      </c>
      <c r="P55" s="63" t="s">
        <v>257</v>
      </c>
      <c r="Q55" s="90">
        <v>398</v>
      </c>
      <c r="R55" s="63">
        <v>43878.96</v>
      </c>
      <c r="S55" s="63">
        <v>27595.919999999998</v>
      </c>
      <c r="T55" s="63">
        <v>102003.12</v>
      </c>
      <c r="U55" s="63">
        <v>173478</v>
      </c>
      <c r="BD55" s="97" t="s">
        <v>75</v>
      </c>
      <c r="BE55" s="97" t="s">
        <v>275</v>
      </c>
      <c r="BF55" s="99">
        <v>10</v>
      </c>
      <c r="BG55" s="100">
        <v>1496.88</v>
      </c>
      <c r="BH55" s="100">
        <v>531.14</v>
      </c>
      <c r="BI55" s="99">
        <v>293.55</v>
      </c>
      <c r="BJ55" s="99">
        <v>2321.5700000000002</v>
      </c>
      <c r="BK55" s="97" t="s">
        <v>75</v>
      </c>
      <c r="BL55" s="97" t="s">
        <v>275</v>
      </c>
      <c r="BM55" s="99">
        <v>10</v>
      </c>
      <c r="BN55" s="100">
        <v>970.63</v>
      </c>
      <c r="BO55" s="100">
        <v>939.32</v>
      </c>
      <c r="BP55" s="99">
        <v>566.24</v>
      </c>
      <c r="BQ55" s="99">
        <v>2476.19</v>
      </c>
      <c r="BR55" s="97" t="s">
        <v>75</v>
      </c>
      <c r="BS55" s="97" t="s">
        <v>275</v>
      </c>
      <c r="BT55" s="99">
        <v>11</v>
      </c>
      <c r="BU55" s="100">
        <v>1003.35</v>
      </c>
      <c r="BV55" s="100">
        <v>684.61</v>
      </c>
      <c r="BW55" s="99">
        <v>1338.04</v>
      </c>
      <c r="BX55" s="99">
        <v>3026</v>
      </c>
      <c r="CH55" s="87" t="str">
        <f t="shared" si="0"/>
        <v>RES</v>
      </c>
      <c r="CI55" s="87" t="str">
        <f t="shared" si="1"/>
        <v xml:space="preserve"> 98937  </v>
      </c>
      <c r="CJ55" s="63">
        <f t="shared" si="2"/>
        <v>29501.649939999999</v>
      </c>
      <c r="CK55" s="63" t="str">
        <f t="shared" si="3"/>
        <v>RES</v>
      </c>
      <c r="CL55" s="63" t="str">
        <f t="shared" si="4"/>
        <v xml:space="preserve"> 98937  </v>
      </c>
      <c r="CM55" s="63">
        <f t="shared" si="5"/>
        <v>32196.22783</v>
      </c>
      <c r="CN55" s="63" t="str">
        <f t="shared" si="6"/>
        <v>RES</v>
      </c>
      <c r="CO55" s="63" t="str">
        <f t="shared" si="7"/>
        <v xml:space="preserve"> 98937  </v>
      </c>
      <c r="CP55" s="63">
        <f t="shared" si="8"/>
        <v>31919.507999999994</v>
      </c>
    </row>
    <row r="56" spans="1:94" x14ac:dyDescent="0.2">
      <c r="A56" s="63" t="s">
        <v>75</v>
      </c>
      <c r="B56" s="63" t="s">
        <v>258</v>
      </c>
      <c r="C56" s="90">
        <v>193</v>
      </c>
      <c r="D56" s="63">
        <v>35555.72</v>
      </c>
      <c r="E56" s="63">
        <v>21377.09</v>
      </c>
      <c r="F56" s="63">
        <v>75790.600000000006</v>
      </c>
      <c r="G56" s="63">
        <v>132723.41</v>
      </c>
      <c r="H56" s="97" t="s">
        <v>75</v>
      </c>
      <c r="I56" s="97" t="s">
        <v>258</v>
      </c>
      <c r="J56" s="163">
        <v>187</v>
      </c>
      <c r="K56" s="100">
        <v>25450.17</v>
      </c>
      <c r="L56" s="100">
        <v>20518.41</v>
      </c>
      <c r="M56" s="99">
        <v>83367.22</v>
      </c>
      <c r="N56" s="99">
        <v>129335.8</v>
      </c>
      <c r="O56" s="63" t="s">
        <v>75</v>
      </c>
      <c r="P56" s="63" t="s">
        <v>258</v>
      </c>
      <c r="Q56" s="90">
        <v>174</v>
      </c>
      <c r="R56" s="63">
        <v>20571.84</v>
      </c>
      <c r="S56" s="63">
        <v>15381.16</v>
      </c>
      <c r="T56" s="63">
        <v>87851.82</v>
      </c>
      <c r="U56" s="63">
        <v>123804.82</v>
      </c>
      <c r="BD56" s="97" t="s">
        <v>75</v>
      </c>
      <c r="BE56" s="97" t="s">
        <v>276</v>
      </c>
      <c r="BF56" s="99">
        <v>402</v>
      </c>
      <c r="BG56" s="100">
        <v>39932.050000000003</v>
      </c>
      <c r="BH56" s="100">
        <v>33193.4</v>
      </c>
      <c r="BI56" s="99">
        <v>56252.47</v>
      </c>
      <c r="BJ56" s="99">
        <v>129377.92</v>
      </c>
      <c r="BK56" s="97" t="s">
        <v>75</v>
      </c>
      <c r="BL56" s="97" t="s">
        <v>276</v>
      </c>
      <c r="BM56" s="99">
        <v>389</v>
      </c>
      <c r="BN56" s="100">
        <v>27572.31</v>
      </c>
      <c r="BO56" s="100">
        <v>28579.63</v>
      </c>
      <c r="BP56" s="99">
        <v>68925.03</v>
      </c>
      <c r="BQ56" s="99">
        <v>125076.97</v>
      </c>
      <c r="BR56" s="97" t="s">
        <v>75</v>
      </c>
      <c r="BS56" s="97" t="s">
        <v>276</v>
      </c>
      <c r="BT56" s="99">
        <v>381</v>
      </c>
      <c r="BU56" s="100">
        <v>28828.16</v>
      </c>
      <c r="BV56" s="100">
        <v>19745.25</v>
      </c>
      <c r="BW56" s="99">
        <v>70995.070000000007</v>
      </c>
      <c r="BX56" s="99">
        <v>119568.48</v>
      </c>
      <c r="CH56" s="87" t="str">
        <f t="shared" si="0"/>
        <v>RES</v>
      </c>
      <c r="CI56" s="87" t="str">
        <f t="shared" si="1"/>
        <v xml:space="preserve"> 98938  </v>
      </c>
      <c r="CJ56" s="63">
        <f t="shared" si="2"/>
        <v>23819.131590000001</v>
      </c>
      <c r="CK56" s="63" t="str">
        <f t="shared" si="3"/>
        <v>RES</v>
      </c>
      <c r="CL56" s="63" t="str">
        <f t="shared" si="4"/>
        <v xml:space="preserve"> 98938  </v>
      </c>
      <c r="CM56" s="63">
        <f t="shared" si="5"/>
        <v>25792.989130000002</v>
      </c>
      <c r="CN56" s="63" t="str">
        <f t="shared" si="6"/>
        <v>RES</v>
      </c>
      <c r="CO56" s="63" t="str">
        <f t="shared" si="7"/>
        <v xml:space="preserve"> 98938  </v>
      </c>
      <c r="CP56" s="63">
        <f t="shared" si="8"/>
        <v>26687.338499999998</v>
      </c>
    </row>
    <row r="57" spans="1:94" ht="16" thickBot="1" x14ac:dyDescent="0.25">
      <c r="A57" s="63" t="s">
        <v>75</v>
      </c>
      <c r="B57" s="63" t="s">
        <v>259</v>
      </c>
      <c r="C57" s="90">
        <v>26</v>
      </c>
      <c r="D57" s="63">
        <v>3637.38</v>
      </c>
      <c r="E57" s="63">
        <v>3826.28</v>
      </c>
      <c r="F57" s="63">
        <v>14876.06</v>
      </c>
      <c r="G57" s="63">
        <v>22339.72</v>
      </c>
      <c r="H57" s="97" t="s">
        <v>75</v>
      </c>
      <c r="I57" s="97" t="s">
        <v>259</v>
      </c>
      <c r="J57" s="163">
        <v>26</v>
      </c>
      <c r="K57" s="100">
        <v>2900.74</v>
      </c>
      <c r="L57" s="100">
        <v>2623.5</v>
      </c>
      <c r="M57" s="99">
        <v>17300.990000000002</v>
      </c>
      <c r="N57" s="99">
        <v>22825.23</v>
      </c>
      <c r="O57" s="63" t="s">
        <v>75</v>
      </c>
      <c r="P57" s="63" t="s">
        <v>259</v>
      </c>
      <c r="Q57" s="90">
        <v>24</v>
      </c>
      <c r="R57" s="63">
        <v>2457.77</v>
      </c>
      <c r="S57" s="63">
        <v>2024.52</v>
      </c>
      <c r="T57" s="63">
        <v>18897.29</v>
      </c>
      <c r="U57" s="63">
        <v>23379.58</v>
      </c>
      <c r="BD57" s="156" t="s">
        <v>75</v>
      </c>
      <c r="BE57" s="156" t="s">
        <v>277</v>
      </c>
      <c r="BF57" s="157">
        <v>2</v>
      </c>
      <c r="BG57" s="158">
        <v>318.58999999999997</v>
      </c>
      <c r="BH57" s="158">
        <v>642.9</v>
      </c>
      <c r="BI57" s="157">
        <v>418.78</v>
      </c>
      <c r="BJ57" s="157">
        <v>1380.27</v>
      </c>
      <c r="BK57" s="156" t="s">
        <v>75</v>
      </c>
      <c r="BL57" s="156" t="s">
        <v>277</v>
      </c>
      <c r="BM57" s="157">
        <v>2</v>
      </c>
      <c r="BN57" s="158">
        <v>316.69</v>
      </c>
      <c r="BO57" s="158">
        <v>318.58999999999997</v>
      </c>
      <c r="BP57" s="157">
        <v>1061.68</v>
      </c>
      <c r="BQ57" s="157">
        <v>1696.96</v>
      </c>
      <c r="BR57" s="156" t="s">
        <v>75</v>
      </c>
      <c r="BS57" s="156" t="s">
        <v>277</v>
      </c>
      <c r="BT57" s="157">
        <v>2</v>
      </c>
      <c r="BU57" s="158">
        <v>0</v>
      </c>
      <c r="BV57" s="158">
        <v>316.69</v>
      </c>
      <c r="BW57" s="157">
        <v>1380.27</v>
      </c>
      <c r="BX57" s="157">
        <v>1696.96</v>
      </c>
      <c r="CH57" s="87" t="str">
        <f t="shared" si="0"/>
        <v>RES</v>
      </c>
      <c r="CI57" s="87" t="str">
        <f t="shared" si="1"/>
        <v xml:space="preserve"> 98939  </v>
      </c>
      <c r="CJ57" s="63">
        <f t="shared" si="2"/>
        <v>4598.4350599999989</v>
      </c>
      <c r="CK57" s="63" t="str">
        <f t="shared" si="3"/>
        <v>RES</v>
      </c>
      <c r="CL57" s="63" t="str">
        <f t="shared" si="4"/>
        <v xml:space="preserve"> 98939  </v>
      </c>
      <c r="CM57" s="63">
        <f t="shared" si="5"/>
        <v>5211.6784499999994</v>
      </c>
      <c r="CN57" s="63" t="str">
        <f t="shared" si="6"/>
        <v>RES</v>
      </c>
      <c r="CO57" s="63" t="str">
        <f t="shared" si="7"/>
        <v xml:space="preserve"> 98939  </v>
      </c>
      <c r="CP57" s="63">
        <f t="shared" si="8"/>
        <v>5628.1858900000007</v>
      </c>
    </row>
    <row r="58" spans="1:94" ht="16" thickBot="1" x14ac:dyDescent="0.25">
      <c r="A58" s="63" t="s">
        <v>75</v>
      </c>
      <c r="B58" s="63" t="s">
        <v>260</v>
      </c>
      <c r="C58" s="90">
        <v>1745</v>
      </c>
      <c r="D58" s="63">
        <v>244738.32</v>
      </c>
      <c r="E58" s="63">
        <v>159116.04999999999</v>
      </c>
      <c r="F58" s="63">
        <v>462671.63</v>
      </c>
      <c r="G58" s="63">
        <v>866526</v>
      </c>
      <c r="H58" s="97" t="s">
        <v>75</v>
      </c>
      <c r="I58" s="97" t="s">
        <v>260</v>
      </c>
      <c r="J58" s="163">
        <v>1612</v>
      </c>
      <c r="K58" s="100">
        <v>176159.72</v>
      </c>
      <c r="L58" s="100">
        <v>142040.22</v>
      </c>
      <c r="M58" s="99">
        <v>505749.82</v>
      </c>
      <c r="N58" s="99">
        <v>823949.76000000106</v>
      </c>
      <c r="O58" s="63" t="s">
        <v>75</v>
      </c>
      <c r="P58" s="63" t="s">
        <v>260</v>
      </c>
      <c r="Q58" s="90">
        <v>1561</v>
      </c>
      <c r="R58" s="63">
        <v>169566.889999999</v>
      </c>
      <c r="S58" s="63">
        <v>105581.33</v>
      </c>
      <c r="T58" s="63">
        <v>534076.03</v>
      </c>
      <c r="U58" s="63">
        <v>809224.25</v>
      </c>
      <c r="BD58" s="154"/>
      <c r="BE58" s="155"/>
      <c r="BF58" s="162">
        <f>SUM(BF26:BF57)</f>
        <v>2922</v>
      </c>
      <c r="BG58" s="162">
        <f t="shared" ref="BG58:BJ58" si="9">SUM(BG26:BG57)</f>
        <v>381985.95</v>
      </c>
      <c r="BH58" s="162">
        <f t="shared" si="9"/>
        <v>323342.08000000013</v>
      </c>
      <c r="BI58" s="162">
        <f t="shared" si="9"/>
        <v>713813.76</v>
      </c>
      <c r="BJ58" s="162">
        <f t="shared" si="9"/>
        <v>1419141.7899999998</v>
      </c>
      <c r="BK58" s="162"/>
      <c r="BL58" s="162"/>
      <c r="BM58" s="162">
        <f t="shared" ref="BM58" si="10">SUM(BM26:BM57)</f>
        <v>2921</v>
      </c>
      <c r="BN58" s="162">
        <f t="shared" ref="BN58" si="11">SUM(BN26:BN57)</f>
        <v>262907.14</v>
      </c>
      <c r="BO58" s="162">
        <f t="shared" ref="BO58:BP58" si="12">SUM(BO26:BO57)</f>
        <v>285904.53000000003</v>
      </c>
      <c r="BP58" s="162">
        <f t="shared" si="12"/>
        <v>818258.37</v>
      </c>
      <c r="BQ58" s="162">
        <f t="shared" ref="BQ58" si="13">SUM(BQ26:BQ57)</f>
        <v>1367070.04</v>
      </c>
      <c r="BR58" s="162"/>
      <c r="BS58" s="162"/>
      <c r="BT58" s="162">
        <f t="shared" ref="BT58:BU58" si="14">SUM(BT26:BT57)</f>
        <v>2927</v>
      </c>
      <c r="BU58" s="162">
        <f t="shared" si="14"/>
        <v>257404.45000000007</v>
      </c>
      <c r="BV58" s="162">
        <f t="shared" ref="BV58" si="15">SUM(BV26:BV57)</f>
        <v>214550.22999999998</v>
      </c>
      <c r="BW58" s="162">
        <f t="shared" ref="BW58" si="16">SUM(BW26:BW57)</f>
        <v>857638.71</v>
      </c>
      <c r="BX58" s="162">
        <f t="shared" ref="BX58" si="17">SUM(BX26:BX57)</f>
        <v>1329593.3899999997</v>
      </c>
      <c r="CH58" s="87" t="str">
        <f t="shared" si="0"/>
        <v>RES</v>
      </c>
      <c r="CI58" s="87" t="str">
        <f t="shared" si="1"/>
        <v xml:space="preserve"> 98942  </v>
      </c>
      <c r="CJ58" s="63">
        <f t="shared" si="2"/>
        <v>147652.22534</v>
      </c>
      <c r="CK58" s="63" t="str">
        <f t="shared" si="3"/>
        <v>RES</v>
      </c>
      <c r="CL58" s="63" t="str">
        <f t="shared" si="4"/>
        <v xml:space="preserve"> 98942  </v>
      </c>
      <c r="CM58" s="63">
        <f t="shared" si="5"/>
        <v>157928.78735999999</v>
      </c>
      <c r="CN58" s="63" t="str">
        <f t="shared" si="6"/>
        <v>RES</v>
      </c>
      <c r="CO58" s="63" t="str">
        <f t="shared" si="7"/>
        <v xml:space="preserve"> 98942  </v>
      </c>
      <c r="CP58" s="63">
        <f t="shared" si="8"/>
        <v>163712.66669999997</v>
      </c>
    </row>
    <row r="59" spans="1:94" x14ac:dyDescent="0.2">
      <c r="A59" s="63" t="s">
        <v>75</v>
      </c>
      <c r="B59" s="63" t="s">
        <v>261</v>
      </c>
      <c r="C59" s="90">
        <v>1898</v>
      </c>
      <c r="D59" s="63">
        <v>237331.18</v>
      </c>
      <c r="E59" s="63">
        <v>167692.19</v>
      </c>
      <c r="F59" s="63">
        <v>455031.82</v>
      </c>
      <c r="G59" s="63">
        <v>860055.19000000099</v>
      </c>
      <c r="H59" s="97" t="s">
        <v>75</v>
      </c>
      <c r="I59" s="97" t="s">
        <v>261</v>
      </c>
      <c r="J59" s="163">
        <v>1805</v>
      </c>
      <c r="K59" s="100">
        <v>165804.54999999999</v>
      </c>
      <c r="L59" s="100">
        <v>147856.9</v>
      </c>
      <c r="M59" s="99">
        <v>503083.77</v>
      </c>
      <c r="N59" s="99">
        <v>816745.21999999904</v>
      </c>
      <c r="O59" s="63" t="s">
        <v>75</v>
      </c>
      <c r="P59" s="63" t="s">
        <v>261</v>
      </c>
      <c r="Q59" s="90">
        <v>1778</v>
      </c>
      <c r="R59" s="63">
        <v>151971.85</v>
      </c>
      <c r="S59" s="63">
        <v>105706.65</v>
      </c>
      <c r="T59" s="63">
        <v>526016.02</v>
      </c>
      <c r="U59" s="63">
        <v>783694.52000000095</v>
      </c>
      <c r="BF59" s="90"/>
      <c r="CH59" s="87" t="str">
        <f t="shared" si="0"/>
        <v>RES</v>
      </c>
      <c r="CI59" s="87" t="str">
        <f t="shared" si="1"/>
        <v xml:space="preserve"> 98944  </v>
      </c>
      <c r="CJ59" s="63">
        <f t="shared" si="2"/>
        <v>145866.10282999999</v>
      </c>
      <c r="CK59" s="63" t="str">
        <f t="shared" si="3"/>
        <v>RES</v>
      </c>
      <c r="CL59" s="63" t="str">
        <f t="shared" si="4"/>
        <v xml:space="preserve"> 98944  </v>
      </c>
      <c r="CM59" s="63">
        <f t="shared" si="5"/>
        <v>157359.06702999998</v>
      </c>
      <c r="CN59" s="63" t="str">
        <f t="shared" si="6"/>
        <v>RES</v>
      </c>
      <c r="CO59" s="63" t="str">
        <f t="shared" si="7"/>
        <v xml:space="preserve"> 98944  </v>
      </c>
      <c r="CP59" s="63">
        <f t="shared" si="8"/>
        <v>161109.69832999998</v>
      </c>
    </row>
    <row r="60" spans="1:94" x14ac:dyDescent="0.2">
      <c r="A60" s="63" t="s">
        <v>75</v>
      </c>
      <c r="B60" s="63" t="s">
        <v>262</v>
      </c>
      <c r="C60" s="90">
        <v>329</v>
      </c>
      <c r="D60" s="63">
        <v>51202.53</v>
      </c>
      <c r="E60" s="63">
        <v>36437.519999999997</v>
      </c>
      <c r="F60" s="63">
        <v>80380.479999999996</v>
      </c>
      <c r="G60" s="63">
        <v>168020.53</v>
      </c>
      <c r="H60" s="97" t="s">
        <v>75</v>
      </c>
      <c r="I60" s="97" t="s">
        <v>262</v>
      </c>
      <c r="J60" s="163">
        <v>330</v>
      </c>
      <c r="K60" s="100">
        <v>39662.949999999997</v>
      </c>
      <c r="L60" s="100">
        <v>33724.81</v>
      </c>
      <c r="M60" s="99">
        <v>94594.11</v>
      </c>
      <c r="N60" s="99">
        <v>167981.87</v>
      </c>
      <c r="O60" s="63" t="s">
        <v>75</v>
      </c>
      <c r="P60" s="63" t="s">
        <v>262</v>
      </c>
      <c r="Q60" s="90">
        <v>346</v>
      </c>
      <c r="R60" s="63">
        <v>40763.99</v>
      </c>
      <c r="S60" s="63">
        <v>26652.92</v>
      </c>
      <c r="T60" s="63">
        <v>103889.19</v>
      </c>
      <c r="U60" s="63">
        <v>171306.1</v>
      </c>
      <c r="BF60" s="90"/>
      <c r="CH60" s="87" t="str">
        <f t="shared" si="0"/>
        <v>RES</v>
      </c>
      <c r="CI60" s="87" t="str">
        <f t="shared" si="1"/>
        <v xml:space="preserve"> 98947  </v>
      </c>
      <c r="CJ60" s="63">
        <f t="shared" si="2"/>
        <v>26344.76296</v>
      </c>
      <c r="CK60" s="63" t="str">
        <f t="shared" si="3"/>
        <v>RES</v>
      </c>
      <c r="CL60" s="63" t="str">
        <f t="shared" si="4"/>
        <v xml:space="preserve"> 98947  </v>
      </c>
      <c r="CM60" s="63">
        <f t="shared" si="5"/>
        <v>30096.968019999997</v>
      </c>
      <c r="CN60" s="63" t="str">
        <f t="shared" si="6"/>
        <v>RES</v>
      </c>
      <c r="CO60" s="63" t="str">
        <f t="shared" si="7"/>
        <v xml:space="preserve"> 98947  </v>
      </c>
      <c r="CP60" s="63">
        <f t="shared" si="8"/>
        <v>32355.333709999999</v>
      </c>
    </row>
    <row r="61" spans="1:94" x14ac:dyDescent="0.2">
      <c r="A61" s="63" t="s">
        <v>75</v>
      </c>
      <c r="B61" s="63" t="s">
        <v>263</v>
      </c>
      <c r="C61" s="90">
        <v>1146</v>
      </c>
      <c r="D61" s="63">
        <v>169984.02</v>
      </c>
      <c r="E61" s="63">
        <v>126316.81</v>
      </c>
      <c r="F61" s="63">
        <v>300741.33</v>
      </c>
      <c r="G61" s="63">
        <v>597042.16</v>
      </c>
      <c r="H61" s="97" t="s">
        <v>75</v>
      </c>
      <c r="I61" s="97" t="s">
        <v>263</v>
      </c>
      <c r="J61" s="163">
        <v>990</v>
      </c>
      <c r="K61" s="100">
        <v>74919.490000000005</v>
      </c>
      <c r="L61" s="100">
        <v>104453.36</v>
      </c>
      <c r="M61" s="99">
        <v>356874.84</v>
      </c>
      <c r="N61" s="99">
        <v>536247.68999999994</v>
      </c>
      <c r="O61" s="63" t="s">
        <v>75</v>
      </c>
      <c r="P61" s="63" t="s">
        <v>263</v>
      </c>
      <c r="Q61" s="90">
        <v>869</v>
      </c>
      <c r="R61" s="63">
        <v>60196.39</v>
      </c>
      <c r="S61" s="63">
        <v>66135.259999999995</v>
      </c>
      <c r="T61" s="63">
        <v>370286.34</v>
      </c>
      <c r="U61" s="63">
        <v>496617.99</v>
      </c>
      <c r="CH61" s="87" t="str">
        <f t="shared" si="0"/>
        <v>RES</v>
      </c>
      <c r="CI61" s="87" t="str">
        <f t="shared" si="1"/>
        <v xml:space="preserve"> 98948  </v>
      </c>
      <c r="CJ61" s="63">
        <f t="shared" si="2"/>
        <v>97591.947719999996</v>
      </c>
      <c r="CK61" s="63" t="str">
        <f t="shared" si="3"/>
        <v>RES</v>
      </c>
      <c r="CL61" s="63" t="str">
        <f t="shared" si="4"/>
        <v xml:space="preserve"> 98948  </v>
      </c>
      <c r="CM61" s="63">
        <f t="shared" si="5"/>
        <v>110916.10228000001</v>
      </c>
      <c r="CN61" s="63" t="str">
        <f t="shared" si="6"/>
        <v>RES</v>
      </c>
      <c r="CO61" s="63" t="str">
        <f t="shared" si="7"/>
        <v xml:space="preserve"> 98948  </v>
      </c>
      <c r="CP61" s="63">
        <f t="shared" si="8"/>
        <v>112142.41588</v>
      </c>
    </row>
    <row r="62" spans="1:94" x14ac:dyDescent="0.2">
      <c r="A62" s="63" t="s">
        <v>75</v>
      </c>
      <c r="B62" s="63" t="s">
        <v>264</v>
      </c>
      <c r="C62" s="90">
        <v>1104</v>
      </c>
      <c r="D62" s="63">
        <v>170058.6</v>
      </c>
      <c r="E62" s="63">
        <v>134725.81</v>
      </c>
      <c r="F62" s="63">
        <v>424585.03</v>
      </c>
      <c r="G62" s="63">
        <v>729369.44</v>
      </c>
      <c r="H62" s="97" t="s">
        <v>75</v>
      </c>
      <c r="I62" s="97" t="s">
        <v>264</v>
      </c>
      <c r="J62" s="163">
        <v>1061</v>
      </c>
      <c r="K62" s="100">
        <v>122867.54</v>
      </c>
      <c r="L62" s="100">
        <v>109647.85</v>
      </c>
      <c r="M62" s="99">
        <v>480572.06</v>
      </c>
      <c r="N62" s="99">
        <v>713087.45</v>
      </c>
      <c r="O62" s="63" t="s">
        <v>75</v>
      </c>
      <c r="P62" s="63" t="s">
        <v>264</v>
      </c>
      <c r="Q62" s="90">
        <v>1051</v>
      </c>
      <c r="R62" s="63">
        <v>106291.51</v>
      </c>
      <c r="S62" s="63">
        <v>80894.320000000094</v>
      </c>
      <c r="T62" s="63">
        <v>523935.94</v>
      </c>
      <c r="U62" s="63">
        <v>711121.77</v>
      </c>
      <c r="CH62" s="87" t="str">
        <f t="shared" si="0"/>
        <v>RES</v>
      </c>
      <c r="CI62" s="87" t="str">
        <f t="shared" si="1"/>
        <v xml:space="preserve"> 98951  </v>
      </c>
      <c r="CJ62" s="63">
        <f t="shared" si="2"/>
        <v>133913.73730000001</v>
      </c>
      <c r="CK62" s="63" t="str">
        <f t="shared" si="3"/>
        <v>RES</v>
      </c>
      <c r="CL62" s="63" t="str">
        <f t="shared" si="4"/>
        <v xml:space="preserve"> 98951  </v>
      </c>
      <c r="CM62" s="63">
        <f t="shared" si="5"/>
        <v>147759.02052999998</v>
      </c>
      <c r="CN62" s="63" t="str">
        <f t="shared" si="6"/>
        <v>RES</v>
      </c>
      <c r="CO62" s="63" t="str">
        <f t="shared" si="7"/>
        <v xml:space="preserve"> 98951  </v>
      </c>
      <c r="CP62" s="63">
        <f t="shared" si="8"/>
        <v>158214.49298000001</v>
      </c>
    </row>
    <row r="63" spans="1:94" x14ac:dyDescent="0.2">
      <c r="A63" s="63" t="s">
        <v>75</v>
      </c>
      <c r="B63" s="63" t="s">
        <v>265</v>
      </c>
      <c r="C63" s="90">
        <v>80</v>
      </c>
      <c r="D63" s="63">
        <v>14425.53</v>
      </c>
      <c r="E63" s="63">
        <v>12999.88</v>
      </c>
      <c r="F63" s="63">
        <v>59216.42</v>
      </c>
      <c r="G63" s="63">
        <v>86641.83</v>
      </c>
      <c r="H63" s="97" t="s">
        <v>75</v>
      </c>
      <c r="I63" s="97" t="s">
        <v>265</v>
      </c>
      <c r="J63" s="163">
        <v>81</v>
      </c>
      <c r="K63" s="100">
        <v>9677.08</v>
      </c>
      <c r="L63" s="100">
        <v>10901.43</v>
      </c>
      <c r="M63" s="99">
        <v>65114.21</v>
      </c>
      <c r="N63" s="99">
        <v>85692.72</v>
      </c>
      <c r="O63" s="63" t="s">
        <v>75</v>
      </c>
      <c r="P63" s="63" t="s">
        <v>265</v>
      </c>
      <c r="Q63" s="90">
        <v>86</v>
      </c>
      <c r="R63" s="63">
        <v>10513.36</v>
      </c>
      <c r="S63" s="63">
        <v>7446.92</v>
      </c>
      <c r="T63" s="63">
        <v>64065.48</v>
      </c>
      <c r="U63" s="63">
        <v>82025.759999999995</v>
      </c>
      <c r="CH63" s="87" t="str">
        <f t="shared" si="0"/>
        <v>RES</v>
      </c>
      <c r="CI63" s="87" t="str">
        <f t="shared" si="1"/>
        <v xml:space="preserve"> 98952  </v>
      </c>
      <c r="CJ63" s="63">
        <f t="shared" si="2"/>
        <v>18163.346300000001</v>
      </c>
      <c r="CK63" s="63" t="str">
        <f t="shared" si="3"/>
        <v>RES</v>
      </c>
      <c r="CL63" s="63" t="str">
        <f t="shared" si="4"/>
        <v xml:space="preserve"> 98952  </v>
      </c>
      <c r="CM63" s="63">
        <f t="shared" si="5"/>
        <v>19659.63006</v>
      </c>
      <c r="CN63" s="63" t="str">
        <f t="shared" si="6"/>
        <v>RES</v>
      </c>
      <c r="CO63" s="63" t="str">
        <f t="shared" si="7"/>
        <v xml:space="preserve"> 98952  </v>
      </c>
      <c r="CP63" s="63">
        <f t="shared" si="8"/>
        <v>19152.293439999998</v>
      </c>
    </row>
    <row r="64" spans="1:94" x14ac:dyDescent="0.2">
      <c r="A64" s="63" t="s">
        <v>75</v>
      </c>
      <c r="B64" s="63" t="s">
        <v>266</v>
      </c>
      <c r="C64" s="90">
        <v>687</v>
      </c>
      <c r="D64" s="63">
        <v>86933.779999999897</v>
      </c>
      <c r="E64" s="63">
        <v>65946.399999999994</v>
      </c>
      <c r="F64" s="63">
        <v>160782.99</v>
      </c>
      <c r="G64" s="63">
        <v>313663.17</v>
      </c>
      <c r="H64" s="97" t="s">
        <v>75</v>
      </c>
      <c r="I64" s="97" t="s">
        <v>266</v>
      </c>
      <c r="J64" s="163">
        <v>657</v>
      </c>
      <c r="K64" s="100">
        <v>70620.740000000005</v>
      </c>
      <c r="L64" s="100">
        <v>51016.86</v>
      </c>
      <c r="M64" s="99">
        <v>169693.61</v>
      </c>
      <c r="N64" s="99">
        <v>291331.21000000002</v>
      </c>
      <c r="O64" s="63" t="s">
        <v>75</v>
      </c>
      <c r="P64" s="63" t="s">
        <v>266</v>
      </c>
      <c r="Q64" s="90">
        <v>641</v>
      </c>
      <c r="R64" s="63">
        <v>56699.11</v>
      </c>
      <c r="S64" s="63">
        <v>41378.69</v>
      </c>
      <c r="T64" s="63">
        <v>172821.17</v>
      </c>
      <c r="U64" s="63">
        <v>270898.96999999997</v>
      </c>
      <c r="CH64" s="87" t="str">
        <f t="shared" si="0"/>
        <v>RES</v>
      </c>
      <c r="CI64" s="87" t="str">
        <f t="shared" si="1"/>
        <v xml:space="preserve"> 98953  </v>
      </c>
      <c r="CJ64" s="63">
        <f t="shared" si="2"/>
        <v>52011.847789999993</v>
      </c>
      <c r="CK64" s="63" t="str">
        <f t="shared" si="3"/>
        <v>RES</v>
      </c>
      <c r="CL64" s="63" t="str">
        <f t="shared" si="4"/>
        <v xml:space="preserve"> 98953  </v>
      </c>
      <c r="CM64" s="63">
        <f t="shared" si="5"/>
        <v>53385.447309999989</v>
      </c>
      <c r="CN64" s="63" t="str">
        <f t="shared" si="6"/>
        <v>RES</v>
      </c>
      <c r="CO64" s="63" t="str">
        <f t="shared" si="7"/>
        <v xml:space="preserve"> 98953  </v>
      </c>
      <c r="CP64" s="63">
        <f t="shared" si="8"/>
        <v>53459.361360000003</v>
      </c>
    </row>
    <row r="65" spans="1:94" x14ac:dyDescent="0.2">
      <c r="A65" s="63" t="s">
        <v>75</v>
      </c>
      <c r="B65" s="63" t="s">
        <v>267</v>
      </c>
      <c r="C65" s="90">
        <v>1</v>
      </c>
      <c r="D65" s="63">
        <v>89.64</v>
      </c>
      <c r="E65" s="63">
        <v>0</v>
      </c>
      <c r="F65" s="63">
        <v>0</v>
      </c>
      <c r="G65" s="63">
        <v>89.64</v>
      </c>
      <c r="H65" s="97" t="s">
        <v>75</v>
      </c>
      <c r="I65" s="97" t="s">
        <v>267</v>
      </c>
      <c r="J65" s="163">
        <v>1</v>
      </c>
      <c r="K65" s="100">
        <v>123.13</v>
      </c>
      <c r="L65" s="100">
        <v>89.64</v>
      </c>
      <c r="M65" s="99">
        <v>0</v>
      </c>
      <c r="N65" s="99">
        <v>212.77</v>
      </c>
      <c r="O65" s="63" t="s">
        <v>75</v>
      </c>
      <c r="P65" s="63" t="s">
        <v>267</v>
      </c>
      <c r="Q65" s="90"/>
      <c r="R65" s="63">
        <v>0</v>
      </c>
      <c r="S65" s="63">
        <v>0</v>
      </c>
      <c r="T65" s="63">
        <v>0</v>
      </c>
      <c r="U65" s="63">
        <v>0</v>
      </c>
      <c r="CH65" s="87" t="str">
        <f t="shared" si="0"/>
        <v>RES</v>
      </c>
      <c r="CI65" s="87" t="str">
        <f t="shared" si="1"/>
        <v xml:space="preserve"> 99301  </v>
      </c>
      <c r="CJ65" s="63">
        <f t="shared" si="2"/>
        <v>1.43424</v>
      </c>
      <c r="CK65" s="63" t="str">
        <f t="shared" si="3"/>
        <v>RES</v>
      </c>
      <c r="CL65" s="63" t="str">
        <f t="shared" si="4"/>
        <v xml:space="preserve"> 99301  </v>
      </c>
      <c r="CM65" s="63">
        <f t="shared" si="5"/>
        <v>7.6173999999999999</v>
      </c>
      <c r="CN65" s="63" t="str">
        <f t="shared" si="6"/>
        <v>RES</v>
      </c>
      <c r="CO65" s="63" t="str">
        <f t="shared" si="7"/>
        <v xml:space="preserve"> 99301  </v>
      </c>
      <c r="CP65" s="63">
        <f t="shared" si="8"/>
        <v>0</v>
      </c>
    </row>
    <row r="66" spans="1:94" x14ac:dyDescent="0.2">
      <c r="A66" s="63" t="s">
        <v>75</v>
      </c>
      <c r="B66" s="63" t="s">
        <v>268</v>
      </c>
      <c r="C66" s="90">
        <v>252</v>
      </c>
      <c r="D66" s="63">
        <v>29038.44</v>
      </c>
      <c r="E66" s="63">
        <v>25447.78</v>
      </c>
      <c r="F66" s="63">
        <v>48224.94</v>
      </c>
      <c r="G66" s="63">
        <v>102711.16</v>
      </c>
      <c r="H66" s="97" t="s">
        <v>75</v>
      </c>
      <c r="I66" s="97" t="s">
        <v>268</v>
      </c>
      <c r="J66" s="163">
        <v>236</v>
      </c>
      <c r="K66" s="100">
        <v>24337.84</v>
      </c>
      <c r="L66" s="100">
        <v>14785.93</v>
      </c>
      <c r="M66" s="99">
        <v>52316.03</v>
      </c>
      <c r="N66" s="99">
        <v>91439.8</v>
      </c>
      <c r="O66" s="63" t="s">
        <v>75</v>
      </c>
      <c r="P66" s="63" t="s">
        <v>268</v>
      </c>
      <c r="Q66" s="90">
        <v>206</v>
      </c>
      <c r="R66" s="63">
        <v>18508.34</v>
      </c>
      <c r="S66" s="63">
        <v>12506.67</v>
      </c>
      <c r="T66" s="63">
        <v>49098.15</v>
      </c>
      <c r="U66" s="63">
        <v>80113.16</v>
      </c>
      <c r="CH66" s="87" t="str">
        <f t="shared" si="0"/>
        <v>RES</v>
      </c>
      <c r="CI66" s="87" t="str">
        <f t="shared" si="1"/>
        <v xml:space="preserve"> 99323  </v>
      </c>
      <c r="CJ66" s="63">
        <f t="shared" si="2"/>
        <v>16004.832839999999</v>
      </c>
      <c r="CK66" s="63" t="str">
        <f t="shared" si="3"/>
        <v>RES</v>
      </c>
      <c r="CL66" s="63" t="str">
        <f t="shared" si="4"/>
        <v xml:space="preserve"> 99323  </v>
      </c>
      <c r="CM66" s="63">
        <f t="shared" si="5"/>
        <v>16440.251699999997</v>
      </c>
      <c r="CN66" s="63" t="str">
        <f t="shared" si="6"/>
        <v>RES</v>
      </c>
      <c r="CO66" s="63" t="str">
        <f t="shared" si="7"/>
        <v xml:space="preserve"> 99323  </v>
      </c>
      <c r="CP66" s="63">
        <f t="shared" si="8"/>
        <v>15273.419</v>
      </c>
    </row>
    <row r="67" spans="1:94" x14ac:dyDescent="0.2">
      <c r="A67" s="63" t="s">
        <v>75</v>
      </c>
      <c r="B67" s="63" t="s">
        <v>269</v>
      </c>
      <c r="C67" s="90">
        <v>604</v>
      </c>
      <c r="D67" s="63">
        <v>58171.13</v>
      </c>
      <c r="E67" s="63">
        <v>33236.980000000003</v>
      </c>
      <c r="F67" s="63">
        <v>76778.100000000006</v>
      </c>
      <c r="G67" s="63">
        <v>168186.21</v>
      </c>
      <c r="H67" s="97" t="s">
        <v>75</v>
      </c>
      <c r="I67" s="97" t="s">
        <v>269</v>
      </c>
      <c r="J67" s="163">
        <v>568</v>
      </c>
      <c r="K67" s="100">
        <v>39909.660000000003</v>
      </c>
      <c r="L67" s="100">
        <v>31537.62</v>
      </c>
      <c r="M67" s="99">
        <v>82851.350000000006</v>
      </c>
      <c r="N67" s="99">
        <v>154298.63</v>
      </c>
      <c r="O67" s="63" t="s">
        <v>75</v>
      </c>
      <c r="P67" s="63" t="s">
        <v>269</v>
      </c>
      <c r="Q67" s="90">
        <v>549</v>
      </c>
      <c r="R67" s="63">
        <v>36959.370000000003</v>
      </c>
      <c r="S67" s="63">
        <v>22390.44</v>
      </c>
      <c r="T67" s="63">
        <v>83878.5</v>
      </c>
      <c r="U67" s="63">
        <v>143228.31</v>
      </c>
      <c r="CH67" s="87" t="str">
        <f t="shared" si="0"/>
        <v>RES</v>
      </c>
      <c r="CI67" s="87" t="str">
        <f t="shared" si="1"/>
        <v xml:space="preserve"> 99324  </v>
      </c>
      <c r="CJ67" s="63">
        <f t="shared" si="2"/>
        <v>25213.53872</v>
      </c>
      <c r="CK67" s="63" t="str">
        <f t="shared" si="3"/>
        <v>RES</v>
      </c>
      <c r="CL67" s="63" t="str">
        <f t="shared" si="4"/>
        <v xml:space="preserve"> 99324  </v>
      </c>
      <c r="CM67" s="63">
        <f t="shared" si="5"/>
        <v>26569.464769999999</v>
      </c>
      <c r="CN67" s="63" t="str">
        <f t="shared" si="6"/>
        <v>RES</v>
      </c>
      <c r="CO67" s="63" t="str">
        <f t="shared" si="7"/>
        <v xml:space="preserve"> 99324  </v>
      </c>
      <c r="CP67" s="63">
        <f t="shared" si="8"/>
        <v>26242.834139999995</v>
      </c>
    </row>
    <row r="68" spans="1:94" x14ac:dyDescent="0.2">
      <c r="A68" s="63" t="s">
        <v>75</v>
      </c>
      <c r="B68" s="63" t="s">
        <v>270</v>
      </c>
      <c r="C68" s="90">
        <v>431</v>
      </c>
      <c r="D68" s="63">
        <v>59679.78</v>
      </c>
      <c r="E68" s="63">
        <v>38081.78</v>
      </c>
      <c r="F68" s="63">
        <v>92246.45</v>
      </c>
      <c r="G68" s="63">
        <v>190008.01</v>
      </c>
      <c r="H68" s="97" t="s">
        <v>75</v>
      </c>
      <c r="I68" s="97" t="s">
        <v>270</v>
      </c>
      <c r="J68" s="163">
        <v>425</v>
      </c>
      <c r="K68" s="100">
        <v>54392.92</v>
      </c>
      <c r="L68" s="100">
        <v>34960.339999999997</v>
      </c>
      <c r="M68" s="99">
        <v>102265.22</v>
      </c>
      <c r="N68" s="99">
        <v>191618.48</v>
      </c>
      <c r="O68" s="63" t="s">
        <v>75</v>
      </c>
      <c r="P68" s="63" t="s">
        <v>270</v>
      </c>
      <c r="Q68" s="90">
        <v>402</v>
      </c>
      <c r="R68" s="63">
        <v>41257.99</v>
      </c>
      <c r="S68" s="63">
        <v>32161.919999999998</v>
      </c>
      <c r="T68" s="63">
        <v>106947.96</v>
      </c>
      <c r="U68" s="63">
        <v>180367.87</v>
      </c>
      <c r="CH68" s="87" t="str">
        <f t="shared" si="0"/>
        <v>RES</v>
      </c>
      <c r="CI68" s="87" t="str">
        <f t="shared" si="1"/>
        <v xml:space="preserve"> 99328  </v>
      </c>
      <c r="CJ68" s="63">
        <f t="shared" si="2"/>
        <v>30013.252669999998</v>
      </c>
      <c r="CK68" s="63" t="str">
        <f t="shared" si="3"/>
        <v>RES</v>
      </c>
      <c r="CL68" s="63" t="str">
        <f t="shared" si="4"/>
        <v xml:space="preserve"> 99328  </v>
      </c>
      <c r="CM68" s="63">
        <f t="shared" si="5"/>
        <v>32627.436719999998</v>
      </c>
      <c r="CN68" s="63" t="str">
        <f t="shared" si="6"/>
        <v>RES</v>
      </c>
      <c r="CO68" s="63" t="str">
        <f t="shared" si="7"/>
        <v xml:space="preserve"> 99328  </v>
      </c>
      <c r="CP68" s="63">
        <f t="shared" si="8"/>
        <v>33594.289239999998</v>
      </c>
    </row>
    <row r="69" spans="1:94" x14ac:dyDescent="0.2">
      <c r="A69" s="63" t="s">
        <v>75</v>
      </c>
      <c r="B69" s="63" t="s">
        <v>271</v>
      </c>
      <c r="C69" s="90">
        <v>28</v>
      </c>
      <c r="D69" s="63">
        <v>3632.88</v>
      </c>
      <c r="E69" s="63">
        <v>838.05</v>
      </c>
      <c r="F69" s="63">
        <v>1097.4000000000001</v>
      </c>
      <c r="G69" s="63">
        <v>5568.33</v>
      </c>
      <c r="H69" s="97" t="s">
        <v>75</v>
      </c>
      <c r="I69" s="97" t="s">
        <v>271</v>
      </c>
      <c r="J69" s="163">
        <v>25</v>
      </c>
      <c r="K69" s="100">
        <v>2879.52</v>
      </c>
      <c r="L69" s="100">
        <v>1534.3</v>
      </c>
      <c r="M69" s="99">
        <v>1527.82</v>
      </c>
      <c r="N69" s="99">
        <v>5941.64</v>
      </c>
      <c r="O69" s="63" t="s">
        <v>75</v>
      </c>
      <c r="P69" s="63" t="s">
        <v>271</v>
      </c>
      <c r="Q69" s="90">
        <v>25</v>
      </c>
      <c r="R69" s="63">
        <v>2976.32</v>
      </c>
      <c r="S69" s="63">
        <v>1135.07</v>
      </c>
      <c r="T69" s="63">
        <v>1944.51</v>
      </c>
      <c r="U69" s="63">
        <v>6055.9</v>
      </c>
      <c r="CH69" s="87" t="str">
        <f t="shared" si="0"/>
        <v>RES</v>
      </c>
      <c r="CI69" s="87" t="str">
        <f t="shared" si="1"/>
        <v xml:space="preserve"> 99329  </v>
      </c>
      <c r="CJ69" s="63">
        <f t="shared" si="2"/>
        <v>428.07182999999998</v>
      </c>
      <c r="CK69" s="63" t="str">
        <f t="shared" si="3"/>
        <v>RES</v>
      </c>
      <c r="CL69" s="63" t="str">
        <f t="shared" si="4"/>
        <v xml:space="preserve"> 99329  </v>
      </c>
      <c r="CM69" s="63">
        <f t="shared" si="5"/>
        <v>584.27319999999997</v>
      </c>
      <c r="CN69" s="63" t="str">
        <f t="shared" si="6"/>
        <v>RES</v>
      </c>
      <c r="CO69" s="63" t="str">
        <f t="shared" si="7"/>
        <v xml:space="preserve"> 99329  </v>
      </c>
      <c r="CP69" s="63">
        <f t="shared" si="8"/>
        <v>681.09392000000003</v>
      </c>
    </row>
    <row r="70" spans="1:94" x14ac:dyDescent="0.2">
      <c r="A70" s="63" t="s">
        <v>75</v>
      </c>
      <c r="B70" s="63" t="s">
        <v>272</v>
      </c>
      <c r="C70" s="90">
        <v>208</v>
      </c>
      <c r="D70" s="63">
        <v>35942.28</v>
      </c>
      <c r="E70" s="63">
        <v>23330.41</v>
      </c>
      <c r="F70" s="63">
        <v>68928.259999999995</v>
      </c>
      <c r="G70" s="63">
        <v>128200.95</v>
      </c>
      <c r="H70" s="97" t="s">
        <v>75</v>
      </c>
      <c r="I70" s="97" t="s">
        <v>272</v>
      </c>
      <c r="J70" s="163">
        <v>199</v>
      </c>
      <c r="K70" s="100">
        <v>24417.58</v>
      </c>
      <c r="L70" s="100">
        <v>23981.599999999999</v>
      </c>
      <c r="M70" s="99">
        <v>76111.88</v>
      </c>
      <c r="N70" s="99">
        <v>124511.06</v>
      </c>
      <c r="O70" s="63" t="s">
        <v>75</v>
      </c>
      <c r="P70" s="63" t="s">
        <v>272</v>
      </c>
      <c r="Q70" s="90">
        <v>199</v>
      </c>
      <c r="R70" s="63">
        <v>28203.07</v>
      </c>
      <c r="S70" s="63">
        <v>16688.54</v>
      </c>
      <c r="T70" s="63">
        <v>85054.57</v>
      </c>
      <c r="U70" s="63">
        <v>129946.18</v>
      </c>
      <c r="CH70" s="87" t="str">
        <f t="shared" ref="CH70" si="18">A70</f>
        <v>RES</v>
      </c>
      <c r="CI70" s="87" t="str">
        <f t="shared" ref="CI70" si="19">B70</f>
        <v xml:space="preserve"> 99347  </v>
      </c>
      <c r="CJ70" s="63">
        <f>D70*1.6%+E70*6.3%+F70*28.9%</f>
        <v>21965.159449999996</v>
      </c>
      <c r="CK70" s="63" t="str">
        <f t="shared" ref="CK70:CK76" si="20">H70</f>
        <v>RES</v>
      </c>
      <c r="CL70" s="63" t="str">
        <f t="shared" ref="CL70:CL76" si="21">I70</f>
        <v xml:space="preserve"> 99347  </v>
      </c>
      <c r="CM70" s="63">
        <f t="shared" ref="CM70:CM76" si="22">K70*1.6%+L70*6.3%+M70*28.9%</f>
        <v>23897.8554</v>
      </c>
      <c r="CN70" s="63" t="str">
        <f t="shared" ref="CN70" si="23">O70</f>
        <v>RES</v>
      </c>
      <c r="CO70" s="63" t="str">
        <f t="shared" ref="CO70" si="24">P70</f>
        <v xml:space="preserve"> 99347  </v>
      </c>
      <c r="CP70" s="63">
        <f t="shared" ref="CP70" si="25">R70*1.6%+S70*6.3%+T70*28.9%</f>
        <v>26083.397870000001</v>
      </c>
    </row>
    <row r="71" spans="1:94" x14ac:dyDescent="0.2">
      <c r="A71" t="s">
        <v>75</v>
      </c>
      <c r="B71" t="s">
        <v>273</v>
      </c>
      <c r="C71" s="161">
        <v>50</v>
      </c>
      <c r="D71">
        <v>7510.53</v>
      </c>
      <c r="E71">
        <v>4719.8100000000004</v>
      </c>
      <c r="F71">
        <v>13212.3</v>
      </c>
      <c r="G71">
        <v>25442.639999999999</v>
      </c>
      <c r="H71" s="97" t="s">
        <v>75</v>
      </c>
      <c r="I71" s="97" t="s">
        <v>273</v>
      </c>
      <c r="J71" s="163">
        <v>54</v>
      </c>
      <c r="K71" s="100">
        <v>5598.4</v>
      </c>
      <c r="L71" s="100">
        <v>4409</v>
      </c>
      <c r="M71" s="99">
        <v>14648.07</v>
      </c>
      <c r="N71" s="99">
        <v>24655.47</v>
      </c>
      <c r="O71" t="s">
        <v>75</v>
      </c>
      <c r="P71" t="s">
        <v>273</v>
      </c>
      <c r="Q71" s="161">
        <v>53</v>
      </c>
      <c r="R71">
        <v>5212.53</v>
      </c>
      <c r="S71">
        <v>3123.2</v>
      </c>
      <c r="T71">
        <v>16878.38</v>
      </c>
      <c r="U71">
        <v>25214.11</v>
      </c>
      <c r="CH71" s="87" t="str">
        <f t="shared" ref="CH71:CH77" si="26">A71</f>
        <v>RES</v>
      </c>
      <c r="CI71" s="87" t="str">
        <f t="shared" ref="CI71:CI76" si="27">B71</f>
        <v xml:space="preserve"> 99348  </v>
      </c>
      <c r="CJ71" s="63">
        <f t="shared" ref="CJ71:CJ76" si="28">D71*1.6%+E71*6.3%+F71*28.9%</f>
        <v>4235.8712099999993</v>
      </c>
      <c r="CK71" s="63" t="str">
        <f t="shared" si="20"/>
        <v>RES</v>
      </c>
      <c r="CL71" s="63" t="str">
        <f t="shared" si="21"/>
        <v xml:space="preserve"> 99348  </v>
      </c>
      <c r="CM71" s="63">
        <f t="shared" si="22"/>
        <v>4600.6336300000003</v>
      </c>
      <c r="CN71" s="63" t="str">
        <f t="shared" ref="CN71:CN76" si="29">O71</f>
        <v>RES</v>
      </c>
      <c r="CO71" s="63" t="str">
        <f t="shared" ref="CO71:CO76" si="30">P71</f>
        <v xml:space="preserve"> 99348  </v>
      </c>
      <c r="CP71" s="63">
        <f t="shared" ref="CP71:CP76" si="31">R71*1.6%+S71*6.3%+T71*28.9%</f>
        <v>5158.0138999999999</v>
      </c>
    </row>
    <row r="72" spans="1:94" x14ac:dyDescent="0.2">
      <c r="A72" t="s">
        <v>75</v>
      </c>
      <c r="B72" t="s">
        <v>280</v>
      </c>
      <c r="C72" s="161">
        <v>7</v>
      </c>
      <c r="D72">
        <v>1353.4</v>
      </c>
      <c r="E72">
        <v>773.44</v>
      </c>
      <c r="F72">
        <v>585.35</v>
      </c>
      <c r="G72">
        <v>2712.19</v>
      </c>
      <c r="H72" s="97" t="s">
        <v>75</v>
      </c>
      <c r="I72" s="97" t="s">
        <v>280</v>
      </c>
      <c r="J72" s="163">
        <v>6</v>
      </c>
      <c r="K72" s="100">
        <v>733.69</v>
      </c>
      <c r="L72" s="100">
        <v>901.35</v>
      </c>
      <c r="M72" s="99">
        <v>1072.77</v>
      </c>
      <c r="N72" s="99">
        <v>2707.81</v>
      </c>
      <c r="O72" t="s">
        <v>75</v>
      </c>
      <c r="P72" t="s">
        <v>280</v>
      </c>
      <c r="Q72" s="161">
        <v>6</v>
      </c>
      <c r="R72">
        <v>894.5</v>
      </c>
      <c r="S72">
        <v>409.63</v>
      </c>
      <c r="T72">
        <v>1725.59</v>
      </c>
      <c r="U72">
        <v>3029.72</v>
      </c>
      <c r="CH72" s="87" t="str">
        <f t="shared" si="26"/>
        <v>RES</v>
      </c>
      <c r="CI72" s="87" t="str">
        <f t="shared" si="27"/>
        <v xml:space="preserve"> 99350  </v>
      </c>
      <c r="CJ72" s="63">
        <f t="shared" si="28"/>
        <v>239.54727</v>
      </c>
      <c r="CK72" s="63" t="str">
        <f t="shared" si="20"/>
        <v>RES</v>
      </c>
      <c r="CL72" s="63" t="str">
        <f t="shared" si="21"/>
        <v xml:space="preserve"> 99350  </v>
      </c>
      <c r="CM72" s="63">
        <f t="shared" si="22"/>
        <v>378.55462</v>
      </c>
      <c r="CN72" s="63" t="str">
        <f t="shared" si="29"/>
        <v>RES</v>
      </c>
      <c r="CO72" s="63" t="str">
        <f t="shared" si="30"/>
        <v xml:space="preserve"> 99350  </v>
      </c>
      <c r="CP72" s="63">
        <f t="shared" si="31"/>
        <v>538.81419999999991</v>
      </c>
    </row>
    <row r="73" spans="1:94" x14ac:dyDescent="0.2">
      <c r="A73" t="s">
        <v>75</v>
      </c>
      <c r="B73" t="s">
        <v>274</v>
      </c>
      <c r="C73" s="161">
        <v>106</v>
      </c>
      <c r="D73">
        <v>14429.52</v>
      </c>
      <c r="E73">
        <v>11505.32</v>
      </c>
      <c r="F73">
        <v>12383.46</v>
      </c>
      <c r="G73">
        <v>38318.300000000003</v>
      </c>
      <c r="H73" s="97" t="s">
        <v>75</v>
      </c>
      <c r="I73" s="97" t="s">
        <v>274</v>
      </c>
      <c r="J73" s="163">
        <v>85</v>
      </c>
      <c r="K73" s="100">
        <v>9747.26</v>
      </c>
      <c r="L73" s="100">
        <v>7063.68</v>
      </c>
      <c r="M73" s="99">
        <v>14804.03</v>
      </c>
      <c r="N73" s="99">
        <v>31614.97</v>
      </c>
      <c r="O73" t="s">
        <v>75</v>
      </c>
      <c r="P73" t="s">
        <v>274</v>
      </c>
      <c r="Q73" s="161">
        <v>55</v>
      </c>
      <c r="R73">
        <v>941.86</v>
      </c>
      <c r="S73">
        <v>5610.7</v>
      </c>
      <c r="T73">
        <v>15473.3</v>
      </c>
      <c r="U73">
        <v>22025.86</v>
      </c>
      <c r="CH73" s="87" t="str">
        <f t="shared" si="26"/>
        <v>RES</v>
      </c>
      <c r="CI73" s="87" t="str">
        <f t="shared" si="27"/>
        <v xml:space="preserve"> 99360  </v>
      </c>
      <c r="CJ73" s="63">
        <f t="shared" si="28"/>
        <v>4534.5274199999994</v>
      </c>
      <c r="CK73" s="63" t="str">
        <f t="shared" si="20"/>
        <v>RES</v>
      </c>
      <c r="CL73" s="63" t="str">
        <f t="shared" si="21"/>
        <v xml:space="preserve"> 99360  </v>
      </c>
      <c r="CM73" s="63">
        <f t="shared" si="22"/>
        <v>4879.3326699999998</v>
      </c>
      <c r="CN73" s="63" t="str">
        <f t="shared" si="29"/>
        <v>RES</v>
      </c>
      <c r="CO73" s="63" t="str">
        <f t="shared" si="30"/>
        <v xml:space="preserve"> 99360  </v>
      </c>
      <c r="CP73" s="63">
        <f t="shared" si="31"/>
        <v>4840.3275599999988</v>
      </c>
    </row>
    <row r="74" spans="1:94" x14ac:dyDescent="0.2">
      <c r="A74" t="s">
        <v>75</v>
      </c>
      <c r="B74" t="s">
        <v>275</v>
      </c>
      <c r="C74" s="161">
        <v>148</v>
      </c>
      <c r="D74">
        <v>25985.45</v>
      </c>
      <c r="E74">
        <v>13422.56</v>
      </c>
      <c r="F74">
        <v>37853.019999999997</v>
      </c>
      <c r="G74">
        <v>77261.03</v>
      </c>
      <c r="H74" s="97" t="s">
        <v>75</v>
      </c>
      <c r="I74" s="97" t="s">
        <v>275</v>
      </c>
      <c r="J74" s="163">
        <v>138</v>
      </c>
      <c r="K74" s="100">
        <v>16158.75</v>
      </c>
      <c r="L74" s="100">
        <v>15020.35</v>
      </c>
      <c r="M74" s="99">
        <v>43397.74</v>
      </c>
      <c r="N74" s="99">
        <v>74576.84</v>
      </c>
      <c r="O74" t="s">
        <v>75</v>
      </c>
      <c r="P74" t="s">
        <v>275</v>
      </c>
      <c r="Q74" s="161">
        <v>137</v>
      </c>
      <c r="R74">
        <v>15760.73</v>
      </c>
      <c r="S74">
        <v>8880.7800000000007</v>
      </c>
      <c r="T74">
        <v>40638.589999999997</v>
      </c>
      <c r="U74">
        <v>65280.1</v>
      </c>
      <c r="CH74" s="87" t="str">
        <f t="shared" si="26"/>
        <v>RES</v>
      </c>
      <c r="CI74" s="87" t="str">
        <f t="shared" si="27"/>
        <v xml:space="preserve"> 99361  </v>
      </c>
      <c r="CJ74" s="63">
        <f t="shared" si="28"/>
        <v>12200.911259999997</v>
      </c>
      <c r="CK74" s="63" t="str">
        <f t="shared" si="20"/>
        <v>RES</v>
      </c>
      <c r="CL74" s="63" t="str">
        <f t="shared" si="21"/>
        <v xml:space="preserve"> 99361  </v>
      </c>
      <c r="CM74" s="63">
        <f t="shared" si="22"/>
        <v>13746.768909999999</v>
      </c>
      <c r="CN74" s="63" t="str">
        <f t="shared" si="29"/>
        <v>RES</v>
      </c>
      <c r="CO74" s="63" t="str">
        <f t="shared" si="30"/>
        <v xml:space="preserve"> 99361  </v>
      </c>
      <c r="CP74" s="63">
        <f t="shared" si="31"/>
        <v>12556.213329999999</v>
      </c>
    </row>
    <row r="75" spans="1:94" x14ac:dyDescent="0.2">
      <c r="A75" t="s">
        <v>75</v>
      </c>
      <c r="B75" t="s">
        <v>276</v>
      </c>
      <c r="C75" s="161">
        <v>2463</v>
      </c>
      <c r="D75">
        <v>249266.6</v>
      </c>
      <c r="E75">
        <v>147925.54999999999</v>
      </c>
      <c r="F75">
        <v>411693.32</v>
      </c>
      <c r="G75">
        <v>808885.47000000102</v>
      </c>
      <c r="H75" s="97" t="s">
        <v>75</v>
      </c>
      <c r="I75" s="97" t="s">
        <v>276</v>
      </c>
      <c r="J75" s="163">
        <v>2283</v>
      </c>
      <c r="K75" s="100">
        <v>173970.58</v>
      </c>
      <c r="L75" s="100">
        <v>142923.35999999999</v>
      </c>
      <c r="M75" s="99">
        <v>441714.91</v>
      </c>
      <c r="N75" s="99">
        <v>758608.85000000102</v>
      </c>
      <c r="O75" t="s">
        <v>75</v>
      </c>
      <c r="P75" t="s">
        <v>276</v>
      </c>
      <c r="Q75" s="161">
        <v>2203</v>
      </c>
      <c r="R75">
        <v>170927.14</v>
      </c>
      <c r="S75">
        <v>101565.66</v>
      </c>
      <c r="T75">
        <v>463900.44</v>
      </c>
      <c r="U75">
        <v>736393.24</v>
      </c>
      <c r="CH75" s="87" t="str">
        <f t="shared" si="26"/>
        <v>RES</v>
      </c>
      <c r="CI75" s="87" t="str">
        <f t="shared" si="27"/>
        <v xml:space="preserve"> 99362  </v>
      </c>
      <c r="CJ75" s="63">
        <f t="shared" si="28"/>
        <v>132286.94472999999</v>
      </c>
      <c r="CK75" s="63" t="str">
        <f t="shared" si="20"/>
        <v>RES</v>
      </c>
      <c r="CL75" s="63" t="str">
        <f t="shared" si="21"/>
        <v xml:space="preserve"> 99362  </v>
      </c>
      <c r="CM75" s="63">
        <f t="shared" si="22"/>
        <v>139443.30994999997</v>
      </c>
      <c r="CN75" s="63" t="str">
        <f t="shared" si="29"/>
        <v>RES</v>
      </c>
      <c r="CO75" s="63" t="str">
        <f t="shared" si="30"/>
        <v xml:space="preserve"> 99362  </v>
      </c>
      <c r="CP75" s="63">
        <f t="shared" si="31"/>
        <v>143200.69797999997</v>
      </c>
    </row>
    <row r="76" spans="1:94" ht="16" thickBot="1" x14ac:dyDescent="0.25">
      <c r="A76" t="s">
        <v>75</v>
      </c>
      <c r="B76" t="s">
        <v>277</v>
      </c>
      <c r="C76" s="161">
        <v>20</v>
      </c>
      <c r="D76">
        <v>3275.11</v>
      </c>
      <c r="E76">
        <v>3925.98</v>
      </c>
      <c r="F76">
        <v>3322.03</v>
      </c>
      <c r="G76">
        <v>10523.12</v>
      </c>
      <c r="H76" s="156" t="s">
        <v>75</v>
      </c>
      <c r="I76" s="156" t="s">
        <v>277</v>
      </c>
      <c r="J76" s="164">
        <v>26</v>
      </c>
      <c r="K76" s="158">
        <v>3099.87</v>
      </c>
      <c r="L76" s="158">
        <v>2482.4699999999998</v>
      </c>
      <c r="M76" s="157">
        <v>3246.58</v>
      </c>
      <c r="N76" s="157">
        <v>8828.92</v>
      </c>
      <c r="O76" t="s">
        <v>75</v>
      </c>
      <c r="P76" t="s">
        <v>277</v>
      </c>
      <c r="Q76" s="161">
        <v>16</v>
      </c>
      <c r="R76">
        <v>0</v>
      </c>
      <c r="S76">
        <v>2526.06</v>
      </c>
      <c r="T76">
        <v>4113.46</v>
      </c>
      <c r="U76">
        <v>6639.52</v>
      </c>
      <c r="CH76" s="87" t="str">
        <f t="shared" si="26"/>
        <v>RES</v>
      </c>
      <c r="CI76" s="87" t="str">
        <f t="shared" si="27"/>
        <v xml:space="preserve"> 99363  </v>
      </c>
      <c r="CJ76" s="63">
        <f t="shared" si="28"/>
        <v>1259.8051700000001</v>
      </c>
      <c r="CK76" s="63" t="str">
        <f t="shared" si="20"/>
        <v>RES</v>
      </c>
      <c r="CL76" s="63" t="str">
        <f t="shared" si="21"/>
        <v xml:space="preserve"> 99363  </v>
      </c>
      <c r="CM76" s="63">
        <f t="shared" si="22"/>
        <v>1144.25515</v>
      </c>
      <c r="CN76" s="63" t="str">
        <f t="shared" si="29"/>
        <v>RES</v>
      </c>
      <c r="CO76" s="63" t="str">
        <f t="shared" si="30"/>
        <v xml:space="preserve"> 99363  </v>
      </c>
      <c r="CP76" s="63">
        <f t="shared" si="31"/>
        <v>1347.9317199999998</v>
      </c>
    </row>
    <row r="77" spans="1:94" ht="16" thickBot="1" x14ac:dyDescent="0.25">
      <c r="A77" s="154" t="s">
        <v>281</v>
      </c>
      <c r="B77" s="155"/>
      <c r="C77" s="162">
        <f>SUM(C41:C76)</f>
        <v>27916</v>
      </c>
      <c r="D77" s="159">
        <f>SUM(D41:D76)</f>
        <v>3565578.569999998</v>
      </c>
      <c r="E77" s="159">
        <f t="shared" ref="E77:U77" si="32">SUM(E41:E76)</f>
        <v>2479111.439999999</v>
      </c>
      <c r="F77" s="159">
        <f t="shared" si="32"/>
        <v>6945543.6100000003</v>
      </c>
      <c r="G77" s="159">
        <f t="shared" si="32"/>
        <v>12990233.620000001</v>
      </c>
      <c r="H77" s="159"/>
      <c r="I77" s="159"/>
      <c r="J77" s="162">
        <f t="shared" si="32"/>
        <v>26108</v>
      </c>
      <c r="K77" s="159">
        <f t="shared" si="32"/>
        <v>2452453.48</v>
      </c>
      <c r="L77" s="159">
        <f t="shared" si="32"/>
        <v>2167321.9999999995</v>
      </c>
      <c r="M77" s="159">
        <f t="shared" si="32"/>
        <v>7687126.410000002</v>
      </c>
      <c r="N77" s="159">
        <f t="shared" si="32"/>
        <v>12306901.890000004</v>
      </c>
      <c r="O77" s="159"/>
      <c r="P77" s="159"/>
      <c r="Q77" s="162">
        <f t="shared" si="32"/>
        <v>24985</v>
      </c>
      <c r="R77" s="159">
        <f t="shared" si="32"/>
        <v>2192300.2799999984</v>
      </c>
      <c r="S77" s="159">
        <f t="shared" si="32"/>
        <v>1590517.9299999995</v>
      </c>
      <c r="T77" s="159">
        <f t="shared" si="32"/>
        <v>8045634.7400000012</v>
      </c>
      <c r="U77" s="159">
        <f t="shared" si="32"/>
        <v>11828452.949999999</v>
      </c>
      <c r="CH77" s="63" t="str">
        <f t="shared" si="26"/>
        <v>TOTAL</v>
      </c>
      <c r="CI77" s="63"/>
      <c r="CJ77" s="63">
        <f>SUM(CJ41:CJ76)</f>
        <v>2220495.3811300001</v>
      </c>
      <c r="CK77" s="63"/>
      <c r="CL77" s="63"/>
      <c r="CM77" s="63">
        <f>SUM(CM41:CM76)</f>
        <v>2397360.0741700009</v>
      </c>
      <c r="CN77" s="63"/>
      <c r="CO77" s="63"/>
      <c r="CP77" s="63">
        <f>SUM(CP41:CP76)</f>
        <v>2460467.8739300002</v>
      </c>
    </row>
    <row r="78" spans="1:94" x14ac:dyDescent="0.2">
      <c r="CH78" s="63"/>
      <c r="CI78" s="63"/>
      <c r="CJ78" s="63"/>
      <c r="CN78" s="63"/>
      <c r="CO78" s="63"/>
      <c r="CP78" s="63"/>
    </row>
    <row r="79" spans="1:94" x14ac:dyDescent="0.2">
      <c r="CH79" s="63"/>
      <c r="CI79" s="63"/>
      <c r="CJ79" s="63"/>
      <c r="CN79" s="63"/>
      <c r="CO79" s="63"/>
      <c r="CP79" s="63"/>
    </row>
    <row r="80" spans="1:94" x14ac:dyDescent="0.2">
      <c r="CH80" s="63"/>
      <c r="CI80" s="63"/>
      <c r="CJ80" s="63"/>
      <c r="CN80" s="63"/>
      <c r="CO80" s="63"/>
      <c r="CP80" s="63"/>
    </row>
    <row r="81" spans="86:94" x14ac:dyDescent="0.2">
      <c r="CH81" s="63"/>
      <c r="CI81" s="63"/>
      <c r="CJ81" s="63"/>
      <c r="CN81" s="63"/>
      <c r="CO81" s="63"/>
      <c r="CP81" s="63"/>
    </row>
    <row r="82" spans="86:94" x14ac:dyDescent="0.2">
      <c r="CH82" s="63"/>
      <c r="CI82" s="63"/>
      <c r="CJ82" s="63"/>
      <c r="CN82" s="63"/>
      <c r="CO82" s="63"/>
      <c r="CP82" s="63"/>
    </row>
    <row r="83" spans="86:94" x14ac:dyDescent="0.2">
      <c r="CH83" s="63"/>
      <c r="CI83" s="63"/>
      <c r="CJ83" s="63"/>
      <c r="CN83" s="63"/>
      <c r="CO83" s="63"/>
      <c r="CP83" s="63"/>
    </row>
    <row r="84" spans="86:94" x14ac:dyDescent="0.2">
      <c r="CH84" s="63"/>
      <c r="CI84" s="63"/>
      <c r="CJ84" s="63"/>
    </row>
    <row r="85" spans="86:94" x14ac:dyDescent="0.2">
      <c r="CH85" s="63"/>
      <c r="CI85" s="63"/>
      <c r="CJ85" s="63"/>
    </row>
    <row r="86" spans="86:94" x14ac:dyDescent="0.2">
      <c r="CH86" s="63"/>
      <c r="CI86" s="63"/>
      <c r="CJ86" s="63"/>
    </row>
    <row r="87" spans="86:94" x14ac:dyDescent="0.2">
      <c r="CH87" s="63"/>
      <c r="CI87" s="63"/>
      <c r="CJ87" s="63"/>
    </row>
    <row r="88" spans="86:94" x14ac:dyDescent="0.2">
      <c r="CH88" s="63"/>
      <c r="CI88" s="63"/>
      <c r="CJ88" s="63"/>
    </row>
    <row r="89" spans="86:94" x14ac:dyDescent="0.2">
      <c r="CH89" s="63"/>
      <c r="CI89" s="63"/>
      <c r="CJ89" s="63"/>
    </row>
    <row r="90" spans="86:94" x14ac:dyDescent="0.2">
      <c r="CH90" s="63"/>
      <c r="CI90" s="63"/>
      <c r="CJ90" s="63"/>
    </row>
    <row r="91" spans="86:94" x14ac:dyDescent="0.2">
      <c r="CH91" s="63"/>
      <c r="CI91" s="63"/>
      <c r="CJ91" s="63"/>
    </row>
    <row r="92" spans="86:94" x14ac:dyDescent="0.2">
      <c r="CH92" s="63"/>
      <c r="CI92" s="63"/>
      <c r="CJ92" s="63"/>
    </row>
    <row r="93" spans="86:94" x14ac:dyDescent="0.2">
      <c r="CH93" s="63"/>
      <c r="CI93" s="63"/>
      <c r="CJ93" s="63"/>
    </row>
    <row r="94" spans="86:94" x14ac:dyDescent="0.2">
      <c r="CH94" s="63"/>
      <c r="CI94" s="63"/>
      <c r="CJ94" s="63"/>
    </row>
    <row r="95" spans="86:94" x14ac:dyDescent="0.2">
      <c r="CH95" s="63"/>
      <c r="CI95" s="63"/>
      <c r="CJ95" s="63"/>
    </row>
    <row r="96" spans="86:94" x14ac:dyDescent="0.2">
      <c r="CH96" s="63"/>
      <c r="CI96" s="63"/>
      <c r="CJ96" s="63"/>
    </row>
    <row r="97" spans="86:88" x14ac:dyDescent="0.2">
      <c r="CH97" s="63"/>
      <c r="CI97" s="63"/>
      <c r="CJ97" s="63"/>
    </row>
    <row r="98" spans="86:88" x14ac:dyDescent="0.2">
      <c r="CH98" s="63"/>
      <c r="CI98" s="63"/>
      <c r="CJ98" s="63"/>
    </row>
    <row r="99" spans="86:88" x14ac:dyDescent="0.2">
      <c r="CH99" s="63"/>
      <c r="CI99" s="63"/>
      <c r="CJ99" s="63"/>
    </row>
    <row r="100" spans="86:88" x14ac:dyDescent="0.2">
      <c r="CH100" s="63"/>
      <c r="CI100" s="63"/>
      <c r="CJ100" s="63"/>
    </row>
    <row r="101" spans="86:88" x14ac:dyDescent="0.2">
      <c r="CH101" s="63"/>
      <c r="CI101" s="63"/>
      <c r="CJ101" s="63"/>
    </row>
    <row r="102" spans="86:88" x14ac:dyDescent="0.2">
      <c r="CH102" s="63"/>
      <c r="CI102" s="63"/>
      <c r="CJ102" s="63"/>
    </row>
    <row r="103" spans="86:88" x14ac:dyDescent="0.2">
      <c r="CH103" s="63"/>
      <c r="CI103" s="63"/>
      <c r="CJ103" s="63"/>
    </row>
    <row r="104" spans="86:88" x14ac:dyDescent="0.2">
      <c r="CH104" s="63"/>
      <c r="CI104" s="63"/>
      <c r="CJ104" s="63"/>
    </row>
    <row r="105" spans="86:88" x14ac:dyDescent="0.2">
      <c r="CH105" s="63"/>
      <c r="CI105" s="63"/>
      <c r="CJ105" s="63"/>
    </row>
    <row r="106" spans="86:88" x14ac:dyDescent="0.2">
      <c r="CH106" s="63"/>
      <c r="CI106" s="63"/>
      <c r="CJ106" s="63"/>
    </row>
    <row r="107" spans="86:88" x14ac:dyDescent="0.2">
      <c r="CH107" s="63"/>
      <c r="CI107" s="63"/>
      <c r="CJ107" s="63"/>
    </row>
    <row r="108" spans="86:88" x14ac:dyDescent="0.2">
      <c r="CH108" s="63"/>
      <c r="CI108" s="63"/>
      <c r="CJ108" s="63"/>
    </row>
    <row r="109" spans="86:88" x14ac:dyDescent="0.2">
      <c r="CH109" s="63"/>
      <c r="CI109" s="63"/>
      <c r="CJ109" s="63"/>
    </row>
    <row r="110" spans="86:88" x14ac:dyDescent="0.2">
      <c r="CH110" s="63"/>
      <c r="CI110" s="63"/>
      <c r="CJ110" s="63"/>
    </row>
    <row r="111" spans="86:88" x14ac:dyDescent="0.2">
      <c r="CH111" s="63"/>
      <c r="CI111" s="63"/>
      <c r="CJ111" s="63"/>
    </row>
    <row r="112" spans="86:88" x14ac:dyDescent="0.2">
      <c r="CH112" s="63"/>
      <c r="CI112" s="63"/>
      <c r="CJ112" s="63"/>
    </row>
    <row r="113" spans="86:88" x14ac:dyDescent="0.2">
      <c r="CH113" s="63"/>
      <c r="CI113" s="63"/>
      <c r="CJ113" s="63"/>
    </row>
    <row r="114" spans="86:88" x14ac:dyDescent="0.2">
      <c r="CH114" s="63"/>
      <c r="CI114" s="63"/>
      <c r="CJ114" s="63"/>
    </row>
    <row r="115" spans="86:88" x14ac:dyDescent="0.2">
      <c r="CH115" s="63"/>
      <c r="CI115" s="63"/>
      <c r="CJ115" s="63"/>
    </row>
    <row r="116" spans="86:88" x14ac:dyDescent="0.2">
      <c r="CH116" s="63"/>
      <c r="CI116" s="63"/>
      <c r="CJ116" s="63"/>
    </row>
    <row r="117" spans="86:88" x14ac:dyDescent="0.2">
      <c r="CH117" s="63"/>
      <c r="CI117" s="63"/>
      <c r="CJ117" s="63"/>
    </row>
    <row r="118" spans="86:88" x14ac:dyDescent="0.2">
      <c r="CH118" s="63"/>
      <c r="CI118" s="63"/>
      <c r="CJ118" s="63"/>
    </row>
    <row r="119" spans="86:88" x14ac:dyDescent="0.2">
      <c r="CH119" s="63"/>
      <c r="CI119" s="63"/>
      <c r="CJ119" s="63"/>
    </row>
    <row r="120" spans="86:88" x14ac:dyDescent="0.2">
      <c r="CH120" s="63"/>
      <c r="CI120" s="63"/>
      <c r="CJ120" s="63"/>
    </row>
    <row r="121" spans="86:88" x14ac:dyDescent="0.2">
      <c r="CH121" s="63"/>
      <c r="CI121" s="63"/>
      <c r="CJ121" s="63"/>
    </row>
    <row r="122" spans="86:88" x14ac:dyDescent="0.2">
      <c r="CH122" s="63"/>
      <c r="CI122" s="63"/>
      <c r="CJ122" s="63"/>
    </row>
    <row r="123" spans="86:88" x14ac:dyDescent="0.2">
      <c r="CH123" s="63"/>
      <c r="CI123" s="63"/>
      <c r="CJ123" s="63"/>
    </row>
    <row r="124" spans="86:88" x14ac:dyDescent="0.2">
      <c r="CH124" s="63"/>
      <c r="CI124" s="63"/>
      <c r="CJ124" s="63"/>
    </row>
    <row r="125" spans="86:88" x14ac:dyDescent="0.2">
      <c r="CH125" s="63"/>
      <c r="CI125" s="63"/>
      <c r="CJ125" s="63"/>
    </row>
    <row r="126" spans="86:88" x14ac:dyDescent="0.2">
      <c r="CH126" s="63"/>
      <c r="CI126" s="63"/>
      <c r="CJ126" s="63"/>
    </row>
    <row r="127" spans="86:88" x14ac:dyDescent="0.2">
      <c r="CH127" s="63"/>
      <c r="CI127" s="63"/>
      <c r="CJ127" s="63"/>
    </row>
  </sheetData>
  <mergeCells count="31">
    <mergeCell ref="CH1:CP1"/>
    <mergeCell ref="AO3:AS3"/>
    <mergeCell ref="DM1:DR1"/>
    <mergeCell ref="DS1:DX1"/>
    <mergeCell ref="DD1:DL1"/>
    <mergeCell ref="AT3:AX3"/>
    <mergeCell ref="AY3:BC3"/>
    <mergeCell ref="CQ1:DC1"/>
    <mergeCell ref="V1:BX1"/>
    <mergeCell ref="BD3:BJ3"/>
    <mergeCell ref="BK3:BQ3"/>
    <mergeCell ref="BR3:BX3"/>
    <mergeCell ref="CH3:CJ3"/>
    <mergeCell ref="CK3:CM3"/>
    <mergeCell ref="CN3:CP3"/>
    <mergeCell ref="DD3:DF3"/>
    <mergeCell ref="A1:U1"/>
    <mergeCell ref="AH3:AL3"/>
    <mergeCell ref="X3:AB3"/>
    <mergeCell ref="AC3:AG3"/>
    <mergeCell ref="A3:F3"/>
    <mergeCell ref="H3:N3"/>
    <mergeCell ref="O3:U3"/>
    <mergeCell ref="DS3:DT3"/>
    <mergeCell ref="DU3:DV3"/>
    <mergeCell ref="DW3:DX3"/>
    <mergeCell ref="DG3:DI3"/>
    <mergeCell ref="DJ3:DL3"/>
    <mergeCell ref="DM3:DN3"/>
    <mergeCell ref="DO3:DP3"/>
    <mergeCell ref="DQ3:DR3"/>
  </mergeCell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08" t="s">
        <v>31</v>
      </c>
      <c r="B1" s="108"/>
      <c r="E1" s="107" t="s">
        <v>8</v>
      </c>
      <c r="F1" s="107"/>
      <c r="G1" s="107"/>
      <c r="H1" s="107"/>
      <c r="I1" s="107"/>
      <c r="J1" s="107"/>
      <c r="K1" s="107"/>
      <c r="L1" s="107"/>
      <c r="M1" s="107"/>
      <c r="O1" s="138" t="s">
        <v>9</v>
      </c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9"/>
      <c r="AZ1" s="138" t="s">
        <v>10</v>
      </c>
      <c r="BA1" s="138"/>
      <c r="BB1" s="138"/>
      <c r="BC1" s="138"/>
      <c r="BD1" s="138"/>
      <c r="BE1" s="138"/>
      <c r="BF1" s="138"/>
      <c r="BG1" s="138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138"/>
      <c r="CG1" s="138"/>
      <c r="CH1" s="138"/>
      <c r="CI1" s="139"/>
      <c r="CJ1" s="28"/>
      <c r="CL1" s="108" t="s">
        <v>6</v>
      </c>
      <c r="CM1" s="108"/>
      <c r="CN1" s="108"/>
      <c r="CO1" s="108"/>
      <c r="CP1" s="108"/>
      <c r="CQ1" s="108"/>
      <c r="CR1" s="108"/>
      <c r="CS1" s="108"/>
      <c r="CT1" s="108"/>
      <c r="CV1" s="107" t="s">
        <v>7</v>
      </c>
      <c r="CW1" s="107"/>
      <c r="CX1" s="107"/>
      <c r="CY1" s="107"/>
      <c r="CZ1" s="107"/>
      <c r="DA1" s="107"/>
      <c r="DB1" s="107"/>
      <c r="DC1" s="107"/>
      <c r="DD1" s="107"/>
      <c r="DE1" s="107"/>
      <c r="DG1" s="142" t="s">
        <v>11</v>
      </c>
      <c r="DH1" s="142"/>
      <c r="DI1" s="142"/>
      <c r="DJ1" s="142"/>
      <c r="DK1" s="142"/>
      <c r="DL1" s="142"/>
      <c r="DM1" s="142"/>
      <c r="DN1" s="142"/>
      <c r="DO1" s="142"/>
      <c r="DQ1" s="108" t="s">
        <v>13</v>
      </c>
      <c r="DR1" s="108"/>
      <c r="DS1" s="108"/>
      <c r="DT1" s="108"/>
      <c r="DU1" s="108"/>
      <c r="DV1" s="108"/>
      <c r="DW1" s="108"/>
      <c r="DX1" s="108"/>
      <c r="DY1" s="108"/>
      <c r="EA1" s="108" t="s">
        <v>12</v>
      </c>
      <c r="EB1" s="108"/>
      <c r="EC1" s="108"/>
      <c r="ED1" s="108"/>
      <c r="EE1" s="108"/>
      <c r="EF1" s="108"/>
      <c r="EG1" s="108"/>
      <c r="EH1" s="108"/>
      <c r="EI1" s="108"/>
    </row>
    <row r="2" spans="1:139" x14ac:dyDescent="0.2">
      <c r="A2" s="108"/>
      <c r="B2" s="108"/>
      <c r="E2" s="107"/>
      <c r="F2" s="107"/>
      <c r="G2" s="107"/>
      <c r="H2" s="107"/>
      <c r="I2" s="107"/>
      <c r="J2" s="107"/>
      <c r="K2" s="107"/>
      <c r="L2" s="107"/>
      <c r="M2" s="107"/>
      <c r="O2" s="140">
        <v>43831</v>
      </c>
      <c r="P2" s="141"/>
      <c r="Q2" s="141"/>
      <c r="R2" s="141"/>
      <c r="S2" s="140">
        <v>43862</v>
      </c>
      <c r="T2" s="141"/>
      <c r="U2" s="141"/>
      <c r="V2" s="141"/>
      <c r="W2" s="140">
        <v>43891</v>
      </c>
      <c r="X2" s="141"/>
      <c r="Y2" s="141"/>
      <c r="Z2" s="141"/>
      <c r="AA2" s="140">
        <v>43922</v>
      </c>
      <c r="AB2" s="141"/>
      <c r="AC2" s="141"/>
      <c r="AD2" s="141"/>
      <c r="AE2" s="140">
        <v>43952</v>
      </c>
      <c r="AF2" s="141"/>
      <c r="AG2" s="141"/>
      <c r="AH2" s="141"/>
      <c r="AI2" s="140">
        <v>43983</v>
      </c>
      <c r="AJ2" s="141"/>
      <c r="AK2" s="141"/>
      <c r="AL2" s="141"/>
      <c r="AM2" s="140">
        <v>44013</v>
      </c>
      <c r="AN2" s="141"/>
      <c r="AO2" s="141"/>
      <c r="AP2" s="141"/>
      <c r="AQ2" s="140">
        <v>44044</v>
      </c>
      <c r="AR2" s="141"/>
      <c r="AS2" s="141"/>
      <c r="AT2" s="141"/>
      <c r="AU2" s="140">
        <v>44075</v>
      </c>
      <c r="AV2" s="141"/>
      <c r="AW2" s="141"/>
      <c r="AX2" s="141"/>
      <c r="AZ2" s="140">
        <v>43831</v>
      </c>
      <c r="BA2" s="141"/>
      <c r="BB2" s="141"/>
      <c r="BC2" s="141"/>
      <c r="BD2" s="140">
        <v>43862</v>
      </c>
      <c r="BE2" s="141"/>
      <c r="BF2" s="141"/>
      <c r="BG2" s="141"/>
      <c r="BH2" s="140">
        <v>43891</v>
      </c>
      <c r="BI2" s="141"/>
      <c r="BJ2" s="141"/>
      <c r="BK2" s="141"/>
      <c r="BL2" s="140">
        <v>43922</v>
      </c>
      <c r="BM2" s="141"/>
      <c r="BN2" s="141"/>
      <c r="BO2" s="141"/>
      <c r="BP2" s="140">
        <v>43952</v>
      </c>
      <c r="BQ2" s="141"/>
      <c r="BR2" s="141"/>
      <c r="BS2" s="141"/>
      <c r="BT2" s="140">
        <v>43983</v>
      </c>
      <c r="BU2" s="141"/>
      <c r="BV2" s="141"/>
      <c r="BW2" s="141"/>
      <c r="BX2" s="140">
        <v>44013</v>
      </c>
      <c r="BY2" s="141"/>
      <c r="BZ2" s="141"/>
      <c r="CA2" s="141"/>
      <c r="CB2" s="140">
        <v>44044</v>
      </c>
      <c r="CC2" s="141"/>
      <c r="CD2" s="141"/>
      <c r="CE2" s="141"/>
      <c r="CF2" s="140">
        <v>44075</v>
      </c>
      <c r="CG2" s="141"/>
      <c r="CH2" s="141"/>
      <c r="CI2" s="141"/>
      <c r="CJ2" s="26"/>
      <c r="CL2" s="108"/>
      <c r="CM2" s="108"/>
      <c r="CN2" s="108"/>
      <c r="CO2" s="108"/>
      <c r="CP2" s="108"/>
      <c r="CQ2" s="108"/>
      <c r="CR2" s="108"/>
      <c r="CS2" s="108"/>
      <c r="CT2" s="108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G2" s="142"/>
      <c r="DH2" s="142"/>
      <c r="DI2" s="142"/>
      <c r="DJ2" s="142"/>
      <c r="DK2" s="142"/>
      <c r="DL2" s="142"/>
      <c r="DM2" s="142"/>
      <c r="DN2" s="142"/>
      <c r="DO2" s="142"/>
      <c r="DQ2" s="108"/>
      <c r="DR2" s="108"/>
      <c r="DS2" s="108"/>
      <c r="DT2" s="108"/>
      <c r="DU2" s="108"/>
      <c r="DV2" s="108"/>
      <c r="DW2" s="108"/>
      <c r="DX2" s="108"/>
      <c r="DY2" s="108"/>
      <c r="EA2" s="108"/>
      <c r="EB2" s="108"/>
      <c r="EC2" s="108"/>
      <c r="ED2" s="108"/>
      <c r="EE2" s="108"/>
      <c r="EF2" s="108"/>
      <c r="EG2" s="108"/>
      <c r="EH2" s="108"/>
      <c r="EI2" s="108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7"/>
      <c r="Y1" s="47"/>
      <c r="Z1" s="47"/>
      <c r="AA1" s="47"/>
      <c r="AB1" s="48"/>
      <c r="AC1" s="48"/>
      <c r="AD1" s="48"/>
      <c r="AE1" s="48"/>
      <c r="AF1" s="48">
        <v>6</v>
      </c>
      <c r="AG1" s="48">
        <v>7</v>
      </c>
      <c r="AH1" s="48">
        <v>8</v>
      </c>
      <c r="AI1" s="48">
        <v>9</v>
      </c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08" t="s">
        <v>31</v>
      </c>
      <c r="B2" s="108"/>
      <c r="E2" s="145" t="s">
        <v>8</v>
      </c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X2" s="150" t="s">
        <v>9</v>
      </c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1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50" t="s">
        <v>10</v>
      </c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1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46" t="s">
        <v>6</v>
      </c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G2" s="107" t="s">
        <v>7</v>
      </c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U2" s="143" t="s">
        <v>11</v>
      </c>
      <c r="EV2" s="143"/>
      <c r="EW2" s="143"/>
      <c r="EX2" s="143"/>
      <c r="EY2" s="143"/>
      <c r="EZ2" s="143"/>
      <c r="FA2" s="143"/>
      <c r="FB2" s="143"/>
      <c r="FC2" s="143"/>
      <c r="FD2" s="143"/>
      <c r="FE2" s="143"/>
      <c r="FF2" s="143"/>
      <c r="FH2" s="144" t="s">
        <v>13</v>
      </c>
      <c r="FI2" s="144"/>
      <c r="FJ2" s="144"/>
      <c r="FK2" s="144"/>
      <c r="FL2" s="144"/>
      <c r="FM2" s="144"/>
      <c r="FN2" s="144"/>
      <c r="FO2" s="144"/>
      <c r="FP2" s="144"/>
      <c r="FQ2" s="144"/>
      <c r="FR2" s="144"/>
      <c r="FS2" s="144"/>
      <c r="FU2" s="144" t="s">
        <v>12</v>
      </c>
      <c r="FV2" s="144"/>
      <c r="FW2" s="144"/>
      <c r="FX2" s="144"/>
      <c r="FY2" s="144"/>
      <c r="FZ2" s="144"/>
      <c r="GA2" s="144"/>
      <c r="GB2" s="144"/>
      <c r="GC2" s="144"/>
      <c r="GD2" s="144"/>
      <c r="GE2" s="144"/>
      <c r="GF2" s="144"/>
    </row>
    <row r="3" spans="1:188" x14ac:dyDescent="0.2">
      <c r="A3" s="108"/>
      <c r="B3" s="108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X3" s="140">
        <v>43831</v>
      </c>
      <c r="Y3" s="141"/>
      <c r="Z3" s="141"/>
      <c r="AA3" s="141"/>
      <c r="AB3" s="140">
        <v>43862</v>
      </c>
      <c r="AC3" s="141"/>
      <c r="AD3" s="141"/>
      <c r="AE3" s="141"/>
      <c r="AF3" s="140">
        <v>43891</v>
      </c>
      <c r="AG3" s="141"/>
      <c r="AH3" s="141"/>
      <c r="AI3" s="141"/>
      <c r="AJ3" s="140">
        <v>43922</v>
      </c>
      <c r="AK3" s="141"/>
      <c r="AL3" s="141"/>
      <c r="AM3" s="141"/>
      <c r="AN3" s="140">
        <v>43952</v>
      </c>
      <c r="AO3" s="141"/>
      <c r="AP3" s="141"/>
      <c r="AQ3" s="141"/>
      <c r="AR3" s="140">
        <v>43983</v>
      </c>
      <c r="AS3" s="141"/>
      <c r="AT3" s="141"/>
      <c r="AU3" s="141"/>
      <c r="AV3" s="140">
        <v>44013</v>
      </c>
      <c r="AW3" s="141"/>
      <c r="AX3" s="141"/>
      <c r="AY3" s="141"/>
      <c r="AZ3" s="140">
        <v>44044</v>
      </c>
      <c r="BA3" s="141"/>
      <c r="BB3" s="141"/>
      <c r="BC3" s="141"/>
      <c r="BD3" s="140">
        <v>44075</v>
      </c>
      <c r="BE3" s="141"/>
      <c r="BF3" s="141"/>
      <c r="BG3" s="141"/>
      <c r="BH3" s="140">
        <v>44105</v>
      </c>
      <c r="BI3" s="141"/>
      <c r="BJ3" s="141"/>
      <c r="BK3" s="141"/>
      <c r="BL3" s="140">
        <v>44136</v>
      </c>
      <c r="BM3" s="141"/>
      <c r="BN3" s="141"/>
      <c r="BO3" s="141"/>
      <c r="BP3" s="140">
        <v>44166</v>
      </c>
      <c r="BQ3" s="141"/>
      <c r="BR3" s="141"/>
      <c r="BS3" s="141"/>
      <c r="BU3" s="140">
        <v>43831</v>
      </c>
      <c r="BV3" s="141"/>
      <c r="BW3" s="141"/>
      <c r="BX3" s="141"/>
      <c r="BY3" s="140">
        <v>43862</v>
      </c>
      <c r="BZ3" s="141"/>
      <c r="CA3" s="141"/>
      <c r="CB3" s="141"/>
      <c r="CC3" s="140">
        <v>43891</v>
      </c>
      <c r="CD3" s="141"/>
      <c r="CE3" s="141"/>
      <c r="CF3" s="141"/>
      <c r="CG3" s="140">
        <v>43922</v>
      </c>
      <c r="CH3" s="141"/>
      <c r="CI3" s="141"/>
      <c r="CJ3" s="141"/>
      <c r="CK3" s="140">
        <v>43952</v>
      </c>
      <c r="CL3" s="141"/>
      <c r="CM3" s="141"/>
      <c r="CN3" s="141"/>
      <c r="CO3" s="140">
        <v>43983</v>
      </c>
      <c r="CP3" s="141"/>
      <c r="CQ3" s="141"/>
      <c r="CR3" s="141"/>
      <c r="CS3" s="140">
        <v>44013</v>
      </c>
      <c r="CT3" s="141"/>
      <c r="CU3" s="141"/>
      <c r="CV3" s="141"/>
      <c r="CW3" s="140">
        <v>44044</v>
      </c>
      <c r="CX3" s="141"/>
      <c r="CY3" s="141"/>
      <c r="CZ3" s="141"/>
      <c r="DA3" s="140">
        <v>44075</v>
      </c>
      <c r="DB3" s="141"/>
      <c r="DC3" s="141"/>
      <c r="DD3" s="141"/>
      <c r="DE3" s="30"/>
      <c r="DF3" s="140">
        <v>44105</v>
      </c>
      <c r="DG3" s="141"/>
      <c r="DH3" s="141"/>
      <c r="DI3" s="141"/>
      <c r="DJ3" s="140">
        <v>44136</v>
      </c>
      <c r="DK3" s="141"/>
      <c r="DL3" s="141"/>
      <c r="DM3" s="141"/>
      <c r="DN3" s="140">
        <v>44166</v>
      </c>
      <c r="DO3" s="141"/>
      <c r="DP3" s="141"/>
      <c r="DQ3" s="141"/>
      <c r="DR3" s="26"/>
      <c r="DT3" s="148"/>
      <c r="DU3" s="149"/>
      <c r="DV3" s="149"/>
      <c r="DW3" s="149"/>
      <c r="DX3" s="149"/>
      <c r="DY3" s="149"/>
      <c r="DZ3" s="149"/>
      <c r="EA3" s="149"/>
      <c r="EB3" s="149"/>
      <c r="EC3" s="149"/>
      <c r="ED3" s="149"/>
      <c r="EE3" s="149"/>
      <c r="EG3" s="107"/>
      <c r="EH3" s="107"/>
      <c r="EI3" s="107"/>
      <c r="EJ3" s="107"/>
      <c r="EK3" s="107"/>
      <c r="EL3" s="107"/>
      <c r="EM3" s="107"/>
      <c r="EN3" s="107"/>
      <c r="EO3" s="107"/>
      <c r="EP3" s="107"/>
      <c r="EQ3" s="107"/>
      <c r="ER3" s="107"/>
      <c r="ES3" s="107"/>
      <c r="EU3" s="143"/>
      <c r="EV3" s="143"/>
      <c r="EW3" s="143"/>
      <c r="EX3" s="143"/>
      <c r="EY3" s="143"/>
      <c r="EZ3" s="143"/>
      <c r="FA3" s="143"/>
      <c r="FB3" s="143"/>
      <c r="FC3" s="143"/>
      <c r="FD3" s="143"/>
      <c r="FE3" s="143"/>
      <c r="FF3" s="143"/>
      <c r="FH3" s="144"/>
      <c r="FI3" s="144"/>
      <c r="FJ3" s="144"/>
      <c r="FK3" s="144"/>
      <c r="FL3" s="144"/>
      <c r="FM3" s="144"/>
      <c r="FN3" s="144"/>
      <c r="FO3" s="144"/>
      <c r="FP3" s="144"/>
      <c r="FQ3" s="144"/>
      <c r="FR3" s="144"/>
      <c r="FS3" s="144"/>
      <c r="FU3" s="144"/>
      <c r="FV3" s="144"/>
      <c r="FW3" s="144"/>
      <c r="FX3" s="144"/>
      <c r="FY3" s="144"/>
      <c r="FZ3" s="144"/>
      <c r="GA3" s="144"/>
      <c r="GB3" s="144"/>
      <c r="GC3" s="144"/>
      <c r="GD3" s="144"/>
      <c r="GE3" s="144"/>
      <c r="GF3" s="144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1" t="s">
        <v>35</v>
      </c>
      <c r="O5" s="41" t="s">
        <v>34</v>
      </c>
      <c r="P5" s="42">
        <v>171</v>
      </c>
      <c r="Q5" s="42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2">
        <v>46328.75</v>
      </c>
      <c r="BI5" s="42">
        <v>19103.26999999999</v>
      </c>
      <c r="BJ5" s="42">
        <v>63397.820000000007</v>
      </c>
      <c r="BK5" s="42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1" t="s">
        <v>104</v>
      </c>
      <c r="DF5" s="42">
        <v>17.559999999999999</v>
      </c>
      <c r="DG5" s="42">
        <v>33.340000000000003</v>
      </c>
      <c r="DH5" s="42">
        <v>236.83</v>
      </c>
      <c r="DI5" s="42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1" t="s">
        <v>36</v>
      </c>
      <c r="O6" s="41" t="s">
        <v>34</v>
      </c>
      <c r="P6" s="42">
        <v>195</v>
      </c>
      <c r="Q6" s="42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2">
        <v>48036.000000000015</v>
      </c>
      <c r="BI6" s="42">
        <v>26816.670000000006</v>
      </c>
      <c r="BJ6" s="42">
        <v>74774.799999999988</v>
      </c>
      <c r="BK6" s="42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1" t="s">
        <v>87</v>
      </c>
      <c r="DF6" s="42">
        <v>17724.21</v>
      </c>
      <c r="DG6" s="42">
        <v>14934.98</v>
      </c>
      <c r="DH6" s="42">
        <v>74742.549999999988</v>
      </c>
      <c r="DI6" s="42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1" t="s">
        <v>37</v>
      </c>
      <c r="O7" s="41" t="s">
        <v>34</v>
      </c>
      <c r="P7" s="42">
        <v>107</v>
      </c>
      <c r="Q7" s="42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2">
        <v>16698.88</v>
      </c>
      <c r="BI7" s="42">
        <v>13362.459999999997</v>
      </c>
      <c r="BJ7" s="42">
        <v>41505.12999999999</v>
      </c>
      <c r="BK7" s="42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1" t="s">
        <v>116</v>
      </c>
      <c r="DF7" s="42">
        <v>79.41</v>
      </c>
      <c r="DG7" s="42">
        <v>80.19</v>
      </c>
      <c r="DH7" s="42">
        <v>548.70000000000005</v>
      </c>
      <c r="DI7" s="42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1" t="s">
        <v>40</v>
      </c>
      <c r="O8" s="41" t="s">
        <v>34</v>
      </c>
      <c r="P8" s="42">
        <v>112</v>
      </c>
      <c r="Q8" s="42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2">
        <v>22292.28999999999</v>
      </c>
      <c r="BI8" s="42">
        <v>8298.2999999999975</v>
      </c>
      <c r="BJ8" s="42">
        <v>16546.32</v>
      </c>
      <c r="BK8" s="42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1" t="s">
        <v>88</v>
      </c>
      <c r="DF8" s="42">
        <v>24174.940000000024</v>
      </c>
      <c r="DG8" s="42">
        <v>23422.789999999994</v>
      </c>
      <c r="DH8" s="42">
        <v>84889.230000000025</v>
      </c>
      <c r="DI8" s="42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1" t="s">
        <v>42</v>
      </c>
      <c r="O9" s="41" t="s">
        <v>34</v>
      </c>
      <c r="P9" s="42">
        <v>2</v>
      </c>
      <c r="Q9" s="42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2">
        <v>94</v>
      </c>
      <c r="BI9" s="42">
        <v>115.57</v>
      </c>
      <c r="BJ9" s="42">
        <v>229.07999999999998</v>
      </c>
      <c r="BK9" s="42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1" t="s">
        <v>89</v>
      </c>
      <c r="DF9" s="42">
        <v>9541.5499999999975</v>
      </c>
      <c r="DG9" s="42">
        <v>7497.2</v>
      </c>
      <c r="DH9" s="42">
        <v>29702.059999999994</v>
      </c>
      <c r="DI9" s="42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1" t="s">
        <v>43</v>
      </c>
      <c r="O10" s="41" t="s">
        <v>34</v>
      </c>
      <c r="P10" s="42">
        <v>18</v>
      </c>
      <c r="Q10" s="42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2">
        <v>10786.149999999998</v>
      </c>
      <c r="BI10" s="42">
        <v>59.66</v>
      </c>
      <c r="BJ10" s="42">
        <v>424.36</v>
      </c>
      <c r="BK10" s="42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1" t="s">
        <v>117</v>
      </c>
      <c r="DF10" s="42">
        <v>46.22</v>
      </c>
      <c r="DG10" s="42">
        <v>50.18</v>
      </c>
      <c r="DH10" s="42">
        <v>304.45</v>
      </c>
      <c r="DI10" s="42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1" t="s">
        <v>44</v>
      </c>
      <c r="O11" s="41" t="s">
        <v>34</v>
      </c>
      <c r="P11" s="42">
        <v>40</v>
      </c>
      <c r="Q11" s="42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2">
        <v>6383.1399999999994</v>
      </c>
      <c r="BI11" s="42">
        <v>4786.26</v>
      </c>
      <c r="BJ11" s="42">
        <v>14992.820000000003</v>
      </c>
      <c r="BK11" s="42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1" t="s">
        <v>90</v>
      </c>
      <c r="DF11" s="42">
        <v>7850.4699999999993</v>
      </c>
      <c r="DG11" s="42">
        <v>5886.7000000000016</v>
      </c>
      <c r="DH11" s="42">
        <v>22388.280000000002</v>
      </c>
      <c r="DI11" s="42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1" t="s">
        <v>45</v>
      </c>
      <c r="O12" s="41" t="s">
        <v>34</v>
      </c>
      <c r="P12" s="42">
        <v>20</v>
      </c>
      <c r="Q12" s="42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2">
        <v>8264.74</v>
      </c>
      <c r="BI12" s="42">
        <v>917.29000000000019</v>
      </c>
      <c r="BJ12" s="42">
        <v>5572.09</v>
      </c>
      <c r="BK12" s="42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1" t="s">
        <v>118</v>
      </c>
      <c r="DF12" s="42">
        <v>1585.09</v>
      </c>
      <c r="DG12" s="42">
        <v>1372.33</v>
      </c>
      <c r="DH12" s="42">
        <v>4908.55</v>
      </c>
      <c r="DI12" s="42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1" t="s">
        <v>46</v>
      </c>
      <c r="O13" s="41" t="s">
        <v>34</v>
      </c>
      <c r="P13" s="42">
        <v>8</v>
      </c>
      <c r="Q13" s="42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2">
        <v>3251.88</v>
      </c>
      <c r="BI13" s="42">
        <v>846.93000000000006</v>
      </c>
      <c r="BJ13" s="42">
        <v>2869.04</v>
      </c>
      <c r="BK13" s="42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1" t="s">
        <v>111</v>
      </c>
      <c r="DF13" s="42">
        <v>465.09</v>
      </c>
      <c r="DG13" s="42">
        <v>203.32000000000002</v>
      </c>
      <c r="DH13" s="42">
        <v>188.07</v>
      </c>
      <c r="DI13" s="42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1" t="s">
        <v>47</v>
      </c>
      <c r="O14" s="41" t="s">
        <v>34</v>
      </c>
      <c r="P14" s="42">
        <v>3</v>
      </c>
      <c r="Q14" s="42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2">
        <v>180.51</v>
      </c>
      <c r="BI14" s="42">
        <v>95.940000000000012</v>
      </c>
      <c r="BJ14" s="42">
        <v>1413.14</v>
      </c>
      <c r="BK14" s="42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1" t="s">
        <v>96</v>
      </c>
      <c r="DF14" s="42">
        <v>7685.45</v>
      </c>
      <c r="DG14" s="42">
        <v>5979.6400000000021</v>
      </c>
      <c r="DH14" s="42">
        <v>15927.730000000003</v>
      </c>
      <c r="DI14" s="42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1" t="s">
        <v>48</v>
      </c>
      <c r="O15" s="41" t="s">
        <v>34</v>
      </c>
      <c r="P15" s="42">
        <v>24</v>
      </c>
      <c r="Q15" s="42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2">
        <v>11480.58</v>
      </c>
      <c r="BI15" s="42">
        <v>3202.63</v>
      </c>
      <c r="BJ15" s="42">
        <v>9604.369999999999</v>
      </c>
      <c r="BK15" s="42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1" t="s">
        <v>94</v>
      </c>
      <c r="DF15" s="42">
        <v>4638.97</v>
      </c>
      <c r="DG15" s="42">
        <v>4228.7399999999989</v>
      </c>
      <c r="DH15" s="42">
        <v>12002.640000000001</v>
      </c>
      <c r="DI15" s="42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1" t="s">
        <v>49</v>
      </c>
      <c r="O16" s="41" t="s">
        <v>34</v>
      </c>
      <c r="P16" s="42">
        <v>36</v>
      </c>
      <c r="Q16" s="42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2">
        <v>5817.09</v>
      </c>
      <c r="BI16" s="42">
        <v>1514.26</v>
      </c>
      <c r="BJ16" s="42">
        <v>2642.57</v>
      </c>
      <c r="BK16" s="42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1" t="s">
        <v>95</v>
      </c>
      <c r="DF16" s="42">
        <v>773.53</v>
      </c>
      <c r="DG16" s="42">
        <v>608.24</v>
      </c>
      <c r="DH16" s="42">
        <v>3182.08</v>
      </c>
      <c r="DI16" s="42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1" t="s">
        <v>50</v>
      </c>
      <c r="O17" s="41" t="s">
        <v>34</v>
      </c>
      <c r="P17" s="42">
        <v>21</v>
      </c>
      <c r="Q17" s="42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2">
        <v>34302.410000000003</v>
      </c>
      <c r="BI17" s="42">
        <v>26450.880000000001</v>
      </c>
      <c r="BJ17" s="42">
        <v>5615.89</v>
      </c>
      <c r="BK17" s="42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1" t="s">
        <v>97</v>
      </c>
      <c r="DF17" s="42">
        <v>3114.889999999999</v>
      </c>
      <c r="DG17" s="42">
        <v>2208.85</v>
      </c>
      <c r="DH17" s="42">
        <v>6017.7300000000005</v>
      </c>
      <c r="DI17" s="42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1" t="s">
        <v>51</v>
      </c>
      <c r="O18" s="41" t="s">
        <v>34</v>
      </c>
      <c r="P18" s="42">
        <v>3</v>
      </c>
      <c r="Q18" s="42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2">
        <v>306.49</v>
      </c>
      <c r="BI18" s="42">
        <v>319.05</v>
      </c>
      <c r="BJ18" s="42">
        <v>100.27</v>
      </c>
      <c r="BK18" s="42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1" t="s">
        <v>98</v>
      </c>
      <c r="DF18" s="42">
        <v>1143.3900000000001</v>
      </c>
      <c r="DG18" s="42">
        <v>551.17999999999995</v>
      </c>
      <c r="DH18" s="42">
        <v>2163.4699999999998</v>
      </c>
      <c r="DI18" s="42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1" t="s">
        <v>52</v>
      </c>
      <c r="O19" s="41" t="s">
        <v>34</v>
      </c>
      <c r="P19" s="42">
        <v>58</v>
      </c>
      <c r="Q19" s="42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2">
        <v>12180.3</v>
      </c>
      <c r="BI19" s="42">
        <v>9783.119999999999</v>
      </c>
      <c r="BJ19" s="42">
        <v>21436.66</v>
      </c>
      <c r="BK19" s="42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1" t="s">
        <v>107</v>
      </c>
      <c r="DF19" s="42">
        <v>798.69</v>
      </c>
      <c r="DG19" s="42">
        <v>550.24</v>
      </c>
      <c r="DH19" s="42">
        <v>2277.62</v>
      </c>
      <c r="DI19" s="42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1" t="s">
        <v>53</v>
      </c>
      <c r="O20" s="41" t="s">
        <v>34</v>
      </c>
      <c r="P20" s="42">
        <v>116</v>
      </c>
      <c r="Q20" s="42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2">
        <v>28664.300000000017</v>
      </c>
      <c r="BI20" s="42">
        <v>17920.740000000002</v>
      </c>
      <c r="BJ20" s="42">
        <v>58332.910000000011</v>
      </c>
      <c r="BK20" s="42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1" t="s">
        <v>105</v>
      </c>
      <c r="DF20" s="42">
        <v>1416.4199999999998</v>
      </c>
      <c r="DG20" s="42">
        <v>1077.1099999999999</v>
      </c>
      <c r="DH20" s="42">
        <v>3639.1200000000003</v>
      </c>
      <c r="DI20" s="42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1" t="s">
        <v>54</v>
      </c>
      <c r="O21" s="41" t="s">
        <v>34</v>
      </c>
      <c r="P21" s="42">
        <v>19</v>
      </c>
      <c r="Q21" s="42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2">
        <v>5271.9499999999989</v>
      </c>
      <c r="BI21" s="42">
        <v>1968.55</v>
      </c>
      <c r="BJ21" s="42">
        <v>3738.68</v>
      </c>
      <c r="BK21" s="42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1" t="s">
        <v>119</v>
      </c>
      <c r="DF21" s="42">
        <v>126.58000000000001</v>
      </c>
      <c r="DG21" s="42">
        <v>161.31</v>
      </c>
      <c r="DH21" s="42">
        <v>962.45</v>
      </c>
      <c r="DI21" s="42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1" t="s">
        <v>55</v>
      </c>
      <c r="O22" s="41" t="s">
        <v>34</v>
      </c>
      <c r="P22" s="42">
        <v>86</v>
      </c>
      <c r="Q22" s="42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2">
        <v>15192.090000000006</v>
      </c>
      <c r="BI22" s="42">
        <v>10812.270000000002</v>
      </c>
      <c r="BJ22" s="42">
        <v>28349.309999999998</v>
      </c>
      <c r="BK22" s="42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1" t="s">
        <v>99</v>
      </c>
      <c r="DF22" s="42">
        <v>3754.4300000000003</v>
      </c>
      <c r="DG22" s="42">
        <v>3149.3599999999992</v>
      </c>
      <c r="DH22" s="42">
        <v>10392.719999999996</v>
      </c>
      <c r="DI22" s="42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1" t="s">
        <v>56</v>
      </c>
      <c r="O23" s="41" t="s">
        <v>34</v>
      </c>
      <c r="P23" s="42">
        <v>75</v>
      </c>
      <c r="Q23" s="42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2">
        <v>14456.65</v>
      </c>
      <c r="BI23" s="42">
        <v>12586.489999999998</v>
      </c>
      <c r="BJ23" s="42">
        <v>26268.590000000004</v>
      </c>
      <c r="BK23" s="42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1" t="s">
        <v>91</v>
      </c>
      <c r="DF23" s="42">
        <v>14126.599999999993</v>
      </c>
      <c r="DG23" s="42">
        <v>11676.02</v>
      </c>
      <c r="DH23" s="42">
        <v>39123.94000000001</v>
      </c>
      <c r="DI23" s="42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1" t="s">
        <v>57</v>
      </c>
      <c r="O24" s="41" t="s">
        <v>34</v>
      </c>
      <c r="P24" s="42">
        <v>2</v>
      </c>
      <c r="Q24" s="42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2">
        <v>160.59</v>
      </c>
      <c r="BI24" s="42">
        <v>36.370000000000005</v>
      </c>
      <c r="BJ24" s="42">
        <v>387.24</v>
      </c>
      <c r="BK24" s="42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1" t="s">
        <v>100</v>
      </c>
      <c r="DF24" s="42">
        <v>1299.27</v>
      </c>
      <c r="DG24" s="42">
        <v>1025.8700000000001</v>
      </c>
      <c r="DH24" s="42">
        <v>5545.83</v>
      </c>
      <c r="DI24" s="42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1" t="s">
        <v>58</v>
      </c>
      <c r="O25" s="41" t="s">
        <v>34</v>
      </c>
      <c r="P25" s="42">
        <v>44</v>
      </c>
      <c r="Q25" s="42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2">
        <v>5285.3900000000012</v>
      </c>
      <c r="BI25" s="42">
        <v>4040.8799999999997</v>
      </c>
      <c r="BJ25" s="42">
        <v>15907.32</v>
      </c>
      <c r="BK25" s="42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1" t="s">
        <v>120</v>
      </c>
      <c r="DF25" s="42">
        <v>5521.0199999999995</v>
      </c>
      <c r="DG25" s="42">
        <v>1812.8700000000001</v>
      </c>
      <c r="DH25" s="42">
        <v>2895.75</v>
      </c>
      <c r="DI25" s="42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1" t="s">
        <v>60</v>
      </c>
      <c r="O26" s="41" t="s">
        <v>34</v>
      </c>
      <c r="P26" s="42">
        <v>23</v>
      </c>
      <c r="Q26" s="42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2">
        <v>5784.1900000000005</v>
      </c>
      <c r="BI26" s="42">
        <v>448.75000000000006</v>
      </c>
      <c r="BJ26" s="42">
        <v>2129.83</v>
      </c>
      <c r="BK26" s="42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1" t="s">
        <v>101</v>
      </c>
      <c r="DF26" s="42">
        <v>13674.169999999998</v>
      </c>
      <c r="DG26" s="42">
        <v>15772.749999999987</v>
      </c>
      <c r="DH26" s="42">
        <v>59150.75</v>
      </c>
      <c r="DI26" s="42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1" t="s">
        <v>61</v>
      </c>
      <c r="O27" s="41" t="s">
        <v>34</v>
      </c>
      <c r="P27" s="42">
        <v>6</v>
      </c>
      <c r="Q27" s="42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2">
        <v>1043.24</v>
      </c>
      <c r="BI27" s="42">
        <v>494.91999999999996</v>
      </c>
      <c r="BJ27" s="42">
        <v>1202.6300000000001</v>
      </c>
      <c r="BK27" s="42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1" t="s">
        <v>112</v>
      </c>
      <c r="DF27" s="42">
        <v>11.85</v>
      </c>
      <c r="DG27" s="42">
        <v>30.46</v>
      </c>
      <c r="DH27" s="42">
        <v>572.58000000000004</v>
      </c>
      <c r="DI27" s="42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1" t="s">
        <v>62</v>
      </c>
      <c r="O28" s="41" t="s">
        <v>34</v>
      </c>
      <c r="P28" s="42">
        <v>35</v>
      </c>
      <c r="Q28" s="42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2">
        <v>5481.9100000000008</v>
      </c>
      <c r="BI28" s="42">
        <v>1862.22</v>
      </c>
      <c r="BJ28" s="42">
        <v>10156.710000000001</v>
      </c>
      <c r="BK28" s="42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1" t="s">
        <v>106</v>
      </c>
      <c r="DF28" s="42">
        <v>24784.839999999982</v>
      </c>
      <c r="DG28" s="42">
        <v>22097.41</v>
      </c>
      <c r="DH28" s="42">
        <v>122968.34999999995</v>
      </c>
      <c r="DI28" s="42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1" t="s">
        <v>63</v>
      </c>
      <c r="O29" s="41" t="s">
        <v>34</v>
      </c>
      <c r="P29" s="42">
        <v>3</v>
      </c>
      <c r="Q29" s="42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2">
        <v>451.25</v>
      </c>
      <c r="BI29" s="42">
        <v>70.34</v>
      </c>
      <c r="BJ29" s="42">
        <v>887.13</v>
      </c>
      <c r="BK29" s="42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1" t="s">
        <v>144</v>
      </c>
      <c r="DF29" s="42">
        <v>21.15</v>
      </c>
      <c r="DG29" s="42">
        <v>16.34</v>
      </c>
      <c r="DH29" s="42">
        <v>387.24</v>
      </c>
      <c r="DI29" s="42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1" t="s">
        <v>64</v>
      </c>
      <c r="O30" s="41" t="s">
        <v>34</v>
      </c>
      <c r="P30" s="42">
        <v>20</v>
      </c>
      <c r="Q30" s="42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2">
        <v>4482.67</v>
      </c>
      <c r="BI30" s="42">
        <v>2876.9699999999993</v>
      </c>
      <c r="BJ30" s="42">
        <v>4566.1499999999996</v>
      </c>
      <c r="BK30" s="42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1" t="s">
        <v>110</v>
      </c>
      <c r="DF30" s="42">
        <v>3313.2099999999991</v>
      </c>
      <c r="DG30" s="42">
        <v>3300.9</v>
      </c>
      <c r="DH30" s="42">
        <v>14162.14</v>
      </c>
      <c r="DI30" s="42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1" t="s">
        <v>65</v>
      </c>
      <c r="O31" s="41" t="s">
        <v>34</v>
      </c>
      <c r="P31" s="42">
        <v>5</v>
      </c>
      <c r="Q31" s="42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2">
        <v>933.02</v>
      </c>
      <c r="BI31" s="42">
        <v>92.77</v>
      </c>
      <c r="BJ31" s="42">
        <v>22.74</v>
      </c>
      <c r="BK31" s="42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1" t="s">
        <v>92</v>
      </c>
      <c r="DF31" s="42">
        <v>3073.8500000000013</v>
      </c>
      <c r="DG31" s="42">
        <v>2659.95</v>
      </c>
      <c r="DH31" s="42">
        <v>7513.4299999999994</v>
      </c>
      <c r="DI31" s="42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1" t="s">
        <v>67</v>
      </c>
      <c r="O32" s="41" t="s">
        <v>34</v>
      </c>
      <c r="P32" s="42">
        <v>7</v>
      </c>
      <c r="Q32" s="42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2">
        <v>628.27</v>
      </c>
      <c r="BI32" s="42">
        <v>1279.31</v>
      </c>
      <c r="BJ32" s="42">
        <v>9536.61</v>
      </c>
      <c r="BK32" s="42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1" t="s">
        <v>114</v>
      </c>
      <c r="DF32" s="42">
        <v>321.5</v>
      </c>
      <c r="DG32" s="42">
        <v>292.02999999999997</v>
      </c>
      <c r="DH32" s="42">
        <v>1811.97</v>
      </c>
      <c r="DI32" s="42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1" t="s">
        <v>68</v>
      </c>
      <c r="O33" s="41" t="s">
        <v>34</v>
      </c>
      <c r="P33" s="42">
        <v>25</v>
      </c>
      <c r="Q33" s="42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2">
        <v>1590.7599999999998</v>
      </c>
      <c r="BI33" s="42">
        <v>1164.69</v>
      </c>
      <c r="BJ33" s="42">
        <v>3559.27</v>
      </c>
      <c r="BK33" s="42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1" t="s">
        <v>108</v>
      </c>
      <c r="DF33" s="42">
        <v>3343.1100000000015</v>
      </c>
      <c r="DG33" s="42">
        <v>3032.6699999999996</v>
      </c>
      <c r="DH33" s="42">
        <v>9874.6900000000023</v>
      </c>
      <c r="DI33" s="42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1" t="s">
        <v>69</v>
      </c>
      <c r="O34" s="41" t="s">
        <v>34</v>
      </c>
      <c r="P34" s="42">
        <v>118</v>
      </c>
      <c r="Q34" s="42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2">
        <v>24886.09999999998</v>
      </c>
      <c r="BI34" s="42">
        <v>14047.86</v>
      </c>
      <c r="BJ34" s="42">
        <v>40116.249999999993</v>
      </c>
      <c r="BK34" s="42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1" t="s">
        <v>102</v>
      </c>
      <c r="DF34" s="42">
        <v>2586.0399999999995</v>
      </c>
      <c r="DG34" s="42">
        <v>2719.25</v>
      </c>
      <c r="DH34" s="42">
        <v>12033.329999999998</v>
      </c>
      <c r="DI34" s="42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1" t="s">
        <v>70</v>
      </c>
      <c r="O35" s="41" t="s">
        <v>34</v>
      </c>
      <c r="P35" s="42">
        <v>3</v>
      </c>
      <c r="Q35" s="42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2">
        <v>181.19</v>
      </c>
      <c r="BI35" s="42">
        <v>41.84</v>
      </c>
      <c r="BJ35" s="42">
        <v>93.05</v>
      </c>
      <c r="BK35" s="42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1" t="s">
        <v>180</v>
      </c>
      <c r="DF35" s="42">
        <v>0</v>
      </c>
      <c r="DG35" s="42">
        <v>0</v>
      </c>
      <c r="DH35" s="42">
        <v>0</v>
      </c>
      <c r="DI35" s="42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1" t="s">
        <v>76</v>
      </c>
      <c r="O36" s="41" t="s">
        <v>75</v>
      </c>
      <c r="P36" s="42">
        <v>2</v>
      </c>
      <c r="Q36" s="42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2">
        <v>260</v>
      </c>
      <c r="BI36" s="42">
        <v>131.72999999999999</v>
      </c>
      <c r="BJ36" s="42">
        <v>174.31</v>
      </c>
      <c r="BK36" s="42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1" t="s">
        <v>121</v>
      </c>
      <c r="DF36" s="42">
        <v>100.28</v>
      </c>
      <c r="DG36" s="42">
        <v>0</v>
      </c>
      <c r="DH36" s="42">
        <v>0</v>
      </c>
      <c r="DI36" s="42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1" t="s">
        <v>35</v>
      </c>
      <c r="O37" s="41" t="s">
        <v>75</v>
      </c>
      <c r="P37" s="42">
        <v>2175</v>
      </c>
      <c r="Q37" s="42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2">
        <v>173009.97000000018</v>
      </c>
      <c r="BI37" s="42">
        <v>120016.05000000012</v>
      </c>
      <c r="BJ37" s="42">
        <v>472644.39999999944</v>
      </c>
      <c r="BK37" s="42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1" t="s">
        <v>109</v>
      </c>
      <c r="DF37" s="42">
        <v>909.50999999999988</v>
      </c>
      <c r="DG37" s="42">
        <v>696.19999999999993</v>
      </c>
      <c r="DH37" s="42">
        <v>4127.8499999999995</v>
      </c>
      <c r="DI37" s="42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1" t="s">
        <v>36</v>
      </c>
      <c r="O38" s="41" t="s">
        <v>75</v>
      </c>
      <c r="P38" s="42">
        <v>3905</v>
      </c>
      <c r="Q38" s="42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2">
        <v>264470.8000000001</v>
      </c>
      <c r="BI38" s="42">
        <v>227282.79000000012</v>
      </c>
      <c r="BJ38" s="42">
        <v>612103.08999999939</v>
      </c>
      <c r="BK38" s="42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1" t="s">
        <v>113</v>
      </c>
      <c r="DF38" s="42">
        <v>364.08</v>
      </c>
      <c r="DG38" s="42">
        <v>286.29000000000002</v>
      </c>
      <c r="DH38" s="42">
        <v>833.92000000000007</v>
      </c>
      <c r="DI38" s="42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1" t="s">
        <v>37</v>
      </c>
      <c r="O39" s="41" t="s">
        <v>75</v>
      </c>
      <c r="P39" s="42">
        <v>1321</v>
      </c>
      <c r="Q39" s="42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2">
        <v>121861.70000000019</v>
      </c>
      <c r="BI39" s="42">
        <v>75724.840000000055</v>
      </c>
      <c r="BJ39" s="42">
        <v>295072.0999999998</v>
      </c>
      <c r="BK39" s="42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1" t="s">
        <v>122</v>
      </c>
      <c r="DF39" s="42">
        <v>98.27</v>
      </c>
      <c r="DG39" s="42">
        <v>85.99</v>
      </c>
      <c r="DH39" s="42">
        <v>32.4</v>
      </c>
      <c r="DI39" s="42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1" t="s">
        <v>40</v>
      </c>
      <c r="O40" s="41" t="s">
        <v>75</v>
      </c>
      <c r="P40" s="42">
        <v>2921</v>
      </c>
      <c r="Q40" s="42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2">
        <v>261621.40999999986</v>
      </c>
      <c r="BI40" s="42">
        <v>157946.06000000041</v>
      </c>
      <c r="BJ40" s="42">
        <v>377925.71999999968</v>
      </c>
      <c r="BK40" s="42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1" t="s">
        <v>123</v>
      </c>
      <c r="DF40" s="42">
        <v>0</v>
      </c>
      <c r="DG40" s="42">
        <v>0</v>
      </c>
      <c r="DH40" s="42">
        <v>0</v>
      </c>
      <c r="DI40" s="42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1" t="s">
        <v>41</v>
      </c>
      <c r="O41" s="41" t="s">
        <v>75</v>
      </c>
      <c r="P41" s="42">
        <v>1</v>
      </c>
      <c r="Q41" s="42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2">
        <v>119.07</v>
      </c>
      <c r="BI41" s="42">
        <v>39.25</v>
      </c>
      <c r="BJ41" s="42">
        <v>0</v>
      </c>
      <c r="BK41" s="42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1" t="s">
        <v>103</v>
      </c>
      <c r="DF41" s="42">
        <v>598.66999999999996</v>
      </c>
      <c r="DG41" s="42">
        <v>560.13</v>
      </c>
      <c r="DH41" s="42">
        <v>2336.71</v>
      </c>
      <c r="DI41" s="42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1" t="s">
        <v>42</v>
      </c>
      <c r="O42" s="41" t="s">
        <v>75</v>
      </c>
      <c r="P42" s="42">
        <v>75</v>
      </c>
      <c r="Q42" s="42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2">
        <v>5743.53</v>
      </c>
      <c r="BI42" s="42">
        <v>4468.13</v>
      </c>
      <c r="BJ42" s="42">
        <v>19485.400000000001</v>
      </c>
      <c r="BK42" s="42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1" t="s">
        <v>93</v>
      </c>
      <c r="DF42" s="42">
        <v>17012.839999999993</v>
      </c>
      <c r="DG42" s="42">
        <v>13924.579999999996</v>
      </c>
      <c r="DH42" s="42">
        <v>46583</v>
      </c>
      <c r="DI42" s="42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1" t="s">
        <v>43</v>
      </c>
      <c r="O43" s="41" t="s">
        <v>75</v>
      </c>
      <c r="P43" s="42">
        <v>95</v>
      </c>
      <c r="Q43" s="42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2">
        <v>9016.2199999999957</v>
      </c>
      <c r="BI43" s="42">
        <v>5033.8500000000004</v>
      </c>
      <c r="BJ43" s="42">
        <v>18347.989999999994</v>
      </c>
      <c r="BK43" s="42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1" t="s">
        <v>124</v>
      </c>
      <c r="DF43" s="42">
        <v>0</v>
      </c>
      <c r="DG43" s="42">
        <v>45.47</v>
      </c>
      <c r="DH43" s="42">
        <v>320.64</v>
      </c>
      <c r="DI43" s="42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1" t="s">
        <v>44</v>
      </c>
      <c r="O44" s="41" t="s">
        <v>75</v>
      </c>
      <c r="P44" s="42">
        <v>750</v>
      </c>
      <c r="Q44" s="42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2">
        <v>63246.820000000116</v>
      </c>
      <c r="BI44" s="42">
        <v>42290.000000000015</v>
      </c>
      <c r="BJ44" s="42">
        <v>116444.84000000005</v>
      </c>
      <c r="BK44" s="42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1" t="s">
        <v>45</v>
      </c>
      <c r="O45" s="41" t="s">
        <v>75</v>
      </c>
      <c r="P45" s="42">
        <v>431</v>
      </c>
      <c r="Q45" s="42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2">
        <v>36094.179999999993</v>
      </c>
      <c r="BI45" s="42">
        <v>24363.160000000007</v>
      </c>
      <c r="BJ45" s="42">
        <v>76821.919999999998</v>
      </c>
      <c r="BK45" s="42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1" t="s">
        <v>46</v>
      </c>
      <c r="O46" s="41" t="s">
        <v>75</v>
      </c>
      <c r="P46" s="42">
        <v>56</v>
      </c>
      <c r="Q46" s="42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2">
        <v>4852.1999999999989</v>
      </c>
      <c r="BI46" s="42">
        <v>3341.85</v>
      </c>
      <c r="BJ46" s="42">
        <v>18024.710000000003</v>
      </c>
      <c r="BK46" s="42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1" t="s">
        <v>47</v>
      </c>
      <c r="O47" s="41" t="s">
        <v>75</v>
      </c>
      <c r="P47" s="42">
        <v>176</v>
      </c>
      <c r="Q47" s="42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2">
        <v>17571.260000000002</v>
      </c>
      <c r="BI47" s="42">
        <v>11710.47</v>
      </c>
      <c r="BJ47" s="42">
        <v>44787.42000000002</v>
      </c>
      <c r="BK47" s="42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1" t="s">
        <v>48</v>
      </c>
      <c r="O48" s="41" t="s">
        <v>75</v>
      </c>
      <c r="P48" s="42">
        <v>378</v>
      </c>
      <c r="Q48" s="42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2">
        <v>35199.9</v>
      </c>
      <c r="BI48" s="42">
        <v>25862.859999999997</v>
      </c>
      <c r="BJ48" s="42">
        <v>84227.139999999985</v>
      </c>
      <c r="BK48" s="42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1" t="s">
        <v>49</v>
      </c>
      <c r="O49" s="41" t="s">
        <v>75</v>
      </c>
      <c r="P49" s="42">
        <v>294</v>
      </c>
      <c r="Q49" s="42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2">
        <v>26791.099999999991</v>
      </c>
      <c r="BI49" s="42">
        <v>15535.700000000004</v>
      </c>
      <c r="BJ49" s="42">
        <v>44848.189999999995</v>
      </c>
      <c r="BK49" s="42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1" t="s">
        <v>50</v>
      </c>
      <c r="O50" s="41" t="s">
        <v>75</v>
      </c>
      <c r="P50" s="42">
        <v>143</v>
      </c>
      <c r="Q50" s="42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2">
        <v>16067.880000000001</v>
      </c>
      <c r="BI50" s="42">
        <v>11424.430000000004</v>
      </c>
      <c r="BJ50" s="42">
        <v>35348.89</v>
      </c>
      <c r="BK50" s="42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1" t="s">
        <v>51</v>
      </c>
      <c r="O51" s="41" t="s">
        <v>75</v>
      </c>
      <c r="P51" s="42">
        <v>22</v>
      </c>
      <c r="Q51" s="42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2">
        <v>1968.9699999999998</v>
      </c>
      <c r="BI51" s="42">
        <v>1702.0099999999995</v>
      </c>
      <c r="BJ51" s="42">
        <v>8459.1999999999989</v>
      </c>
      <c r="BK51" s="42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1" t="s">
        <v>52</v>
      </c>
      <c r="O52" s="41" t="s">
        <v>75</v>
      </c>
      <c r="P52" s="42">
        <v>1298</v>
      </c>
      <c r="Q52" s="42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2">
        <v>133865.34999999983</v>
      </c>
      <c r="BI52" s="42">
        <v>77001.17</v>
      </c>
      <c r="BJ52" s="42">
        <v>220868.81000000011</v>
      </c>
      <c r="BK52" s="42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1" t="s">
        <v>53</v>
      </c>
      <c r="O53" s="41" t="s">
        <v>75</v>
      </c>
      <c r="P53" s="42">
        <v>1531</v>
      </c>
      <c r="Q53" s="42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2">
        <v>131978.7200000002</v>
      </c>
      <c r="BI53" s="42">
        <v>83626.530000000028</v>
      </c>
      <c r="BJ53" s="42">
        <v>212845.08000000013</v>
      </c>
      <c r="BK53" s="42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1" t="s">
        <v>54</v>
      </c>
      <c r="O54" s="41" t="s">
        <v>75</v>
      </c>
      <c r="P54" s="42">
        <v>236</v>
      </c>
      <c r="Q54" s="42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2">
        <v>21905.179999999993</v>
      </c>
      <c r="BI54" s="42">
        <v>13400.26</v>
      </c>
      <c r="BJ54" s="42">
        <v>50882.920000000013</v>
      </c>
      <c r="BK54" s="42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1" t="s">
        <v>55</v>
      </c>
      <c r="O55" s="41" t="s">
        <v>75</v>
      </c>
      <c r="P55" s="42">
        <v>743</v>
      </c>
      <c r="Q55" s="42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2">
        <v>50212.82</v>
      </c>
      <c r="BI55" s="42">
        <v>51196.250000000022</v>
      </c>
      <c r="BJ55" s="42">
        <v>165724.99</v>
      </c>
      <c r="BK55" s="42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1" t="s">
        <v>56</v>
      </c>
      <c r="O56" s="41" t="s">
        <v>75</v>
      </c>
      <c r="P56" s="42">
        <v>937</v>
      </c>
      <c r="Q56" s="42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2">
        <v>95958.779999999955</v>
      </c>
      <c r="BI56" s="42">
        <v>68658.09000000004</v>
      </c>
      <c r="BJ56" s="42">
        <v>254205.52999999971</v>
      </c>
      <c r="BK56" s="42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1" t="s">
        <v>57</v>
      </c>
      <c r="O57" s="41" t="s">
        <v>75</v>
      </c>
      <c r="P57" s="42">
        <v>70</v>
      </c>
      <c r="Q57" s="42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2">
        <v>6660.9400000000014</v>
      </c>
      <c r="BI57" s="42">
        <v>6039.68</v>
      </c>
      <c r="BJ57" s="42">
        <v>28627.86</v>
      </c>
      <c r="BK57" s="42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1" t="s">
        <v>58</v>
      </c>
      <c r="O58" s="41" t="s">
        <v>75</v>
      </c>
      <c r="P58" s="42">
        <v>531</v>
      </c>
      <c r="Q58" s="42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2">
        <v>51245.319999999927</v>
      </c>
      <c r="BI58" s="42">
        <v>33558.959999999999</v>
      </c>
      <c r="BJ58" s="42">
        <v>83869.059999999969</v>
      </c>
      <c r="BK58" s="42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1" t="s">
        <v>59</v>
      </c>
      <c r="O59" s="41" t="s">
        <v>75</v>
      </c>
      <c r="P59" s="42">
        <v>1</v>
      </c>
      <c r="Q59" s="42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2">
        <v>86.85</v>
      </c>
      <c r="BI59" s="42">
        <v>185.01</v>
      </c>
      <c r="BJ59" s="42">
        <v>679.43</v>
      </c>
      <c r="BK59" s="42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1" t="s">
        <v>60</v>
      </c>
      <c r="O60" s="41" t="s">
        <v>75</v>
      </c>
      <c r="P60" s="42">
        <v>208</v>
      </c>
      <c r="Q60" s="42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2">
        <v>19575.720000000005</v>
      </c>
      <c r="BI60" s="42">
        <v>13228.749999999998</v>
      </c>
      <c r="BJ60" s="42">
        <v>24537.329999999994</v>
      </c>
      <c r="BK60" s="42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1" t="s">
        <v>61</v>
      </c>
      <c r="O61" s="41" t="s">
        <v>75</v>
      </c>
      <c r="P61" s="42">
        <v>490</v>
      </c>
      <c r="Q61" s="42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2">
        <v>35621.029999999977</v>
      </c>
      <c r="BI61" s="42">
        <v>22046.950000000012</v>
      </c>
      <c r="BJ61" s="42">
        <v>44996.209999999985</v>
      </c>
      <c r="BK61" s="42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1" t="s">
        <v>62</v>
      </c>
      <c r="O62" s="41" t="s">
        <v>75</v>
      </c>
      <c r="P62" s="42">
        <v>336</v>
      </c>
      <c r="Q62" s="42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2">
        <v>23013.860000000015</v>
      </c>
      <c r="BI62" s="42">
        <v>18240.900000000012</v>
      </c>
      <c r="BJ62" s="42">
        <v>56986.040000000008</v>
      </c>
      <c r="BK62" s="42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1" t="s">
        <v>63</v>
      </c>
      <c r="O63" s="41" t="s">
        <v>75</v>
      </c>
      <c r="P63" s="42">
        <v>15</v>
      </c>
      <c r="Q63" s="42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2">
        <v>1325.4</v>
      </c>
      <c r="BI63" s="42">
        <v>680.51</v>
      </c>
      <c r="BJ63" s="42">
        <v>1632.3000000000002</v>
      </c>
      <c r="BK63" s="42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1" t="s">
        <v>64</v>
      </c>
      <c r="O64" s="41" t="s">
        <v>75</v>
      </c>
      <c r="P64" s="42">
        <v>121</v>
      </c>
      <c r="Q64" s="42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2">
        <v>11195.130000000006</v>
      </c>
      <c r="BI64" s="42">
        <v>6619.5199999999986</v>
      </c>
      <c r="BJ64" s="42">
        <v>31279.280000000013</v>
      </c>
      <c r="BK64" s="42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1" t="s">
        <v>65</v>
      </c>
      <c r="O65" s="41" t="s">
        <v>75</v>
      </c>
      <c r="P65" s="42">
        <v>40</v>
      </c>
      <c r="Q65" s="42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2">
        <v>3612.5399999999986</v>
      </c>
      <c r="BI65" s="42">
        <v>1992.2000000000003</v>
      </c>
      <c r="BJ65" s="42">
        <v>5875.2199999999993</v>
      </c>
      <c r="BK65" s="42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1" t="s">
        <v>66</v>
      </c>
      <c r="O66" s="41" t="s">
        <v>75</v>
      </c>
      <c r="P66" s="42">
        <v>6</v>
      </c>
      <c r="Q66" s="42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2">
        <v>725.36999999999989</v>
      </c>
      <c r="BI66" s="42">
        <v>551.17999999999995</v>
      </c>
      <c r="BJ66" s="42">
        <v>1037.53</v>
      </c>
      <c r="BK66" s="42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1" t="s">
        <v>67</v>
      </c>
      <c r="O67" s="41" t="s">
        <v>75</v>
      </c>
      <c r="P67" s="42">
        <v>54</v>
      </c>
      <c r="Q67" s="42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2">
        <v>1888.8899999999999</v>
      </c>
      <c r="BI67" s="42">
        <v>5639.7599999999993</v>
      </c>
      <c r="BJ67" s="42">
        <v>9835.92</v>
      </c>
      <c r="BK67" s="42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1" t="s">
        <v>68</v>
      </c>
      <c r="O68" s="41" t="s">
        <v>75</v>
      </c>
      <c r="P68" s="42">
        <v>102</v>
      </c>
      <c r="Q68" s="42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2">
        <v>8133.4599999999982</v>
      </c>
      <c r="BI68" s="42">
        <v>5384.7199999999984</v>
      </c>
      <c r="BJ68" s="42">
        <v>19272.310000000001</v>
      </c>
      <c r="BK68" s="42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1" t="s">
        <v>69</v>
      </c>
      <c r="O69" s="41" t="s">
        <v>75</v>
      </c>
      <c r="P69" s="42">
        <v>2246</v>
      </c>
      <c r="Q69" s="42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2">
        <v>177511.1300000003</v>
      </c>
      <c r="BI69" s="42">
        <v>105231.83000000003</v>
      </c>
      <c r="BJ69" s="42">
        <v>261297.57999999987</v>
      </c>
      <c r="BK69" s="42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1" t="s">
        <v>70</v>
      </c>
      <c r="O70" s="41" t="s">
        <v>75</v>
      </c>
      <c r="P70" s="42">
        <v>7</v>
      </c>
      <c r="Q70" s="42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2">
        <v>0</v>
      </c>
      <c r="BI70" s="42">
        <v>538.11999999999989</v>
      </c>
      <c r="BJ70" s="42">
        <v>1779.5</v>
      </c>
      <c r="BK70" s="42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BU3:BX3"/>
    <mergeCell ref="BU2:DD2"/>
    <mergeCell ref="X2:BG2"/>
    <mergeCell ref="BH3:BK3"/>
    <mergeCell ref="BL3:BO3"/>
    <mergeCell ref="BP3:BS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5" t="s">
        <v>217</v>
      </c>
      <c r="C3" s="35" t="s">
        <v>150</v>
      </c>
      <c r="D3" s="35" t="s">
        <v>215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5" t="s">
        <v>133</v>
      </c>
      <c r="B5" s="35" t="s">
        <v>200</v>
      </c>
      <c r="C5" t="s">
        <v>216</v>
      </c>
      <c r="D5" t="s">
        <v>213</v>
      </c>
      <c r="E5" t="s">
        <v>212</v>
      </c>
      <c r="F5" t="s">
        <v>216</v>
      </c>
      <c r="G5" t="s">
        <v>213</v>
      </c>
      <c r="H5" t="s">
        <v>212</v>
      </c>
      <c r="I5" t="s">
        <v>216</v>
      </c>
      <c r="J5" t="s">
        <v>213</v>
      </c>
      <c r="K5" t="s">
        <v>212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200</v>
      </c>
      <c r="C1" t="s">
        <v>150</v>
      </c>
      <c r="D1" t="s">
        <v>214</v>
      </c>
      <c r="E1" t="s">
        <v>215</v>
      </c>
      <c r="G1" s="44" t="s">
        <v>206</v>
      </c>
      <c r="H1" s="44" t="s">
        <v>78</v>
      </c>
      <c r="I1" s="44" t="s">
        <v>150</v>
      </c>
      <c r="J1" s="44" t="s">
        <v>207</v>
      </c>
      <c r="K1" s="45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212</v>
      </c>
      <c r="G2" s="11" t="s">
        <v>208</v>
      </c>
      <c r="H2" s="11" t="s">
        <v>104</v>
      </c>
      <c r="I2" s="11" t="s">
        <v>152</v>
      </c>
      <c r="J2" s="12">
        <v>701.3</v>
      </c>
      <c r="K2" s="13" t="s">
        <v>212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212</v>
      </c>
      <c r="G3" s="11" t="s">
        <v>208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212</v>
      </c>
      <c r="G4" s="11" t="s">
        <v>208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212</v>
      </c>
      <c r="G5" s="11" t="s">
        <v>208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212</v>
      </c>
      <c r="G6" s="11" t="s">
        <v>208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212</v>
      </c>
      <c r="G7" s="11" t="s">
        <v>208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212</v>
      </c>
      <c r="G8" s="11" t="s">
        <v>208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212</v>
      </c>
      <c r="G9" s="11" t="s">
        <v>208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212</v>
      </c>
      <c r="G10" s="11" t="s">
        <v>208</v>
      </c>
      <c r="H10" s="11" t="s">
        <v>209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212</v>
      </c>
      <c r="G11" s="11" t="s">
        <v>208</v>
      </c>
      <c r="H11" s="11" t="s">
        <v>209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212</v>
      </c>
      <c r="G12" s="11" t="s">
        <v>208</v>
      </c>
      <c r="H12" s="11" t="s">
        <v>209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212</v>
      </c>
      <c r="G13" s="11" t="s">
        <v>208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212</v>
      </c>
      <c r="G14" s="11" t="s">
        <v>208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212</v>
      </c>
      <c r="G15" s="11" t="s">
        <v>208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212</v>
      </c>
      <c r="G16" s="11" t="s">
        <v>208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212</v>
      </c>
      <c r="G17" s="11" t="s">
        <v>208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212</v>
      </c>
      <c r="G18" s="11" t="s">
        <v>208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212</v>
      </c>
      <c r="G19" s="11" t="s">
        <v>208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212</v>
      </c>
      <c r="G20" s="11" t="s">
        <v>208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212</v>
      </c>
      <c r="G21" s="11" t="s">
        <v>208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212</v>
      </c>
      <c r="G22" s="11" t="s">
        <v>208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212</v>
      </c>
      <c r="G23" s="11" t="s">
        <v>208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212</v>
      </c>
      <c r="G24" s="11" t="s">
        <v>208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212</v>
      </c>
      <c r="G25" s="11" t="s">
        <v>208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212</v>
      </c>
      <c r="G26" s="11" t="s">
        <v>208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212</v>
      </c>
      <c r="G27" s="11" t="s">
        <v>208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212</v>
      </c>
      <c r="G28" s="11" t="s">
        <v>208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212</v>
      </c>
      <c r="G29" s="11" t="s">
        <v>208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212</v>
      </c>
      <c r="G30" s="11" t="s">
        <v>208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212</v>
      </c>
      <c r="G31" s="11" t="s">
        <v>208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212</v>
      </c>
      <c r="G32" s="11" t="s">
        <v>208</v>
      </c>
      <c r="H32" s="11" t="s">
        <v>210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212</v>
      </c>
      <c r="G33" s="11" t="s">
        <v>208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212</v>
      </c>
      <c r="G34" s="11" t="s">
        <v>208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212</v>
      </c>
      <c r="G35" s="11" t="s">
        <v>208</v>
      </c>
      <c r="H35" s="11" t="s">
        <v>211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212</v>
      </c>
      <c r="G36" s="11" t="s">
        <v>208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212</v>
      </c>
      <c r="G37" s="11" t="s">
        <v>208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212</v>
      </c>
      <c r="G38" s="11" t="s">
        <v>208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212</v>
      </c>
      <c r="G39" s="11" t="s">
        <v>208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212</v>
      </c>
      <c r="G40" s="11" t="s">
        <v>208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212</v>
      </c>
      <c r="G41" s="11" t="s">
        <v>208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212</v>
      </c>
      <c r="G42" s="11" t="s">
        <v>208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212</v>
      </c>
      <c r="G43" s="11" t="s">
        <v>208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212</v>
      </c>
      <c r="G44" s="11" t="s">
        <v>208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212</v>
      </c>
      <c r="G45" s="11" t="s">
        <v>208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212</v>
      </c>
      <c r="G46" s="11" t="s">
        <v>208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212</v>
      </c>
      <c r="G47" s="11" t="s">
        <v>208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212</v>
      </c>
      <c r="G48" s="11" t="s">
        <v>208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212</v>
      </c>
      <c r="G49" s="11" t="s">
        <v>208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212</v>
      </c>
      <c r="G50" s="11" t="s">
        <v>208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212</v>
      </c>
      <c r="G51" s="11" t="s">
        <v>208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212</v>
      </c>
      <c r="G52" s="11" t="s">
        <v>208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212</v>
      </c>
      <c r="G53" s="11" t="s">
        <v>208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212</v>
      </c>
      <c r="G54" s="11" t="s">
        <v>208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212</v>
      </c>
      <c r="G55" s="11" t="s">
        <v>208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212</v>
      </c>
      <c r="G56" s="11" t="s">
        <v>208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212</v>
      </c>
      <c r="G57" s="11" t="s">
        <v>208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212</v>
      </c>
      <c r="G58" s="11" t="s">
        <v>208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212</v>
      </c>
      <c r="G59" s="11" t="s">
        <v>208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212</v>
      </c>
      <c r="G60" s="11" t="s">
        <v>208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212</v>
      </c>
      <c r="G61" s="11" t="s">
        <v>208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212</v>
      </c>
      <c r="G62" s="11" t="s">
        <v>208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212</v>
      </c>
      <c r="G63" s="11" t="s">
        <v>208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212</v>
      </c>
      <c r="G64" s="11" t="s">
        <v>208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212</v>
      </c>
      <c r="G65" s="11" t="s">
        <v>208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212</v>
      </c>
      <c r="G66" s="11" t="s">
        <v>208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212</v>
      </c>
      <c r="G67" s="11" t="s">
        <v>208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212</v>
      </c>
      <c r="G68" s="11" t="s">
        <v>208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212</v>
      </c>
      <c r="G69" s="11" t="s">
        <v>208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212</v>
      </c>
      <c r="G70" s="11" t="s">
        <v>208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212</v>
      </c>
      <c r="G71" s="11" t="s">
        <v>208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212</v>
      </c>
      <c r="G72" s="11" t="s">
        <v>208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212</v>
      </c>
      <c r="G73" s="11" t="s">
        <v>208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212</v>
      </c>
      <c r="G74" s="11" t="s">
        <v>208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216</v>
      </c>
      <c r="G75" s="11" t="s">
        <v>208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216</v>
      </c>
      <c r="G76" s="11" t="s">
        <v>208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216</v>
      </c>
      <c r="G77" s="11" t="s">
        <v>208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216</v>
      </c>
      <c r="G78" s="11" t="s">
        <v>208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216</v>
      </c>
      <c r="G79" s="11" t="s">
        <v>208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216</v>
      </c>
      <c r="G80" s="11" t="s">
        <v>208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216</v>
      </c>
      <c r="G81" s="11" t="s">
        <v>208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216</v>
      </c>
      <c r="G82" s="11" t="s">
        <v>208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216</v>
      </c>
      <c r="G83" s="11" t="s">
        <v>208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216</v>
      </c>
      <c r="G84" s="11" t="s">
        <v>208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216</v>
      </c>
      <c r="G85" s="11" t="s">
        <v>208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216</v>
      </c>
      <c r="G86" s="11" t="s">
        <v>208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216</v>
      </c>
      <c r="G87" s="11" t="s">
        <v>208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216</v>
      </c>
      <c r="G88" s="11" t="s">
        <v>208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216</v>
      </c>
      <c r="G89" s="11" t="s">
        <v>208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216</v>
      </c>
      <c r="G90" s="11" t="s">
        <v>208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216</v>
      </c>
      <c r="G91" s="11" t="s">
        <v>208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216</v>
      </c>
      <c r="G92" s="11" t="s">
        <v>208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216</v>
      </c>
      <c r="G93" s="11" t="s">
        <v>208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216</v>
      </c>
      <c r="G94" s="11" t="s">
        <v>208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216</v>
      </c>
      <c r="G95" s="11" t="s">
        <v>208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216</v>
      </c>
      <c r="G96" s="11" t="s">
        <v>208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216</v>
      </c>
      <c r="G97" s="11" t="s">
        <v>208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216</v>
      </c>
      <c r="G98" s="11" t="s">
        <v>208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216</v>
      </c>
      <c r="G99" s="11" t="s">
        <v>208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216</v>
      </c>
      <c r="G100" s="11" t="s">
        <v>208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216</v>
      </c>
      <c r="G101" s="11" t="s">
        <v>208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216</v>
      </c>
      <c r="G102" s="11" t="s">
        <v>208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216</v>
      </c>
      <c r="G103" s="11" t="s">
        <v>208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216</v>
      </c>
      <c r="G104" s="11" t="s">
        <v>208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216</v>
      </c>
      <c r="G105" s="11" t="s">
        <v>208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216</v>
      </c>
      <c r="G106" s="11" t="s">
        <v>208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216</v>
      </c>
      <c r="G107" s="11" t="s">
        <v>208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216</v>
      </c>
      <c r="G108" s="11" t="s">
        <v>208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216</v>
      </c>
      <c r="G109" s="11" t="s">
        <v>208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216</v>
      </c>
      <c r="G110" s="11" t="s">
        <v>208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216</v>
      </c>
      <c r="G111" s="11" t="s">
        <v>208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216</v>
      </c>
      <c r="G112" s="11" t="s">
        <v>208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216</v>
      </c>
      <c r="G113" s="11" t="s">
        <v>208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216</v>
      </c>
      <c r="G114" s="11" t="s">
        <v>208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216</v>
      </c>
      <c r="G115" s="11" t="s">
        <v>208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216</v>
      </c>
      <c r="G116" s="11" t="s">
        <v>208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216</v>
      </c>
      <c r="G117" s="11" t="s">
        <v>208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216</v>
      </c>
      <c r="G118" s="11" t="s">
        <v>208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216</v>
      </c>
      <c r="G119" s="11" t="s">
        <v>208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216</v>
      </c>
      <c r="G120" s="11" t="s">
        <v>208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216</v>
      </c>
      <c r="G121" s="11" t="s">
        <v>208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216</v>
      </c>
      <c r="G122" s="11" t="s">
        <v>208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216</v>
      </c>
      <c r="G123" s="11" t="s">
        <v>208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216</v>
      </c>
      <c r="G124" s="11" t="s">
        <v>208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216</v>
      </c>
      <c r="G125" s="11" t="s">
        <v>208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216</v>
      </c>
      <c r="G126" s="11" t="s">
        <v>208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216</v>
      </c>
      <c r="G127" s="11" t="s">
        <v>208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216</v>
      </c>
      <c r="G128" s="11" t="s">
        <v>208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216</v>
      </c>
      <c r="G129" s="11" t="s">
        <v>208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216</v>
      </c>
      <c r="G130" s="11" t="s">
        <v>208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216</v>
      </c>
      <c r="G131" s="11" t="s">
        <v>208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216</v>
      </c>
      <c r="G132" s="11" t="s">
        <v>208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216</v>
      </c>
      <c r="G133" s="11" t="s">
        <v>208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216</v>
      </c>
      <c r="G134" s="11" t="s">
        <v>208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216</v>
      </c>
      <c r="G135" s="11" t="s">
        <v>208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216</v>
      </c>
      <c r="G136" s="11" t="s">
        <v>208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216</v>
      </c>
      <c r="G137" s="11" t="s">
        <v>208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216</v>
      </c>
      <c r="G138" s="11" t="s">
        <v>208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216</v>
      </c>
      <c r="G139" s="11" t="s">
        <v>208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216</v>
      </c>
      <c r="G140" s="11" t="s">
        <v>208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216</v>
      </c>
      <c r="G141" s="11" t="s">
        <v>208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216</v>
      </c>
      <c r="G142" s="11" t="s">
        <v>208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216</v>
      </c>
      <c r="G143" s="11" t="s">
        <v>208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216</v>
      </c>
      <c r="G144" s="11" t="s">
        <v>208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216</v>
      </c>
      <c r="G145" s="11" t="s">
        <v>208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216</v>
      </c>
      <c r="G146" s="11" t="s">
        <v>208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216</v>
      </c>
      <c r="G147" s="11" t="s">
        <v>208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6" t="s">
        <v>213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6" t="s">
        <v>213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6" t="s">
        <v>213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6" t="s">
        <v>213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6" t="s">
        <v>213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6" t="s">
        <v>213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6" t="s">
        <v>213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209</v>
      </c>
      <c r="H155" s="11" t="s">
        <v>152</v>
      </c>
      <c r="I155" s="12">
        <v>11.76</v>
      </c>
      <c r="J155" s="46" t="s">
        <v>213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209</v>
      </c>
      <c r="H156" s="11" t="s">
        <v>153</v>
      </c>
      <c r="I156" s="12">
        <v>62.04</v>
      </c>
      <c r="J156" s="46" t="s">
        <v>213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209</v>
      </c>
      <c r="H157" s="11" t="s">
        <v>154</v>
      </c>
      <c r="I157" s="12">
        <v>42.519999999999996</v>
      </c>
      <c r="J157" s="46" t="s">
        <v>213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6" t="s">
        <v>213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6" t="s">
        <v>213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6" t="s">
        <v>213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6" t="s">
        <v>213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6" t="s">
        <v>213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6" t="s">
        <v>213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6" t="s">
        <v>213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6" t="s">
        <v>213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6" t="s">
        <v>213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6" t="s">
        <v>213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6" t="s">
        <v>213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6" t="s">
        <v>213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6" t="s">
        <v>213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6" t="s">
        <v>213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6" t="s">
        <v>213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211</v>
      </c>
      <c r="H173" s="11" t="s">
        <v>154</v>
      </c>
      <c r="I173" s="12">
        <v>11.64</v>
      </c>
      <c r="J173" s="46" t="s">
        <v>213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6" t="s">
        <v>213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6" t="s">
        <v>213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6" t="s">
        <v>213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6" t="s">
        <v>213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6" t="s">
        <v>213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6" t="s">
        <v>213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6" t="s">
        <v>213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6" t="s">
        <v>213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6" t="s">
        <v>213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6" t="s">
        <v>213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6" t="s">
        <v>213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6" t="s">
        <v>213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6" t="s">
        <v>213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6" t="s">
        <v>213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6" t="s">
        <v>213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6" t="s">
        <v>213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6" t="s">
        <v>213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6" t="s">
        <v>213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6" t="s">
        <v>213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6" t="s">
        <v>213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6" t="s">
        <v>213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6" t="s">
        <v>213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6" t="s">
        <v>213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6" t="s">
        <v>213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6" t="s">
        <v>213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6" t="s">
        <v>213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6" t="s">
        <v>213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6" t="s">
        <v>213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5" t="s">
        <v>84</v>
      </c>
      <c r="D3" s="35" t="s">
        <v>191</v>
      </c>
    </row>
    <row r="4" spans="1:17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202010</v>
      </c>
      <c r="H4" s="43">
        <v>202011</v>
      </c>
      <c r="I4" s="43">
        <v>202011</v>
      </c>
      <c r="J4" s="43">
        <v>202011</v>
      </c>
      <c r="K4" s="43">
        <v>202011</v>
      </c>
      <c r="L4" s="43">
        <v>202011</v>
      </c>
      <c r="M4" s="43">
        <v>202012</v>
      </c>
      <c r="N4" s="43">
        <v>202012</v>
      </c>
      <c r="O4" s="43">
        <v>202012</v>
      </c>
      <c r="P4" s="43">
        <v>202012</v>
      </c>
      <c r="Q4" s="43">
        <v>202012</v>
      </c>
    </row>
    <row r="5" spans="1:17" x14ac:dyDescent="0.2">
      <c r="A5" s="35" t="s">
        <v>184</v>
      </c>
      <c r="B5" s="35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5" t="s">
        <v>84</v>
      </c>
      <c r="D3" s="35" t="s">
        <v>191</v>
      </c>
    </row>
    <row r="4" spans="1:14" x14ac:dyDescent="0.2">
      <c r="C4" s="43">
        <v>202010</v>
      </c>
      <c r="D4" s="43">
        <v>202010</v>
      </c>
      <c r="E4" s="43">
        <v>202010</v>
      </c>
      <c r="F4" s="43">
        <v>202010</v>
      </c>
      <c r="G4" s="43">
        <v>202011</v>
      </c>
      <c r="H4" s="43">
        <v>202011</v>
      </c>
      <c r="I4" s="43">
        <v>202011</v>
      </c>
      <c r="J4" s="43">
        <v>202011</v>
      </c>
      <c r="K4" s="43">
        <v>202012</v>
      </c>
      <c r="L4" s="43">
        <v>202012</v>
      </c>
      <c r="M4" s="43">
        <v>202012</v>
      </c>
      <c r="N4" s="43">
        <v>202012</v>
      </c>
    </row>
    <row r="5" spans="1:14" x14ac:dyDescent="0.2">
      <c r="A5" s="35" t="s">
        <v>133</v>
      </c>
      <c r="B5" s="3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201</v>
      </c>
      <c r="H5" t="s">
        <v>202</v>
      </c>
      <c r="I5" t="s">
        <v>203</v>
      </c>
      <c r="J5" t="s">
        <v>204</v>
      </c>
      <c r="K5" t="s">
        <v>201</v>
      </c>
      <c r="L5" t="s">
        <v>202</v>
      </c>
      <c r="M5" t="s">
        <v>203</v>
      </c>
      <c r="N5" t="s">
        <v>204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9" t="s">
        <v>84</v>
      </c>
      <c r="M1" s="39" t="s">
        <v>78</v>
      </c>
      <c r="N1" s="39" t="s">
        <v>200</v>
      </c>
      <c r="O1" s="39" t="s">
        <v>133</v>
      </c>
      <c r="P1" s="39" t="s">
        <v>128</v>
      </c>
      <c r="Q1" s="39" t="s">
        <v>129</v>
      </c>
      <c r="R1" s="39" t="s">
        <v>130</v>
      </c>
      <c r="S1" s="39" t="s">
        <v>131</v>
      </c>
    </row>
    <row r="2" spans="2:19" ht="32" x14ac:dyDescent="0.2">
      <c r="B2" s="39" t="s">
        <v>84</v>
      </c>
      <c r="C2" s="39" t="s">
        <v>0</v>
      </c>
      <c r="D2" s="39" t="s">
        <v>184</v>
      </c>
      <c r="E2" s="39" t="s">
        <v>185</v>
      </c>
      <c r="F2" s="39" t="s">
        <v>186</v>
      </c>
      <c r="G2" s="39" t="s">
        <v>187</v>
      </c>
      <c r="H2" s="39" t="s">
        <v>188</v>
      </c>
      <c r="I2" s="39" t="s">
        <v>189</v>
      </c>
      <c r="L2" s="40">
        <v>202010</v>
      </c>
      <c r="M2" s="41" t="s">
        <v>104</v>
      </c>
      <c r="N2" s="41" t="str">
        <f>LEFT(M2,5)</f>
        <v>98901</v>
      </c>
      <c r="O2" s="41" t="str">
        <f>RIGHT(M2,3)</f>
        <v>COM</v>
      </c>
      <c r="P2" s="42">
        <v>17.559999999999999</v>
      </c>
      <c r="Q2" s="42">
        <v>33.340000000000003</v>
      </c>
      <c r="R2" s="42">
        <v>236.83</v>
      </c>
      <c r="S2" s="42">
        <v>287.73</v>
      </c>
    </row>
    <row r="3" spans="2:19" ht="16" x14ac:dyDescent="0.2">
      <c r="B3" s="40">
        <v>202010</v>
      </c>
      <c r="C3" s="41" t="s">
        <v>35</v>
      </c>
      <c r="D3" s="41" t="s">
        <v>34</v>
      </c>
      <c r="E3" s="42">
        <v>171</v>
      </c>
      <c r="F3" s="42">
        <v>46328.75</v>
      </c>
      <c r="G3" s="42">
        <v>19103.26999999999</v>
      </c>
      <c r="H3" s="42">
        <v>63397.820000000007</v>
      </c>
      <c r="I3" s="42">
        <v>128829.84000000003</v>
      </c>
      <c r="L3" s="40">
        <v>202010</v>
      </c>
      <c r="M3" s="41" t="s">
        <v>87</v>
      </c>
      <c r="N3" s="41" t="str">
        <f t="shared" ref="N3:N66" si="0">LEFT(M3,5)</f>
        <v>98901</v>
      </c>
      <c r="O3" s="41" t="str">
        <f t="shared" ref="O3:O66" si="1">RIGHT(M3,3)</f>
        <v>RES</v>
      </c>
      <c r="P3" s="42">
        <v>17724.21</v>
      </c>
      <c r="Q3" s="42">
        <v>14934.98</v>
      </c>
      <c r="R3" s="42">
        <v>74742.549999999988</v>
      </c>
      <c r="S3" s="42">
        <v>107401.73999999996</v>
      </c>
    </row>
    <row r="4" spans="2:19" ht="32" x14ac:dyDescent="0.2">
      <c r="B4" s="40">
        <v>202010</v>
      </c>
      <c r="C4" s="41" t="s">
        <v>36</v>
      </c>
      <c r="D4" s="41" t="s">
        <v>34</v>
      </c>
      <c r="E4" s="42">
        <v>195</v>
      </c>
      <c r="F4" s="42">
        <v>48036.000000000015</v>
      </c>
      <c r="G4" s="42">
        <v>26816.670000000006</v>
      </c>
      <c r="H4" s="42">
        <v>74774.799999999988</v>
      </c>
      <c r="I4" s="42">
        <v>149627.47000000006</v>
      </c>
      <c r="L4" s="40">
        <v>202010</v>
      </c>
      <c r="M4" s="41" t="s">
        <v>116</v>
      </c>
      <c r="N4" s="41" t="str">
        <f t="shared" si="0"/>
        <v>98902</v>
      </c>
      <c r="O4" s="41" t="str">
        <f t="shared" si="1"/>
        <v>COM</v>
      </c>
      <c r="P4" s="42">
        <v>79.41</v>
      </c>
      <c r="Q4" s="42">
        <v>80.19</v>
      </c>
      <c r="R4" s="42">
        <v>548.70000000000005</v>
      </c>
      <c r="S4" s="42">
        <v>708.3</v>
      </c>
    </row>
    <row r="5" spans="2:19" ht="16" x14ac:dyDescent="0.2">
      <c r="B5" s="40">
        <v>202010</v>
      </c>
      <c r="C5" s="41" t="s">
        <v>37</v>
      </c>
      <c r="D5" s="41" t="s">
        <v>34</v>
      </c>
      <c r="E5" s="42">
        <v>107</v>
      </c>
      <c r="F5" s="42">
        <v>16698.88</v>
      </c>
      <c r="G5" s="42">
        <v>13362.459999999997</v>
      </c>
      <c r="H5" s="42">
        <v>41505.12999999999</v>
      </c>
      <c r="I5" s="42">
        <v>71566.469999999958</v>
      </c>
      <c r="L5" s="40">
        <v>202010</v>
      </c>
      <c r="M5" s="41" t="s">
        <v>88</v>
      </c>
      <c r="N5" s="41" t="str">
        <f t="shared" si="0"/>
        <v>98902</v>
      </c>
      <c r="O5" s="41" t="str">
        <f t="shared" si="1"/>
        <v>RES</v>
      </c>
      <c r="P5" s="42">
        <v>24174.940000000024</v>
      </c>
      <c r="Q5" s="42">
        <v>23422.789999999994</v>
      </c>
      <c r="R5" s="42">
        <v>84889.230000000025</v>
      </c>
      <c r="S5" s="42">
        <v>132486.95999999996</v>
      </c>
    </row>
    <row r="6" spans="2:19" ht="16" x14ac:dyDescent="0.2">
      <c r="B6" s="40">
        <v>202010</v>
      </c>
      <c r="C6" s="41" t="s">
        <v>40</v>
      </c>
      <c r="D6" s="41" t="s">
        <v>34</v>
      </c>
      <c r="E6" s="42">
        <v>112</v>
      </c>
      <c r="F6" s="42">
        <v>22292.28999999999</v>
      </c>
      <c r="G6" s="42">
        <v>8298.2999999999975</v>
      </c>
      <c r="H6" s="42">
        <v>16546.32</v>
      </c>
      <c r="I6" s="42">
        <v>47136.909999999996</v>
      </c>
      <c r="L6" s="40">
        <v>202010</v>
      </c>
      <c r="M6" s="41" t="s">
        <v>89</v>
      </c>
      <c r="N6" s="41" t="str">
        <f t="shared" si="0"/>
        <v>98903</v>
      </c>
      <c r="O6" s="41" t="str">
        <f t="shared" si="1"/>
        <v>RES</v>
      </c>
      <c r="P6" s="42">
        <v>9541.5499999999975</v>
      </c>
      <c r="Q6" s="42">
        <v>7497.2</v>
      </c>
      <c r="R6" s="42">
        <v>29702.059999999994</v>
      </c>
      <c r="S6" s="42">
        <v>46740.809999999976</v>
      </c>
    </row>
    <row r="7" spans="2:19" ht="32" x14ac:dyDescent="0.2">
      <c r="B7" s="40">
        <v>202010</v>
      </c>
      <c r="C7" s="41" t="s">
        <v>42</v>
      </c>
      <c r="D7" s="41" t="s">
        <v>34</v>
      </c>
      <c r="E7" s="42">
        <v>2</v>
      </c>
      <c r="F7" s="42">
        <v>94</v>
      </c>
      <c r="G7" s="42">
        <v>115.57</v>
      </c>
      <c r="H7" s="42">
        <v>229.07999999999998</v>
      </c>
      <c r="I7" s="42">
        <v>438.65</v>
      </c>
      <c r="L7" s="40">
        <v>202010</v>
      </c>
      <c r="M7" s="41" t="s">
        <v>117</v>
      </c>
      <c r="N7" s="41" t="str">
        <f t="shared" si="0"/>
        <v>98908</v>
      </c>
      <c r="O7" s="41" t="str">
        <f t="shared" si="1"/>
        <v>COM</v>
      </c>
      <c r="P7" s="42">
        <v>46.22</v>
      </c>
      <c r="Q7" s="42">
        <v>50.18</v>
      </c>
      <c r="R7" s="42">
        <v>304.45</v>
      </c>
      <c r="S7" s="42">
        <v>400.84999999999997</v>
      </c>
    </row>
    <row r="8" spans="2:19" ht="16" x14ac:dyDescent="0.2">
      <c r="B8" s="40">
        <v>202010</v>
      </c>
      <c r="C8" s="41" t="s">
        <v>43</v>
      </c>
      <c r="D8" s="41" t="s">
        <v>34</v>
      </c>
      <c r="E8" s="42">
        <v>18</v>
      </c>
      <c r="F8" s="42">
        <v>10786.149999999998</v>
      </c>
      <c r="G8" s="42">
        <v>59.66</v>
      </c>
      <c r="H8" s="42">
        <v>424.36</v>
      </c>
      <c r="I8" s="42">
        <v>11270.17</v>
      </c>
      <c r="L8" s="40">
        <v>202010</v>
      </c>
      <c r="M8" s="41" t="s">
        <v>90</v>
      </c>
      <c r="N8" s="41" t="str">
        <f t="shared" si="0"/>
        <v>98908</v>
      </c>
      <c r="O8" s="41" t="str">
        <f t="shared" si="1"/>
        <v>RES</v>
      </c>
      <c r="P8" s="42">
        <v>7850.4699999999993</v>
      </c>
      <c r="Q8" s="42">
        <v>5886.7000000000016</v>
      </c>
      <c r="R8" s="42">
        <v>22388.280000000002</v>
      </c>
      <c r="S8" s="42">
        <v>36125.449999999997</v>
      </c>
    </row>
    <row r="9" spans="2:19" ht="16" x14ac:dyDescent="0.2">
      <c r="B9" s="40">
        <v>202010</v>
      </c>
      <c r="C9" s="41" t="s">
        <v>44</v>
      </c>
      <c r="D9" s="41" t="s">
        <v>34</v>
      </c>
      <c r="E9" s="42">
        <v>40</v>
      </c>
      <c r="F9" s="42">
        <v>6383.1399999999994</v>
      </c>
      <c r="G9" s="42">
        <v>4786.26</v>
      </c>
      <c r="H9" s="42">
        <v>14992.820000000003</v>
      </c>
      <c r="I9" s="42">
        <v>26162.219999999998</v>
      </c>
      <c r="L9" s="40">
        <v>202010</v>
      </c>
      <c r="M9" s="41" t="s">
        <v>118</v>
      </c>
      <c r="N9" s="41" t="str">
        <f t="shared" si="0"/>
        <v>98921</v>
      </c>
      <c r="O9" s="41" t="str">
        <f t="shared" si="1"/>
        <v>RES</v>
      </c>
      <c r="P9" s="42">
        <v>1585.09</v>
      </c>
      <c r="Q9" s="42">
        <v>1372.33</v>
      </c>
      <c r="R9" s="42">
        <v>4908.55</v>
      </c>
      <c r="S9" s="42">
        <v>7865.97</v>
      </c>
    </row>
    <row r="10" spans="2:19" ht="16" x14ac:dyDescent="0.2">
      <c r="B10" s="40">
        <v>202010</v>
      </c>
      <c r="C10" s="41" t="s">
        <v>45</v>
      </c>
      <c r="D10" s="41" t="s">
        <v>34</v>
      </c>
      <c r="E10" s="42">
        <v>20</v>
      </c>
      <c r="F10" s="42">
        <v>8264.74</v>
      </c>
      <c r="G10" s="42">
        <v>917.29000000000019</v>
      </c>
      <c r="H10" s="42">
        <v>5572.09</v>
      </c>
      <c r="I10" s="42">
        <v>14754.12</v>
      </c>
      <c r="L10" s="40">
        <v>202010</v>
      </c>
      <c r="M10" s="41" t="s">
        <v>111</v>
      </c>
      <c r="N10" s="41" t="str">
        <f t="shared" si="0"/>
        <v>98923</v>
      </c>
      <c r="O10" s="41" t="str">
        <f t="shared" si="1"/>
        <v>RES</v>
      </c>
      <c r="P10" s="42">
        <v>465.09</v>
      </c>
      <c r="Q10" s="42">
        <v>203.32000000000002</v>
      </c>
      <c r="R10" s="42">
        <v>188.07</v>
      </c>
      <c r="S10" s="42">
        <v>856.48</v>
      </c>
    </row>
    <row r="11" spans="2:19" ht="16" x14ac:dyDescent="0.2">
      <c r="B11" s="40">
        <v>202010</v>
      </c>
      <c r="C11" s="41" t="s">
        <v>46</v>
      </c>
      <c r="D11" s="41" t="s">
        <v>34</v>
      </c>
      <c r="E11" s="42">
        <v>8</v>
      </c>
      <c r="F11" s="42">
        <v>3251.88</v>
      </c>
      <c r="G11" s="42">
        <v>846.93000000000006</v>
      </c>
      <c r="H11" s="42">
        <v>2869.04</v>
      </c>
      <c r="I11" s="42">
        <v>6967.8499999999995</v>
      </c>
      <c r="L11" s="40">
        <v>202010</v>
      </c>
      <c r="M11" s="41" t="s">
        <v>96</v>
      </c>
      <c r="N11" s="41" t="str">
        <f t="shared" si="0"/>
        <v>98930</v>
      </c>
      <c r="O11" s="41" t="str">
        <f t="shared" si="1"/>
        <v>RES</v>
      </c>
      <c r="P11" s="42">
        <v>7685.45</v>
      </c>
      <c r="Q11" s="42">
        <v>5979.6400000000021</v>
      </c>
      <c r="R11" s="42">
        <v>15927.730000000003</v>
      </c>
      <c r="S11" s="42">
        <v>29592.819999999989</v>
      </c>
    </row>
    <row r="12" spans="2:19" ht="16" x14ac:dyDescent="0.2">
      <c r="B12" s="40">
        <v>202010</v>
      </c>
      <c r="C12" s="41" t="s">
        <v>47</v>
      </c>
      <c r="D12" s="41" t="s">
        <v>34</v>
      </c>
      <c r="E12" s="42">
        <v>3</v>
      </c>
      <c r="F12" s="42">
        <v>180.51</v>
      </c>
      <c r="G12" s="42">
        <v>95.940000000000012</v>
      </c>
      <c r="H12" s="42">
        <v>1413.14</v>
      </c>
      <c r="I12" s="42">
        <v>1689.59</v>
      </c>
      <c r="L12" s="40">
        <v>202010</v>
      </c>
      <c r="M12" s="41" t="s">
        <v>94</v>
      </c>
      <c r="N12" s="41" t="str">
        <f t="shared" si="0"/>
        <v>98932</v>
      </c>
      <c r="O12" s="41" t="str">
        <f t="shared" si="1"/>
        <v>RES</v>
      </c>
      <c r="P12" s="42">
        <v>4638.97</v>
      </c>
      <c r="Q12" s="42">
        <v>4228.7399999999989</v>
      </c>
      <c r="R12" s="42">
        <v>12002.640000000001</v>
      </c>
      <c r="S12" s="42">
        <v>20870.350000000002</v>
      </c>
    </row>
    <row r="13" spans="2:19" ht="16" x14ac:dyDescent="0.2">
      <c r="B13" s="40">
        <v>202010</v>
      </c>
      <c r="C13" s="41" t="s">
        <v>48</v>
      </c>
      <c r="D13" s="41" t="s">
        <v>34</v>
      </c>
      <c r="E13" s="42">
        <v>24</v>
      </c>
      <c r="F13" s="42">
        <v>11480.58</v>
      </c>
      <c r="G13" s="42">
        <v>3202.63</v>
      </c>
      <c r="H13" s="42">
        <v>9604.369999999999</v>
      </c>
      <c r="I13" s="42">
        <v>24287.579999999994</v>
      </c>
      <c r="L13" s="40">
        <v>202010</v>
      </c>
      <c r="M13" s="41" t="s">
        <v>95</v>
      </c>
      <c r="N13" s="41" t="str">
        <f t="shared" si="0"/>
        <v>98933</v>
      </c>
      <c r="O13" s="41" t="str">
        <f t="shared" si="1"/>
        <v>RES</v>
      </c>
      <c r="P13" s="42">
        <v>773.53</v>
      </c>
      <c r="Q13" s="42">
        <v>608.24</v>
      </c>
      <c r="R13" s="42">
        <v>3182.08</v>
      </c>
      <c r="S13" s="42">
        <v>4563.8500000000004</v>
      </c>
    </row>
    <row r="14" spans="2:19" ht="16" x14ac:dyDescent="0.2">
      <c r="B14" s="40">
        <v>202010</v>
      </c>
      <c r="C14" s="41" t="s">
        <v>49</v>
      </c>
      <c r="D14" s="41" t="s">
        <v>34</v>
      </c>
      <c r="E14" s="42">
        <v>36</v>
      </c>
      <c r="F14" s="42">
        <v>5817.09</v>
      </c>
      <c r="G14" s="42">
        <v>1514.26</v>
      </c>
      <c r="H14" s="42">
        <v>2642.57</v>
      </c>
      <c r="I14" s="42">
        <v>9973.92</v>
      </c>
      <c r="L14" s="40">
        <v>202010</v>
      </c>
      <c r="M14" s="41" t="s">
        <v>97</v>
      </c>
      <c r="N14" s="41" t="str">
        <f t="shared" si="0"/>
        <v>98935</v>
      </c>
      <c r="O14" s="41" t="str">
        <f t="shared" si="1"/>
        <v>RES</v>
      </c>
      <c r="P14" s="42">
        <v>3114.889999999999</v>
      </c>
      <c r="Q14" s="42">
        <v>2208.85</v>
      </c>
      <c r="R14" s="42">
        <v>6017.7300000000005</v>
      </c>
      <c r="S14" s="42">
        <v>11341.470000000001</v>
      </c>
    </row>
    <row r="15" spans="2:19" ht="16" x14ac:dyDescent="0.2">
      <c r="B15" s="40">
        <v>202010</v>
      </c>
      <c r="C15" s="41" t="s">
        <v>50</v>
      </c>
      <c r="D15" s="41" t="s">
        <v>34</v>
      </c>
      <c r="E15" s="42">
        <v>21</v>
      </c>
      <c r="F15" s="42">
        <v>34302.410000000003</v>
      </c>
      <c r="G15" s="42">
        <v>26450.880000000001</v>
      </c>
      <c r="H15" s="42">
        <v>5615.89</v>
      </c>
      <c r="I15" s="42">
        <v>66369.179999999993</v>
      </c>
      <c r="L15" s="40">
        <v>202010</v>
      </c>
      <c r="M15" s="41" t="s">
        <v>98</v>
      </c>
      <c r="N15" s="41" t="str">
        <f t="shared" si="0"/>
        <v>98936</v>
      </c>
      <c r="O15" s="41" t="str">
        <f t="shared" si="1"/>
        <v>RES</v>
      </c>
      <c r="P15" s="42">
        <v>1143.3900000000001</v>
      </c>
      <c r="Q15" s="42">
        <v>551.17999999999995</v>
      </c>
      <c r="R15" s="42">
        <v>2163.4699999999998</v>
      </c>
      <c r="S15" s="42">
        <v>3858.04</v>
      </c>
    </row>
    <row r="16" spans="2:19" ht="16" x14ac:dyDescent="0.2">
      <c r="B16" s="40">
        <v>202010</v>
      </c>
      <c r="C16" s="41" t="s">
        <v>51</v>
      </c>
      <c r="D16" s="41" t="s">
        <v>34</v>
      </c>
      <c r="E16" s="42">
        <v>3</v>
      </c>
      <c r="F16" s="42">
        <v>306.49</v>
      </c>
      <c r="G16" s="42">
        <v>319.05</v>
      </c>
      <c r="H16" s="42">
        <v>100.27</v>
      </c>
      <c r="I16" s="42">
        <v>725.81</v>
      </c>
      <c r="L16" s="40">
        <v>202010</v>
      </c>
      <c r="M16" s="41" t="s">
        <v>107</v>
      </c>
      <c r="N16" s="41" t="str">
        <f t="shared" si="0"/>
        <v>98937</v>
      </c>
      <c r="O16" s="41" t="str">
        <f t="shared" si="1"/>
        <v>RES</v>
      </c>
      <c r="P16" s="42">
        <v>798.69</v>
      </c>
      <c r="Q16" s="42">
        <v>550.24</v>
      </c>
      <c r="R16" s="42">
        <v>2277.62</v>
      </c>
      <c r="S16" s="42">
        <v>3626.55</v>
      </c>
    </row>
    <row r="17" spans="2:19" ht="16" x14ac:dyDescent="0.2">
      <c r="B17" s="40">
        <v>202010</v>
      </c>
      <c r="C17" s="41" t="s">
        <v>52</v>
      </c>
      <c r="D17" s="41" t="s">
        <v>34</v>
      </c>
      <c r="E17" s="42">
        <v>58</v>
      </c>
      <c r="F17" s="42">
        <v>12180.3</v>
      </c>
      <c r="G17" s="42">
        <v>9783.119999999999</v>
      </c>
      <c r="H17" s="42">
        <v>21436.66</v>
      </c>
      <c r="I17" s="42">
        <v>43400.080000000009</v>
      </c>
      <c r="L17" s="40">
        <v>202010</v>
      </c>
      <c r="M17" s="41" t="s">
        <v>105</v>
      </c>
      <c r="N17" s="41" t="str">
        <f t="shared" si="0"/>
        <v>98938</v>
      </c>
      <c r="O17" s="41" t="str">
        <f t="shared" si="1"/>
        <v>RES</v>
      </c>
      <c r="P17" s="42">
        <v>1416.4199999999998</v>
      </c>
      <c r="Q17" s="42">
        <v>1077.1099999999999</v>
      </c>
      <c r="R17" s="42">
        <v>3639.1200000000003</v>
      </c>
      <c r="S17" s="42">
        <v>6132.6500000000005</v>
      </c>
    </row>
    <row r="18" spans="2:19" ht="16" x14ac:dyDescent="0.2">
      <c r="B18" s="40">
        <v>202010</v>
      </c>
      <c r="C18" s="41" t="s">
        <v>53</v>
      </c>
      <c r="D18" s="41" t="s">
        <v>34</v>
      </c>
      <c r="E18" s="42">
        <v>116</v>
      </c>
      <c r="F18" s="42">
        <v>28664.300000000017</v>
      </c>
      <c r="G18" s="42">
        <v>17920.740000000002</v>
      </c>
      <c r="H18" s="42">
        <v>58332.910000000011</v>
      </c>
      <c r="I18" s="42">
        <v>104917.94999999998</v>
      </c>
      <c r="L18" s="40">
        <v>202010</v>
      </c>
      <c r="M18" s="41" t="s">
        <v>119</v>
      </c>
      <c r="N18" s="41" t="str">
        <f t="shared" si="0"/>
        <v>98939</v>
      </c>
      <c r="O18" s="41" t="str">
        <f t="shared" si="1"/>
        <v>RES</v>
      </c>
      <c r="P18" s="42">
        <v>126.58000000000001</v>
      </c>
      <c r="Q18" s="42">
        <v>161.31</v>
      </c>
      <c r="R18" s="42">
        <v>962.45</v>
      </c>
      <c r="S18" s="42">
        <v>1250.3399999999999</v>
      </c>
    </row>
    <row r="19" spans="2:19" ht="16" x14ac:dyDescent="0.2">
      <c r="B19" s="40">
        <v>202010</v>
      </c>
      <c r="C19" s="41" t="s">
        <v>54</v>
      </c>
      <c r="D19" s="41" t="s">
        <v>34</v>
      </c>
      <c r="E19" s="42">
        <v>19</v>
      </c>
      <c r="F19" s="42">
        <v>5271.9499999999989</v>
      </c>
      <c r="G19" s="42">
        <v>1968.55</v>
      </c>
      <c r="H19" s="42">
        <v>3738.68</v>
      </c>
      <c r="I19" s="42">
        <v>10979.179999999998</v>
      </c>
      <c r="L19" s="40">
        <v>202010</v>
      </c>
      <c r="M19" s="41" t="s">
        <v>99</v>
      </c>
      <c r="N19" s="41" t="str">
        <f t="shared" si="0"/>
        <v>98942</v>
      </c>
      <c r="O19" s="41" t="str">
        <f t="shared" si="1"/>
        <v>RES</v>
      </c>
      <c r="P19" s="42">
        <v>3754.4300000000003</v>
      </c>
      <c r="Q19" s="42">
        <v>3149.3599999999992</v>
      </c>
      <c r="R19" s="42">
        <v>10392.719999999996</v>
      </c>
      <c r="S19" s="42">
        <v>17296.510000000002</v>
      </c>
    </row>
    <row r="20" spans="2:19" ht="16" x14ac:dyDescent="0.2">
      <c r="B20" s="40">
        <v>202010</v>
      </c>
      <c r="C20" s="41" t="s">
        <v>55</v>
      </c>
      <c r="D20" s="41" t="s">
        <v>34</v>
      </c>
      <c r="E20" s="42">
        <v>86</v>
      </c>
      <c r="F20" s="42">
        <v>15192.090000000006</v>
      </c>
      <c r="G20" s="42">
        <v>10812.270000000002</v>
      </c>
      <c r="H20" s="42">
        <v>28349.309999999998</v>
      </c>
      <c r="I20" s="42">
        <v>54353.67</v>
      </c>
      <c r="L20" s="40">
        <v>202010</v>
      </c>
      <c r="M20" s="41" t="s">
        <v>91</v>
      </c>
      <c r="N20" s="41" t="str">
        <f t="shared" si="0"/>
        <v>98944</v>
      </c>
      <c r="O20" s="41" t="str">
        <f t="shared" si="1"/>
        <v>RES</v>
      </c>
      <c r="P20" s="42">
        <v>14126.599999999993</v>
      </c>
      <c r="Q20" s="42">
        <v>11676.02</v>
      </c>
      <c r="R20" s="42">
        <v>39123.94000000001</v>
      </c>
      <c r="S20" s="42">
        <v>64926.560000000019</v>
      </c>
    </row>
    <row r="21" spans="2:19" ht="16" x14ac:dyDescent="0.2">
      <c r="B21" s="40">
        <v>202010</v>
      </c>
      <c r="C21" s="41" t="s">
        <v>56</v>
      </c>
      <c r="D21" s="41" t="s">
        <v>34</v>
      </c>
      <c r="E21" s="42">
        <v>75</v>
      </c>
      <c r="F21" s="42">
        <v>14456.65</v>
      </c>
      <c r="G21" s="42">
        <v>12586.489999999998</v>
      </c>
      <c r="H21" s="42">
        <v>26268.590000000004</v>
      </c>
      <c r="I21" s="42">
        <v>53311.73</v>
      </c>
      <c r="L21" s="40">
        <v>202010</v>
      </c>
      <c r="M21" s="41" t="s">
        <v>100</v>
      </c>
      <c r="N21" s="41" t="str">
        <f t="shared" si="0"/>
        <v>98947</v>
      </c>
      <c r="O21" s="41" t="str">
        <f t="shared" si="1"/>
        <v>RES</v>
      </c>
      <c r="P21" s="42">
        <v>1299.27</v>
      </c>
      <c r="Q21" s="42">
        <v>1025.8700000000001</v>
      </c>
      <c r="R21" s="42">
        <v>5545.83</v>
      </c>
      <c r="S21" s="42">
        <v>7870.9700000000012</v>
      </c>
    </row>
    <row r="22" spans="2:19" ht="32" x14ac:dyDescent="0.2">
      <c r="B22" s="40">
        <v>202010</v>
      </c>
      <c r="C22" s="41" t="s">
        <v>57</v>
      </c>
      <c r="D22" s="41" t="s">
        <v>34</v>
      </c>
      <c r="E22" s="42">
        <v>2</v>
      </c>
      <c r="F22" s="42">
        <v>160.59</v>
      </c>
      <c r="G22" s="42">
        <v>36.370000000000005</v>
      </c>
      <c r="H22" s="42">
        <v>387.24</v>
      </c>
      <c r="I22" s="42">
        <v>584.20000000000005</v>
      </c>
      <c r="L22" s="40">
        <v>202010</v>
      </c>
      <c r="M22" s="41" t="s">
        <v>120</v>
      </c>
      <c r="N22" s="41" t="str">
        <f t="shared" si="0"/>
        <v>98948</v>
      </c>
      <c r="O22" s="41" t="str">
        <f t="shared" si="1"/>
        <v>COM</v>
      </c>
      <c r="P22" s="42">
        <v>5521.0199999999995</v>
      </c>
      <c r="Q22" s="42">
        <v>1812.8700000000001</v>
      </c>
      <c r="R22" s="42">
        <v>2895.75</v>
      </c>
      <c r="S22" s="42">
        <v>10229.640000000001</v>
      </c>
    </row>
    <row r="23" spans="2:19" ht="16" x14ac:dyDescent="0.2">
      <c r="B23" s="40">
        <v>202010</v>
      </c>
      <c r="C23" s="41" t="s">
        <v>58</v>
      </c>
      <c r="D23" s="41" t="s">
        <v>34</v>
      </c>
      <c r="E23" s="42">
        <v>44</v>
      </c>
      <c r="F23" s="42">
        <v>5285.3900000000012</v>
      </c>
      <c r="G23" s="42">
        <v>4040.8799999999997</v>
      </c>
      <c r="H23" s="42">
        <v>15907.32</v>
      </c>
      <c r="I23" s="42">
        <v>25233.589999999989</v>
      </c>
      <c r="L23" s="40">
        <v>202010</v>
      </c>
      <c r="M23" s="41" t="s">
        <v>101</v>
      </c>
      <c r="N23" s="41" t="str">
        <f t="shared" si="0"/>
        <v>98948</v>
      </c>
      <c r="O23" s="41" t="str">
        <f t="shared" si="1"/>
        <v>RES</v>
      </c>
      <c r="P23" s="42">
        <v>13674.169999999998</v>
      </c>
      <c r="Q23" s="42">
        <v>15772.749999999987</v>
      </c>
      <c r="R23" s="42">
        <v>59150.75</v>
      </c>
      <c r="S23" s="42">
        <v>88597.670000000027</v>
      </c>
    </row>
    <row r="24" spans="2:19" ht="32" x14ac:dyDescent="0.2">
      <c r="B24" s="40">
        <v>202010</v>
      </c>
      <c r="C24" s="41" t="s">
        <v>60</v>
      </c>
      <c r="D24" s="41" t="s">
        <v>34</v>
      </c>
      <c r="E24" s="42">
        <v>23</v>
      </c>
      <c r="F24" s="42">
        <v>5784.1900000000005</v>
      </c>
      <c r="G24" s="42">
        <v>448.75000000000006</v>
      </c>
      <c r="H24" s="42">
        <v>2129.83</v>
      </c>
      <c r="I24" s="42">
        <v>8362.7699999999986</v>
      </c>
      <c r="L24" s="40">
        <v>202010</v>
      </c>
      <c r="M24" s="41" t="s">
        <v>112</v>
      </c>
      <c r="N24" s="41" t="str">
        <f t="shared" si="0"/>
        <v>98951</v>
      </c>
      <c r="O24" s="41" t="str">
        <f t="shared" si="1"/>
        <v>COM</v>
      </c>
      <c r="P24" s="42">
        <v>11.85</v>
      </c>
      <c r="Q24" s="42">
        <v>30.46</v>
      </c>
      <c r="R24" s="42">
        <v>572.58000000000004</v>
      </c>
      <c r="S24" s="42">
        <v>614.89</v>
      </c>
    </row>
    <row r="25" spans="2:19" ht="16" x14ac:dyDescent="0.2">
      <c r="B25" s="40">
        <v>202010</v>
      </c>
      <c r="C25" s="41" t="s">
        <v>61</v>
      </c>
      <c r="D25" s="41" t="s">
        <v>34</v>
      </c>
      <c r="E25" s="42">
        <v>6</v>
      </c>
      <c r="F25" s="42">
        <v>1043.24</v>
      </c>
      <c r="G25" s="42">
        <v>494.91999999999996</v>
      </c>
      <c r="H25" s="42">
        <v>1202.6300000000001</v>
      </c>
      <c r="I25" s="42">
        <v>2740.7900000000004</v>
      </c>
      <c r="L25" s="40">
        <v>202010</v>
      </c>
      <c r="M25" s="41" t="s">
        <v>106</v>
      </c>
      <c r="N25" s="41" t="str">
        <f t="shared" si="0"/>
        <v>98951</v>
      </c>
      <c r="O25" s="41" t="str">
        <f t="shared" si="1"/>
        <v>RES</v>
      </c>
      <c r="P25" s="42">
        <v>24784.839999999982</v>
      </c>
      <c r="Q25" s="42">
        <v>22097.41</v>
      </c>
      <c r="R25" s="42">
        <v>122968.34999999995</v>
      </c>
      <c r="S25" s="42">
        <v>169850.59999999992</v>
      </c>
    </row>
    <row r="26" spans="2:19" ht="32" x14ac:dyDescent="0.2">
      <c r="B26" s="40">
        <v>202010</v>
      </c>
      <c r="C26" s="41" t="s">
        <v>62</v>
      </c>
      <c r="D26" s="41" t="s">
        <v>34</v>
      </c>
      <c r="E26" s="42">
        <v>35</v>
      </c>
      <c r="F26" s="42">
        <v>5481.9100000000008</v>
      </c>
      <c r="G26" s="42">
        <v>1862.22</v>
      </c>
      <c r="H26" s="42">
        <v>10156.710000000001</v>
      </c>
      <c r="I26" s="42">
        <v>17500.839999999993</v>
      </c>
      <c r="L26" s="40">
        <v>202010</v>
      </c>
      <c r="M26" s="41" t="s">
        <v>144</v>
      </c>
      <c r="N26" s="41" t="str">
        <f t="shared" si="0"/>
        <v>98952</v>
      </c>
      <c r="O26" s="41" t="str">
        <f t="shared" si="1"/>
        <v>COM</v>
      </c>
      <c r="P26" s="42">
        <v>21.15</v>
      </c>
      <c r="Q26" s="42">
        <v>16.34</v>
      </c>
      <c r="R26" s="42">
        <v>387.24</v>
      </c>
      <c r="S26" s="42">
        <v>424.73</v>
      </c>
    </row>
    <row r="27" spans="2:19" ht="16" x14ac:dyDescent="0.2">
      <c r="B27" s="40">
        <v>202010</v>
      </c>
      <c r="C27" s="41" t="s">
        <v>63</v>
      </c>
      <c r="D27" s="41" t="s">
        <v>34</v>
      </c>
      <c r="E27" s="42">
        <v>3</v>
      </c>
      <c r="F27" s="42">
        <v>451.25</v>
      </c>
      <c r="G27" s="42">
        <v>70.34</v>
      </c>
      <c r="H27" s="42">
        <v>887.13</v>
      </c>
      <c r="I27" s="42">
        <v>1408.72</v>
      </c>
      <c r="L27" s="40">
        <v>202010</v>
      </c>
      <c r="M27" s="41" t="s">
        <v>110</v>
      </c>
      <c r="N27" s="41" t="str">
        <f t="shared" si="0"/>
        <v>98952</v>
      </c>
      <c r="O27" s="41" t="str">
        <f t="shared" si="1"/>
        <v>RES</v>
      </c>
      <c r="P27" s="42">
        <v>3313.2099999999991</v>
      </c>
      <c r="Q27" s="42">
        <v>3300.9</v>
      </c>
      <c r="R27" s="42">
        <v>14162.14</v>
      </c>
      <c r="S27" s="42">
        <v>20776.25</v>
      </c>
    </row>
    <row r="28" spans="2:19" ht="16" x14ac:dyDescent="0.2">
      <c r="B28" s="40">
        <v>202010</v>
      </c>
      <c r="C28" s="41" t="s">
        <v>64</v>
      </c>
      <c r="D28" s="41" t="s">
        <v>34</v>
      </c>
      <c r="E28" s="42">
        <v>20</v>
      </c>
      <c r="F28" s="42">
        <v>4482.67</v>
      </c>
      <c r="G28" s="42">
        <v>2876.9699999999993</v>
      </c>
      <c r="H28" s="42">
        <v>4566.1499999999996</v>
      </c>
      <c r="I28" s="42">
        <v>11925.79</v>
      </c>
      <c r="L28" s="40">
        <v>202010</v>
      </c>
      <c r="M28" s="41" t="s">
        <v>92</v>
      </c>
      <c r="N28" s="41" t="str">
        <f t="shared" si="0"/>
        <v>98953</v>
      </c>
      <c r="O28" s="41" t="str">
        <f t="shared" si="1"/>
        <v>RES</v>
      </c>
      <c r="P28" s="42">
        <v>3073.8500000000013</v>
      </c>
      <c r="Q28" s="42">
        <v>2659.95</v>
      </c>
      <c r="R28" s="42">
        <v>7513.4299999999994</v>
      </c>
      <c r="S28" s="42">
        <v>13247.229999999998</v>
      </c>
    </row>
    <row r="29" spans="2:19" ht="16" x14ac:dyDescent="0.2">
      <c r="B29" s="40">
        <v>202010</v>
      </c>
      <c r="C29" s="41" t="s">
        <v>65</v>
      </c>
      <c r="D29" s="41" t="s">
        <v>34</v>
      </c>
      <c r="E29" s="42">
        <v>5</v>
      </c>
      <c r="F29" s="42">
        <v>933.02</v>
      </c>
      <c r="G29" s="42">
        <v>92.77</v>
      </c>
      <c r="H29" s="42">
        <v>22.74</v>
      </c>
      <c r="I29" s="42">
        <v>1048.5299999999997</v>
      </c>
      <c r="L29" s="40">
        <v>202010</v>
      </c>
      <c r="M29" s="41" t="s">
        <v>114</v>
      </c>
      <c r="N29" s="41" t="str">
        <f t="shared" si="0"/>
        <v>99323</v>
      </c>
      <c r="O29" s="41" t="str">
        <f t="shared" si="1"/>
        <v>RES</v>
      </c>
      <c r="P29" s="42">
        <v>321.5</v>
      </c>
      <c r="Q29" s="42">
        <v>292.02999999999997</v>
      </c>
      <c r="R29" s="42">
        <v>1811.97</v>
      </c>
      <c r="S29" s="42">
        <v>2425.5</v>
      </c>
    </row>
    <row r="30" spans="2:19" ht="16" x14ac:dyDescent="0.2">
      <c r="B30" s="40">
        <v>202010</v>
      </c>
      <c r="C30" s="41" t="s">
        <v>67</v>
      </c>
      <c r="D30" s="41" t="s">
        <v>34</v>
      </c>
      <c r="E30" s="42">
        <v>7</v>
      </c>
      <c r="F30" s="42">
        <v>628.27</v>
      </c>
      <c r="G30" s="42">
        <v>1279.31</v>
      </c>
      <c r="H30" s="42">
        <v>9536.61</v>
      </c>
      <c r="I30" s="42">
        <v>11444.19</v>
      </c>
      <c r="L30" s="40">
        <v>202010</v>
      </c>
      <c r="M30" s="41" t="s">
        <v>108</v>
      </c>
      <c r="N30" s="41" t="str">
        <f t="shared" si="0"/>
        <v>99324</v>
      </c>
      <c r="O30" s="41" t="str">
        <f t="shared" si="1"/>
        <v>RES</v>
      </c>
      <c r="P30" s="42">
        <v>3343.1100000000015</v>
      </c>
      <c r="Q30" s="42">
        <v>3032.6699999999996</v>
      </c>
      <c r="R30" s="42">
        <v>9874.6900000000023</v>
      </c>
      <c r="S30" s="42">
        <v>16250.470000000001</v>
      </c>
    </row>
    <row r="31" spans="2:19" ht="16" x14ac:dyDescent="0.2">
      <c r="B31" s="40">
        <v>202010</v>
      </c>
      <c r="C31" s="41" t="s">
        <v>68</v>
      </c>
      <c r="D31" s="41" t="s">
        <v>34</v>
      </c>
      <c r="E31" s="42">
        <v>25</v>
      </c>
      <c r="F31" s="42">
        <v>1590.7599999999998</v>
      </c>
      <c r="G31" s="42">
        <v>1164.69</v>
      </c>
      <c r="H31" s="42">
        <v>3559.27</v>
      </c>
      <c r="I31" s="42">
        <v>6314.72</v>
      </c>
      <c r="L31" s="40">
        <v>202010</v>
      </c>
      <c r="M31" s="41" t="s">
        <v>102</v>
      </c>
      <c r="N31" s="41" t="str">
        <f t="shared" si="0"/>
        <v>99328</v>
      </c>
      <c r="O31" s="41" t="str">
        <f t="shared" si="1"/>
        <v>RES</v>
      </c>
      <c r="P31" s="42">
        <v>2586.0399999999995</v>
      </c>
      <c r="Q31" s="42">
        <v>2719.25</v>
      </c>
      <c r="R31" s="42">
        <v>12033.329999999998</v>
      </c>
      <c r="S31" s="42">
        <v>17338.62</v>
      </c>
    </row>
    <row r="32" spans="2:19" ht="16" x14ac:dyDescent="0.2">
      <c r="B32" s="40">
        <v>202010</v>
      </c>
      <c r="C32" s="41" t="s">
        <v>69</v>
      </c>
      <c r="D32" s="41" t="s">
        <v>34</v>
      </c>
      <c r="E32" s="42">
        <v>118</v>
      </c>
      <c r="F32" s="42">
        <v>24886.09999999998</v>
      </c>
      <c r="G32" s="42">
        <v>14047.86</v>
      </c>
      <c r="H32" s="42">
        <v>40116.249999999993</v>
      </c>
      <c r="I32" s="42">
        <v>79050.209999999992</v>
      </c>
      <c r="L32" s="40">
        <v>202010</v>
      </c>
      <c r="M32" s="41" t="s">
        <v>180</v>
      </c>
      <c r="N32" s="41" t="str">
        <f t="shared" si="0"/>
        <v>99329</v>
      </c>
      <c r="O32" s="41" t="str">
        <f t="shared" si="1"/>
        <v>RES</v>
      </c>
      <c r="P32" s="42">
        <v>0</v>
      </c>
      <c r="Q32" s="42">
        <v>0</v>
      </c>
      <c r="R32" s="42">
        <v>0</v>
      </c>
      <c r="S32" s="42">
        <v>0</v>
      </c>
    </row>
    <row r="33" spans="2:19" ht="32" x14ac:dyDescent="0.2">
      <c r="B33" s="40">
        <v>202010</v>
      </c>
      <c r="C33" s="41" t="s">
        <v>70</v>
      </c>
      <c r="D33" s="41" t="s">
        <v>34</v>
      </c>
      <c r="E33" s="42">
        <v>3</v>
      </c>
      <c r="F33" s="42">
        <v>181.19</v>
      </c>
      <c r="G33" s="42">
        <v>41.84</v>
      </c>
      <c r="H33" s="42">
        <v>93.05</v>
      </c>
      <c r="I33" s="42">
        <v>316.08</v>
      </c>
      <c r="L33" s="40">
        <v>202010</v>
      </c>
      <c r="M33" s="41" t="s">
        <v>121</v>
      </c>
      <c r="N33" s="41" t="str">
        <f t="shared" si="0"/>
        <v>99347</v>
      </c>
      <c r="O33" s="41" t="str">
        <f t="shared" si="1"/>
        <v>COM</v>
      </c>
      <c r="P33" s="42">
        <v>100.28</v>
      </c>
      <c r="Q33" s="42">
        <v>0</v>
      </c>
      <c r="R33" s="42">
        <v>0</v>
      </c>
      <c r="S33" s="42">
        <v>100.28</v>
      </c>
    </row>
    <row r="34" spans="2:19" ht="16" x14ac:dyDescent="0.2">
      <c r="B34" s="40">
        <v>202010</v>
      </c>
      <c r="C34" s="41" t="s">
        <v>76</v>
      </c>
      <c r="D34" s="41" t="s">
        <v>75</v>
      </c>
      <c r="E34" s="42">
        <v>2</v>
      </c>
      <c r="F34" s="42">
        <v>260</v>
      </c>
      <c r="G34" s="42">
        <v>131.72999999999999</v>
      </c>
      <c r="H34" s="42">
        <v>174.31</v>
      </c>
      <c r="I34" s="42">
        <v>566.04</v>
      </c>
      <c r="L34" s="40">
        <v>202010</v>
      </c>
      <c r="M34" s="41" t="s">
        <v>109</v>
      </c>
      <c r="N34" s="41" t="str">
        <f t="shared" si="0"/>
        <v>99347</v>
      </c>
      <c r="O34" s="41" t="str">
        <f t="shared" si="1"/>
        <v>RES</v>
      </c>
      <c r="P34" s="42">
        <v>909.50999999999988</v>
      </c>
      <c r="Q34" s="42">
        <v>696.19999999999993</v>
      </c>
      <c r="R34" s="42">
        <v>4127.8499999999995</v>
      </c>
      <c r="S34" s="42">
        <v>5733.5599999999995</v>
      </c>
    </row>
    <row r="35" spans="2:19" ht="16" x14ac:dyDescent="0.2">
      <c r="B35" s="40">
        <v>202010</v>
      </c>
      <c r="C35" s="41" t="s">
        <v>35</v>
      </c>
      <c r="D35" s="41" t="s">
        <v>75</v>
      </c>
      <c r="E35" s="42">
        <v>2175</v>
      </c>
      <c r="F35" s="42">
        <v>173009.97000000018</v>
      </c>
      <c r="G35" s="42">
        <v>120016.05000000012</v>
      </c>
      <c r="H35" s="42">
        <v>472644.39999999944</v>
      </c>
      <c r="I35" s="42">
        <v>765670.42000000167</v>
      </c>
      <c r="L35" s="40">
        <v>202010</v>
      </c>
      <c r="M35" s="41" t="s">
        <v>113</v>
      </c>
      <c r="N35" s="41" t="str">
        <f t="shared" si="0"/>
        <v>99348</v>
      </c>
      <c r="O35" s="41" t="str">
        <f t="shared" si="1"/>
        <v>RES</v>
      </c>
      <c r="P35" s="42">
        <v>364.08</v>
      </c>
      <c r="Q35" s="42">
        <v>286.29000000000002</v>
      </c>
      <c r="R35" s="42">
        <v>833.92000000000007</v>
      </c>
      <c r="S35" s="42">
        <v>1484.29</v>
      </c>
    </row>
    <row r="36" spans="2:19" ht="16" x14ac:dyDescent="0.2">
      <c r="B36" s="40">
        <v>202010</v>
      </c>
      <c r="C36" s="41" t="s">
        <v>36</v>
      </c>
      <c r="D36" s="41" t="s">
        <v>75</v>
      </c>
      <c r="E36" s="42">
        <v>3905</v>
      </c>
      <c r="F36" s="42">
        <v>264470.8000000001</v>
      </c>
      <c r="G36" s="42">
        <v>227282.79000000012</v>
      </c>
      <c r="H36" s="42">
        <v>612103.08999999939</v>
      </c>
      <c r="I36" s="42">
        <v>1103856.68</v>
      </c>
      <c r="L36" s="40">
        <v>202010</v>
      </c>
      <c r="M36" s="41" t="s">
        <v>122</v>
      </c>
      <c r="N36" s="41" t="str">
        <f t="shared" si="0"/>
        <v>99350</v>
      </c>
      <c r="O36" s="41" t="str">
        <f t="shared" si="1"/>
        <v>RES</v>
      </c>
      <c r="P36" s="42">
        <v>98.27</v>
      </c>
      <c r="Q36" s="42">
        <v>85.99</v>
      </c>
      <c r="R36" s="42">
        <v>32.4</v>
      </c>
      <c r="S36" s="42">
        <v>216.66</v>
      </c>
    </row>
    <row r="37" spans="2:19" ht="16" x14ac:dyDescent="0.2">
      <c r="B37" s="40">
        <v>202010</v>
      </c>
      <c r="C37" s="41" t="s">
        <v>37</v>
      </c>
      <c r="D37" s="41" t="s">
        <v>75</v>
      </c>
      <c r="E37" s="42">
        <v>1321</v>
      </c>
      <c r="F37" s="42">
        <v>121861.70000000019</v>
      </c>
      <c r="G37" s="42">
        <v>75724.840000000055</v>
      </c>
      <c r="H37" s="42">
        <v>295072.0999999998</v>
      </c>
      <c r="I37" s="42">
        <v>492658.6399999999</v>
      </c>
      <c r="L37" s="40">
        <v>202010</v>
      </c>
      <c r="M37" s="41" t="s">
        <v>123</v>
      </c>
      <c r="N37" s="41" t="str">
        <f t="shared" si="0"/>
        <v>99360</v>
      </c>
      <c r="O37" s="41" t="str">
        <f t="shared" si="1"/>
        <v>RES</v>
      </c>
      <c r="P37" s="42">
        <v>0</v>
      </c>
      <c r="Q37" s="42">
        <v>0</v>
      </c>
      <c r="R37" s="42">
        <v>0</v>
      </c>
      <c r="S37" s="42">
        <v>0</v>
      </c>
    </row>
    <row r="38" spans="2:19" ht="16" x14ac:dyDescent="0.2">
      <c r="B38" s="40">
        <v>202010</v>
      </c>
      <c r="C38" s="41" t="s">
        <v>40</v>
      </c>
      <c r="D38" s="41" t="s">
        <v>75</v>
      </c>
      <c r="E38" s="42">
        <v>2921</v>
      </c>
      <c r="F38" s="42">
        <v>261621.40999999986</v>
      </c>
      <c r="G38" s="42">
        <v>157946.06000000041</v>
      </c>
      <c r="H38" s="42">
        <v>377925.71999999968</v>
      </c>
      <c r="I38" s="42">
        <v>797493.18999999925</v>
      </c>
      <c r="L38" s="40">
        <v>202010</v>
      </c>
      <c r="M38" s="41" t="s">
        <v>103</v>
      </c>
      <c r="N38" s="41" t="str">
        <f t="shared" si="0"/>
        <v>99361</v>
      </c>
      <c r="O38" s="41" t="str">
        <f t="shared" si="1"/>
        <v>RES</v>
      </c>
      <c r="P38" s="42">
        <v>598.66999999999996</v>
      </c>
      <c r="Q38" s="42">
        <v>560.13</v>
      </c>
      <c r="R38" s="42">
        <v>2336.71</v>
      </c>
      <c r="S38" s="42">
        <v>3495.5099999999998</v>
      </c>
    </row>
    <row r="39" spans="2:19" ht="16" x14ac:dyDescent="0.2">
      <c r="B39" s="40">
        <v>202010</v>
      </c>
      <c r="C39" s="41" t="s">
        <v>41</v>
      </c>
      <c r="D39" s="41" t="s">
        <v>75</v>
      </c>
      <c r="E39" s="42">
        <v>1</v>
      </c>
      <c r="F39" s="42">
        <v>119.07</v>
      </c>
      <c r="G39" s="42">
        <v>39.25</v>
      </c>
      <c r="H39" s="42">
        <v>0</v>
      </c>
      <c r="I39" s="42">
        <v>158.32</v>
      </c>
      <c r="L39" s="40">
        <v>202010</v>
      </c>
      <c r="M39" s="41" t="s">
        <v>93</v>
      </c>
      <c r="N39" s="41" t="str">
        <f t="shared" si="0"/>
        <v>99362</v>
      </c>
      <c r="O39" s="41" t="str">
        <f t="shared" si="1"/>
        <v>RES</v>
      </c>
      <c r="P39" s="42">
        <v>17012.839999999993</v>
      </c>
      <c r="Q39" s="42">
        <v>13924.579999999996</v>
      </c>
      <c r="R39" s="42">
        <v>46583</v>
      </c>
      <c r="S39" s="42">
        <v>77520.419999999955</v>
      </c>
    </row>
    <row r="40" spans="2:19" ht="16" x14ac:dyDescent="0.2">
      <c r="B40" s="40">
        <v>202010</v>
      </c>
      <c r="C40" s="41" t="s">
        <v>42</v>
      </c>
      <c r="D40" s="41" t="s">
        <v>75</v>
      </c>
      <c r="E40" s="42">
        <v>75</v>
      </c>
      <c r="F40" s="42">
        <v>5743.53</v>
      </c>
      <c r="G40" s="42">
        <v>4468.13</v>
      </c>
      <c r="H40" s="42">
        <v>19485.400000000001</v>
      </c>
      <c r="I40" s="42">
        <v>29697.059999999998</v>
      </c>
      <c r="L40" s="40">
        <v>202010</v>
      </c>
      <c r="M40" s="41" t="s">
        <v>124</v>
      </c>
      <c r="N40" s="41" t="str">
        <f t="shared" si="0"/>
        <v>99363</v>
      </c>
      <c r="O40" s="41" t="str">
        <f t="shared" si="1"/>
        <v>RES</v>
      </c>
      <c r="P40" s="42">
        <v>0</v>
      </c>
      <c r="Q40" s="42">
        <v>45.47</v>
      </c>
      <c r="R40" s="42">
        <v>320.64</v>
      </c>
      <c r="S40" s="42">
        <v>366.11</v>
      </c>
    </row>
    <row r="41" spans="2:19" ht="32" x14ac:dyDescent="0.2">
      <c r="B41" s="40">
        <v>202010</v>
      </c>
      <c r="C41" s="41" t="s">
        <v>43</v>
      </c>
      <c r="D41" s="41" t="s">
        <v>75</v>
      </c>
      <c r="E41" s="42">
        <v>95</v>
      </c>
      <c r="F41" s="42">
        <v>9016.2199999999957</v>
      </c>
      <c r="G41" s="42">
        <v>5033.8500000000004</v>
      </c>
      <c r="H41" s="42">
        <v>18347.989999999994</v>
      </c>
      <c r="I41" s="42">
        <v>32398.059999999998</v>
      </c>
      <c r="L41" s="40">
        <v>202011</v>
      </c>
      <c r="M41" s="41" t="s">
        <v>104</v>
      </c>
      <c r="N41" s="41" t="str">
        <f t="shared" si="0"/>
        <v>98901</v>
      </c>
      <c r="O41" s="41" t="str">
        <f t="shared" si="1"/>
        <v>COM</v>
      </c>
      <c r="P41" s="42">
        <v>14.85</v>
      </c>
      <c r="Q41" s="42">
        <v>17.559999999999999</v>
      </c>
      <c r="R41" s="42">
        <v>270.17</v>
      </c>
      <c r="S41" s="42">
        <v>302.58</v>
      </c>
    </row>
    <row r="42" spans="2:19" ht="16" x14ac:dyDescent="0.2">
      <c r="B42" s="40">
        <v>202010</v>
      </c>
      <c r="C42" s="41" t="s">
        <v>44</v>
      </c>
      <c r="D42" s="41" t="s">
        <v>75</v>
      </c>
      <c r="E42" s="42">
        <v>750</v>
      </c>
      <c r="F42" s="42">
        <v>63246.820000000116</v>
      </c>
      <c r="G42" s="42">
        <v>42290.000000000015</v>
      </c>
      <c r="H42" s="42">
        <v>116444.84000000005</v>
      </c>
      <c r="I42" s="42">
        <v>221981.66</v>
      </c>
      <c r="L42" s="40">
        <v>202011</v>
      </c>
      <c r="M42" s="41" t="s">
        <v>87</v>
      </c>
      <c r="N42" s="41" t="str">
        <f t="shared" si="0"/>
        <v>98901</v>
      </c>
      <c r="O42" s="41" t="str">
        <f t="shared" si="1"/>
        <v>RES</v>
      </c>
      <c r="P42" s="42">
        <v>11261.61</v>
      </c>
      <c r="Q42" s="42">
        <v>14475.859999999999</v>
      </c>
      <c r="R42" s="42">
        <v>85715.689999999988</v>
      </c>
      <c r="S42" s="42">
        <v>111453.15999999992</v>
      </c>
    </row>
    <row r="43" spans="2:19" ht="32" x14ac:dyDescent="0.2">
      <c r="B43" s="40">
        <v>202010</v>
      </c>
      <c r="C43" s="41" t="s">
        <v>45</v>
      </c>
      <c r="D43" s="41" t="s">
        <v>75</v>
      </c>
      <c r="E43" s="42">
        <v>431</v>
      </c>
      <c r="F43" s="42">
        <v>36094.179999999993</v>
      </c>
      <c r="G43" s="42">
        <v>24363.160000000007</v>
      </c>
      <c r="H43" s="42">
        <v>76821.919999999998</v>
      </c>
      <c r="I43" s="42">
        <v>137279.25999999998</v>
      </c>
      <c r="L43" s="40">
        <v>202011</v>
      </c>
      <c r="M43" s="41" t="s">
        <v>116</v>
      </c>
      <c r="N43" s="41" t="str">
        <f t="shared" si="0"/>
        <v>98902</v>
      </c>
      <c r="O43" s="41" t="str">
        <f t="shared" si="1"/>
        <v>COM</v>
      </c>
      <c r="P43" s="42">
        <v>82.34</v>
      </c>
      <c r="Q43" s="42">
        <v>79.41</v>
      </c>
      <c r="R43" s="42">
        <v>628.89</v>
      </c>
      <c r="S43" s="42">
        <v>790.64</v>
      </c>
    </row>
    <row r="44" spans="2:19" ht="16" x14ac:dyDescent="0.2">
      <c r="B44" s="40">
        <v>202010</v>
      </c>
      <c r="C44" s="41" t="s">
        <v>46</v>
      </c>
      <c r="D44" s="41" t="s">
        <v>75</v>
      </c>
      <c r="E44" s="42">
        <v>56</v>
      </c>
      <c r="F44" s="42">
        <v>4852.1999999999989</v>
      </c>
      <c r="G44" s="42">
        <v>3341.85</v>
      </c>
      <c r="H44" s="42">
        <v>18024.710000000003</v>
      </c>
      <c r="I44" s="42">
        <v>26218.76</v>
      </c>
      <c r="L44" s="40">
        <v>202011</v>
      </c>
      <c r="M44" s="41" t="s">
        <v>88</v>
      </c>
      <c r="N44" s="41" t="str">
        <f t="shared" si="0"/>
        <v>98902</v>
      </c>
      <c r="O44" s="41" t="str">
        <f t="shared" si="1"/>
        <v>RES</v>
      </c>
      <c r="P44" s="42">
        <v>23729.439999999991</v>
      </c>
      <c r="Q44" s="42">
        <v>21226.800000000007</v>
      </c>
      <c r="R44" s="42">
        <v>96803.72</v>
      </c>
      <c r="S44" s="42">
        <v>141759.95999999996</v>
      </c>
    </row>
    <row r="45" spans="2:19" ht="16" x14ac:dyDescent="0.2">
      <c r="B45" s="40">
        <v>202010</v>
      </c>
      <c r="C45" s="41" t="s">
        <v>47</v>
      </c>
      <c r="D45" s="41" t="s">
        <v>75</v>
      </c>
      <c r="E45" s="42">
        <v>176</v>
      </c>
      <c r="F45" s="42">
        <v>17571.260000000002</v>
      </c>
      <c r="G45" s="42">
        <v>11710.47</v>
      </c>
      <c r="H45" s="42">
        <v>44787.42000000002</v>
      </c>
      <c r="I45" s="42">
        <v>74069.150000000038</v>
      </c>
      <c r="L45" s="40">
        <v>202011</v>
      </c>
      <c r="M45" s="41" t="s">
        <v>89</v>
      </c>
      <c r="N45" s="41" t="str">
        <f t="shared" si="0"/>
        <v>98903</v>
      </c>
      <c r="O45" s="41" t="str">
        <f t="shared" si="1"/>
        <v>RES</v>
      </c>
      <c r="P45" s="42">
        <v>10841.94000000001</v>
      </c>
      <c r="Q45" s="42">
        <v>7642.8100000000013</v>
      </c>
      <c r="R45" s="42">
        <v>37955.890000000007</v>
      </c>
      <c r="S45" s="42">
        <v>56440.63999999997</v>
      </c>
    </row>
    <row r="46" spans="2:19" ht="32" x14ac:dyDescent="0.2">
      <c r="B46" s="40">
        <v>202010</v>
      </c>
      <c r="C46" s="41" t="s">
        <v>48</v>
      </c>
      <c r="D46" s="41" t="s">
        <v>75</v>
      </c>
      <c r="E46" s="42">
        <v>378</v>
      </c>
      <c r="F46" s="42">
        <v>35199.9</v>
      </c>
      <c r="G46" s="42">
        <v>25862.859999999997</v>
      </c>
      <c r="H46" s="42">
        <v>84227.139999999985</v>
      </c>
      <c r="I46" s="42">
        <v>145289.90000000005</v>
      </c>
      <c r="L46" s="40">
        <v>202011</v>
      </c>
      <c r="M46" s="41" t="s">
        <v>117</v>
      </c>
      <c r="N46" s="41" t="str">
        <f t="shared" si="0"/>
        <v>98908</v>
      </c>
      <c r="O46" s="41" t="str">
        <f t="shared" si="1"/>
        <v>COM</v>
      </c>
      <c r="P46" s="42">
        <v>59.57</v>
      </c>
      <c r="Q46" s="42">
        <v>46.22</v>
      </c>
      <c r="R46" s="42">
        <v>354.63</v>
      </c>
      <c r="S46" s="42">
        <v>460.41999999999996</v>
      </c>
    </row>
    <row r="47" spans="2:19" ht="16" x14ac:dyDescent="0.2">
      <c r="B47" s="40">
        <v>202010</v>
      </c>
      <c r="C47" s="41" t="s">
        <v>49</v>
      </c>
      <c r="D47" s="41" t="s">
        <v>75</v>
      </c>
      <c r="E47" s="42">
        <v>294</v>
      </c>
      <c r="F47" s="42">
        <v>26791.099999999991</v>
      </c>
      <c r="G47" s="42">
        <v>15535.700000000004</v>
      </c>
      <c r="H47" s="42">
        <v>44848.189999999995</v>
      </c>
      <c r="I47" s="42">
        <v>87174.989999999991</v>
      </c>
      <c r="L47" s="40">
        <v>202011</v>
      </c>
      <c r="M47" s="41" t="s">
        <v>90</v>
      </c>
      <c r="N47" s="41" t="str">
        <f t="shared" si="0"/>
        <v>98908</v>
      </c>
      <c r="O47" s="41" t="str">
        <f t="shared" si="1"/>
        <v>RES</v>
      </c>
      <c r="P47" s="42">
        <v>5880.6099999999979</v>
      </c>
      <c r="Q47" s="42">
        <v>5623.2500000000009</v>
      </c>
      <c r="R47" s="42">
        <v>23925.440000000002</v>
      </c>
      <c r="S47" s="42">
        <v>35429.299999999988</v>
      </c>
    </row>
    <row r="48" spans="2:19" ht="16" x14ac:dyDescent="0.2">
      <c r="B48" s="40">
        <v>202010</v>
      </c>
      <c r="C48" s="41" t="s">
        <v>50</v>
      </c>
      <c r="D48" s="41" t="s">
        <v>75</v>
      </c>
      <c r="E48" s="42">
        <v>143</v>
      </c>
      <c r="F48" s="42">
        <v>16067.880000000001</v>
      </c>
      <c r="G48" s="42">
        <v>11424.430000000004</v>
      </c>
      <c r="H48" s="42">
        <v>35348.89</v>
      </c>
      <c r="I48" s="42">
        <v>62841.19999999999</v>
      </c>
      <c r="L48" s="40">
        <v>202011</v>
      </c>
      <c r="M48" s="41" t="s">
        <v>118</v>
      </c>
      <c r="N48" s="41" t="str">
        <f t="shared" si="0"/>
        <v>98921</v>
      </c>
      <c r="O48" s="41" t="str">
        <f t="shared" si="1"/>
        <v>RES</v>
      </c>
      <c r="P48" s="42">
        <v>1251.5199999999998</v>
      </c>
      <c r="Q48" s="42">
        <v>1171.68</v>
      </c>
      <c r="R48" s="42">
        <v>5579.5499999999984</v>
      </c>
      <c r="S48" s="42">
        <v>8002.75</v>
      </c>
    </row>
    <row r="49" spans="2:19" ht="16" x14ac:dyDescent="0.2">
      <c r="B49" s="40">
        <v>202010</v>
      </c>
      <c r="C49" s="41" t="s">
        <v>51</v>
      </c>
      <c r="D49" s="41" t="s">
        <v>75</v>
      </c>
      <c r="E49" s="42">
        <v>22</v>
      </c>
      <c r="F49" s="42">
        <v>1968.9699999999998</v>
      </c>
      <c r="G49" s="42">
        <v>1702.0099999999995</v>
      </c>
      <c r="H49" s="42">
        <v>8459.1999999999989</v>
      </c>
      <c r="I49" s="42">
        <v>12130.18</v>
      </c>
      <c r="L49" s="40">
        <v>202011</v>
      </c>
      <c r="M49" s="41" t="s">
        <v>111</v>
      </c>
      <c r="N49" s="41" t="str">
        <f t="shared" si="0"/>
        <v>98923</v>
      </c>
      <c r="O49" s="41" t="str">
        <f t="shared" si="1"/>
        <v>RES</v>
      </c>
      <c r="P49" s="42">
        <v>372.06</v>
      </c>
      <c r="Q49" s="42">
        <v>360.51000000000005</v>
      </c>
      <c r="R49" s="42">
        <v>348.07000000000005</v>
      </c>
      <c r="S49" s="42">
        <v>1080.6399999999999</v>
      </c>
    </row>
    <row r="50" spans="2:19" ht="16" x14ac:dyDescent="0.2">
      <c r="B50" s="40">
        <v>202010</v>
      </c>
      <c r="C50" s="41" t="s">
        <v>52</v>
      </c>
      <c r="D50" s="41" t="s">
        <v>75</v>
      </c>
      <c r="E50" s="42">
        <v>1298</v>
      </c>
      <c r="F50" s="42">
        <v>133865.34999999983</v>
      </c>
      <c r="G50" s="42">
        <v>77001.17</v>
      </c>
      <c r="H50" s="42">
        <v>220868.81000000011</v>
      </c>
      <c r="I50" s="42">
        <v>431735.3299999999</v>
      </c>
      <c r="L50" s="40">
        <v>202011</v>
      </c>
      <c r="M50" s="41" t="s">
        <v>96</v>
      </c>
      <c r="N50" s="41" t="str">
        <f t="shared" si="0"/>
        <v>98930</v>
      </c>
      <c r="O50" s="41" t="str">
        <f t="shared" si="1"/>
        <v>RES</v>
      </c>
      <c r="P50" s="42">
        <v>6120.3500000000013</v>
      </c>
      <c r="Q50" s="42">
        <v>5455.7999999999993</v>
      </c>
      <c r="R50" s="42">
        <v>17970.990000000002</v>
      </c>
      <c r="S50" s="42">
        <v>29547.139999999996</v>
      </c>
    </row>
    <row r="51" spans="2:19" ht="16" x14ac:dyDescent="0.2">
      <c r="B51" s="40">
        <v>202010</v>
      </c>
      <c r="C51" s="41" t="s">
        <v>53</v>
      </c>
      <c r="D51" s="41" t="s">
        <v>75</v>
      </c>
      <c r="E51" s="42">
        <v>1531</v>
      </c>
      <c r="F51" s="42">
        <v>131978.7200000002</v>
      </c>
      <c r="G51" s="42">
        <v>83626.530000000028</v>
      </c>
      <c r="H51" s="42">
        <v>212845.08000000013</v>
      </c>
      <c r="I51" s="42">
        <v>428450.33000000013</v>
      </c>
      <c r="L51" s="40">
        <v>202011</v>
      </c>
      <c r="M51" s="41" t="s">
        <v>94</v>
      </c>
      <c r="N51" s="41" t="str">
        <f t="shared" si="0"/>
        <v>98932</v>
      </c>
      <c r="O51" s="41" t="str">
        <f t="shared" si="1"/>
        <v>RES</v>
      </c>
      <c r="P51" s="42">
        <v>3367.5400000000004</v>
      </c>
      <c r="Q51" s="42">
        <v>3526.4300000000003</v>
      </c>
      <c r="R51" s="42">
        <v>10344.250000000004</v>
      </c>
      <c r="S51" s="42">
        <v>17238.219999999998</v>
      </c>
    </row>
    <row r="52" spans="2:19" ht="16" x14ac:dyDescent="0.2">
      <c r="B52" s="40">
        <v>202010</v>
      </c>
      <c r="C52" s="41" t="s">
        <v>54</v>
      </c>
      <c r="D52" s="41" t="s">
        <v>75</v>
      </c>
      <c r="E52" s="42">
        <v>236</v>
      </c>
      <c r="F52" s="42">
        <v>21905.179999999993</v>
      </c>
      <c r="G52" s="42">
        <v>13400.26</v>
      </c>
      <c r="H52" s="42">
        <v>50882.920000000013</v>
      </c>
      <c r="I52" s="42">
        <v>86188.360000000015</v>
      </c>
      <c r="L52" s="40">
        <v>202011</v>
      </c>
      <c r="M52" s="41" t="s">
        <v>95</v>
      </c>
      <c r="N52" s="41" t="str">
        <f t="shared" si="0"/>
        <v>98933</v>
      </c>
      <c r="O52" s="41" t="str">
        <f t="shared" si="1"/>
        <v>RES</v>
      </c>
      <c r="P52" s="42">
        <v>826.82999999999981</v>
      </c>
      <c r="Q52" s="42">
        <v>611.28</v>
      </c>
      <c r="R52" s="42">
        <v>3525.75</v>
      </c>
      <c r="S52" s="42">
        <v>4963.8600000000006</v>
      </c>
    </row>
    <row r="53" spans="2:19" ht="16" x14ac:dyDescent="0.2">
      <c r="B53" s="40">
        <v>202010</v>
      </c>
      <c r="C53" s="41" t="s">
        <v>55</v>
      </c>
      <c r="D53" s="41" t="s">
        <v>75</v>
      </c>
      <c r="E53" s="42">
        <v>743</v>
      </c>
      <c r="F53" s="42">
        <v>50212.82</v>
      </c>
      <c r="G53" s="42">
        <v>51196.250000000022</v>
      </c>
      <c r="H53" s="42">
        <v>165724.99</v>
      </c>
      <c r="I53" s="42">
        <v>267134.06</v>
      </c>
      <c r="L53" s="40">
        <v>202011</v>
      </c>
      <c r="M53" s="41" t="s">
        <v>97</v>
      </c>
      <c r="N53" s="41" t="str">
        <f t="shared" si="0"/>
        <v>98935</v>
      </c>
      <c r="O53" s="41" t="str">
        <f t="shared" si="1"/>
        <v>RES</v>
      </c>
      <c r="P53" s="42">
        <v>3295.1199999999994</v>
      </c>
      <c r="Q53" s="42">
        <v>2143.2499999999995</v>
      </c>
      <c r="R53" s="42">
        <v>8865.6700000000019</v>
      </c>
      <c r="S53" s="42">
        <v>14304.039999999997</v>
      </c>
    </row>
    <row r="54" spans="2:19" ht="16" x14ac:dyDescent="0.2">
      <c r="B54" s="40">
        <v>202010</v>
      </c>
      <c r="C54" s="41" t="s">
        <v>56</v>
      </c>
      <c r="D54" s="41" t="s">
        <v>75</v>
      </c>
      <c r="E54" s="42">
        <v>937</v>
      </c>
      <c r="F54" s="42">
        <v>95958.779999999955</v>
      </c>
      <c r="G54" s="42">
        <v>68658.09000000004</v>
      </c>
      <c r="H54" s="42">
        <v>254205.52999999971</v>
      </c>
      <c r="I54" s="42">
        <v>418822.39999999991</v>
      </c>
      <c r="L54" s="40">
        <v>202011</v>
      </c>
      <c r="M54" s="41" t="s">
        <v>98</v>
      </c>
      <c r="N54" s="41" t="str">
        <f t="shared" si="0"/>
        <v>98936</v>
      </c>
      <c r="O54" s="41" t="str">
        <f t="shared" si="1"/>
        <v>RES</v>
      </c>
      <c r="P54" s="42">
        <v>911.99</v>
      </c>
      <c r="Q54" s="42">
        <v>655.87</v>
      </c>
      <c r="R54" s="42">
        <v>2563.2099999999996</v>
      </c>
      <c r="S54" s="42">
        <v>4131.07</v>
      </c>
    </row>
    <row r="55" spans="2:19" ht="16" x14ac:dyDescent="0.2">
      <c r="B55" s="40">
        <v>202010</v>
      </c>
      <c r="C55" s="41" t="s">
        <v>57</v>
      </c>
      <c r="D55" s="41" t="s">
        <v>75</v>
      </c>
      <c r="E55" s="42">
        <v>70</v>
      </c>
      <c r="F55" s="42">
        <v>6660.9400000000014</v>
      </c>
      <c r="G55" s="42">
        <v>6039.68</v>
      </c>
      <c r="H55" s="42">
        <v>28627.86</v>
      </c>
      <c r="I55" s="42">
        <v>41328.479999999989</v>
      </c>
      <c r="L55" s="40">
        <v>202011</v>
      </c>
      <c r="M55" s="41" t="s">
        <v>107</v>
      </c>
      <c r="N55" s="41" t="str">
        <f t="shared" si="0"/>
        <v>98937</v>
      </c>
      <c r="O55" s="41" t="str">
        <f t="shared" si="1"/>
        <v>RES</v>
      </c>
      <c r="P55" s="42">
        <v>642.16000000000008</v>
      </c>
      <c r="Q55" s="42">
        <v>530.01</v>
      </c>
      <c r="R55" s="42">
        <v>1464.09</v>
      </c>
      <c r="S55" s="42">
        <v>2636.26</v>
      </c>
    </row>
    <row r="56" spans="2:19" ht="16" x14ac:dyDescent="0.2">
      <c r="B56" s="40">
        <v>202010</v>
      </c>
      <c r="C56" s="41" t="s">
        <v>58</v>
      </c>
      <c r="D56" s="41" t="s">
        <v>75</v>
      </c>
      <c r="E56" s="42">
        <v>531</v>
      </c>
      <c r="F56" s="42">
        <v>51245.319999999927</v>
      </c>
      <c r="G56" s="42">
        <v>33558.959999999999</v>
      </c>
      <c r="H56" s="42">
        <v>83869.059999999969</v>
      </c>
      <c r="I56" s="42">
        <v>168673.34000000008</v>
      </c>
      <c r="L56" s="40">
        <v>202011</v>
      </c>
      <c r="M56" s="41" t="s">
        <v>105</v>
      </c>
      <c r="N56" s="41" t="str">
        <f t="shared" si="0"/>
        <v>98938</v>
      </c>
      <c r="O56" s="41" t="str">
        <f t="shared" si="1"/>
        <v>RES</v>
      </c>
      <c r="P56" s="42">
        <v>1050.3700000000001</v>
      </c>
      <c r="Q56" s="42">
        <v>676.81000000000006</v>
      </c>
      <c r="R56" s="42">
        <v>3254.4399999999996</v>
      </c>
      <c r="S56" s="42">
        <v>4981.619999999999</v>
      </c>
    </row>
    <row r="57" spans="2:19" ht="16" x14ac:dyDescent="0.2">
      <c r="B57" s="40">
        <v>202010</v>
      </c>
      <c r="C57" s="41" t="s">
        <v>59</v>
      </c>
      <c r="D57" s="41" t="s">
        <v>75</v>
      </c>
      <c r="E57" s="42">
        <v>1</v>
      </c>
      <c r="F57" s="42">
        <v>86.85</v>
      </c>
      <c r="G57" s="42">
        <v>185.01</v>
      </c>
      <c r="H57" s="42">
        <v>679.43</v>
      </c>
      <c r="I57" s="42">
        <v>951.29</v>
      </c>
      <c r="L57" s="40">
        <v>202011</v>
      </c>
      <c r="M57" s="41" t="s">
        <v>119</v>
      </c>
      <c r="N57" s="41" t="str">
        <f t="shared" si="0"/>
        <v>98939</v>
      </c>
      <c r="O57" s="41" t="str">
        <f t="shared" si="1"/>
        <v>RES</v>
      </c>
      <c r="P57" s="42">
        <v>117.67</v>
      </c>
      <c r="Q57" s="42">
        <v>126.58000000000001</v>
      </c>
      <c r="R57" s="42">
        <v>573.76</v>
      </c>
      <c r="S57" s="42">
        <v>818.01</v>
      </c>
    </row>
    <row r="58" spans="2:19" ht="16" x14ac:dyDescent="0.2">
      <c r="B58" s="40">
        <v>202010</v>
      </c>
      <c r="C58" s="41" t="s">
        <v>60</v>
      </c>
      <c r="D58" s="41" t="s">
        <v>75</v>
      </c>
      <c r="E58" s="42">
        <v>208</v>
      </c>
      <c r="F58" s="42">
        <v>19575.720000000005</v>
      </c>
      <c r="G58" s="42">
        <v>13228.749999999998</v>
      </c>
      <c r="H58" s="42">
        <v>24537.329999999994</v>
      </c>
      <c r="I58" s="42">
        <v>57341.799999999996</v>
      </c>
      <c r="L58" s="40">
        <v>202011</v>
      </c>
      <c r="M58" s="41" t="s">
        <v>99</v>
      </c>
      <c r="N58" s="41" t="str">
        <f t="shared" si="0"/>
        <v>98942</v>
      </c>
      <c r="O58" s="41" t="str">
        <f t="shared" si="1"/>
        <v>RES</v>
      </c>
      <c r="P58" s="42">
        <v>2541.87</v>
      </c>
      <c r="Q58" s="42">
        <v>2809.4900000000002</v>
      </c>
      <c r="R58" s="42">
        <v>12041.699999999999</v>
      </c>
      <c r="S58" s="42">
        <v>17393.060000000001</v>
      </c>
    </row>
    <row r="59" spans="2:19" ht="16" x14ac:dyDescent="0.2">
      <c r="B59" s="40">
        <v>202010</v>
      </c>
      <c r="C59" s="41" t="s">
        <v>61</v>
      </c>
      <c r="D59" s="41" t="s">
        <v>75</v>
      </c>
      <c r="E59" s="42">
        <v>490</v>
      </c>
      <c r="F59" s="42">
        <v>35621.029999999977</v>
      </c>
      <c r="G59" s="42">
        <v>22046.950000000012</v>
      </c>
      <c r="H59" s="42">
        <v>44996.209999999985</v>
      </c>
      <c r="I59" s="42">
        <v>102664.18999999994</v>
      </c>
      <c r="L59" s="40">
        <v>202011</v>
      </c>
      <c r="M59" s="41" t="s">
        <v>91</v>
      </c>
      <c r="N59" s="41" t="str">
        <f t="shared" si="0"/>
        <v>98944</v>
      </c>
      <c r="O59" s="41" t="str">
        <f t="shared" si="1"/>
        <v>RES</v>
      </c>
      <c r="P59" s="42">
        <v>11272.8</v>
      </c>
      <c r="Q59" s="42">
        <v>10610.969999999998</v>
      </c>
      <c r="R59" s="42">
        <v>43155.63</v>
      </c>
      <c r="S59" s="42">
        <v>65039.4</v>
      </c>
    </row>
    <row r="60" spans="2:19" ht="16" x14ac:dyDescent="0.2">
      <c r="B60" s="40">
        <v>202010</v>
      </c>
      <c r="C60" s="41" t="s">
        <v>62</v>
      </c>
      <c r="D60" s="41" t="s">
        <v>75</v>
      </c>
      <c r="E60" s="42">
        <v>336</v>
      </c>
      <c r="F60" s="42">
        <v>23013.860000000015</v>
      </c>
      <c r="G60" s="42">
        <v>18240.900000000012</v>
      </c>
      <c r="H60" s="42">
        <v>56986.040000000008</v>
      </c>
      <c r="I60" s="42">
        <v>98240.800000000032</v>
      </c>
      <c r="L60" s="40">
        <v>202011</v>
      </c>
      <c r="M60" s="41" t="s">
        <v>100</v>
      </c>
      <c r="N60" s="41" t="str">
        <f t="shared" si="0"/>
        <v>98947</v>
      </c>
      <c r="O60" s="41" t="str">
        <f t="shared" si="1"/>
        <v>RES</v>
      </c>
      <c r="P60" s="42">
        <v>1141.82</v>
      </c>
      <c r="Q60" s="42">
        <v>1045.24</v>
      </c>
      <c r="R60" s="42">
        <v>5301.71</v>
      </c>
      <c r="S60" s="42">
        <v>7488.77</v>
      </c>
    </row>
    <row r="61" spans="2:19" ht="32" x14ac:dyDescent="0.2">
      <c r="B61" s="40">
        <v>202010</v>
      </c>
      <c r="C61" s="41" t="s">
        <v>63</v>
      </c>
      <c r="D61" s="41" t="s">
        <v>75</v>
      </c>
      <c r="E61" s="42">
        <v>15</v>
      </c>
      <c r="F61" s="42">
        <v>1325.4</v>
      </c>
      <c r="G61" s="42">
        <v>680.51</v>
      </c>
      <c r="H61" s="42">
        <v>1632.3000000000002</v>
      </c>
      <c r="I61" s="42">
        <v>3638.2099999999996</v>
      </c>
      <c r="L61" s="40">
        <v>202011</v>
      </c>
      <c r="M61" s="41" t="s">
        <v>120</v>
      </c>
      <c r="N61" s="41" t="str">
        <f t="shared" si="0"/>
        <v>98948</v>
      </c>
      <c r="O61" s="41" t="str">
        <f t="shared" si="1"/>
        <v>COM</v>
      </c>
      <c r="P61" s="42">
        <v>2726.35</v>
      </c>
      <c r="Q61" s="42">
        <v>4196.8099999999995</v>
      </c>
      <c r="R61" s="42">
        <v>5145.59</v>
      </c>
      <c r="S61" s="42">
        <v>12068.75</v>
      </c>
    </row>
    <row r="62" spans="2:19" ht="16" x14ac:dyDescent="0.2">
      <c r="B62" s="40">
        <v>202010</v>
      </c>
      <c r="C62" s="41" t="s">
        <v>64</v>
      </c>
      <c r="D62" s="41" t="s">
        <v>75</v>
      </c>
      <c r="E62" s="42">
        <v>121</v>
      </c>
      <c r="F62" s="42">
        <v>11195.130000000006</v>
      </c>
      <c r="G62" s="42">
        <v>6619.5199999999986</v>
      </c>
      <c r="H62" s="42">
        <v>31279.280000000013</v>
      </c>
      <c r="I62" s="42">
        <v>49093.93</v>
      </c>
      <c r="L62" s="40">
        <v>202011</v>
      </c>
      <c r="M62" s="41" t="s">
        <v>101</v>
      </c>
      <c r="N62" s="41" t="str">
        <f t="shared" si="0"/>
        <v>98948</v>
      </c>
      <c r="O62" s="41" t="str">
        <f t="shared" si="1"/>
        <v>RES</v>
      </c>
      <c r="P62" s="42">
        <v>18835.89000000001</v>
      </c>
      <c r="Q62" s="42">
        <v>14113.05</v>
      </c>
      <c r="R62" s="42">
        <v>69666.569999999992</v>
      </c>
      <c r="S62" s="42">
        <v>102615.51000000004</v>
      </c>
    </row>
    <row r="63" spans="2:19" ht="32" x14ac:dyDescent="0.2">
      <c r="B63" s="40">
        <v>202010</v>
      </c>
      <c r="C63" s="41" t="s">
        <v>65</v>
      </c>
      <c r="D63" s="41" t="s">
        <v>75</v>
      </c>
      <c r="E63" s="42">
        <v>40</v>
      </c>
      <c r="F63" s="42">
        <v>3612.5399999999986</v>
      </c>
      <c r="G63" s="42">
        <v>1992.2000000000003</v>
      </c>
      <c r="H63" s="42">
        <v>5875.2199999999993</v>
      </c>
      <c r="I63" s="42">
        <v>11479.960000000001</v>
      </c>
      <c r="L63" s="40">
        <v>202011</v>
      </c>
      <c r="M63" s="41" t="s">
        <v>112</v>
      </c>
      <c r="N63" s="41" t="str">
        <f t="shared" si="0"/>
        <v>98951</v>
      </c>
      <c r="O63" s="41" t="str">
        <f t="shared" si="1"/>
        <v>COM</v>
      </c>
      <c r="P63" s="42">
        <v>282.52000000000004</v>
      </c>
      <c r="Q63" s="42">
        <v>11.85</v>
      </c>
      <c r="R63" s="42">
        <v>603.04</v>
      </c>
      <c r="S63" s="42">
        <v>897.41000000000008</v>
      </c>
    </row>
    <row r="64" spans="2:19" ht="16" x14ac:dyDescent="0.2">
      <c r="B64" s="40">
        <v>202010</v>
      </c>
      <c r="C64" s="41" t="s">
        <v>66</v>
      </c>
      <c r="D64" s="41" t="s">
        <v>75</v>
      </c>
      <c r="E64" s="42">
        <v>6</v>
      </c>
      <c r="F64" s="42">
        <v>725.36999999999989</v>
      </c>
      <c r="G64" s="42">
        <v>551.17999999999995</v>
      </c>
      <c r="H64" s="42">
        <v>1037.53</v>
      </c>
      <c r="I64" s="42">
        <v>2314.08</v>
      </c>
      <c r="L64" s="40">
        <v>202011</v>
      </c>
      <c r="M64" s="41" t="s">
        <v>106</v>
      </c>
      <c r="N64" s="41" t="str">
        <f t="shared" si="0"/>
        <v>98951</v>
      </c>
      <c r="O64" s="41" t="str">
        <f t="shared" si="1"/>
        <v>RES</v>
      </c>
      <c r="P64" s="42">
        <v>19572.460000000003</v>
      </c>
      <c r="Q64" s="42">
        <v>19788.89999999998</v>
      </c>
      <c r="R64" s="42">
        <v>131011.47999999997</v>
      </c>
      <c r="S64" s="42">
        <v>170372.84000000003</v>
      </c>
    </row>
    <row r="65" spans="2:19" ht="32" x14ac:dyDescent="0.2">
      <c r="B65" s="40">
        <v>202010</v>
      </c>
      <c r="C65" s="41" t="s">
        <v>67</v>
      </c>
      <c r="D65" s="41" t="s">
        <v>75</v>
      </c>
      <c r="E65" s="42">
        <v>54</v>
      </c>
      <c r="F65" s="42">
        <v>1888.8899999999999</v>
      </c>
      <c r="G65" s="42">
        <v>5639.7599999999993</v>
      </c>
      <c r="H65" s="42">
        <v>9835.92</v>
      </c>
      <c r="I65" s="42">
        <v>17364.570000000003</v>
      </c>
      <c r="L65" s="40">
        <v>202011</v>
      </c>
      <c r="M65" s="41" t="s">
        <v>144</v>
      </c>
      <c r="N65" s="41" t="str">
        <f t="shared" si="0"/>
        <v>98952</v>
      </c>
      <c r="O65" s="41" t="str">
        <f t="shared" si="1"/>
        <v>COM</v>
      </c>
      <c r="P65" s="42">
        <v>35.39</v>
      </c>
      <c r="Q65" s="42">
        <v>21.15</v>
      </c>
      <c r="R65" s="42">
        <v>403.58</v>
      </c>
      <c r="S65" s="42">
        <v>460.12</v>
      </c>
    </row>
    <row r="66" spans="2:19" ht="16" x14ac:dyDescent="0.2">
      <c r="B66" s="40">
        <v>202010</v>
      </c>
      <c r="C66" s="41" t="s">
        <v>68</v>
      </c>
      <c r="D66" s="41" t="s">
        <v>75</v>
      </c>
      <c r="E66" s="42">
        <v>102</v>
      </c>
      <c r="F66" s="42">
        <v>8133.4599999999982</v>
      </c>
      <c r="G66" s="42">
        <v>5384.7199999999984</v>
      </c>
      <c r="H66" s="42">
        <v>19272.310000000001</v>
      </c>
      <c r="I66" s="42">
        <v>32790.489999999991</v>
      </c>
      <c r="L66" s="40">
        <v>202011</v>
      </c>
      <c r="M66" s="41" t="s">
        <v>110</v>
      </c>
      <c r="N66" s="41" t="str">
        <f t="shared" si="0"/>
        <v>98952</v>
      </c>
      <c r="O66" s="41" t="str">
        <f t="shared" si="1"/>
        <v>RES</v>
      </c>
      <c r="P66" s="42">
        <v>2339.56</v>
      </c>
      <c r="Q66" s="42">
        <v>2584.9</v>
      </c>
      <c r="R66" s="42">
        <v>15078.490000000002</v>
      </c>
      <c r="S66" s="42">
        <v>20002.95</v>
      </c>
    </row>
    <row r="67" spans="2:19" ht="16" x14ac:dyDescent="0.2">
      <c r="B67" s="40">
        <v>202010</v>
      </c>
      <c r="C67" s="41" t="s">
        <v>69</v>
      </c>
      <c r="D67" s="41" t="s">
        <v>75</v>
      </c>
      <c r="E67" s="42">
        <v>2246</v>
      </c>
      <c r="F67" s="42">
        <v>177511.1300000003</v>
      </c>
      <c r="G67" s="42">
        <v>105231.83000000003</v>
      </c>
      <c r="H67" s="42">
        <v>261297.57999999987</v>
      </c>
      <c r="I67" s="42">
        <v>544040.53999999922</v>
      </c>
      <c r="L67" s="40">
        <v>202011</v>
      </c>
      <c r="M67" s="41" t="s">
        <v>92</v>
      </c>
      <c r="N67" s="41" t="str">
        <f t="shared" ref="N67:N119" si="2">LEFT(M67,5)</f>
        <v>98953</v>
      </c>
      <c r="O67" s="41" t="str">
        <f t="shared" ref="O67:O119" si="3">RIGHT(M67,3)</f>
        <v>RES</v>
      </c>
      <c r="P67" s="42">
        <v>2360.35</v>
      </c>
      <c r="Q67" s="42">
        <v>2266.2399999999998</v>
      </c>
      <c r="R67" s="42">
        <v>8197.9500000000007</v>
      </c>
      <c r="S67" s="42">
        <v>12824.539999999995</v>
      </c>
    </row>
    <row r="68" spans="2:19" ht="16" x14ac:dyDescent="0.2">
      <c r="B68" s="40">
        <v>202010</v>
      </c>
      <c r="C68" s="41" t="s">
        <v>70</v>
      </c>
      <c r="D68" s="41" t="s">
        <v>75</v>
      </c>
      <c r="E68" s="42">
        <v>7</v>
      </c>
      <c r="F68" s="42">
        <v>0</v>
      </c>
      <c r="G68" s="42">
        <v>538.11999999999989</v>
      </c>
      <c r="H68" s="42">
        <v>1779.5</v>
      </c>
      <c r="I68" s="42">
        <v>2317.62</v>
      </c>
      <c r="L68" s="40">
        <v>202011</v>
      </c>
      <c r="M68" s="41" t="s">
        <v>114</v>
      </c>
      <c r="N68" s="41" t="str">
        <f t="shared" si="2"/>
        <v>99323</v>
      </c>
      <c r="O68" s="41" t="str">
        <f t="shared" si="3"/>
        <v>RES</v>
      </c>
      <c r="P68" s="42">
        <v>509.10999999999996</v>
      </c>
      <c r="Q68" s="42">
        <v>321.5</v>
      </c>
      <c r="R68" s="42">
        <v>2100.08</v>
      </c>
      <c r="S68" s="42">
        <v>2930.6900000000005</v>
      </c>
    </row>
    <row r="69" spans="2:19" ht="16" x14ac:dyDescent="0.2">
      <c r="B69" s="40">
        <v>202011</v>
      </c>
      <c r="C69" s="41" t="s">
        <v>76</v>
      </c>
      <c r="D69" s="41" t="s">
        <v>75</v>
      </c>
      <c r="E69" s="42">
        <v>3</v>
      </c>
      <c r="F69" s="42">
        <v>243.81</v>
      </c>
      <c r="G69" s="42">
        <v>190.02</v>
      </c>
      <c r="H69" s="42">
        <v>80.02</v>
      </c>
      <c r="I69" s="42">
        <v>513.84999999999991</v>
      </c>
      <c r="L69" s="40">
        <v>202011</v>
      </c>
      <c r="M69" s="41" t="s">
        <v>108</v>
      </c>
      <c r="N69" s="41" t="str">
        <f t="shared" si="2"/>
        <v>99324</v>
      </c>
      <c r="O69" s="41" t="str">
        <f t="shared" si="3"/>
        <v>RES</v>
      </c>
      <c r="P69" s="42">
        <v>2798.389999999999</v>
      </c>
      <c r="Q69" s="42">
        <v>2504.86</v>
      </c>
      <c r="R69" s="42">
        <v>11357.62</v>
      </c>
      <c r="S69" s="42">
        <v>16660.869999999995</v>
      </c>
    </row>
    <row r="70" spans="2:19" ht="16" x14ac:dyDescent="0.2">
      <c r="B70" s="40">
        <v>202011</v>
      </c>
      <c r="C70" s="41" t="s">
        <v>35</v>
      </c>
      <c r="D70" s="41" t="s">
        <v>34</v>
      </c>
      <c r="E70" s="42">
        <v>169</v>
      </c>
      <c r="F70" s="42">
        <v>44038.130000000026</v>
      </c>
      <c r="G70" s="42">
        <v>18326.52</v>
      </c>
      <c r="H70" s="42">
        <v>81156.280000000013</v>
      </c>
      <c r="I70" s="42">
        <v>143520.92999999991</v>
      </c>
      <c r="L70" s="40">
        <v>202011</v>
      </c>
      <c r="M70" s="41" t="s">
        <v>102</v>
      </c>
      <c r="N70" s="41" t="str">
        <f t="shared" si="2"/>
        <v>99328</v>
      </c>
      <c r="O70" s="41" t="str">
        <f t="shared" si="3"/>
        <v>RES</v>
      </c>
      <c r="P70" s="42">
        <v>1826.8399999999995</v>
      </c>
      <c r="Q70" s="42">
        <v>1620.9499999999998</v>
      </c>
      <c r="R70" s="42">
        <v>12361.339999999998</v>
      </c>
      <c r="S70" s="42">
        <v>15809.129999999997</v>
      </c>
    </row>
    <row r="71" spans="2:19" ht="16" x14ac:dyDescent="0.2">
      <c r="B71" s="40">
        <v>202011</v>
      </c>
      <c r="C71" s="41" t="s">
        <v>35</v>
      </c>
      <c r="D71" s="41" t="s">
        <v>75</v>
      </c>
      <c r="E71" s="42">
        <v>2170</v>
      </c>
      <c r="F71" s="42">
        <v>113567.25000000009</v>
      </c>
      <c r="G71" s="42">
        <v>123437.62999999999</v>
      </c>
      <c r="H71" s="42">
        <v>558638.24000000046</v>
      </c>
      <c r="I71" s="42">
        <v>795643.12000000011</v>
      </c>
      <c r="L71" s="40">
        <v>202011</v>
      </c>
      <c r="M71" s="41" t="s">
        <v>180</v>
      </c>
      <c r="N71" s="41" t="str">
        <f t="shared" si="2"/>
        <v>99329</v>
      </c>
      <c r="O71" s="41" t="str">
        <f t="shared" si="3"/>
        <v>RES</v>
      </c>
      <c r="P71" s="42">
        <v>0</v>
      </c>
      <c r="Q71" s="42">
        <v>0</v>
      </c>
      <c r="R71" s="42">
        <v>0</v>
      </c>
      <c r="S71" s="42">
        <v>0</v>
      </c>
    </row>
    <row r="72" spans="2:19" ht="32" x14ac:dyDescent="0.2">
      <c r="B72" s="40">
        <v>202011</v>
      </c>
      <c r="C72" s="41" t="s">
        <v>36</v>
      </c>
      <c r="D72" s="41" t="s">
        <v>34</v>
      </c>
      <c r="E72" s="42">
        <v>191</v>
      </c>
      <c r="F72" s="42">
        <v>46614.429999999971</v>
      </c>
      <c r="G72" s="42">
        <v>22713.83</v>
      </c>
      <c r="H72" s="42">
        <v>79876.420000000013</v>
      </c>
      <c r="I72" s="42">
        <v>149204.68000000008</v>
      </c>
      <c r="L72" s="40">
        <v>202011</v>
      </c>
      <c r="M72" s="41" t="s">
        <v>121</v>
      </c>
      <c r="N72" s="41" t="str">
        <f t="shared" si="2"/>
        <v>99347</v>
      </c>
      <c r="O72" s="41" t="str">
        <f t="shared" si="3"/>
        <v>COM</v>
      </c>
      <c r="P72" s="42">
        <v>95.330000000000013</v>
      </c>
      <c r="Q72" s="42">
        <v>0</v>
      </c>
      <c r="R72" s="42">
        <v>0</v>
      </c>
      <c r="S72" s="42">
        <v>95.330000000000013</v>
      </c>
    </row>
    <row r="73" spans="2:19" ht="16" x14ac:dyDescent="0.2">
      <c r="B73" s="40">
        <v>202011</v>
      </c>
      <c r="C73" s="41" t="s">
        <v>36</v>
      </c>
      <c r="D73" s="41" t="s">
        <v>75</v>
      </c>
      <c r="E73" s="42">
        <v>4113</v>
      </c>
      <c r="F73" s="42">
        <v>251721.7299999996</v>
      </c>
      <c r="G73" s="42">
        <v>207405.43000000028</v>
      </c>
      <c r="H73" s="42">
        <v>708523.56000000017</v>
      </c>
      <c r="I73" s="42">
        <v>1167650.7200000035</v>
      </c>
      <c r="L73" s="40">
        <v>202011</v>
      </c>
      <c r="M73" s="41" t="s">
        <v>109</v>
      </c>
      <c r="N73" s="41" t="str">
        <f t="shared" si="2"/>
        <v>99347</v>
      </c>
      <c r="O73" s="41" t="str">
        <f t="shared" si="3"/>
        <v>RES</v>
      </c>
      <c r="P73" s="42">
        <v>700.77</v>
      </c>
      <c r="Q73" s="42">
        <v>601.04999999999995</v>
      </c>
      <c r="R73" s="42">
        <v>3077.45</v>
      </c>
      <c r="S73" s="42">
        <v>4379.2699999999995</v>
      </c>
    </row>
    <row r="74" spans="2:19" ht="16" x14ac:dyDescent="0.2">
      <c r="B74" s="40">
        <v>202011</v>
      </c>
      <c r="C74" s="41" t="s">
        <v>37</v>
      </c>
      <c r="D74" s="41" t="s">
        <v>34</v>
      </c>
      <c r="E74" s="42">
        <v>162</v>
      </c>
      <c r="F74" s="42">
        <v>41463.760000000002</v>
      </c>
      <c r="G74" s="42">
        <v>15371.429999999998</v>
      </c>
      <c r="H74" s="42">
        <v>47568.77</v>
      </c>
      <c r="I74" s="42">
        <v>104403.96000000002</v>
      </c>
      <c r="L74" s="40">
        <v>202011</v>
      </c>
      <c r="M74" s="41" t="s">
        <v>113</v>
      </c>
      <c r="N74" s="41" t="str">
        <f t="shared" si="2"/>
        <v>99348</v>
      </c>
      <c r="O74" s="41" t="str">
        <f t="shared" si="3"/>
        <v>RES</v>
      </c>
      <c r="P74" s="42">
        <v>292.59000000000003</v>
      </c>
      <c r="Q74" s="42">
        <v>317.21999999999997</v>
      </c>
      <c r="R74" s="42">
        <v>967.07</v>
      </c>
      <c r="S74" s="42">
        <v>1576.8799999999999</v>
      </c>
    </row>
    <row r="75" spans="2:19" ht="16" x14ac:dyDescent="0.2">
      <c r="B75" s="40">
        <v>202011</v>
      </c>
      <c r="C75" s="41" t="s">
        <v>37</v>
      </c>
      <c r="D75" s="41" t="s">
        <v>75</v>
      </c>
      <c r="E75" s="42">
        <v>1506</v>
      </c>
      <c r="F75" s="42">
        <v>127734.90999999993</v>
      </c>
      <c r="G75" s="42">
        <v>75750.560000000085</v>
      </c>
      <c r="H75" s="42">
        <v>347061.92000000016</v>
      </c>
      <c r="I75" s="42">
        <v>550547.39000000025</v>
      </c>
      <c r="L75" s="40">
        <v>202011</v>
      </c>
      <c r="M75" s="41" t="s">
        <v>122</v>
      </c>
      <c r="N75" s="41" t="str">
        <f t="shared" si="2"/>
        <v>99350</v>
      </c>
      <c r="O75" s="41" t="str">
        <f t="shared" si="3"/>
        <v>RES</v>
      </c>
      <c r="P75" s="42">
        <v>85.100000000000009</v>
      </c>
      <c r="Q75" s="42">
        <v>67.22</v>
      </c>
      <c r="R75" s="42">
        <v>216.66</v>
      </c>
      <c r="S75" s="42">
        <v>368.97999999999996</v>
      </c>
    </row>
    <row r="76" spans="2:19" ht="16" x14ac:dyDescent="0.2">
      <c r="B76" s="40">
        <v>202011</v>
      </c>
      <c r="C76" s="41" t="s">
        <v>40</v>
      </c>
      <c r="D76" s="41" t="s">
        <v>34</v>
      </c>
      <c r="E76" s="42">
        <v>106</v>
      </c>
      <c r="F76" s="42">
        <v>20962.140000000003</v>
      </c>
      <c r="G76" s="42">
        <v>6375.300000000002</v>
      </c>
      <c r="H76" s="42">
        <v>18074.890000000003</v>
      </c>
      <c r="I76" s="42">
        <v>45412.330000000009</v>
      </c>
      <c r="L76" s="40">
        <v>202011</v>
      </c>
      <c r="M76" s="41" t="s">
        <v>123</v>
      </c>
      <c r="N76" s="41" t="str">
        <f t="shared" si="2"/>
        <v>99360</v>
      </c>
      <c r="O76" s="41" t="str">
        <f t="shared" si="3"/>
        <v>RES</v>
      </c>
      <c r="P76" s="42">
        <v>192.36</v>
      </c>
      <c r="Q76" s="42">
        <v>53.91</v>
      </c>
      <c r="R76" s="42">
        <v>0</v>
      </c>
      <c r="S76" s="42">
        <v>246.26999999999998</v>
      </c>
    </row>
    <row r="77" spans="2:19" ht="16" x14ac:dyDescent="0.2">
      <c r="B77" s="40">
        <v>202011</v>
      </c>
      <c r="C77" s="41" t="s">
        <v>40</v>
      </c>
      <c r="D77" s="41" t="s">
        <v>75</v>
      </c>
      <c r="E77" s="42">
        <v>2557</v>
      </c>
      <c r="F77" s="42">
        <v>185637.37999999951</v>
      </c>
      <c r="G77" s="42">
        <v>139187.3899999999</v>
      </c>
      <c r="H77" s="42">
        <v>416954.06999999972</v>
      </c>
      <c r="I77" s="42">
        <v>741778.83999999915</v>
      </c>
      <c r="L77" s="40">
        <v>202011</v>
      </c>
      <c r="M77" s="41" t="s">
        <v>103</v>
      </c>
      <c r="N77" s="41" t="str">
        <f t="shared" si="2"/>
        <v>99361</v>
      </c>
      <c r="O77" s="41" t="str">
        <f t="shared" si="3"/>
        <v>RES</v>
      </c>
      <c r="P77" s="42">
        <v>429.94</v>
      </c>
      <c r="Q77" s="42">
        <v>558.87</v>
      </c>
      <c r="R77" s="42">
        <v>2756.5600000000004</v>
      </c>
      <c r="S77" s="42">
        <v>3745.37</v>
      </c>
    </row>
    <row r="78" spans="2:19" ht="16" x14ac:dyDescent="0.2">
      <c r="B78" s="40">
        <v>202011</v>
      </c>
      <c r="C78" s="41" t="s">
        <v>42</v>
      </c>
      <c r="D78" s="41" t="s">
        <v>34</v>
      </c>
      <c r="E78" s="42">
        <v>2</v>
      </c>
      <c r="F78" s="42">
        <v>100.96000000000001</v>
      </c>
      <c r="G78" s="42">
        <v>82.45</v>
      </c>
      <c r="H78" s="42">
        <v>214.76</v>
      </c>
      <c r="I78" s="42">
        <v>398.17</v>
      </c>
      <c r="L78" s="40">
        <v>202011</v>
      </c>
      <c r="M78" s="41" t="s">
        <v>93</v>
      </c>
      <c r="N78" s="41" t="str">
        <f t="shared" si="2"/>
        <v>99362</v>
      </c>
      <c r="O78" s="41" t="str">
        <f t="shared" si="3"/>
        <v>RES</v>
      </c>
      <c r="P78" s="42">
        <v>14053.130000000001</v>
      </c>
      <c r="Q78" s="42">
        <v>14250.79000000001</v>
      </c>
      <c r="R78" s="42">
        <v>62767.349999999962</v>
      </c>
      <c r="S78" s="42">
        <v>91071.27</v>
      </c>
    </row>
    <row r="79" spans="2:19" ht="16" x14ac:dyDescent="0.2">
      <c r="B79" s="40">
        <v>202011</v>
      </c>
      <c r="C79" s="41" t="s">
        <v>42</v>
      </c>
      <c r="D79" s="41" t="s">
        <v>75</v>
      </c>
      <c r="E79" s="42">
        <v>68</v>
      </c>
      <c r="F79" s="42">
        <v>3865.6399999999994</v>
      </c>
      <c r="G79" s="42">
        <v>3411.4000000000005</v>
      </c>
      <c r="H79" s="42">
        <v>20934.53</v>
      </c>
      <c r="I79" s="42">
        <v>28211.569999999996</v>
      </c>
      <c r="L79" s="40">
        <v>202011</v>
      </c>
      <c r="M79" s="41" t="s">
        <v>124</v>
      </c>
      <c r="N79" s="41" t="str">
        <f t="shared" si="2"/>
        <v>99363</v>
      </c>
      <c r="O79" s="41" t="str">
        <f t="shared" si="3"/>
        <v>RES</v>
      </c>
      <c r="P79" s="42">
        <v>84.92</v>
      </c>
      <c r="Q79" s="42">
        <v>50.56</v>
      </c>
      <c r="R79" s="42">
        <v>366.11</v>
      </c>
      <c r="S79" s="42">
        <v>501.59</v>
      </c>
    </row>
    <row r="80" spans="2:19" ht="32" x14ac:dyDescent="0.2">
      <c r="B80" s="40">
        <v>202011</v>
      </c>
      <c r="C80" s="41" t="s">
        <v>43</v>
      </c>
      <c r="D80" s="41" t="s">
        <v>34</v>
      </c>
      <c r="E80" s="42">
        <v>5</v>
      </c>
      <c r="F80" s="42">
        <v>72.509999999999991</v>
      </c>
      <c r="G80" s="42">
        <v>63.56</v>
      </c>
      <c r="H80" s="42">
        <v>451.12</v>
      </c>
      <c r="I80" s="42">
        <v>587.18999999999994</v>
      </c>
      <c r="L80" s="40">
        <v>202012</v>
      </c>
      <c r="M80" s="41" t="s">
        <v>104</v>
      </c>
      <c r="N80" s="41" t="str">
        <f t="shared" si="2"/>
        <v>98901</v>
      </c>
      <c r="O80" s="41" t="str">
        <f t="shared" si="3"/>
        <v>COM</v>
      </c>
      <c r="P80" s="42">
        <v>53.83</v>
      </c>
      <c r="Q80" s="42">
        <v>14.85</v>
      </c>
      <c r="R80" s="42">
        <v>287.73</v>
      </c>
      <c r="S80" s="42">
        <v>356.41</v>
      </c>
    </row>
    <row r="81" spans="2:19" ht="16" x14ac:dyDescent="0.2">
      <c r="B81" s="40">
        <v>202011</v>
      </c>
      <c r="C81" s="41" t="s">
        <v>43</v>
      </c>
      <c r="D81" s="41" t="s">
        <v>75</v>
      </c>
      <c r="E81" s="42">
        <v>87</v>
      </c>
      <c r="F81" s="42">
        <v>6317.22</v>
      </c>
      <c r="G81" s="42">
        <v>4924.9700000000012</v>
      </c>
      <c r="H81" s="42">
        <v>16641.039999999997</v>
      </c>
      <c r="I81" s="42">
        <v>27883.230000000003</v>
      </c>
      <c r="L81" s="40">
        <v>202012</v>
      </c>
      <c r="M81" s="41" t="s">
        <v>87</v>
      </c>
      <c r="N81" s="41" t="str">
        <f t="shared" si="2"/>
        <v>98901</v>
      </c>
      <c r="O81" s="41" t="str">
        <f t="shared" si="3"/>
        <v>RES</v>
      </c>
      <c r="P81" s="42">
        <v>26609.290000000005</v>
      </c>
      <c r="Q81" s="42">
        <v>14739.840000000007</v>
      </c>
      <c r="R81" s="42">
        <v>86848.399999999965</v>
      </c>
      <c r="S81" s="42">
        <v>128197.53000000001</v>
      </c>
    </row>
    <row r="82" spans="2:19" ht="32" x14ac:dyDescent="0.2">
      <c r="B82" s="40">
        <v>202011</v>
      </c>
      <c r="C82" s="41" t="s">
        <v>44</v>
      </c>
      <c r="D82" s="41" t="s">
        <v>34</v>
      </c>
      <c r="E82" s="42">
        <v>32</v>
      </c>
      <c r="F82" s="42">
        <v>4425.5599999999995</v>
      </c>
      <c r="G82" s="42">
        <v>4365.54</v>
      </c>
      <c r="H82" s="42">
        <v>17583.609999999997</v>
      </c>
      <c r="I82" s="42">
        <v>26374.710000000003</v>
      </c>
      <c r="L82" s="40">
        <v>202012</v>
      </c>
      <c r="M82" s="41" t="s">
        <v>116</v>
      </c>
      <c r="N82" s="41" t="str">
        <f t="shared" si="2"/>
        <v>98902</v>
      </c>
      <c r="O82" s="41" t="str">
        <f t="shared" si="3"/>
        <v>COM</v>
      </c>
      <c r="P82" s="42">
        <v>184.35</v>
      </c>
      <c r="Q82" s="42">
        <v>82.34</v>
      </c>
      <c r="R82" s="42">
        <v>708.3</v>
      </c>
      <c r="S82" s="42">
        <v>974.99</v>
      </c>
    </row>
    <row r="83" spans="2:19" ht="16" x14ac:dyDescent="0.2">
      <c r="B83" s="40">
        <v>202011</v>
      </c>
      <c r="C83" s="41" t="s">
        <v>44</v>
      </c>
      <c r="D83" s="41" t="s">
        <v>75</v>
      </c>
      <c r="E83" s="42">
        <v>664</v>
      </c>
      <c r="F83" s="42">
        <v>48411.580000000016</v>
      </c>
      <c r="G83" s="42">
        <v>36224.190000000017</v>
      </c>
      <c r="H83" s="42">
        <v>133642.93000000005</v>
      </c>
      <c r="I83" s="42">
        <v>218278.69999999998</v>
      </c>
      <c r="L83" s="40">
        <v>202012</v>
      </c>
      <c r="M83" s="41" t="s">
        <v>88</v>
      </c>
      <c r="N83" s="41" t="str">
        <f t="shared" si="2"/>
        <v>98902</v>
      </c>
      <c r="O83" s="41" t="str">
        <f t="shared" si="3"/>
        <v>RES</v>
      </c>
      <c r="P83" s="42">
        <v>38190.289999999964</v>
      </c>
      <c r="Q83" s="42">
        <v>16218.28000000001</v>
      </c>
      <c r="R83" s="42">
        <v>99953.480000000025</v>
      </c>
      <c r="S83" s="42">
        <v>154362.04999999984</v>
      </c>
    </row>
    <row r="84" spans="2:19" ht="16" x14ac:dyDescent="0.2">
      <c r="B84" s="40">
        <v>202011</v>
      </c>
      <c r="C84" s="41" t="s">
        <v>45</v>
      </c>
      <c r="D84" s="41" t="s">
        <v>34</v>
      </c>
      <c r="E84" s="42">
        <v>15</v>
      </c>
      <c r="F84" s="42">
        <v>4859.2099999999991</v>
      </c>
      <c r="G84" s="42">
        <v>644.61</v>
      </c>
      <c r="H84" s="42">
        <v>5824.23</v>
      </c>
      <c r="I84" s="42">
        <v>11328.050000000001</v>
      </c>
      <c r="L84" s="40">
        <v>202012</v>
      </c>
      <c r="M84" s="41" t="s">
        <v>89</v>
      </c>
      <c r="N84" s="41" t="str">
        <f t="shared" si="2"/>
        <v>98903</v>
      </c>
      <c r="O84" s="41" t="str">
        <f t="shared" si="3"/>
        <v>RES</v>
      </c>
      <c r="P84" s="42">
        <v>20283.559999999994</v>
      </c>
      <c r="Q84" s="42">
        <v>7676.0999999999976</v>
      </c>
      <c r="R84" s="42">
        <v>39103.909999999996</v>
      </c>
      <c r="S84" s="42">
        <v>67063.569999999992</v>
      </c>
    </row>
    <row r="85" spans="2:19" ht="32" x14ac:dyDescent="0.2">
      <c r="B85" s="40">
        <v>202011</v>
      </c>
      <c r="C85" s="41" t="s">
        <v>45</v>
      </c>
      <c r="D85" s="41" t="s">
        <v>75</v>
      </c>
      <c r="E85" s="42">
        <v>398</v>
      </c>
      <c r="F85" s="42">
        <v>25411.469999999983</v>
      </c>
      <c r="G85" s="42">
        <v>21096.390000000007</v>
      </c>
      <c r="H85" s="42">
        <v>78171.190000000017</v>
      </c>
      <c r="I85" s="42">
        <v>124679.04999999996</v>
      </c>
      <c r="L85" s="40">
        <v>202012</v>
      </c>
      <c r="M85" s="41" t="s">
        <v>117</v>
      </c>
      <c r="N85" s="41" t="str">
        <f t="shared" si="2"/>
        <v>98908</v>
      </c>
      <c r="O85" s="41" t="str">
        <f t="shared" si="3"/>
        <v>COM</v>
      </c>
      <c r="P85" s="42">
        <v>111.77</v>
      </c>
      <c r="Q85" s="42">
        <v>59.57</v>
      </c>
      <c r="R85" s="42">
        <v>400.84999999999997</v>
      </c>
      <c r="S85" s="42">
        <v>572.19000000000005</v>
      </c>
    </row>
    <row r="86" spans="2:19" ht="16" x14ac:dyDescent="0.2">
      <c r="B86" s="40">
        <v>202011</v>
      </c>
      <c r="C86" s="41" t="s">
        <v>46</v>
      </c>
      <c r="D86" s="41" t="s">
        <v>34</v>
      </c>
      <c r="E86" s="42">
        <v>5</v>
      </c>
      <c r="F86" s="42">
        <v>1433.48</v>
      </c>
      <c r="G86" s="42">
        <v>688.2</v>
      </c>
      <c r="H86" s="42">
        <v>3122.8199999999997</v>
      </c>
      <c r="I86" s="42">
        <v>5244.5</v>
      </c>
      <c r="L86" s="40">
        <v>202012</v>
      </c>
      <c r="M86" s="41" t="s">
        <v>90</v>
      </c>
      <c r="N86" s="41" t="str">
        <f t="shared" si="2"/>
        <v>98908</v>
      </c>
      <c r="O86" s="41" t="str">
        <f t="shared" si="3"/>
        <v>RES</v>
      </c>
      <c r="P86" s="42">
        <v>9979.24</v>
      </c>
      <c r="Q86" s="42">
        <v>3828.4699999999993</v>
      </c>
      <c r="R86" s="42">
        <v>24507.449999999993</v>
      </c>
      <c r="S86" s="42">
        <v>38315.160000000003</v>
      </c>
    </row>
    <row r="87" spans="2:19" ht="16" x14ac:dyDescent="0.2">
      <c r="B87" s="40">
        <v>202011</v>
      </c>
      <c r="C87" s="41" t="s">
        <v>46</v>
      </c>
      <c r="D87" s="41" t="s">
        <v>75</v>
      </c>
      <c r="E87" s="42">
        <v>45</v>
      </c>
      <c r="F87" s="42">
        <v>3095.59</v>
      </c>
      <c r="G87" s="42">
        <v>2730.95</v>
      </c>
      <c r="H87" s="42">
        <v>17871.239999999998</v>
      </c>
      <c r="I87" s="42">
        <v>23697.78</v>
      </c>
      <c r="L87" s="40">
        <v>202012</v>
      </c>
      <c r="M87" s="41" t="s">
        <v>118</v>
      </c>
      <c r="N87" s="41" t="str">
        <f t="shared" si="2"/>
        <v>98921</v>
      </c>
      <c r="O87" s="41" t="str">
        <f t="shared" si="3"/>
        <v>RES</v>
      </c>
      <c r="P87" s="42">
        <v>2717.0099999999998</v>
      </c>
      <c r="Q87" s="42">
        <v>1039.5199999999998</v>
      </c>
      <c r="R87" s="42">
        <v>5623.8100000000013</v>
      </c>
      <c r="S87" s="42">
        <v>9380.34</v>
      </c>
    </row>
    <row r="88" spans="2:19" ht="16" x14ac:dyDescent="0.2">
      <c r="B88" s="40">
        <v>202011</v>
      </c>
      <c r="C88" s="41" t="s">
        <v>47</v>
      </c>
      <c r="D88" s="41" t="s">
        <v>34</v>
      </c>
      <c r="E88" s="42">
        <v>8</v>
      </c>
      <c r="F88" s="42">
        <v>1225.19</v>
      </c>
      <c r="G88" s="42">
        <v>173.14</v>
      </c>
      <c r="H88" s="42">
        <v>1501.25</v>
      </c>
      <c r="I88" s="42">
        <v>2899.58</v>
      </c>
      <c r="L88" s="40">
        <v>202012</v>
      </c>
      <c r="M88" s="41" t="s">
        <v>111</v>
      </c>
      <c r="N88" s="41" t="str">
        <f t="shared" si="2"/>
        <v>98923</v>
      </c>
      <c r="O88" s="41" t="str">
        <f t="shared" si="3"/>
        <v>RES</v>
      </c>
      <c r="P88" s="42">
        <v>419.3</v>
      </c>
      <c r="Q88" s="42">
        <v>218.34</v>
      </c>
      <c r="R88" s="42">
        <v>353.38</v>
      </c>
      <c r="S88" s="42">
        <v>991.02</v>
      </c>
    </row>
    <row r="89" spans="2:19" ht="16" x14ac:dyDescent="0.2">
      <c r="B89" s="40">
        <v>202011</v>
      </c>
      <c r="C89" s="41" t="s">
        <v>47</v>
      </c>
      <c r="D89" s="41" t="s">
        <v>75</v>
      </c>
      <c r="E89" s="42">
        <v>240</v>
      </c>
      <c r="F89" s="42">
        <v>21234.709999999995</v>
      </c>
      <c r="G89" s="42">
        <v>11883.399999999994</v>
      </c>
      <c r="H89" s="42">
        <v>58089.17</v>
      </c>
      <c r="I89" s="42">
        <v>91207.280000000042</v>
      </c>
      <c r="L89" s="40">
        <v>202012</v>
      </c>
      <c r="M89" s="41" t="s">
        <v>96</v>
      </c>
      <c r="N89" s="41" t="str">
        <f t="shared" si="2"/>
        <v>98930</v>
      </c>
      <c r="O89" s="41" t="str">
        <f t="shared" si="3"/>
        <v>RES</v>
      </c>
      <c r="P89" s="42">
        <v>2412.4699999999998</v>
      </c>
      <c r="Q89" s="42">
        <v>7564.3799999999983</v>
      </c>
      <c r="R89" s="42">
        <v>20767.139999999992</v>
      </c>
      <c r="S89" s="42">
        <v>30743.990000000009</v>
      </c>
    </row>
    <row r="90" spans="2:19" ht="16" x14ac:dyDescent="0.2">
      <c r="B90" s="40">
        <v>202011</v>
      </c>
      <c r="C90" s="41" t="s">
        <v>48</v>
      </c>
      <c r="D90" s="41" t="s">
        <v>34</v>
      </c>
      <c r="E90" s="42">
        <v>17</v>
      </c>
      <c r="F90" s="42">
        <v>8551.4500000000007</v>
      </c>
      <c r="G90" s="42">
        <v>3268.28</v>
      </c>
      <c r="H90" s="42">
        <v>6747.2199999999993</v>
      </c>
      <c r="I90" s="42">
        <v>18566.949999999997</v>
      </c>
      <c r="L90" s="40">
        <v>202012</v>
      </c>
      <c r="M90" s="41" t="s">
        <v>94</v>
      </c>
      <c r="N90" s="41" t="str">
        <f t="shared" si="2"/>
        <v>98932</v>
      </c>
      <c r="O90" s="41" t="str">
        <f t="shared" si="3"/>
        <v>RES</v>
      </c>
      <c r="P90" s="42">
        <v>5580.0399999999991</v>
      </c>
      <c r="Q90" s="42">
        <v>2209.36</v>
      </c>
      <c r="R90" s="42">
        <v>9051.1400000000012</v>
      </c>
      <c r="S90" s="42">
        <v>16840.540000000005</v>
      </c>
    </row>
    <row r="91" spans="2:19" ht="16" x14ac:dyDescent="0.2">
      <c r="B91" s="40">
        <v>202011</v>
      </c>
      <c r="C91" s="41" t="s">
        <v>48</v>
      </c>
      <c r="D91" s="41" t="s">
        <v>75</v>
      </c>
      <c r="E91" s="42">
        <v>335</v>
      </c>
      <c r="F91" s="42">
        <v>25841.480000000003</v>
      </c>
      <c r="G91" s="42">
        <v>20488.250000000004</v>
      </c>
      <c r="H91" s="42">
        <v>92223.5</v>
      </c>
      <c r="I91" s="42">
        <v>138553.22999999992</v>
      </c>
      <c r="L91" s="40">
        <v>202012</v>
      </c>
      <c r="M91" s="41" t="s">
        <v>95</v>
      </c>
      <c r="N91" s="41" t="str">
        <f t="shared" si="2"/>
        <v>98933</v>
      </c>
      <c r="O91" s="41" t="str">
        <f t="shared" si="3"/>
        <v>RES</v>
      </c>
      <c r="P91" s="42">
        <v>1132.77</v>
      </c>
      <c r="Q91" s="42">
        <v>697.68999999999994</v>
      </c>
      <c r="R91" s="42">
        <v>4072.2400000000002</v>
      </c>
      <c r="S91" s="42">
        <v>5902.6999999999989</v>
      </c>
    </row>
    <row r="92" spans="2:19" ht="16" x14ac:dyDescent="0.2">
      <c r="B92" s="40">
        <v>202011</v>
      </c>
      <c r="C92" s="41" t="s">
        <v>49</v>
      </c>
      <c r="D92" s="41" t="s">
        <v>34</v>
      </c>
      <c r="E92" s="42">
        <v>30</v>
      </c>
      <c r="F92" s="42">
        <v>3054.4400000000005</v>
      </c>
      <c r="G92" s="42">
        <v>1915.2900000000002</v>
      </c>
      <c r="H92" s="42">
        <v>3575.3599999999997</v>
      </c>
      <c r="I92" s="42">
        <v>8545.09</v>
      </c>
      <c r="L92" s="40">
        <v>202012</v>
      </c>
      <c r="M92" s="41" t="s">
        <v>97</v>
      </c>
      <c r="N92" s="41" t="str">
        <f t="shared" si="2"/>
        <v>98935</v>
      </c>
      <c r="O92" s="41" t="str">
        <f t="shared" si="3"/>
        <v>RES</v>
      </c>
      <c r="P92" s="42">
        <v>6761.4199999999992</v>
      </c>
      <c r="Q92" s="42">
        <v>2238.33</v>
      </c>
      <c r="R92" s="42">
        <v>9052.6200000000008</v>
      </c>
      <c r="S92" s="42">
        <v>18052.369999999995</v>
      </c>
    </row>
    <row r="93" spans="2:19" ht="16" x14ac:dyDescent="0.2">
      <c r="B93" s="40">
        <v>202011</v>
      </c>
      <c r="C93" s="41" t="s">
        <v>49</v>
      </c>
      <c r="D93" s="41" t="s">
        <v>75</v>
      </c>
      <c r="E93" s="42">
        <v>258</v>
      </c>
      <c r="F93" s="42">
        <v>19245.550000000007</v>
      </c>
      <c r="G93" s="42">
        <v>14914.099999999995</v>
      </c>
      <c r="H93" s="42">
        <v>42998.170000000006</v>
      </c>
      <c r="I93" s="42">
        <v>77157.820000000022</v>
      </c>
      <c r="L93" s="40">
        <v>202012</v>
      </c>
      <c r="M93" s="41" t="s">
        <v>98</v>
      </c>
      <c r="N93" s="41" t="str">
        <f t="shared" si="2"/>
        <v>98936</v>
      </c>
      <c r="O93" s="41" t="str">
        <f t="shared" si="3"/>
        <v>RES</v>
      </c>
      <c r="P93" s="42">
        <v>0</v>
      </c>
      <c r="Q93" s="42">
        <v>769.32</v>
      </c>
      <c r="R93" s="42">
        <v>2510.02</v>
      </c>
      <c r="S93" s="42">
        <v>3279.3399999999997</v>
      </c>
    </row>
    <row r="94" spans="2:19" ht="16" x14ac:dyDescent="0.2">
      <c r="B94" s="40">
        <v>202011</v>
      </c>
      <c r="C94" s="41" t="s">
        <v>50</v>
      </c>
      <c r="D94" s="41" t="s">
        <v>34</v>
      </c>
      <c r="E94" s="42">
        <v>21</v>
      </c>
      <c r="F94" s="42">
        <v>29849.54</v>
      </c>
      <c r="G94" s="42">
        <v>4618.8300000000008</v>
      </c>
      <c r="H94" s="42">
        <v>5583.17</v>
      </c>
      <c r="I94" s="42">
        <v>40051.54</v>
      </c>
      <c r="L94" s="40">
        <v>202012</v>
      </c>
      <c r="M94" s="41" t="s">
        <v>107</v>
      </c>
      <c r="N94" s="41" t="str">
        <f t="shared" si="2"/>
        <v>98937</v>
      </c>
      <c r="O94" s="41" t="str">
        <f t="shared" si="3"/>
        <v>RES</v>
      </c>
      <c r="P94" s="42">
        <v>1279.57</v>
      </c>
      <c r="Q94" s="42">
        <v>604.04</v>
      </c>
      <c r="R94" s="42">
        <v>1994.1000000000001</v>
      </c>
      <c r="S94" s="42">
        <v>3877.71</v>
      </c>
    </row>
    <row r="95" spans="2:19" ht="16" x14ac:dyDescent="0.2">
      <c r="B95" s="40">
        <v>202011</v>
      </c>
      <c r="C95" s="41" t="s">
        <v>50</v>
      </c>
      <c r="D95" s="41" t="s">
        <v>75</v>
      </c>
      <c r="E95" s="42">
        <v>131</v>
      </c>
      <c r="F95" s="42">
        <v>11310.149999999996</v>
      </c>
      <c r="G95" s="42">
        <v>9113.0999999999985</v>
      </c>
      <c r="H95" s="42">
        <v>38212.379999999997</v>
      </c>
      <c r="I95" s="42">
        <v>58635.630000000026</v>
      </c>
      <c r="L95" s="40">
        <v>202012</v>
      </c>
      <c r="M95" s="41" t="s">
        <v>105</v>
      </c>
      <c r="N95" s="41" t="str">
        <f t="shared" si="2"/>
        <v>98938</v>
      </c>
      <c r="O95" s="41" t="str">
        <f t="shared" si="3"/>
        <v>RES</v>
      </c>
      <c r="P95" s="42">
        <v>2371.6800000000003</v>
      </c>
      <c r="Q95" s="42">
        <v>756.62000000000012</v>
      </c>
      <c r="R95" s="42">
        <v>3497.92</v>
      </c>
      <c r="S95" s="42">
        <v>6626.2199999999993</v>
      </c>
    </row>
    <row r="96" spans="2:19" ht="32" x14ac:dyDescent="0.2">
      <c r="B96" s="40">
        <v>202011</v>
      </c>
      <c r="C96" s="41" t="s">
        <v>51</v>
      </c>
      <c r="D96" s="41" t="s">
        <v>34</v>
      </c>
      <c r="E96" s="42">
        <v>1</v>
      </c>
      <c r="F96" s="42">
        <v>125.74</v>
      </c>
      <c r="G96" s="42">
        <v>134.57</v>
      </c>
      <c r="H96" s="42">
        <v>215.02</v>
      </c>
      <c r="I96" s="42">
        <v>475.33</v>
      </c>
      <c r="L96" s="40">
        <v>202012</v>
      </c>
      <c r="M96" s="41" t="s">
        <v>79</v>
      </c>
      <c r="N96" s="41" t="str">
        <f t="shared" si="2"/>
        <v>98939</v>
      </c>
      <c r="O96" s="41" t="str">
        <f t="shared" si="3"/>
        <v>COM</v>
      </c>
      <c r="P96" s="42">
        <v>0</v>
      </c>
      <c r="Q96" s="42">
        <v>0</v>
      </c>
      <c r="R96" s="42">
        <v>0</v>
      </c>
      <c r="S96" s="42">
        <v>0</v>
      </c>
    </row>
    <row r="97" spans="2:19" ht="16" x14ac:dyDescent="0.2">
      <c r="B97" s="40">
        <v>202011</v>
      </c>
      <c r="C97" s="41" t="s">
        <v>51</v>
      </c>
      <c r="D97" s="41" t="s">
        <v>75</v>
      </c>
      <c r="E97" s="42">
        <v>20</v>
      </c>
      <c r="F97" s="42">
        <v>1765.61</v>
      </c>
      <c r="G97" s="42">
        <v>1491.1899999999998</v>
      </c>
      <c r="H97" s="42">
        <v>8297.23</v>
      </c>
      <c r="I97" s="42">
        <v>11554.03</v>
      </c>
      <c r="L97" s="40">
        <v>202012</v>
      </c>
      <c r="M97" s="41" t="s">
        <v>119</v>
      </c>
      <c r="N97" s="41" t="str">
        <f t="shared" si="2"/>
        <v>98939</v>
      </c>
      <c r="O97" s="41" t="str">
        <f t="shared" si="3"/>
        <v>RES</v>
      </c>
      <c r="P97" s="42">
        <v>0</v>
      </c>
      <c r="Q97" s="42">
        <v>283.95999999999998</v>
      </c>
      <c r="R97" s="42">
        <v>350.34</v>
      </c>
      <c r="S97" s="42">
        <v>634.29999999999995</v>
      </c>
    </row>
    <row r="98" spans="2:19" ht="16" x14ac:dyDescent="0.2">
      <c r="B98" s="40">
        <v>202011</v>
      </c>
      <c r="C98" s="41" t="s">
        <v>52</v>
      </c>
      <c r="D98" s="41" t="s">
        <v>34</v>
      </c>
      <c r="E98" s="42">
        <v>63</v>
      </c>
      <c r="F98" s="42">
        <v>52894.820000000014</v>
      </c>
      <c r="G98" s="42">
        <v>8398.2999999999975</v>
      </c>
      <c r="H98" s="42">
        <v>24354.1</v>
      </c>
      <c r="I98" s="42">
        <v>85647.219999999972</v>
      </c>
      <c r="L98" s="40">
        <v>202012</v>
      </c>
      <c r="M98" s="41" t="s">
        <v>99</v>
      </c>
      <c r="N98" s="41" t="str">
        <f t="shared" si="2"/>
        <v>98942</v>
      </c>
      <c r="O98" s="41" t="str">
        <f t="shared" si="3"/>
        <v>RES</v>
      </c>
      <c r="P98" s="42">
        <v>3151.59</v>
      </c>
      <c r="Q98" s="42">
        <v>1945.2599999999993</v>
      </c>
      <c r="R98" s="42">
        <v>13649.099999999997</v>
      </c>
      <c r="S98" s="42">
        <v>18745.95</v>
      </c>
    </row>
    <row r="99" spans="2:19" ht="16" x14ac:dyDescent="0.2">
      <c r="B99" s="40">
        <v>202011</v>
      </c>
      <c r="C99" s="41" t="s">
        <v>52</v>
      </c>
      <c r="D99" s="41" t="s">
        <v>75</v>
      </c>
      <c r="E99" s="42">
        <v>1076</v>
      </c>
      <c r="F99" s="42">
        <v>82705.520000000033</v>
      </c>
      <c r="G99" s="42">
        <v>69707.85000000002</v>
      </c>
      <c r="H99" s="42">
        <v>236135.28999999998</v>
      </c>
      <c r="I99" s="42">
        <v>388548.65999999945</v>
      </c>
      <c r="L99" s="40">
        <v>202012</v>
      </c>
      <c r="M99" s="41" t="s">
        <v>91</v>
      </c>
      <c r="N99" s="41" t="str">
        <f t="shared" si="2"/>
        <v>98944</v>
      </c>
      <c r="O99" s="41" t="str">
        <f t="shared" si="3"/>
        <v>RES</v>
      </c>
      <c r="P99" s="42">
        <v>17037.169999999998</v>
      </c>
      <c r="Q99" s="42">
        <v>7898.3899999999967</v>
      </c>
      <c r="R99" s="42">
        <v>43794.14999999998</v>
      </c>
      <c r="S99" s="42">
        <v>68729.710000000021</v>
      </c>
    </row>
    <row r="100" spans="2:19" ht="16" x14ac:dyDescent="0.2">
      <c r="B100" s="40">
        <v>202011</v>
      </c>
      <c r="C100" s="41" t="s">
        <v>53</v>
      </c>
      <c r="D100" s="41" t="s">
        <v>34</v>
      </c>
      <c r="E100" s="42">
        <v>116</v>
      </c>
      <c r="F100" s="42">
        <v>26300.420000000009</v>
      </c>
      <c r="G100" s="42">
        <v>18654.450000000008</v>
      </c>
      <c r="H100" s="42">
        <v>70179.19</v>
      </c>
      <c r="I100" s="42">
        <v>115134.06000000007</v>
      </c>
      <c r="L100" s="40">
        <v>202012</v>
      </c>
      <c r="M100" s="41" t="s">
        <v>100</v>
      </c>
      <c r="N100" s="41" t="str">
        <f t="shared" si="2"/>
        <v>98947</v>
      </c>
      <c r="O100" s="41" t="str">
        <f t="shared" si="3"/>
        <v>RES</v>
      </c>
      <c r="P100" s="42">
        <v>1521.2099999999996</v>
      </c>
      <c r="Q100" s="42">
        <v>955.94</v>
      </c>
      <c r="R100" s="42">
        <v>6052.5199999999995</v>
      </c>
      <c r="S100" s="42">
        <v>8529.67</v>
      </c>
    </row>
    <row r="101" spans="2:19" ht="32" x14ac:dyDescent="0.2">
      <c r="B101" s="40">
        <v>202011</v>
      </c>
      <c r="C101" s="41" t="s">
        <v>53</v>
      </c>
      <c r="D101" s="41" t="s">
        <v>75</v>
      </c>
      <c r="E101" s="42">
        <v>1354</v>
      </c>
      <c r="F101" s="42">
        <v>86259.770000000048</v>
      </c>
      <c r="G101" s="42">
        <v>75700.089999999938</v>
      </c>
      <c r="H101" s="42">
        <v>235883.47000000006</v>
      </c>
      <c r="I101" s="42">
        <v>397843.33000000042</v>
      </c>
      <c r="L101" s="40">
        <v>202012</v>
      </c>
      <c r="M101" s="41" t="s">
        <v>120</v>
      </c>
      <c r="N101" s="41" t="str">
        <f t="shared" si="2"/>
        <v>98948</v>
      </c>
      <c r="O101" s="41" t="str">
        <f t="shared" si="3"/>
        <v>COM</v>
      </c>
      <c r="P101" s="42">
        <v>5188.2799999999988</v>
      </c>
      <c r="Q101" s="42">
        <v>3608.29</v>
      </c>
      <c r="R101" s="42">
        <v>6553.9</v>
      </c>
      <c r="S101" s="42">
        <v>15350.470000000003</v>
      </c>
    </row>
    <row r="102" spans="2:19" ht="16" x14ac:dyDescent="0.2">
      <c r="B102" s="40">
        <v>202011</v>
      </c>
      <c r="C102" s="41" t="s">
        <v>54</v>
      </c>
      <c r="D102" s="41" t="s">
        <v>34</v>
      </c>
      <c r="E102" s="42">
        <v>13</v>
      </c>
      <c r="F102" s="42">
        <v>1791.42</v>
      </c>
      <c r="G102" s="42">
        <v>2074.87</v>
      </c>
      <c r="H102" s="42">
        <v>4235.09</v>
      </c>
      <c r="I102" s="42">
        <v>8101.38</v>
      </c>
      <c r="L102" s="40">
        <v>202012</v>
      </c>
      <c r="M102" s="41" t="s">
        <v>101</v>
      </c>
      <c r="N102" s="41" t="str">
        <f t="shared" si="2"/>
        <v>98948</v>
      </c>
      <c r="O102" s="41" t="str">
        <f t="shared" si="3"/>
        <v>RES</v>
      </c>
      <c r="P102" s="42">
        <v>32902.47</v>
      </c>
      <c r="Q102" s="42">
        <v>13498.68</v>
      </c>
      <c r="R102" s="42">
        <v>71458.190000000031</v>
      </c>
      <c r="S102" s="42">
        <v>117859.34</v>
      </c>
    </row>
    <row r="103" spans="2:19" ht="32" x14ac:dyDescent="0.2">
      <c r="B103" s="40">
        <v>202011</v>
      </c>
      <c r="C103" s="41" t="s">
        <v>54</v>
      </c>
      <c r="D103" s="41" t="s">
        <v>75</v>
      </c>
      <c r="E103" s="42">
        <v>214</v>
      </c>
      <c r="F103" s="42">
        <v>16062.289999999997</v>
      </c>
      <c r="G103" s="42">
        <v>12760.259999999998</v>
      </c>
      <c r="H103" s="42">
        <v>52378.58</v>
      </c>
      <c r="I103" s="42">
        <v>81201.129999999976</v>
      </c>
      <c r="L103" s="40">
        <v>202012</v>
      </c>
      <c r="M103" s="41" t="s">
        <v>112</v>
      </c>
      <c r="N103" s="41" t="str">
        <f t="shared" si="2"/>
        <v>98951</v>
      </c>
      <c r="O103" s="41" t="str">
        <f t="shared" si="3"/>
        <v>COM</v>
      </c>
      <c r="P103" s="42">
        <v>417.96000000000004</v>
      </c>
      <c r="Q103" s="42">
        <v>113.69</v>
      </c>
      <c r="R103" s="42">
        <v>614.89</v>
      </c>
      <c r="S103" s="42">
        <v>1146.54</v>
      </c>
    </row>
    <row r="104" spans="2:19" ht="16" x14ac:dyDescent="0.2">
      <c r="B104" s="40">
        <v>202011</v>
      </c>
      <c r="C104" s="41" t="s">
        <v>55</v>
      </c>
      <c r="D104" s="41" t="s">
        <v>34</v>
      </c>
      <c r="E104" s="42">
        <v>115</v>
      </c>
      <c r="F104" s="42">
        <v>16836.060000000009</v>
      </c>
      <c r="G104" s="42">
        <v>15620.499999999996</v>
      </c>
      <c r="H104" s="42">
        <v>36435.929999999993</v>
      </c>
      <c r="I104" s="42">
        <v>68892.49000000002</v>
      </c>
      <c r="L104" s="40">
        <v>202012</v>
      </c>
      <c r="M104" s="41" t="s">
        <v>106</v>
      </c>
      <c r="N104" s="41" t="str">
        <f t="shared" si="2"/>
        <v>98951</v>
      </c>
      <c r="O104" s="41" t="str">
        <f t="shared" si="3"/>
        <v>RES</v>
      </c>
      <c r="P104" s="42">
        <v>19350.419999999991</v>
      </c>
      <c r="Q104" s="42">
        <v>19277.689999999999</v>
      </c>
      <c r="R104" s="42">
        <v>142248.97999999992</v>
      </c>
      <c r="S104" s="42">
        <v>180877.09000000008</v>
      </c>
    </row>
    <row r="105" spans="2:19" ht="32" x14ac:dyDescent="0.2">
      <c r="B105" s="40">
        <v>202011</v>
      </c>
      <c r="C105" s="41" t="s">
        <v>55</v>
      </c>
      <c r="D105" s="41" t="s">
        <v>75</v>
      </c>
      <c r="E105" s="42">
        <v>921</v>
      </c>
      <c r="F105" s="42">
        <v>73212.950000000026</v>
      </c>
      <c r="G105" s="42">
        <v>47544.420000000006</v>
      </c>
      <c r="H105" s="42">
        <v>191171.98000000004</v>
      </c>
      <c r="I105" s="42">
        <v>311929.34999999998</v>
      </c>
      <c r="L105" s="40">
        <v>202012</v>
      </c>
      <c r="M105" s="41" t="s">
        <v>144</v>
      </c>
      <c r="N105" s="41" t="str">
        <f t="shared" si="2"/>
        <v>98952</v>
      </c>
      <c r="O105" s="41" t="str">
        <f t="shared" si="3"/>
        <v>COM</v>
      </c>
      <c r="P105" s="42">
        <v>111.91</v>
      </c>
      <c r="Q105" s="42">
        <v>35.39</v>
      </c>
      <c r="R105" s="42">
        <v>263.3</v>
      </c>
      <c r="S105" s="42">
        <v>410.6</v>
      </c>
    </row>
    <row r="106" spans="2:19" ht="16" x14ac:dyDescent="0.2">
      <c r="B106" s="40">
        <v>202011</v>
      </c>
      <c r="C106" s="41" t="s">
        <v>56</v>
      </c>
      <c r="D106" s="41" t="s">
        <v>34</v>
      </c>
      <c r="E106" s="42">
        <v>70</v>
      </c>
      <c r="F106" s="42">
        <v>15220.210000000003</v>
      </c>
      <c r="G106" s="42">
        <v>6193.47</v>
      </c>
      <c r="H106" s="42">
        <v>9419.19</v>
      </c>
      <c r="I106" s="42">
        <v>30832.869999999995</v>
      </c>
      <c r="L106" s="40">
        <v>202012</v>
      </c>
      <c r="M106" s="41" t="s">
        <v>110</v>
      </c>
      <c r="N106" s="41" t="str">
        <f t="shared" si="2"/>
        <v>98952</v>
      </c>
      <c r="O106" s="41" t="str">
        <f t="shared" si="3"/>
        <v>RES</v>
      </c>
      <c r="P106" s="42">
        <v>3946.3900000000003</v>
      </c>
      <c r="Q106" s="42">
        <v>2134.9900000000002</v>
      </c>
      <c r="R106" s="42">
        <v>16112.55</v>
      </c>
      <c r="S106" s="42">
        <v>22193.93</v>
      </c>
    </row>
    <row r="107" spans="2:19" ht="16" x14ac:dyDescent="0.2">
      <c r="B107" s="40">
        <v>202011</v>
      </c>
      <c r="C107" s="41" t="s">
        <v>56</v>
      </c>
      <c r="D107" s="41" t="s">
        <v>75</v>
      </c>
      <c r="E107" s="42">
        <v>844</v>
      </c>
      <c r="F107" s="42">
        <v>69474.129999999932</v>
      </c>
      <c r="G107" s="42">
        <v>64389.489999999983</v>
      </c>
      <c r="H107" s="42">
        <v>274327.51000000013</v>
      </c>
      <c r="I107" s="42">
        <v>408191.13000000047</v>
      </c>
      <c r="L107" s="40">
        <v>202012</v>
      </c>
      <c r="M107" s="41" t="s">
        <v>92</v>
      </c>
      <c r="N107" s="41" t="str">
        <f t="shared" si="2"/>
        <v>98953</v>
      </c>
      <c r="O107" s="41" t="str">
        <f t="shared" si="3"/>
        <v>RES</v>
      </c>
      <c r="P107" s="42">
        <v>4513.6899999999996</v>
      </c>
      <c r="Q107" s="42">
        <v>1787.3699999999997</v>
      </c>
      <c r="R107" s="42">
        <v>8860.51</v>
      </c>
      <c r="S107" s="42">
        <v>15161.570000000005</v>
      </c>
    </row>
    <row r="108" spans="2:19" ht="16" x14ac:dyDescent="0.2">
      <c r="B108" s="40">
        <v>202011</v>
      </c>
      <c r="C108" s="41" t="s">
        <v>57</v>
      </c>
      <c r="D108" s="41" t="s">
        <v>34</v>
      </c>
      <c r="E108" s="42">
        <v>2</v>
      </c>
      <c r="F108" s="42">
        <v>132.41</v>
      </c>
      <c r="G108" s="42">
        <v>21.15</v>
      </c>
      <c r="H108" s="42">
        <v>403.58</v>
      </c>
      <c r="I108" s="42">
        <v>557.14</v>
      </c>
      <c r="L108" s="40">
        <v>202012</v>
      </c>
      <c r="M108" s="41" t="s">
        <v>114</v>
      </c>
      <c r="N108" s="41" t="str">
        <f t="shared" si="2"/>
        <v>99323</v>
      </c>
      <c r="O108" s="41" t="str">
        <f t="shared" si="3"/>
        <v>RES</v>
      </c>
      <c r="P108" s="42">
        <v>530.6</v>
      </c>
      <c r="Q108" s="42">
        <v>341.14</v>
      </c>
      <c r="R108" s="42">
        <v>2036.21</v>
      </c>
      <c r="S108" s="42">
        <v>2907.9500000000003</v>
      </c>
    </row>
    <row r="109" spans="2:19" ht="16" x14ac:dyDescent="0.2">
      <c r="B109" s="40">
        <v>202011</v>
      </c>
      <c r="C109" s="41" t="s">
        <v>57</v>
      </c>
      <c r="D109" s="41" t="s">
        <v>75</v>
      </c>
      <c r="E109" s="42">
        <v>64</v>
      </c>
      <c r="F109" s="42">
        <v>4867.4399999999996</v>
      </c>
      <c r="G109" s="42">
        <v>5075.0600000000013</v>
      </c>
      <c r="H109" s="42">
        <v>30641.82</v>
      </c>
      <c r="I109" s="42">
        <v>40584.320000000029</v>
      </c>
      <c r="L109" s="40">
        <v>202012</v>
      </c>
      <c r="M109" s="41" t="s">
        <v>108</v>
      </c>
      <c r="N109" s="41" t="str">
        <f t="shared" si="2"/>
        <v>99324</v>
      </c>
      <c r="O109" s="41" t="str">
        <f t="shared" si="3"/>
        <v>RES</v>
      </c>
      <c r="P109" s="42">
        <v>3277.1500000000005</v>
      </c>
      <c r="Q109" s="42">
        <v>2117.92</v>
      </c>
      <c r="R109" s="42">
        <v>12107.95</v>
      </c>
      <c r="S109" s="42">
        <v>17503.02</v>
      </c>
    </row>
    <row r="110" spans="2:19" ht="16" x14ac:dyDescent="0.2">
      <c r="B110" s="40">
        <v>202011</v>
      </c>
      <c r="C110" s="41" t="s">
        <v>58</v>
      </c>
      <c r="D110" s="41" t="s">
        <v>34</v>
      </c>
      <c r="E110" s="42">
        <v>47</v>
      </c>
      <c r="F110" s="42">
        <v>4881.3100000000013</v>
      </c>
      <c r="G110" s="42">
        <v>4127.0200000000013</v>
      </c>
      <c r="H110" s="42">
        <v>16241.88</v>
      </c>
      <c r="I110" s="42">
        <v>25250.209999999992</v>
      </c>
      <c r="L110" s="40">
        <v>202012</v>
      </c>
      <c r="M110" s="41" t="s">
        <v>102</v>
      </c>
      <c r="N110" s="41" t="str">
        <f t="shared" si="2"/>
        <v>99328</v>
      </c>
      <c r="O110" s="41" t="str">
        <f t="shared" si="3"/>
        <v>RES</v>
      </c>
      <c r="P110" s="42">
        <v>4037.8300000000004</v>
      </c>
      <c r="Q110" s="42">
        <v>1525.7999999999993</v>
      </c>
      <c r="R110" s="42">
        <v>12136.98</v>
      </c>
      <c r="S110" s="42">
        <v>17700.61</v>
      </c>
    </row>
    <row r="111" spans="2:19" ht="16" x14ac:dyDescent="0.2">
      <c r="B111" s="40">
        <v>202011</v>
      </c>
      <c r="C111" s="41" t="s">
        <v>58</v>
      </c>
      <c r="D111" s="41" t="s">
        <v>75</v>
      </c>
      <c r="E111" s="42">
        <v>494</v>
      </c>
      <c r="F111" s="42">
        <v>38612.619999999959</v>
      </c>
      <c r="G111" s="42">
        <v>28896.570000000011</v>
      </c>
      <c r="H111" s="42">
        <v>91124.709999999992</v>
      </c>
      <c r="I111" s="42">
        <v>158633.90000000008</v>
      </c>
      <c r="L111" s="40">
        <v>202012</v>
      </c>
      <c r="M111" s="41" t="s">
        <v>180</v>
      </c>
      <c r="N111" s="41" t="str">
        <f t="shared" si="2"/>
        <v>99329</v>
      </c>
      <c r="O111" s="41" t="str">
        <f t="shared" si="3"/>
        <v>RES</v>
      </c>
      <c r="P111" s="42">
        <v>0</v>
      </c>
      <c r="Q111" s="42">
        <v>0</v>
      </c>
      <c r="R111" s="42">
        <v>0</v>
      </c>
      <c r="S111" s="42">
        <v>0</v>
      </c>
    </row>
    <row r="112" spans="2:19" ht="32" x14ac:dyDescent="0.2">
      <c r="B112" s="40">
        <v>202011</v>
      </c>
      <c r="C112" s="41" t="s">
        <v>59</v>
      </c>
      <c r="D112" s="41" t="s">
        <v>75</v>
      </c>
      <c r="E112" s="42">
        <v>1</v>
      </c>
      <c r="F112" s="42">
        <v>99.16</v>
      </c>
      <c r="G112" s="42">
        <v>86.85</v>
      </c>
      <c r="H112" s="42">
        <v>214.44</v>
      </c>
      <c r="I112" s="42">
        <v>400.45</v>
      </c>
      <c r="L112" s="40">
        <v>202012</v>
      </c>
      <c r="M112" s="41" t="s">
        <v>121</v>
      </c>
      <c r="N112" s="41" t="str">
        <f t="shared" si="2"/>
        <v>99347</v>
      </c>
      <c r="O112" s="41" t="str">
        <f t="shared" si="3"/>
        <v>COM</v>
      </c>
      <c r="P112" s="42">
        <v>305.81</v>
      </c>
      <c r="Q112" s="42">
        <v>46.45</v>
      </c>
      <c r="R112" s="42">
        <v>0</v>
      </c>
      <c r="S112" s="42">
        <v>352.26</v>
      </c>
    </row>
    <row r="113" spans="2:19" ht="16" x14ac:dyDescent="0.2">
      <c r="B113" s="40">
        <v>202011</v>
      </c>
      <c r="C113" s="41" t="s">
        <v>60</v>
      </c>
      <c r="D113" s="41" t="s">
        <v>34</v>
      </c>
      <c r="E113" s="42">
        <v>14</v>
      </c>
      <c r="F113" s="42">
        <v>1837.5400000000002</v>
      </c>
      <c r="G113" s="42">
        <v>350.28</v>
      </c>
      <c r="H113" s="42">
        <v>2475.75</v>
      </c>
      <c r="I113" s="42">
        <v>4663.57</v>
      </c>
      <c r="L113" s="40">
        <v>202012</v>
      </c>
      <c r="M113" s="41" t="s">
        <v>109</v>
      </c>
      <c r="N113" s="41" t="str">
        <f t="shared" si="2"/>
        <v>99347</v>
      </c>
      <c r="O113" s="41" t="str">
        <f t="shared" si="3"/>
        <v>RES</v>
      </c>
      <c r="P113" s="42">
        <v>1054.52</v>
      </c>
      <c r="Q113" s="42">
        <v>576.54</v>
      </c>
      <c r="R113" s="42">
        <v>2740.11</v>
      </c>
      <c r="S113" s="42">
        <v>4371.17</v>
      </c>
    </row>
    <row r="114" spans="2:19" ht="16" x14ac:dyDescent="0.2">
      <c r="B114" s="40">
        <v>202011</v>
      </c>
      <c r="C114" s="41" t="s">
        <v>60</v>
      </c>
      <c r="D114" s="41" t="s">
        <v>75</v>
      </c>
      <c r="E114" s="42">
        <v>168</v>
      </c>
      <c r="F114" s="42">
        <v>14930.739999999994</v>
      </c>
      <c r="G114" s="42">
        <v>8925.4699999999975</v>
      </c>
      <c r="H114" s="42">
        <v>26848.139999999992</v>
      </c>
      <c r="I114" s="42">
        <v>50704.349999999991</v>
      </c>
      <c r="L114" s="40">
        <v>202012</v>
      </c>
      <c r="M114" s="41" t="s">
        <v>113</v>
      </c>
      <c r="N114" s="41" t="str">
        <f t="shared" si="2"/>
        <v>99348</v>
      </c>
      <c r="O114" s="41" t="str">
        <f t="shared" si="3"/>
        <v>RES</v>
      </c>
      <c r="P114" s="42">
        <v>573.78</v>
      </c>
      <c r="Q114" s="42">
        <v>292.59000000000003</v>
      </c>
      <c r="R114" s="42">
        <v>1284.29</v>
      </c>
      <c r="S114" s="42">
        <v>2150.66</v>
      </c>
    </row>
    <row r="115" spans="2:19" ht="16" x14ac:dyDescent="0.2">
      <c r="B115" s="40">
        <v>202011</v>
      </c>
      <c r="C115" s="41" t="s">
        <v>61</v>
      </c>
      <c r="D115" s="41" t="s">
        <v>34</v>
      </c>
      <c r="E115" s="42">
        <v>7</v>
      </c>
      <c r="F115" s="42">
        <v>1912.21</v>
      </c>
      <c r="G115" s="42">
        <v>192.82</v>
      </c>
      <c r="H115" s="42">
        <v>669.92</v>
      </c>
      <c r="I115" s="42">
        <v>2774.9500000000003</v>
      </c>
      <c r="L115" s="40">
        <v>202012</v>
      </c>
      <c r="M115" s="41" t="s">
        <v>122</v>
      </c>
      <c r="N115" s="41" t="str">
        <f t="shared" si="2"/>
        <v>99350</v>
      </c>
      <c r="O115" s="41" t="str">
        <f t="shared" si="3"/>
        <v>RES</v>
      </c>
      <c r="P115" s="42">
        <v>245.09</v>
      </c>
      <c r="Q115" s="42">
        <v>3.7</v>
      </c>
      <c r="R115" s="42">
        <v>0</v>
      </c>
      <c r="S115" s="42">
        <v>248.79</v>
      </c>
    </row>
    <row r="116" spans="2:19" ht="16" x14ac:dyDescent="0.2">
      <c r="B116" s="40">
        <v>202011</v>
      </c>
      <c r="C116" s="41" t="s">
        <v>61</v>
      </c>
      <c r="D116" s="41" t="s">
        <v>75</v>
      </c>
      <c r="E116" s="42">
        <v>387</v>
      </c>
      <c r="F116" s="42">
        <v>22401.620000000003</v>
      </c>
      <c r="G116" s="42">
        <v>19719.909999999993</v>
      </c>
      <c r="H116" s="42">
        <v>49259.549999999981</v>
      </c>
      <c r="I116" s="42">
        <v>91381.079999999987</v>
      </c>
      <c r="L116" s="40">
        <v>202012</v>
      </c>
      <c r="M116" s="41" t="s">
        <v>123</v>
      </c>
      <c r="N116" s="41" t="str">
        <f t="shared" si="2"/>
        <v>99360</v>
      </c>
      <c r="O116" s="41" t="str">
        <f t="shared" si="3"/>
        <v>RES</v>
      </c>
      <c r="P116" s="42">
        <v>494.29</v>
      </c>
      <c r="Q116" s="42">
        <v>192.36</v>
      </c>
      <c r="R116" s="42">
        <v>53.91</v>
      </c>
      <c r="S116" s="42">
        <v>740.56</v>
      </c>
    </row>
    <row r="117" spans="2:19" ht="16" x14ac:dyDescent="0.2">
      <c r="B117" s="40">
        <v>202011</v>
      </c>
      <c r="C117" s="41" t="s">
        <v>62</v>
      </c>
      <c r="D117" s="41" t="s">
        <v>34</v>
      </c>
      <c r="E117" s="42">
        <v>35</v>
      </c>
      <c r="F117" s="42">
        <v>5081.55</v>
      </c>
      <c r="G117" s="42">
        <v>2155.4100000000003</v>
      </c>
      <c r="H117" s="42">
        <v>11425.809999999998</v>
      </c>
      <c r="I117" s="42">
        <v>18662.770000000004</v>
      </c>
      <c r="L117" s="40">
        <v>202012</v>
      </c>
      <c r="M117" s="41" t="s">
        <v>103</v>
      </c>
      <c r="N117" s="41" t="str">
        <f t="shared" si="2"/>
        <v>99361</v>
      </c>
      <c r="O117" s="41" t="str">
        <f t="shared" si="3"/>
        <v>RES</v>
      </c>
      <c r="P117" s="42">
        <v>729.44999999999993</v>
      </c>
      <c r="Q117" s="42">
        <v>429.94</v>
      </c>
      <c r="R117" s="42">
        <v>3281.16</v>
      </c>
      <c r="S117" s="42">
        <v>4440.55</v>
      </c>
    </row>
    <row r="118" spans="2:19" ht="16" x14ac:dyDescent="0.2">
      <c r="B118" s="40">
        <v>202011</v>
      </c>
      <c r="C118" s="41" t="s">
        <v>62</v>
      </c>
      <c r="D118" s="41" t="s">
        <v>75</v>
      </c>
      <c r="E118" s="42">
        <v>253</v>
      </c>
      <c r="F118" s="42">
        <v>17823.669999999995</v>
      </c>
      <c r="G118" s="42">
        <v>11450.51</v>
      </c>
      <c r="H118" s="42">
        <v>59277.200000000004</v>
      </c>
      <c r="I118" s="42">
        <v>88551.379999999976</v>
      </c>
      <c r="L118" s="40">
        <v>202012</v>
      </c>
      <c r="M118" s="41" t="s">
        <v>93</v>
      </c>
      <c r="N118" s="41" t="str">
        <f t="shared" si="2"/>
        <v>99362</v>
      </c>
      <c r="O118" s="41" t="str">
        <f t="shared" si="3"/>
        <v>RES</v>
      </c>
      <c r="P118" s="42">
        <v>27438.060000000009</v>
      </c>
      <c r="Q118" s="42">
        <v>14711.320000000005</v>
      </c>
      <c r="R118" s="42">
        <v>65982.839999999953</v>
      </c>
      <c r="S118" s="42">
        <v>108132.22000000015</v>
      </c>
    </row>
    <row r="119" spans="2:19" ht="16" x14ac:dyDescent="0.2">
      <c r="B119" s="40">
        <v>202011</v>
      </c>
      <c r="C119" s="41" t="s">
        <v>63</v>
      </c>
      <c r="D119" s="41" t="s">
        <v>34</v>
      </c>
      <c r="E119" s="42">
        <v>2</v>
      </c>
      <c r="F119" s="42">
        <v>263.61</v>
      </c>
      <c r="G119" s="42">
        <v>110.09</v>
      </c>
      <c r="H119" s="42">
        <v>957.47</v>
      </c>
      <c r="I119" s="42">
        <v>1331.17</v>
      </c>
      <c r="L119" s="40">
        <v>202012</v>
      </c>
      <c r="M119" s="41" t="s">
        <v>124</v>
      </c>
      <c r="N119" s="41" t="str">
        <f t="shared" si="2"/>
        <v>99363</v>
      </c>
      <c r="O119" s="41" t="str">
        <f t="shared" si="3"/>
        <v>RES</v>
      </c>
      <c r="P119" s="42">
        <v>212.55</v>
      </c>
      <c r="Q119" s="42">
        <v>84.92</v>
      </c>
      <c r="R119" s="42">
        <v>416.67</v>
      </c>
      <c r="S119" s="42">
        <v>714.14</v>
      </c>
    </row>
    <row r="120" spans="2:19" ht="16" x14ac:dyDescent="0.2">
      <c r="B120" s="40">
        <v>202011</v>
      </c>
      <c r="C120" s="41" t="s">
        <v>63</v>
      </c>
      <c r="D120" s="41" t="s">
        <v>75</v>
      </c>
      <c r="E120" s="42">
        <v>15</v>
      </c>
      <c r="F120" s="42">
        <v>834.35</v>
      </c>
      <c r="G120" s="42">
        <v>746.2</v>
      </c>
      <c r="H120" s="42">
        <v>1780.8</v>
      </c>
      <c r="I120" s="42">
        <v>3361.3499999999995</v>
      </c>
    </row>
    <row r="121" spans="2:19" ht="16" x14ac:dyDescent="0.2">
      <c r="B121" s="40">
        <v>202011</v>
      </c>
      <c r="C121" s="41" t="s">
        <v>64</v>
      </c>
      <c r="D121" s="41" t="s">
        <v>34</v>
      </c>
      <c r="E121" s="42">
        <v>18</v>
      </c>
      <c r="F121" s="42">
        <v>3209.76</v>
      </c>
      <c r="G121" s="42">
        <v>2919.43</v>
      </c>
      <c r="H121" s="42">
        <v>3962.6099999999997</v>
      </c>
      <c r="I121" s="42">
        <v>10091.799999999997</v>
      </c>
    </row>
    <row r="122" spans="2:19" ht="16" x14ac:dyDescent="0.2">
      <c r="B122" s="40">
        <v>202011</v>
      </c>
      <c r="C122" s="41" t="s">
        <v>64</v>
      </c>
      <c r="D122" s="41" t="s">
        <v>75</v>
      </c>
      <c r="E122" s="42">
        <v>112</v>
      </c>
      <c r="F122" s="42">
        <v>8396.1</v>
      </c>
      <c r="G122" s="42">
        <v>6534.2999999999984</v>
      </c>
      <c r="H122" s="42">
        <v>30993.42</v>
      </c>
      <c r="I122" s="42">
        <v>45923.820000000007</v>
      </c>
    </row>
    <row r="123" spans="2:19" ht="16" x14ac:dyDescent="0.2">
      <c r="B123" s="40">
        <v>202011</v>
      </c>
      <c r="C123" s="41" t="s">
        <v>65</v>
      </c>
      <c r="D123" s="41" t="s">
        <v>34</v>
      </c>
      <c r="E123" s="42">
        <v>3</v>
      </c>
      <c r="F123" s="42">
        <v>917.14999999999986</v>
      </c>
      <c r="G123" s="42">
        <v>84.26</v>
      </c>
      <c r="H123" s="42">
        <v>0</v>
      </c>
      <c r="I123" s="42">
        <v>1001.4099999999999</v>
      </c>
    </row>
    <row r="124" spans="2:19" ht="16" x14ac:dyDescent="0.2">
      <c r="B124" s="40">
        <v>202011</v>
      </c>
      <c r="C124" s="41" t="s">
        <v>65</v>
      </c>
      <c r="D124" s="41" t="s">
        <v>75</v>
      </c>
      <c r="E124" s="42">
        <v>32</v>
      </c>
      <c r="F124" s="42">
        <v>2021.4099999999999</v>
      </c>
      <c r="G124" s="42">
        <v>2202.1</v>
      </c>
      <c r="H124" s="42">
        <v>7080.1199999999981</v>
      </c>
      <c r="I124" s="42">
        <v>11303.63</v>
      </c>
    </row>
    <row r="125" spans="2:19" ht="16" x14ac:dyDescent="0.2">
      <c r="B125" s="40">
        <v>202011</v>
      </c>
      <c r="C125" s="41" t="s">
        <v>66</v>
      </c>
      <c r="D125" s="41" t="s">
        <v>75</v>
      </c>
      <c r="E125" s="42">
        <v>12</v>
      </c>
      <c r="F125" s="42">
        <v>790.53000000000009</v>
      </c>
      <c r="G125" s="42">
        <v>307.87</v>
      </c>
      <c r="H125" s="42">
        <v>1671.2</v>
      </c>
      <c r="I125" s="42">
        <v>2769.6</v>
      </c>
    </row>
    <row r="126" spans="2:19" ht="16" x14ac:dyDescent="0.2">
      <c r="B126" s="40">
        <v>202011</v>
      </c>
      <c r="C126" s="41" t="s">
        <v>67</v>
      </c>
      <c r="D126" s="41" t="s">
        <v>34</v>
      </c>
      <c r="E126" s="42">
        <v>16</v>
      </c>
      <c r="F126" s="42">
        <v>8020.5</v>
      </c>
      <c r="G126" s="42">
        <v>1764.1100000000001</v>
      </c>
      <c r="H126" s="42">
        <v>10165.189999999999</v>
      </c>
      <c r="I126" s="42">
        <v>19949.800000000003</v>
      </c>
    </row>
    <row r="127" spans="2:19" ht="16" x14ac:dyDescent="0.2">
      <c r="B127" s="40">
        <v>202011</v>
      </c>
      <c r="C127" s="41" t="s">
        <v>67</v>
      </c>
      <c r="D127" s="41" t="s">
        <v>75</v>
      </c>
      <c r="E127" s="42">
        <v>67</v>
      </c>
      <c r="F127" s="42">
        <v>6670.7800000000016</v>
      </c>
      <c r="G127" s="42">
        <v>4754.95</v>
      </c>
      <c r="H127" s="42">
        <v>11966.599999999999</v>
      </c>
      <c r="I127" s="42">
        <v>23392.329999999991</v>
      </c>
    </row>
    <row r="128" spans="2:19" ht="16" x14ac:dyDescent="0.2">
      <c r="B128" s="40">
        <v>202011</v>
      </c>
      <c r="C128" s="41" t="s">
        <v>68</v>
      </c>
      <c r="D128" s="41" t="s">
        <v>34</v>
      </c>
      <c r="E128" s="42">
        <v>11</v>
      </c>
      <c r="F128" s="42">
        <v>1378.02</v>
      </c>
      <c r="G128" s="42">
        <v>743.99000000000012</v>
      </c>
      <c r="H128" s="42">
        <v>4098.13</v>
      </c>
      <c r="I128" s="42">
        <v>6220.1399999999994</v>
      </c>
    </row>
    <row r="129" spans="2:9" ht="16" x14ac:dyDescent="0.2">
      <c r="B129" s="40">
        <v>202011</v>
      </c>
      <c r="C129" s="41" t="s">
        <v>68</v>
      </c>
      <c r="D129" s="41" t="s">
        <v>75</v>
      </c>
      <c r="E129" s="42">
        <v>84</v>
      </c>
      <c r="F129" s="42">
        <v>6052.3799999999983</v>
      </c>
      <c r="G129" s="42">
        <v>4832.2999999999984</v>
      </c>
      <c r="H129" s="42">
        <v>20596.150000000005</v>
      </c>
      <c r="I129" s="42">
        <v>31480.829999999991</v>
      </c>
    </row>
    <row r="130" spans="2:9" ht="16" x14ac:dyDescent="0.2">
      <c r="B130" s="40">
        <v>202011</v>
      </c>
      <c r="C130" s="41" t="s">
        <v>69</v>
      </c>
      <c r="D130" s="41" t="s">
        <v>34</v>
      </c>
      <c r="E130" s="42">
        <v>156</v>
      </c>
      <c r="F130" s="42">
        <v>24479.909999999996</v>
      </c>
      <c r="G130" s="42">
        <v>28205.84</v>
      </c>
      <c r="H130" s="42">
        <v>53938.52</v>
      </c>
      <c r="I130" s="42">
        <v>106624.26999999997</v>
      </c>
    </row>
    <row r="131" spans="2:9" ht="16" x14ac:dyDescent="0.2">
      <c r="B131" s="40">
        <v>202011</v>
      </c>
      <c r="C131" s="41" t="s">
        <v>69</v>
      </c>
      <c r="D131" s="41" t="s">
        <v>75</v>
      </c>
      <c r="E131" s="42">
        <v>2486</v>
      </c>
      <c r="F131" s="42">
        <v>134847.80000000031</v>
      </c>
      <c r="G131" s="42">
        <v>111213.18999999997</v>
      </c>
      <c r="H131" s="42">
        <v>349226.2300000001</v>
      </c>
      <c r="I131" s="42">
        <v>595287.22000000044</v>
      </c>
    </row>
    <row r="132" spans="2:9" ht="16" x14ac:dyDescent="0.2">
      <c r="B132" s="40">
        <v>202011</v>
      </c>
      <c r="C132" s="41" t="s">
        <v>70</v>
      </c>
      <c r="D132" s="41" t="s">
        <v>34</v>
      </c>
      <c r="E132" s="42">
        <v>1</v>
      </c>
      <c r="F132" s="42">
        <v>43.65</v>
      </c>
      <c r="G132" s="42">
        <v>46.73</v>
      </c>
      <c r="H132" s="42">
        <v>134.88999999999999</v>
      </c>
      <c r="I132" s="42">
        <v>225.27</v>
      </c>
    </row>
    <row r="133" spans="2:9" ht="16" x14ac:dyDescent="0.2">
      <c r="B133" s="40">
        <v>202011</v>
      </c>
      <c r="C133" s="41" t="s">
        <v>70</v>
      </c>
      <c r="D133" s="41" t="s">
        <v>75</v>
      </c>
      <c r="E133" s="42">
        <v>16</v>
      </c>
      <c r="F133" s="42">
        <v>1212.05</v>
      </c>
      <c r="G133" s="42">
        <v>855.39</v>
      </c>
      <c r="H133" s="42">
        <v>1910.33</v>
      </c>
      <c r="I133" s="42">
        <v>3977.7700000000004</v>
      </c>
    </row>
    <row r="134" spans="2:9" ht="16" x14ac:dyDescent="0.2">
      <c r="B134" s="40">
        <v>202012</v>
      </c>
      <c r="C134" s="41" t="s">
        <v>76</v>
      </c>
      <c r="D134" s="41" t="s">
        <v>75</v>
      </c>
      <c r="E134" s="42">
        <v>2</v>
      </c>
      <c r="F134" s="42">
        <v>177.74</v>
      </c>
      <c r="G134" s="42">
        <v>175.57</v>
      </c>
      <c r="H134" s="42">
        <v>206.33</v>
      </c>
      <c r="I134" s="42">
        <v>559.64</v>
      </c>
    </row>
    <row r="135" spans="2:9" ht="16" x14ac:dyDescent="0.2">
      <c r="B135" s="40">
        <v>202012</v>
      </c>
      <c r="C135" s="41" t="s">
        <v>35</v>
      </c>
      <c r="D135" s="41" t="s">
        <v>34</v>
      </c>
      <c r="E135" s="42">
        <v>204</v>
      </c>
      <c r="F135" s="42">
        <v>64602.309999999976</v>
      </c>
      <c r="G135" s="42">
        <v>20489.439999999991</v>
      </c>
      <c r="H135" s="42">
        <v>82732.100000000049</v>
      </c>
      <c r="I135" s="42">
        <v>167823.85000000009</v>
      </c>
    </row>
    <row r="136" spans="2:9" ht="16" x14ac:dyDescent="0.2">
      <c r="B136" s="40">
        <v>202012</v>
      </c>
      <c r="C136" s="41" t="s">
        <v>35</v>
      </c>
      <c r="D136" s="41" t="s">
        <v>75</v>
      </c>
      <c r="E136" s="42">
        <v>2654</v>
      </c>
      <c r="F136" s="42">
        <v>248038.7999999997</v>
      </c>
      <c r="G136" s="42">
        <v>145225.39000000001</v>
      </c>
      <c r="H136" s="42">
        <v>576363.00000000023</v>
      </c>
      <c r="I136" s="42">
        <v>969627.18999999948</v>
      </c>
    </row>
    <row r="137" spans="2:9" ht="16" x14ac:dyDescent="0.2">
      <c r="B137" s="40">
        <v>202012</v>
      </c>
      <c r="C137" s="41" t="s">
        <v>36</v>
      </c>
      <c r="D137" s="41" t="s">
        <v>34</v>
      </c>
      <c r="E137" s="42">
        <v>192</v>
      </c>
      <c r="F137" s="42">
        <v>41639.870000000003</v>
      </c>
      <c r="G137" s="42">
        <v>19486.430000000004</v>
      </c>
      <c r="H137" s="42">
        <v>80070.469999999972</v>
      </c>
      <c r="I137" s="42">
        <v>141196.77000000008</v>
      </c>
    </row>
    <row r="138" spans="2:9" ht="16" x14ac:dyDescent="0.2">
      <c r="B138" s="40">
        <v>202012</v>
      </c>
      <c r="C138" s="41" t="s">
        <v>36</v>
      </c>
      <c r="D138" s="41" t="s">
        <v>75</v>
      </c>
      <c r="E138" s="42">
        <v>4337</v>
      </c>
      <c r="F138" s="42">
        <v>434290.41000000027</v>
      </c>
      <c r="G138" s="42">
        <v>155373.2600000001</v>
      </c>
      <c r="H138" s="42">
        <v>746345.87999999907</v>
      </c>
      <c r="I138" s="42">
        <v>1336009.5499999956</v>
      </c>
    </row>
    <row r="139" spans="2:9" ht="16" x14ac:dyDescent="0.2">
      <c r="B139" s="40">
        <v>202012</v>
      </c>
      <c r="C139" s="41" t="s">
        <v>37</v>
      </c>
      <c r="D139" s="41" t="s">
        <v>34</v>
      </c>
      <c r="E139" s="42">
        <v>186</v>
      </c>
      <c r="F139" s="42">
        <v>76163.579999999973</v>
      </c>
      <c r="G139" s="42">
        <v>13319.810000000005</v>
      </c>
      <c r="H139" s="42">
        <v>52745.360000000008</v>
      </c>
      <c r="I139" s="42">
        <v>142228.75000000003</v>
      </c>
    </row>
    <row r="140" spans="2:9" ht="16" x14ac:dyDescent="0.2">
      <c r="B140" s="40">
        <v>202012</v>
      </c>
      <c r="C140" s="41" t="s">
        <v>37</v>
      </c>
      <c r="D140" s="41" t="s">
        <v>75</v>
      </c>
      <c r="E140" s="42">
        <v>1678</v>
      </c>
      <c r="F140" s="42">
        <v>229666.44000000021</v>
      </c>
      <c r="G140" s="42">
        <v>69401.989999999918</v>
      </c>
      <c r="H140" s="42">
        <v>350333.53000000009</v>
      </c>
      <c r="I140" s="42">
        <v>649401.95999999892</v>
      </c>
    </row>
    <row r="141" spans="2:9" ht="16" x14ac:dyDescent="0.2">
      <c r="B141" s="40">
        <v>202012</v>
      </c>
      <c r="C141" s="41" t="s">
        <v>40</v>
      </c>
      <c r="D141" s="41" t="s">
        <v>34</v>
      </c>
      <c r="E141" s="42">
        <v>99</v>
      </c>
      <c r="F141" s="42">
        <v>19424.25</v>
      </c>
      <c r="G141" s="42">
        <v>5544.51</v>
      </c>
      <c r="H141" s="42">
        <v>20027.689999999995</v>
      </c>
      <c r="I141" s="42">
        <v>44996.45</v>
      </c>
    </row>
    <row r="142" spans="2:9" ht="16" x14ac:dyDescent="0.2">
      <c r="B142" s="40">
        <v>202012</v>
      </c>
      <c r="C142" s="41" t="s">
        <v>40</v>
      </c>
      <c r="D142" s="41" t="s">
        <v>75</v>
      </c>
      <c r="E142" s="42">
        <v>2738</v>
      </c>
      <c r="F142" s="42">
        <v>280818.84999999928</v>
      </c>
      <c r="G142" s="42">
        <v>99089.469999999943</v>
      </c>
      <c r="H142" s="42">
        <v>443248.13</v>
      </c>
      <c r="I142" s="42">
        <v>823156.4499999996</v>
      </c>
    </row>
    <row r="143" spans="2:9" ht="16" x14ac:dyDescent="0.2">
      <c r="B143" s="40">
        <v>202012</v>
      </c>
      <c r="C143" s="41" t="s">
        <v>41</v>
      </c>
      <c r="D143" s="41" t="s">
        <v>75</v>
      </c>
      <c r="E143" s="42">
        <v>1</v>
      </c>
      <c r="F143" s="42">
        <v>104.45</v>
      </c>
      <c r="G143" s="42">
        <v>0</v>
      </c>
      <c r="H143" s="42">
        <v>0</v>
      </c>
      <c r="I143" s="42">
        <v>104.45</v>
      </c>
    </row>
    <row r="144" spans="2:9" ht="16" x14ac:dyDescent="0.2">
      <c r="B144" s="40">
        <v>202012</v>
      </c>
      <c r="C144" s="41" t="s">
        <v>42</v>
      </c>
      <c r="D144" s="41" t="s">
        <v>34</v>
      </c>
      <c r="E144" s="42">
        <v>2</v>
      </c>
      <c r="F144" s="42">
        <v>216.78</v>
      </c>
      <c r="G144" s="42">
        <v>51.26</v>
      </c>
      <c r="H144" s="42">
        <v>297.20999999999998</v>
      </c>
      <c r="I144" s="42">
        <v>565.25</v>
      </c>
    </row>
    <row r="145" spans="2:9" ht="16" x14ac:dyDescent="0.2">
      <c r="B145" s="40">
        <v>202012</v>
      </c>
      <c r="C145" s="41" t="s">
        <v>42</v>
      </c>
      <c r="D145" s="41" t="s">
        <v>75</v>
      </c>
      <c r="E145" s="42">
        <v>74</v>
      </c>
      <c r="F145" s="42">
        <v>8468.4500000000007</v>
      </c>
      <c r="G145" s="42">
        <v>2608.23</v>
      </c>
      <c r="H145" s="42">
        <v>21603.459999999995</v>
      </c>
      <c r="I145" s="42">
        <v>32680.14</v>
      </c>
    </row>
    <row r="146" spans="2:9" ht="16" x14ac:dyDescent="0.2">
      <c r="B146" s="40">
        <v>202012</v>
      </c>
      <c r="C146" s="41" t="s">
        <v>43</v>
      </c>
      <c r="D146" s="41" t="s">
        <v>34</v>
      </c>
      <c r="E146" s="42">
        <v>20</v>
      </c>
      <c r="F146" s="42">
        <v>12804.3</v>
      </c>
      <c r="G146" s="42">
        <v>46.12</v>
      </c>
      <c r="H146" s="42">
        <v>454.42999999999995</v>
      </c>
      <c r="I146" s="42">
        <v>13304.849999999999</v>
      </c>
    </row>
    <row r="147" spans="2:9" ht="16" x14ac:dyDescent="0.2">
      <c r="B147" s="40">
        <v>202012</v>
      </c>
      <c r="C147" s="41" t="s">
        <v>43</v>
      </c>
      <c r="D147" s="41" t="s">
        <v>75</v>
      </c>
      <c r="E147" s="42">
        <v>81</v>
      </c>
      <c r="F147" s="42">
        <v>9627.6299999999974</v>
      </c>
      <c r="G147" s="42">
        <v>3056.9900000000007</v>
      </c>
      <c r="H147" s="42">
        <v>15848.389999999998</v>
      </c>
      <c r="I147" s="42">
        <v>28533.010000000006</v>
      </c>
    </row>
    <row r="148" spans="2:9" ht="16" x14ac:dyDescent="0.2">
      <c r="B148" s="40">
        <v>202012</v>
      </c>
      <c r="C148" s="41" t="s">
        <v>44</v>
      </c>
      <c r="D148" s="41" t="s">
        <v>34</v>
      </c>
      <c r="E148" s="42">
        <v>36</v>
      </c>
      <c r="F148" s="42">
        <v>2522.7900000000004</v>
      </c>
      <c r="G148" s="42">
        <v>3888.4799999999996</v>
      </c>
      <c r="H148" s="42">
        <v>16077.8</v>
      </c>
      <c r="I148" s="42">
        <v>22489.07</v>
      </c>
    </row>
    <row r="149" spans="2:9" ht="16" x14ac:dyDescent="0.2">
      <c r="B149" s="40">
        <v>202012</v>
      </c>
      <c r="C149" s="41" t="s">
        <v>44</v>
      </c>
      <c r="D149" s="41" t="s">
        <v>75</v>
      </c>
      <c r="E149" s="42">
        <v>663</v>
      </c>
      <c r="F149" s="42">
        <v>23701.32</v>
      </c>
      <c r="G149" s="42">
        <v>51475.569999999985</v>
      </c>
      <c r="H149" s="42">
        <v>155090.88999999987</v>
      </c>
      <c r="I149" s="42">
        <v>230267.78</v>
      </c>
    </row>
    <row r="150" spans="2:9" ht="16" x14ac:dyDescent="0.2">
      <c r="B150" s="40">
        <v>202012</v>
      </c>
      <c r="C150" s="41" t="s">
        <v>45</v>
      </c>
      <c r="D150" s="41" t="s">
        <v>34</v>
      </c>
      <c r="E150" s="42">
        <v>31</v>
      </c>
      <c r="F150" s="42">
        <v>23068.950000000004</v>
      </c>
      <c r="G150" s="42">
        <v>548.15000000000009</v>
      </c>
      <c r="H150" s="42">
        <v>6468.84</v>
      </c>
      <c r="I150" s="42">
        <v>30085.940000000002</v>
      </c>
    </row>
    <row r="151" spans="2:9" ht="16" x14ac:dyDescent="0.2">
      <c r="B151" s="40">
        <v>202012</v>
      </c>
      <c r="C151" s="41" t="s">
        <v>45</v>
      </c>
      <c r="D151" s="41" t="s">
        <v>75</v>
      </c>
      <c r="E151" s="42">
        <v>424</v>
      </c>
      <c r="F151" s="42">
        <v>45561.600000000028</v>
      </c>
      <c r="G151" s="42">
        <v>15500.550000000001</v>
      </c>
      <c r="H151" s="42">
        <v>79731.250000000029</v>
      </c>
      <c r="I151" s="42">
        <v>140793.40000000008</v>
      </c>
    </row>
    <row r="152" spans="2:9" ht="16" x14ac:dyDescent="0.2">
      <c r="B152" s="40">
        <v>202012</v>
      </c>
      <c r="C152" s="41" t="s">
        <v>46</v>
      </c>
      <c r="D152" s="41" t="s">
        <v>34</v>
      </c>
      <c r="E152" s="42">
        <v>6</v>
      </c>
      <c r="F152" s="42">
        <v>2094.9500000000003</v>
      </c>
      <c r="G152" s="42">
        <v>252.78</v>
      </c>
      <c r="H152" s="42">
        <v>2750.83</v>
      </c>
      <c r="I152" s="42">
        <v>5098.5599999999995</v>
      </c>
    </row>
    <row r="153" spans="2:9" ht="16" x14ac:dyDescent="0.2">
      <c r="B153" s="40">
        <v>202012</v>
      </c>
      <c r="C153" s="41" t="s">
        <v>46</v>
      </c>
      <c r="D153" s="41" t="s">
        <v>75</v>
      </c>
      <c r="E153" s="42">
        <v>42</v>
      </c>
      <c r="F153" s="42">
        <v>4649.1100000000006</v>
      </c>
      <c r="G153" s="42">
        <v>2357.329999999999</v>
      </c>
      <c r="H153" s="42">
        <v>19510.64</v>
      </c>
      <c r="I153" s="42">
        <v>26517.079999999994</v>
      </c>
    </row>
    <row r="154" spans="2:9" ht="16" x14ac:dyDescent="0.2">
      <c r="B154" s="40">
        <v>202012</v>
      </c>
      <c r="C154" s="41" t="s">
        <v>47</v>
      </c>
      <c r="D154" s="41" t="s">
        <v>34</v>
      </c>
      <c r="E154" s="42">
        <v>7</v>
      </c>
      <c r="F154" s="42">
        <v>1427.02</v>
      </c>
      <c r="G154" s="42">
        <v>95.27</v>
      </c>
      <c r="H154" s="42">
        <v>1581.41</v>
      </c>
      <c r="I154" s="42">
        <v>3103.7000000000003</v>
      </c>
    </row>
    <row r="155" spans="2:9" ht="16" x14ac:dyDescent="0.2">
      <c r="B155" s="40">
        <v>202012</v>
      </c>
      <c r="C155" s="41" t="s">
        <v>47</v>
      </c>
      <c r="D155" s="41" t="s">
        <v>75</v>
      </c>
      <c r="E155" s="42">
        <v>298</v>
      </c>
      <c r="F155" s="42">
        <v>46631.32999999998</v>
      </c>
      <c r="G155" s="42">
        <v>12062.239999999998</v>
      </c>
      <c r="H155" s="42">
        <v>60271.800000000039</v>
      </c>
      <c r="I155" s="42">
        <v>118965.37000000001</v>
      </c>
    </row>
    <row r="156" spans="2:9" ht="16" x14ac:dyDescent="0.2">
      <c r="B156" s="40">
        <v>202012</v>
      </c>
      <c r="C156" s="41" t="s">
        <v>48</v>
      </c>
      <c r="D156" s="41" t="s">
        <v>34</v>
      </c>
      <c r="E156" s="42">
        <v>23</v>
      </c>
      <c r="F156" s="42">
        <v>825.90000000000009</v>
      </c>
      <c r="G156" s="42">
        <v>7281.56</v>
      </c>
      <c r="H156" s="42">
        <v>12158.49</v>
      </c>
      <c r="I156" s="42">
        <v>20265.949999999997</v>
      </c>
    </row>
    <row r="157" spans="2:9" ht="16" x14ac:dyDescent="0.2">
      <c r="B157" s="40">
        <v>202012</v>
      </c>
      <c r="C157" s="41" t="s">
        <v>48</v>
      </c>
      <c r="D157" s="41" t="s">
        <v>75</v>
      </c>
      <c r="E157" s="42">
        <v>320</v>
      </c>
      <c r="F157" s="42">
        <v>273.51</v>
      </c>
      <c r="G157" s="42">
        <v>28370.210000000014</v>
      </c>
      <c r="H157" s="42">
        <v>111837.60999999999</v>
      </c>
      <c r="I157" s="42">
        <v>140481.32999999996</v>
      </c>
    </row>
    <row r="158" spans="2:9" ht="16" x14ac:dyDescent="0.2">
      <c r="B158" s="40">
        <v>202012</v>
      </c>
      <c r="C158" s="41" t="s">
        <v>49</v>
      </c>
      <c r="D158" s="41" t="s">
        <v>34</v>
      </c>
      <c r="E158" s="42">
        <v>21</v>
      </c>
      <c r="F158" s="42">
        <v>3211.1699999999996</v>
      </c>
      <c r="G158" s="42">
        <v>1332.1</v>
      </c>
      <c r="H158" s="42">
        <v>4151.99</v>
      </c>
      <c r="I158" s="42">
        <v>8695.26</v>
      </c>
    </row>
    <row r="159" spans="2:9" ht="16" x14ac:dyDescent="0.2">
      <c r="B159" s="40">
        <v>202012</v>
      </c>
      <c r="C159" s="41" t="s">
        <v>49</v>
      </c>
      <c r="D159" s="41" t="s">
        <v>75</v>
      </c>
      <c r="E159" s="42">
        <v>261</v>
      </c>
      <c r="F159" s="42">
        <v>27034.559999999994</v>
      </c>
      <c r="G159" s="42">
        <v>10372.669999999995</v>
      </c>
      <c r="H159" s="42">
        <v>45429.51999999999</v>
      </c>
      <c r="I159" s="42">
        <v>82836.749999999956</v>
      </c>
    </row>
    <row r="160" spans="2:9" ht="16" x14ac:dyDescent="0.2">
      <c r="B160" s="40">
        <v>202012</v>
      </c>
      <c r="C160" s="41" t="s">
        <v>50</v>
      </c>
      <c r="D160" s="41" t="s">
        <v>34</v>
      </c>
      <c r="E160" s="42">
        <v>30</v>
      </c>
      <c r="F160" s="42">
        <v>46323.08</v>
      </c>
      <c r="G160" s="42">
        <v>85.23</v>
      </c>
      <c r="H160" s="42">
        <v>251.11</v>
      </c>
      <c r="I160" s="42">
        <v>46659.420000000006</v>
      </c>
    </row>
    <row r="161" spans="2:9" ht="16" x14ac:dyDescent="0.2">
      <c r="B161" s="40">
        <v>202012</v>
      </c>
      <c r="C161" s="41" t="s">
        <v>50</v>
      </c>
      <c r="D161" s="41" t="s">
        <v>75</v>
      </c>
      <c r="E161" s="42">
        <v>139</v>
      </c>
      <c r="F161" s="42">
        <v>21836.569999999992</v>
      </c>
      <c r="G161" s="42">
        <v>6606.0700000000015</v>
      </c>
      <c r="H161" s="42">
        <v>37297.909999999996</v>
      </c>
      <c r="I161" s="42">
        <v>65740.549999999988</v>
      </c>
    </row>
    <row r="162" spans="2:9" ht="16" x14ac:dyDescent="0.2">
      <c r="B162" s="40">
        <v>202012</v>
      </c>
      <c r="C162" s="41" t="s">
        <v>51</v>
      </c>
      <c r="D162" s="41" t="s">
        <v>34</v>
      </c>
      <c r="E162" s="42">
        <v>2</v>
      </c>
      <c r="F162" s="42">
        <v>0</v>
      </c>
      <c r="G162" s="42">
        <v>304.99</v>
      </c>
      <c r="H162" s="42">
        <v>475.33</v>
      </c>
      <c r="I162" s="42">
        <v>780.31999999999994</v>
      </c>
    </row>
    <row r="163" spans="2:9" ht="16" x14ac:dyDescent="0.2">
      <c r="B163" s="40">
        <v>202012</v>
      </c>
      <c r="C163" s="41" t="s">
        <v>51</v>
      </c>
      <c r="D163" s="41" t="s">
        <v>75</v>
      </c>
      <c r="E163" s="42">
        <v>23</v>
      </c>
      <c r="F163" s="42">
        <v>128.35</v>
      </c>
      <c r="G163" s="42">
        <v>3561.2500000000005</v>
      </c>
      <c r="H163" s="42">
        <v>9341.2200000000012</v>
      </c>
      <c r="I163" s="42">
        <v>13030.82</v>
      </c>
    </row>
    <row r="164" spans="2:9" ht="16" x14ac:dyDescent="0.2">
      <c r="B164" s="40">
        <v>202012</v>
      </c>
      <c r="C164" s="41" t="s">
        <v>52</v>
      </c>
      <c r="D164" s="41" t="s">
        <v>34</v>
      </c>
      <c r="E164" s="42">
        <v>64</v>
      </c>
      <c r="F164" s="42">
        <v>9651.0199999999986</v>
      </c>
      <c r="G164" s="42">
        <v>7151.2800000000034</v>
      </c>
      <c r="H164" s="42">
        <v>26763.51</v>
      </c>
      <c r="I164" s="42">
        <v>43565.81</v>
      </c>
    </row>
    <row r="165" spans="2:9" ht="16" x14ac:dyDescent="0.2">
      <c r="B165" s="40">
        <v>202012</v>
      </c>
      <c r="C165" s="41" t="s">
        <v>52</v>
      </c>
      <c r="D165" s="41" t="s">
        <v>75</v>
      </c>
      <c r="E165" s="42">
        <v>1033</v>
      </c>
      <c r="F165" s="42">
        <v>95354.980000000025</v>
      </c>
      <c r="G165" s="42">
        <v>47895.330000000038</v>
      </c>
      <c r="H165" s="42">
        <v>260365.60000000006</v>
      </c>
      <c r="I165" s="42">
        <v>403615.91000000021</v>
      </c>
    </row>
    <row r="166" spans="2:9" ht="16" x14ac:dyDescent="0.2">
      <c r="B166" s="40">
        <v>202012</v>
      </c>
      <c r="C166" s="41" t="s">
        <v>53</v>
      </c>
      <c r="D166" s="41" t="s">
        <v>34</v>
      </c>
      <c r="E166" s="42">
        <v>121</v>
      </c>
      <c r="F166" s="42">
        <v>37834.970000000023</v>
      </c>
      <c r="G166" s="42">
        <v>15618.369999999995</v>
      </c>
      <c r="H166" s="42">
        <v>71959.740000000005</v>
      </c>
      <c r="I166" s="42">
        <v>125413.07999999994</v>
      </c>
    </row>
    <row r="167" spans="2:9" ht="16" x14ac:dyDescent="0.2">
      <c r="B167" s="40">
        <v>202012</v>
      </c>
      <c r="C167" s="41" t="s">
        <v>53</v>
      </c>
      <c r="D167" s="41" t="s">
        <v>75</v>
      </c>
      <c r="E167" s="42">
        <v>1350</v>
      </c>
      <c r="F167" s="42">
        <v>125793.26000000004</v>
      </c>
      <c r="G167" s="42">
        <v>53507.560000000027</v>
      </c>
      <c r="H167" s="42">
        <v>245838.37000000032</v>
      </c>
      <c r="I167" s="42">
        <v>425139.19000000018</v>
      </c>
    </row>
    <row r="168" spans="2:9" ht="16" x14ac:dyDescent="0.2">
      <c r="B168" s="40">
        <v>202012</v>
      </c>
      <c r="C168" s="41" t="s">
        <v>54</v>
      </c>
      <c r="D168" s="41" t="s">
        <v>34</v>
      </c>
      <c r="E168" s="42">
        <v>14</v>
      </c>
      <c r="F168" s="42">
        <v>7759.1799999999994</v>
      </c>
      <c r="G168" s="42">
        <v>1212.2200000000003</v>
      </c>
      <c r="H168" s="42">
        <v>3974.02</v>
      </c>
      <c r="I168" s="42">
        <v>12945.42</v>
      </c>
    </row>
    <row r="169" spans="2:9" ht="16" x14ac:dyDescent="0.2">
      <c r="B169" s="40">
        <v>202012</v>
      </c>
      <c r="C169" s="41" t="s">
        <v>54</v>
      </c>
      <c r="D169" s="41" t="s">
        <v>75</v>
      </c>
      <c r="E169" s="42">
        <v>205</v>
      </c>
      <c r="F169" s="42">
        <v>23587.050000000003</v>
      </c>
      <c r="G169" s="42">
        <v>8536.5700000000033</v>
      </c>
      <c r="H169" s="42">
        <v>55241.630000000019</v>
      </c>
      <c r="I169" s="42">
        <v>87365.249999999971</v>
      </c>
    </row>
    <row r="170" spans="2:9" ht="16" x14ac:dyDescent="0.2">
      <c r="B170" s="40">
        <v>202012</v>
      </c>
      <c r="C170" s="41" t="s">
        <v>55</v>
      </c>
      <c r="D170" s="41" t="s">
        <v>34</v>
      </c>
      <c r="E170" s="42">
        <v>109</v>
      </c>
      <c r="F170" s="42">
        <v>48434.05999999999</v>
      </c>
      <c r="G170" s="42">
        <v>14093.740000000005</v>
      </c>
      <c r="H170" s="42">
        <v>44439.97</v>
      </c>
      <c r="I170" s="42">
        <v>106967.76999999996</v>
      </c>
    </row>
    <row r="171" spans="2:9" ht="16" x14ac:dyDescent="0.2">
      <c r="B171" s="40">
        <v>202012</v>
      </c>
      <c r="C171" s="41" t="s">
        <v>55</v>
      </c>
      <c r="D171" s="41" t="s">
        <v>75</v>
      </c>
      <c r="E171" s="42">
        <v>1028</v>
      </c>
      <c r="F171" s="42">
        <v>133931.91999999987</v>
      </c>
      <c r="G171" s="42">
        <v>43514.409999999996</v>
      </c>
      <c r="H171" s="42">
        <v>197814.63999999996</v>
      </c>
      <c r="I171" s="42">
        <v>375260.97000000044</v>
      </c>
    </row>
    <row r="172" spans="2:9" ht="16" x14ac:dyDescent="0.2">
      <c r="B172" s="40">
        <v>202012</v>
      </c>
      <c r="C172" s="41" t="s">
        <v>56</v>
      </c>
      <c r="D172" s="41" t="s">
        <v>34</v>
      </c>
      <c r="E172" s="42">
        <v>80</v>
      </c>
      <c r="F172" s="42">
        <v>12038.720000000001</v>
      </c>
      <c r="G172" s="42">
        <v>6995.3099999999986</v>
      </c>
      <c r="H172" s="42">
        <v>11957.06</v>
      </c>
      <c r="I172" s="42">
        <v>30991.089999999993</v>
      </c>
    </row>
    <row r="173" spans="2:9" ht="16" x14ac:dyDescent="0.2">
      <c r="B173" s="40">
        <v>202012</v>
      </c>
      <c r="C173" s="41" t="s">
        <v>56</v>
      </c>
      <c r="D173" s="41" t="s">
        <v>75</v>
      </c>
      <c r="E173" s="42">
        <v>875</v>
      </c>
      <c r="F173" s="42">
        <v>81826.11000000003</v>
      </c>
      <c r="G173" s="42">
        <v>59348.619999999915</v>
      </c>
      <c r="H173" s="42">
        <v>305584.55999999994</v>
      </c>
      <c r="I173" s="42">
        <v>446759.28999999975</v>
      </c>
    </row>
    <row r="174" spans="2:9" ht="16" x14ac:dyDescent="0.2">
      <c r="B174" s="40">
        <v>202012</v>
      </c>
      <c r="C174" s="41" t="s">
        <v>57</v>
      </c>
      <c r="D174" s="41" t="s">
        <v>34</v>
      </c>
      <c r="E174" s="42">
        <v>1</v>
      </c>
      <c r="F174" s="42">
        <v>111.91</v>
      </c>
      <c r="G174" s="42">
        <v>35.39</v>
      </c>
      <c r="H174" s="42">
        <v>263.3</v>
      </c>
      <c r="I174" s="42">
        <v>410.6</v>
      </c>
    </row>
    <row r="175" spans="2:9" ht="16" x14ac:dyDescent="0.2">
      <c r="B175" s="40">
        <v>202012</v>
      </c>
      <c r="C175" s="41" t="s">
        <v>57</v>
      </c>
      <c r="D175" s="41" t="s">
        <v>75</v>
      </c>
      <c r="E175" s="42">
        <v>62</v>
      </c>
      <c r="F175" s="42">
        <v>7980.7699999999977</v>
      </c>
      <c r="G175" s="42">
        <v>3543.1599999999985</v>
      </c>
      <c r="H175" s="42">
        <v>30681.019999999997</v>
      </c>
      <c r="I175" s="42">
        <v>42204.950000000004</v>
      </c>
    </row>
    <row r="176" spans="2:9" ht="16" x14ac:dyDescent="0.2">
      <c r="B176" s="40">
        <v>202012</v>
      </c>
      <c r="C176" s="41" t="s">
        <v>58</v>
      </c>
      <c r="D176" s="41" t="s">
        <v>34</v>
      </c>
      <c r="E176" s="42">
        <v>56</v>
      </c>
      <c r="F176" s="42">
        <v>6822.8499999999985</v>
      </c>
      <c r="G176" s="42">
        <v>2841.2800000000007</v>
      </c>
      <c r="H176" s="42">
        <v>16527.740000000002</v>
      </c>
      <c r="I176" s="42">
        <v>26191.870000000003</v>
      </c>
    </row>
    <row r="177" spans="2:9" ht="16" x14ac:dyDescent="0.2">
      <c r="B177" s="40">
        <v>202012</v>
      </c>
      <c r="C177" s="41" t="s">
        <v>58</v>
      </c>
      <c r="D177" s="41" t="s">
        <v>75</v>
      </c>
      <c r="E177" s="42">
        <v>506</v>
      </c>
      <c r="F177" s="42">
        <v>63408.520000000055</v>
      </c>
      <c r="G177" s="42">
        <v>20729.589999999997</v>
      </c>
      <c r="H177" s="42">
        <v>98167.510000000009</v>
      </c>
      <c r="I177" s="42">
        <v>182305.62000000014</v>
      </c>
    </row>
    <row r="178" spans="2:9" ht="16" x14ac:dyDescent="0.2">
      <c r="B178" s="40">
        <v>202012</v>
      </c>
      <c r="C178" s="41" t="s">
        <v>60</v>
      </c>
      <c r="D178" s="41" t="s">
        <v>34</v>
      </c>
      <c r="E178" s="42">
        <v>17</v>
      </c>
      <c r="F178" s="42">
        <v>11461.429999999998</v>
      </c>
      <c r="G178" s="42">
        <v>910.01999999999987</v>
      </c>
      <c r="H178" s="42">
        <v>2770.6400000000003</v>
      </c>
      <c r="I178" s="42">
        <v>15142.09</v>
      </c>
    </row>
    <row r="179" spans="2:9" ht="16" x14ac:dyDescent="0.2">
      <c r="B179" s="40">
        <v>202012</v>
      </c>
      <c r="C179" s="41" t="s">
        <v>60</v>
      </c>
      <c r="D179" s="41" t="s">
        <v>75</v>
      </c>
      <c r="E179" s="42">
        <v>180</v>
      </c>
      <c r="F179" s="42">
        <v>21527.840000000004</v>
      </c>
      <c r="G179" s="42">
        <v>7972.4099999999971</v>
      </c>
      <c r="H179" s="42">
        <v>27515.649999999998</v>
      </c>
      <c r="I179" s="42">
        <v>57015.9</v>
      </c>
    </row>
    <row r="180" spans="2:9" ht="16" x14ac:dyDescent="0.2">
      <c r="B180" s="40">
        <v>202012</v>
      </c>
      <c r="C180" s="41" t="s">
        <v>61</v>
      </c>
      <c r="D180" s="41" t="s">
        <v>34</v>
      </c>
      <c r="E180" s="42">
        <v>6</v>
      </c>
      <c r="F180" s="42">
        <v>1746.49</v>
      </c>
      <c r="G180" s="42">
        <v>288.76000000000005</v>
      </c>
      <c r="H180" s="42">
        <v>609.23</v>
      </c>
      <c r="I180" s="42">
        <v>2644.48</v>
      </c>
    </row>
    <row r="181" spans="2:9" ht="16" x14ac:dyDescent="0.2">
      <c r="B181" s="40">
        <v>202012</v>
      </c>
      <c r="C181" s="41" t="s">
        <v>61</v>
      </c>
      <c r="D181" s="41" t="s">
        <v>75</v>
      </c>
      <c r="E181" s="42">
        <v>400</v>
      </c>
      <c r="F181" s="42">
        <v>25655.420000000006</v>
      </c>
      <c r="G181" s="42">
        <v>14041.980000000007</v>
      </c>
      <c r="H181" s="42">
        <v>55911.539999999972</v>
      </c>
      <c r="I181" s="42">
        <v>95608.940000000017</v>
      </c>
    </row>
    <row r="182" spans="2:9" ht="16" x14ac:dyDescent="0.2">
      <c r="B182" s="40">
        <v>202012</v>
      </c>
      <c r="C182" s="41" t="s">
        <v>62</v>
      </c>
      <c r="D182" s="41" t="s">
        <v>34</v>
      </c>
      <c r="E182" s="42">
        <v>51</v>
      </c>
      <c r="F182" s="42">
        <v>16671.689999999991</v>
      </c>
      <c r="G182" s="42">
        <v>1414.25</v>
      </c>
      <c r="H182" s="42">
        <v>5939.69</v>
      </c>
      <c r="I182" s="42">
        <v>24025.629999999994</v>
      </c>
    </row>
    <row r="183" spans="2:9" ht="16" x14ac:dyDescent="0.2">
      <c r="B183" s="40">
        <v>202012</v>
      </c>
      <c r="C183" s="41" t="s">
        <v>62</v>
      </c>
      <c r="D183" s="41" t="s">
        <v>75</v>
      </c>
      <c r="E183" s="42">
        <v>302</v>
      </c>
      <c r="F183" s="42">
        <v>38371.090000000018</v>
      </c>
      <c r="G183" s="42">
        <v>10789.93</v>
      </c>
      <c r="H183" s="42">
        <v>60712.679999999978</v>
      </c>
      <c r="I183" s="42">
        <v>109873.70000000006</v>
      </c>
    </row>
    <row r="184" spans="2:9" ht="16" x14ac:dyDescent="0.2">
      <c r="B184" s="40">
        <v>202012</v>
      </c>
      <c r="C184" s="41" t="s">
        <v>63</v>
      </c>
      <c r="D184" s="41" t="s">
        <v>34</v>
      </c>
      <c r="E184" s="42">
        <v>2</v>
      </c>
      <c r="F184" s="42">
        <v>393.37</v>
      </c>
      <c r="G184" s="42">
        <v>263.61</v>
      </c>
      <c r="H184" s="42">
        <v>1067.04</v>
      </c>
      <c r="I184" s="42">
        <v>1724.02</v>
      </c>
    </row>
    <row r="185" spans="2:9" ht="16" x14ac:dyDescent="0.2">
      <c r="B185" s="40">
        <v>202012</v>
      </c>
      <c r="C185" s="41" t="s">
        <v>63</v>
      </c>
      <c r="D185" s="41" t="s">
        <v>75</v>
      </c>
      <c r="E185" s="42">
        <v>14</v>
      </c>
      <c r="F185" s="42">
        <v>1509.1099999999997</v>
      </c>
      <c r="G185" s="42">
        <v>558.51</v>
      </c>
      <c r="H185" s="42">
        <v>1242.3699999999999</v>
      </c>
      <c r="I185" s="42">
        <v>3309.9899999999993</v>
      </c>
    </row>
    <row r="186" spans="2:9" ht="16" x14ac:dyDescent="0.2">
      <c r="B186" s="40">
        <v>202012</v>
      </c>
      <c r="C186" s="41" t="s">
        <v>64</v>
      </c>
      <c r="D186" s="41" t="s">
        <v>34</v>
      </c>
      <c r="E186" s="42">
        <v>13</v>
      </c>
      <c r="F186" s="42">
        <v>3410.4900000000002</v>
      </c>
      <c r="G186" s="42">
        <v>2963.04</v>
      </c>
      <c r="H186" s="42">
        <v>4558.01</v>
      </c>
      <c r="I186" s="42">
        <v>10931.539999999999</v>
      </c>
    </row>
    <row r="187" spans="2:9" ht="16" x14ac:dyDescent="0.2">
      <c r="B187" s="40">
        <v>202012</v>
      </c>
      <c r="C187" s="41" t="s">
        <v>64</v>
      </c>
      <c r="D187" s="41" t="s">
        <v>75</v>
      </c>
      <c r="E187" s="42">
        <v>101</v>
      </c>
      <c r="F187" s="42">
        <v>11216.61</v>
      </c>
      <c r="G187" s="42">
        <v>5459.2199999999993</v>
      </c>
      <c r="H187" s="42">
        <v>33311.049999999996</v>
      </c>
      <c r="I187" s="42">
        <v>49986.87999999999</v>
      </c>
    </row>
    <row r="188" spans="2:9" ht="16" x14ac:dyDescent="0.2">
      <c r="B188" s="40">
        <v>202012</v>
      </c>
      <c r="C188" s="41" t="s">
        <v>65</v>
      </c>
      <c r="D188" s="41" t="s">
        <v>34</v>
      </c>
      <c r="E188" s="42">
        <v>4</v>
      </c>
      <c r="F188" s="42">
        <v>794.07</v>
      </c>
      <c r="G188" s="42">
        <v>267.56</v>
      </c>
      <c r="H188" s="42">
        <v>84.26</v>
      </c>
      <c r="I188" s="42">
        <v>1145.8899999999999</v>
      </c>
    </row>
    <row r="189" spans="2:9" ht="16" x14ac:dyDescent="0.2">
      <c r="B189" s="40">
        <v>202012</v>
      </c>
      <c r="C189" s="41" t="s">
        <v>65</v>
      </c>
      <c r="D189" s="41" t="s">
        <v>75</v>
      </c>
      <c r="E189" s="42">
        <v>35</v>
      </c>
      <c r="F189" s="42">
        <v>3967.2</v>
      </c>
      <c r="G189" s="42">
        <v>1573.2599999999995</v>
      </c>
      <c r="H189" s="42">
        <v>7906.9399999999987</v>
      </c>
      <c r="I189" s="42">
        <v>13447.400000000001</v>
      </c>
    </row>
    <row r="190" spans="2:9" ht="16" x14ac:dyDescent="0.2">
      <c r="B190" s="40">
        <v>202012</v>
      </c>
      <c r="C190" s="41" t="s">
        <v>66</v>
      </c>
      <c r="D190" s="41" t="s">
        <v>75</v>
      </c>
      <c r="E190" s="42">
        <v>11</v>
      </c>
      <c r="F190" s="42">
        <v>1837.4399999999996</v>
      </c>
      <c r="G190" s="42">
        <v>291.27999999999997</v>
      </c>
      <c r="H190" s="42">
        <v>1597.54</v>
      </c>
      <c r="I190" s="42">
        <v>3726.26</v>
      </c>
    </row>
    <row r="191" spans="2:9" ht="16" x14ac:dyDescent="0.2">
      <c r="B191" s="40">
        <v>202012</v>
      </c>
      <c r="C191" s="41" t="s">
        <v>67</v>
      </c>
      <c r="D191" s="41" t="s">
        <v>34</v>
      </c>
      <c r="E191" s="42">
        <v>13</v>
      </c>
      <c r="F191" s="42">
        <v>3215.15</v>
      </c>
      <c r="G191" s="42">
        <v>1256.6399999999999</v>
      </c>
      <c r="H191" s="42">
        <v>3955.3799999999997</v>
      </c>
      <c r="I191" s="42">
        <v>8427.17</v>
      </c>
    </row>
    <row r="192" spans="2:9" ht="16" x14ac:dyDescent="0.2">
      <c r="B192" s="40">
        <v>202012</v>
      </c>
      <c r="C192" s="41" t="s">
        <v>67</v>
      </c>
      <c r="D192" s="41" t="s">
        <v>75</v>
      </c>
      <c r="E192" s="42">
        <v>86</v>
      </c>
      <c r="F192" s="42">
        <v>13160.009999999998</v>
      </c>
      <c r="G192" s="42">
        <v>3927.1000000000008</v>
      </c>
      <c r="H192" s="42">
        <v>12584.140000000001</v>
      </c>
      <c r="I192" s="42">
        <v>29671.250000000004</v>
      </c>
    </row>
    <row r="193" spans="2:9" ht="16" x14ac:dyDescent="0.2">
      <c r="B193" s="40">
        <v>202012</v>
      </c>
      <c r="C193" s="41" t="s">
        <v>68</v>
      </c>
      <c r="D193" s="41" t="s">
        <v>34</v>
      </c>
      <c r="E193" s="42">
        <v>10</v>
      </c>
      <c r="F193" s="42">
        <v>1213.21</v>
      </c>
      <c r="G193" s="42">
        <v>599.35</v>
      </c>
      <c r="H193" s="42">
        <v>4681.53</v>
      </c>
      <c r="I193" s="42">
        <v>6494.09</v>
      </c>
    </row>
    <row r="194" spans="2:9" ht="16" x14ac:dyDescent="0.2">
      <c r="B194" s="40">
        <v>202012</v>
      </c>
      <c r="C194" s="41" t="s">
        <v>68</v>
      </c>
      <c r="D194" s="41" t="s">
        <v>75</v>
      </c>
      <c r="E194" s="42">
        <v>90</v>
      </c>
      <c r="F194" s="42">
        <v>10325.189999999997</v>
      </c>
      <c r="G194" s="42">
        <v>3473.0299999999993</v>
      </c>
      <c r="H194" s="42">
        <v>22147.040000000001</v>
      </c>
      <c r="I194" s="42">
        <v>35945.260000000009</v>
      </c>
    </row>
    <row r="195" spans="2:9" ht="16" x14ac:dyDescent="0.2">
      <c r="B195" s="40">
        <v>202012</v>
      </c>
      <c r="C195" s="41" t="s">
        <v>69</v>
      </c>
      <c r="D195" s="41" t="s">
        <v>34</v>
      </c>
      <c r="E195" s="42">
        <v>225</v>
      </c>
      <c r="F195" s="42">
        <v>121889.2499999999</v>
      </c>
      <c r="G195" s="42">
        <v>15044.86</v>
      </c>
      <c r="H195" s="42">
        <v>49985.420000000006</v>
      </c>
      <c r="I195" s="42">
        <v>186919.52999999991</v>
      </c>
    </row>
    <row r="196" spans="2:9" ht="16" x14ac:dyDescent="0.2">
      <c r="B196" s="40">
        <v>202012</v>
      </c>
      <c r="C196" s="41" t="s">
        <v>69</v>
      </c>
      <c r="D196" s="41" t="s">
        <v>75</v>
      </c>
      <c r="E196" s="42">
        <v>2867</v>
      </c>
      <c r="F196" s="42">
        <v>225860.34999999963</v>
      </c>
      <c r="G196" s="42">
        <v>112324.15000000024</v>
      </c>
      <c r="H196" s="42">
        <v>377056.67000000092</v>
      </c>
      <c r="I196" s="42">
        <v>715241.1699999983</v>
      </c>
    </row>
    <row r="197" spans="2:9" ht="16" x14ac:dyDescent="0.2">
      <c r="B197" s="40">
        <v>202012</v>
      </c>
      <c r="C197" s="41" t="s">
        <v>70</v>
      </c>
      <c r="D197" s="41" t="s">
        <v>34</v>
      </c>
      <c r="E197" s="42">
        <v>3</v>
      </c>
      <c r="F197" s="42">
        <v>375.69</v>
      </c>
      <c r="G197" s="42">
        <v>43.65</v>
      </c>
      <c r="H197" s="42">
        <v>181.62</v>
      </c>
      <c r="I197" s="42">
        <v>600.96</v>
      </c>
    </row>
    <row r="198" spans="2:9" ht="16" x14ac:dyDescent="0.2">
      <c r="B198" s="40">
        <v>202012</v>
      </c>
      <c r="C198" s="41" t="s">
        <v>70</v>
      </c>
      <c r="D198" s="41" t="s">
        <v>75</v>
      </c>
      <c r="E198" s="42">
        <v>19</v>
      </c>
      <c r="F198" s="42">
        <v>2850.9300000000003</v>
      </c>
      <c r="G198" s="42">
        <v>529.46</v>
      </c>
      <c r="H198" s="42">
        <v>1975.12</v>
      </c>
      <c r="I198" s="42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2022-07-27T07:00:00+00:00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79A3B8-F1B9-4F94-874F-2F361B6968D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0AA9C1F-E576-495D-BBDD-8F6B50168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29B96C-5F6B-4FA1-9FA3-C0D8EA26ADA5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E54BAB09-9DA9-47A2-9FB8-A166DCD110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2022_Q2</vt:lpstr>
      <vt:lpstr>2. Disconnections 2022_Q2</vt:lpstr>
      <vt:lpstr>3. Fees 2022_Q2</vt:lpstr>
      <vt:lpstr>4. Payment Arrangements 2022_Q2</vt:lpstr>
      <vt:lpstr>5. Medical Certificates 2022_Q2</vt:lpstr>
      <vt:lpstr>6. Deposits 2022_Q2</vt:lpstr>
      <vt:lpstr>DEP_WKSHT</vt:lpstr>
      <vt:lpstr>7. Bill Assistance 2022_Q2</vt:lpstr>
      <vt:lpstr>BA_WRKSHT</vt:lpstr>
      <vt:lpstr>8.ARREARS NEW 2022_Q2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dcterms:created xsi:type="dcterms:W3CDTF">2020-11-12T18:23:50Z</dcterms:created>
  <dcterms:modified xsi:type="dcterms:W3CDTF">2023-06-09T21:36:30Z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  <property fmtid="{D5CDD505-2E9C-101B-9397-08002B2CF9AE}" pid="4" name="IsEFSEC">
    <vt:bool>false</vt:bool>
  </property>
</Properties>
</file>