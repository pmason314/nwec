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CharleeThompson/Desktop/200281 (COVID)/2022 Data/PSE/"/>
    </mc:Choice>
  </mc:AlternateContent>
  <xr:revisionPtr revIDLastSave="0" documentId="13_ncr:1_{B1C0E030-D16C-DB42-9B31-8CD0F24A755E}" xr6:coauthVersionLast="47" xr6:coauthVersionMax="47" xr10:uidLastSave="{00000000-0000-0000-0000-000000000000}"/>
  <bookViews>
    <workbookView xWindow="0" yWindow="480" windowWidth="28800" windowHeight="17520" tabRatio="859" firstSheet="1" activeTab="7" xr2:uid="{00000000-000D-0000-FFFF-FFFF00000000}"/>
  </bookViews>
  <sheets>
    <sheet name="1. General 2022" sheetId="7" r:id="rId1"/>
    <sheet name="2. Disconnections 2022" sheetId="6" r:id="rId2"/>
    <sheet name="3. Fees 2022" sheetId="5" r:id="rId3"/>
    <sheet name="4. Payment Arrangements 2022" sheetId="1" r:id="rId4"/>
    <sheet name="5. Medical Certificates 2022" sheetId="3" r:id="rId5"/>
    <sheet name="6. Deposits 2022" sheetId="8" r:id="rId6"/>
    <sheet name="7. Bill Assistance 2022" sheetId="4" r:id="rId7"/>
    <sheet name="8. Past Due Balances 2022" sheetId="9" r:id="rId8"/>
  </sheets>
  <definedNames>
    <definedName name="_xlnm._FilterDatabase" localSheetId="3" hidden="1">'4. Payment Arrangements 2022'!$S$10:$W$315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L213" i="9" l="1"/>
  <c r="BK213" i="9"/>
  <c r="BJ213" i="9"/>
  <c r="BD385" i="9"/>
  <c r="BE385" i="9"/>
  <c r="BF385" i="9"/>
  <c r="AY385" i="9"/>
  <c r="AZ385" i="9"/>
  <c r="AX385" i="9"/>
  <c r="AG239" i="9"/>
  <c r="Z239" i="9"/>
  <c r="AA239" i="9"/>
  <c r="AB239" i="9"/>
  <c r="AC239" i="9"/>
  <c r="AD239" i="9"/>
  <c r="AE239" i="9"/>
  <c r="AF239" i="9"/>
  <c r="AH239" i="9"/>
  <c r="AI239" i="9"/>
  <c r="AJ239" i="9"/>
  <c r="Y239" i="9"/>
  <c r="N488" i="9"/>
  <c r="K488" i="9"/>
  <c r="L488" i="9"/>
  <c r="M488" i="9"/>
  <c r="O488" i="9"/>
  <c r="P488" i="9"/>
  <c r="Q488" i="9"/>
  <c r="R488" i="9"/>
  <c r="S488" i="9"/>
  <c r="T488" i="9"/>
  <c r="U488" i="9"/>
  <c r="J488" i="9"/>
  <c r="E487" i="9"/>
  <c r="F487" i="9"/>
  <c r="D487" i="9"/>
  <c r="D214" i="4" l="1"/>
  <c r="E214" i="4"/>
  <c r="C214" i="4"/>
  <c r="D391" i="1"/>
  <c r="E391" i="1"/>
  <c r="C391" i="1"/>
  <c r="D83" i="6"/>
  <c r="E83" i="6"/>
  <c r="C83" i="6"/>
  <c r="P436" i="6"/>
  <c r="Q436" i="6"/>
  <c r="O436" i="6"/>
</calcChain>
</file>

<file path=xl/sharedStrings.xml><?xml version="1.0" encoding="utf-8"?>
<sst xmlns="http://schemas.openxmlformats.org/spreadsheetml/2006/main" count="9170" uniqueCount="355">
  <si>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</si>
  <si>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</si>
  <si>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</si>
  <si>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</si>
  <si>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</si>
  <si>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</si>
  <si>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</si>
  <si>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</si>
  <si>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</si>
  <si>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</si>
  <si>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</si>
  <si>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</si>
  <si>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</si>
  <si>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</si>
  <si>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</si>
  <si>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</si>
  <si>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</si>
  <si>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</si>
  <si>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</si>
  <si>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</si>
  <si>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</si>
  <si>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</si>
  <si>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</si>
  <si>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</si>
  <si>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</si>
  <si>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</si>
  <si>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</si>
  <si>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</si>
  <si>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</si>
  <si>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</si>
  <si>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</si>
  <si>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</si>
  <si>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</si>
  <si>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</si>
  <si>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</si>
  <si>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</si>
  <si>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</si>
  <si>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</si>
  <si>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</si>
  <si>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</si>
  <si>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</si>
  <si>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</si>
  <si>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</si>
  <si>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</si>
  <si>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</si>
  <si>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</si>
  <si>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</si>
  <si>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</si>
  <si>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</si>
  <si>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</si>
  <si>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</si>
  <si>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</si>
  <si>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</si>
  <si>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</si>
  <si>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</si>
  <si>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</si>
  <si>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</si>
  <si>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</si>
  <si>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</si>
  <si>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</si>
  <si>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</si>
  <si>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</si>
  <si>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</si>
  <si>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</si>
  <si>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</si>
  <si>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</si>
  <si>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</si>
  <si>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</si>
  <si>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</si>
  <si>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</si>
  <si>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</si>
  <si>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</si>
  <si>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c) "known low-income" is defined as customers who have received energy assistance in the last two years (between September 2018 to present).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</si>
  <si>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</si>
  <si>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</si>
  <si>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</si>
  <si>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</si>
  <si>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 In March 2021, approximately $2.4 million in bad debt expense was deferred.  In June 2021, approximately $2.8 million in bad debt expense was deferred.</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</si>
  <si>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</si>
  <si>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</si>
  <si>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</si>
  <si>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</si>
  <si>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</si>
  <si>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General 2022</t>
  </si>
  <si>
    <t>Disconnections 2022</t>
  </si>
  <si>
    <t>Fees 2022</t>
  </si>
  <si>
    <t>Medical Certificates 2022</t>
  </si>
  <si>
    <t>Payment Arrangements 2022</t>
  </si>
  <si>
    <t>Bill Assistance 2022</t>
  </si>
  <si>
    <t>Deposits 2022</t>
  </si>
  <si>
    <t>Past Due Balances 2022</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</si>
  <si>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</si>
  <si>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</si>
  <si>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</si>
  <si>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Billed kWh</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</si>
  <si>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</si>
  <si>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</si>
  <si>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</si>
  <si>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</si>
  <si>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</si>
  <si>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</si>
  <si>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</si>
  <si>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</si>
  <si>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</si>
  <si>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</si>
  <si>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</si>
  <si>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</si>
  <si>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</si>
  <si>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</si>
  <si>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</si>
  <si>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</si>
  <si>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</si>
  <si>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</si>
  <si>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</si>
  <si>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</si>
  <si>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</si>
  <si>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</si>
  <si>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</si>
  <si>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</si>
  <si>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</si>
  <si>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</si>
  <si>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</si>
  <si>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</si>
  <si>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</si>
  <si>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</si>
  <si>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</si>
  <si>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</si>
  <si>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</si>
  <si>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</si>
  <si>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</si>
  <si>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</si>
  <si>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</si>
  <si>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</si>
  <si>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</si>
  <si>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</si>
  <si>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</si>
  <si>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</si>
  <si>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</si>
  <si>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</si>
  <si>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</si>
  <si>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</si>
  <si>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</si>
  <si>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</si>
  <si>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</si>
  <si>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</si>
  <si>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</si>
  <si>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</si>
  <si>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</si>
  <si>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</si>
  <si>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</si>
  <si>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</si>
  <si>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</si>
  <si>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</si>
  <si>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</si>
  <si>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</si>
  <si>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</si>
  <si>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</si>
  <si>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</si>
  <si>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</si>
  <si>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</si>
  <si>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</si>
  <si>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</si>
  <si>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</si>
  <si>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</si>
  <si>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</si>
  <si>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</si>
  <si>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</si>
  <si>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</si>
  <si>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</si>
  <si>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</si>
  <si>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</si>
  <si>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</si>
  <si>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</si>
  <si>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</si>
  <si>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</si>
  <si>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</si>
  <si>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</si>
  <si>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</si>
  <si>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</si>
  <si>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</si>
  <si>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</si>
  <si>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</si>
  <si>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</si>
  <si>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</si>
  <si>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</si>
  <si>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</si>
  <si>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</si>
  <si>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</si>
  <si>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</si>
  <si>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</si>
  <si>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</si>
  <si>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</si>
  <si>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</si>
  <si>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</si>
  <si>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</si>
  <si>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</si>
  <si>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</si>
  <si>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</si>
  <si>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</si>
  <si>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</si>
  <si>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</si>
  <si>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</si>
  <si>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</si>
  <si>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</si>
  <si>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</si>
  <si>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</si>
  <si>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</si>
  <si>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</si>
  <si>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US/98352</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</si>
  <si>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</si>
  <si>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</si>
  <si>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</si>
  <si>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</si>
  <si>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</si>
  <si>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</si>
  <si>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</si>
  <si>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</si>
  <si>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</si>
  <si>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</si>
  <si>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</si>
  <si>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</si>
  <si>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</si>
  <si>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</si>
  <si>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</si>
  <si>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</si>
  <si>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</si>
  <si>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</si>
  <si>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</si>
  <si>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</si>
  <si>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</si>
  <si>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</si>
  <si>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</si>
  <si>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</si>
  <si>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</si>
  <si>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</si>
  <si>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</si>
  <si>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</si>
  <si>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</si>
  <si>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</si>
  <si>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</si>
  <si>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</si>
  <si>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</si>
  <si>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</si>
  <si>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</si>
  <si>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</si>
  <si>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</si>
  <si>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</si>
  <si>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</si>
  <si>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</si>
  <si>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</si>
  <si>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</si>
  <si>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</si>
  <si>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</si>
  <si>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</si>
  <si>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</si>
  <si>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</si>
  <si>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</si>
  <si>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</si>
  <si>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</si>
  <si>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</si>
  <si>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</si>
  <si>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</si>
  <si>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</si>
  <si>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</si>
  <si>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</si>
  <si>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</si>
  <si>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</si>
  <si>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</si>
  <si>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Billed Therms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</si>
  <si>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</si>
  <si>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</si>
  <si>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</si>
  <si>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</si>
  <si>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</si>
  <si>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</si>
  <si>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</si>
  <si>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</si>
  <si>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</si>
  <si>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</si>
  <si>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</si>
  <si>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</si>
  <si>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</si>
  <si>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</si>
  <si>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</si>
  <si>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</si>
  <si>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</si>
  <si>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</si>
  <si>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</si>
  <si>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</si>
  <si>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</si>
  <si>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</si>
  <si>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</si>
  <si>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</si>
  <si>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</si>
  <si>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</si>
  <si>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</si>
  <si>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</si>
  <si>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</si>
  <si>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</si>
  <si>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</si>
  <si>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</si>
  <si>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</si>
  <si>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</si>
  <si>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</si>
  <si>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US/98191</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</si>
  <si>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</si>
  <si>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</si>
  <si>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</si>
  <si>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</si>
  <si>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</si>
  <si>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</si>
  <si>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</si>
  <si>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</si>
  <si>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</si>
  <si>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</si>
  <si>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</si>
  <si>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</si>
  <si>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</si>
  <si>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</si>
  <si>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</si>
  <si>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</si>
  <si>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</si>
  <si>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</si>
  <si>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</si>
  <si>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</si>
  <si>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</si>
  <si>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</si>
  <si>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</si>
  <si>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</si>
  <si>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</si>
  <si>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</si>
  <si>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</si>
  <si>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</si>
  <si>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</si>
  <si>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</si>
  <si>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</si>
  <si>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</si>
  <si>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</si>
  <si>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</si>
  <si>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</si>
  <si>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</si>
  <si>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</si>
  <si>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</si>
  <si>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</si>
  <si>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</si>
  <si>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</si>
  <si>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Lighting</t>
  </si>
  <si>
    <t>#/#</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</si>
  <si>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</si>
  <si>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</si>
  <si>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</si>
  <si>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</si>
  <si>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t>Enrollment in medical payment arrangements has declined extensively since the beginning of the pandemic.  No customers renegotiated medical payment arrangements during the months of July, August, and September of 2022.</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</si>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</sst>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b/>
      <sz val="11"/>
      <color theme="1"/>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s>
  <borders count="1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6">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17" fontId="4" fillId="5" borderId="13" xfId="0" applyNumberFormat="1"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5" fillId="0" borderId="15" xfId="0" applyFont="1" applyBorder="1"/>
    <xf numFmtId="0" fontId="4" fillId="5" borderId="7" xfId="0" applyFont="1" applyFill="1" applyBorder="1" applyAlignment="1">
      <alignment horizontal="center" vertical="top"/>
    </xf>
    <xf numFmtId="0" fontId="5" fillId="0" borderId="14" xfId="0" applyFont="1" applyBorder="1" applyAlignment="1">
      <alignment vertical="center"/>
    </xf>
    <xf numFmtId="0" fontId="5" fillId="0" borderId="15" xfId="0" applyFont="1" applyBorder="1" applyAlignment="1">
      <alignment vertical="center"/>
    </xf>
    <xf numFmtId="0" fontId="5" fillId="3" borderId="8" xfId="0" quotePrefix="1" applyFont="1" applyFill="1" applyBorder="1" applyAlignment="1">
      <alignment horizontal="left"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8" xfId="0" applyFont="1" applyFill="1" applyBorder="1" applyAlignment="1">
      <alignment vertical="center"/>
    </xf>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3" fontId="5" fillId="0" borderId="16" xfId="0" applyNumberFormat="1" applyFont="1" applyBorder="1" applyAlignment="1">
      <alignment vertical="center"/>
    </xf>
    <xf numFmtId="0" fontId="5" fillId="5" borderId="16" xfId="0" quotePrefix="1" applyFont="1" applyFill="1" applyBorder="1" applyAlignment="1">
      <alignment horizontal="left" vertical="top"/>
    </xf>
    <xf numFmtId="0" fontId="5" fillId="0" borderId="14" xfId="0" applyFont="1" applyBorder="1"/>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5" fillId="5" borderId="17" xfId="0" quotePrefix="1" applyFont="1" applyFill="1" applyBorder="1" applyAlignment="1">
      <alignment horizontal="left" vertical="top"/>
    </xf>
    <xf numFmtId="0" fontId="5" fillId="0" borderId="17" xfId="0" applyFont="1" applyBorder="1" applyAlignment="1">
      <alignment vertical="center"/>
    </xf>
    <xf numFmtId="0" fontId="5" fillId="5" borderId="15" xfId="0" applyFont="1" applyFill="1" applyBorder="1" applyAlignment="1">
      <alignment horizontal="right"/>
    </xf>
    <xf numFmtId="0" fontId="5" fillId="5" borderId="14" xfId="0" quotePrefix="1" applyFont="1" applyFill="1" applyBorder="1" applyAlignment="1">
      <alignment horizontal="right" vertical="center"/>
    </xf>
    <xf numFmtId="0" fontId="5" fillId="5" borderId="15" xfId="0" applyFont="1" applyFill="1" applyBorder="1" applyAlignment="1">
      <alignment horizontal="right" vertical="center"/>
    </xf>
    <xf numFmtId="0" fontId="5" fillId="5" borderId="15" xfId="0" quotePrefix="1" applyFont="1" applyFill="1" applyBorder="1" applyAlignment="1">
      <alignment horizontal="right" vertical="center"/>
    </xf>
    <xf numFmtId="44" fontId="5" fillId="3" borderId="0" xfId="2" applyFont="1" applyFill="1" applyBorder="1"/>
    <xf numFmtId="44" fontId="5" fillId="3" borderId="0" xfId="2" applyFont="1" applyFill="1" applyBorder="1" applyAlignment="1">
      <alignment vertical="center"/>
    </xf>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5" borderId="17" xfId="0" applyFont="1" applyFill="1" applyBorder="1" applyAlignment="1">
      <alignment horizontal="right"/>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3" fontId="5" fillId="0" borderId="15" xfId="0" applyNumberFormat="1"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17" fontId="4" fillId="5" borderId="7" xfId="0" applyNumberFormat="1" applyFont="1" applyFill="1" applyBorder="1" applyAlignment="1">
      <alignment horizontal="center" vertical="center"/>
    </xf>
    <xf numFmtId="0" fontId="5" fillId="3" borderId="15" xfId="0" applyFont="1" applyFill="1" applyBorder="1" applyAlignment="1">
      <alignment vertical="center"/>
    </xf>
    <xf numFmtId="0" fontId="5" fillId="3" borderId="16" xfId="0" applyFont="1" applyFill="1" applyBorder="1" applyAlignment="1">
      <alignment vertical="center"/>
    </xf>
    <xf numFmtId="0" fontId="5" fillId="3" borderId="8" xfId="0" quotePrefix="1" applyFont="1" applyFill="1" applyBorder="1" applyAlignment="1">
      <alignment horizontal="right" vertical="center"/>
    </xf>
    <xf numFmtId="0" fontId="5" fillId="5" borderId="14" xfId="0" quotePrefix="1" applyFont="1" applyFill="1" applyBorder="1" applyAlignment="1">
      <alignment horizontal="right" vertical="top"/>
    </xf>
    <xf numFmtId="0" fontId="5" fillId="5" borderId="15" xfId="0" quotePrefix="1" applyFont="1" applyFill="1" applyBorder="1" applyAlignment="1">
      <alignment horizontal="right" vertical="top"/>
    </xf>
    <xf numFmtId="0" fontId="5" fillId="3" borderId="15" xfId="0" applyFont="1" applyFill="1" applyBorder="1"/>
    <xf numFmtId="0" fontId="3" fillId="5" borderId="15" xfId="0" applyFont="1" applyFill="1" applyBorder="1" applyAlignment="1">
      <alignment horizontal="right"/>
    </xf>
    <xf numFmtId="0" fontId="5" fillId="3" borderId="14" xfId="0" applyFont="1" applyFill="1" applyBorder="1" applyAlignment="1">
      <alignment vertical="center"/>
    </xf>
    <xf numFmtId="0" fontId="5" fillId="5" borderId="17" xfId="0" quotePrefix="1" applyFont="1" applyFill="1" applyBorder="1" applyAlignment="1">
      <alignment horizontal="right" vertical="top"/>
    </xf>
    <xf numFmtId="0" fontId="5" fillId="0" borderId="17" xfId="0" applyFont="1" applyBorder="1"/>
    <xf numFmtId="0" fontId="3" fillId="3" borderId="8" xfId="0" applyFont="1" applyFill="1" applyBorder="1"/>
    <xf numFmtId="0" fontId="3" fillId="3" borderId="0" xfId="0" applyFont="1" applyFill="1" applyAlignment="1">
      <alignment horizontal="left"/>
    </xf>
    <xf numFmtId="3" fontId="5" fillId="3" borderId="8" xfId="0" applyNumberFormat="1" applyFont="1" applyFill="1" applyBorder="1" applyAlignment="1">
      <alignment vertical="center"/>
    </xf>
    <xf numFmtId="3" fontId="5" fillId="3" borderId="0" xfId="0" applyNumberFormat="1" applyFont="1" applyFill="1" applyAlignment="1">
      <alignment vertical="center"/>
    </xf>
    <xf numFmtId="0" fontId="5" fillId="5" borderId="18" xfId="0" quotePrefix="1" applyFont="1" applyFill="1" applyBorder="1" applyAlignment="1">
      <alignment horizontal="right" vertical="top"/>
    </xf>
    <xf numFmtId="0" fontId="5" fillId="5" borderId="18" xfId="0" quotePrefix="1" applyFont="1" applyFill="1" applyBorder="1" applyAlignment="1">
      <alignment horizontal="left" vertical="top"/>
    </xf>
    <xf numFmtId="0" fontId="5" fillId="0" borderId="18" xfId="0" applyFont="1" applyBorder="1"/>
    <xf numFmtId="0" fontId="5" fillId="0" borderId="18" xfId="0" applyFont="1" applyBorder="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0" borderId="14" xfId="0" applyFont="1" applyBorder="1" applyAlignment="1">
      <alignment vertical="center" wrapText="1"/>
    </xf>
    <xf numFmtId="0" fontId="5" fillId="5" borderId="16" xfId="0" quotePrefix="1" applyFont="1" applyFill="1" applyBorder="1" applyAlignment="1">
      <alignment vertical="top"/>
    </xf>
    <xf numFmtId="0" fontId="3" fillId="5" borderId="14" xfId="0" applyFont="1" applyFill="1" applyBorder="1" applyAlignment="1">
      <alignment vertical="center" wrapText="1"/>
    </xf>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0" fontId="5" fillId="5" borderId="16" xfId="0" quotePrefix="1" applyFont="1" applyFill="1" applyBorder="1" applyAlignment="1">
      <alignment horizontal="right" vertical="top"/>
    </xf>
    <xf numFmtId="42" fontId="5" fillId="0" borderId="7" xfId="2" applyNumberFormat="1" applyFont="1" applyFill="1" applyBorder="1" applyAlignment="1">
      <alignment vertical="top"/>
    </xf>
    <xf numFmtId="0" fontId="5" fillId="5" borderId="17" xfId="0" quotePrefix="1" applyFont="1" applyFill="1" applyBorder="1" applyAlignment="1">
      <alignment vertical="top"/>
    </xf>
    <xf numFmtId="0" fontId="3" fillId="0" borderId="16" xfId="0" applyFont="1" applyBorder="1"/>
    <xf numFmtId="0" fontId="5" fillId="5" borderId="17" xfId="0" applyFont="1" applyFill="1" applyBorder="1"/>
    <xf numFmtId="164" fontId="5" fillId="0" borderId="17" xfId="0" applyNumberFormat="1" applyFont="1" applyBorder="1" applyAlignment="1">
      <alignment vertical="center"/>
    </xf>
    <xf numFmtId="0" fontId="5" fillId="3" borderId="8" xfId="0" applyFont="1" applyFill="1" applyBorder="1"/>
    <xf numFmtId="0" fontId="5" fillId="3" borderId="8" xfId="0" quotePrefix="1" applyFont="1" applyFill="1" applyBorder="1" applyAlignment="1">
      <alignment vertical="top"/>
    </xf>
    <xf numFmtId="164" fontId="5" fillId="3" borderId="8" xfId="0" applyNumberFormat="1" applyFont="1" applyFill="1" applyBorder="1" applyAlignment="1">
      <alignment vertical="center"/>
    </xf>
    <xf numFmtId="164" fontId="5" fillId="3" borderId="0" xfId="0" applyNumberFormat="1" applyFont="1" applyFill="1" applyAlignment="1">
      <alignment vertical="center"/>
    </xf>
    <xf numFmtId="0" fontId="3" fillId="5" borderId="17" xfId="0" applyFont="1" applyFill="1" applyBorder="1" applyAlignment="1">
      <alignment vertical="center" wrapText="1"/>
    </xf>
    <xf numFmtId="0" fontId="3" fillId="0" borderId="17" xfId="0" applyFont="1" applyBorder="1" applyAlignment="1">
      <alignment vertical="center" wrapText="1"/>
    </xf>
    <xf numFmtId="0" fontId="5" fillId="3" borderId="16" xfId="0" applyFont="1" applyFill="1" applyBorder="1" applyAlignment="1">
      <alignment vertical="center" wrapText="1"/>
    </xf>
    <xf numFmtId="0" fontId="5" fillId="5" borderId="16" xfId="0" applyFont="1" applyFill="1" applyBorder="1" applyAlignment="1">
      <alignment vertical="center" wrapText="1"/>
    </xf>
    <xf numFmtId="0" fontId="3" fillId="3" borderId="8" xfId="0" applyFont="1" applyFill="1" applyBorder="1" applyAlignment="1">
      <alignment vertical="center" wrapText="1"/>
    </xf>
    <xf numFmtId="0" fontId="3" fillId="3" borderId="0" xfId="0" applyFont="1" applyFill="1" applyAlignment="1">
      <alignment vertical="center" wrapText="1"/>
    </xf>
    <xf numFmtId="0" fontId="3" fillId="0" borderId="7" xfId="0" applyFont="1" applyBorder="1" applyAlignment="1">
      <alignment vertical="center" wrapText="1"/>
    </xf>
    <xf numFmtId="0" fontId="5" fillId="3" borderId="8" xfId="0" quotePrefix="1" applyFont="1" applyFill="1" applyBorder="1" applyAlignment="1">
      <alignment horizontal="right" vertical="top"/>
    </xf>
    <xf numFmtId="0" fontId="5" fillId="3" borderId="0" xfId="0" quotePrefix="1" applyFont="1" applyFill="1" applyAlignment="1">
      <alignment horizontal="right" vertical="top"/>
    </xf>
    <xf numFmtId="0" fontId="3" fillId="5" borderId="7" xfId="0" applyFont="1" applyFill="1" applyBorder="1" applyAlignment="1">
      <alignment vertical="center" wrapText="1"/>
    </xf>
    <xf numFmtId="0" fontId="5" fillId="0" borderId="7" xfId="0" applyFont="1" applyBorder="1" applyAlignment="1">
      <alignment vertical="center"/>
    </xf>
    <xf numFmtId="0" fontId="3" fillId="5" borderId="17" xfId="0" applyFont="1" applyFill="1" applyBorder="1" applyAlignment="1">
      <alignment horizontal="right"/>
    </xf>
    <xf numFmtId="0" fontId="3" fillId="5" borderId="17" xfId="0" applyFont="1" applyFill="1" applyBorder="1"/>
    <xf numFmtId="0" fontId="3" fillId="3" borderId="17" xfId="0" applyFont="1" applyFill="1" applyBorder="1"/>
    <xf numFmtId="0" fontId="3" fillId="3" borderId="8" xfId="0" applyFont="1" applyFill="1" applyBorder="1" applyAlignment="1">
      <alignment horizontal="right"/>
    </xf>
    <xf numFmtId="0" fontId="3" fillId="3" borderId="0" xfId="0" applyFont="1" applyFill="1" applyAlignment="1">
      <alignment horizontal="right"/>
    </xf>
    <xf numFmtId="0" fontId="5" fillId="5" borderId="17" xfId="0" applyFont="1" applyFill="1" applyBorder="1" applyAlignment="1">
      <alignment horizontal="right" vertical="center"/>
    </xf>
    <xf numFmtId="3" fontId="5" fillId="0" borderId="17" xfId="0" applyNumberFormat="1" applyFont="1" applyBorder="1" applyAlignment="1">
      <alignment vertical="center"/>
    </xf>
    <xf numFmtId="43" fontId="0" fillId="3" borderId="0" xfId="0" applyNumberFormat="1" applyFill="1" applyAlignment="1">
      <alignment vertical="top"/>
    </xf>
    <xf numFmtId="42" fontId="5" fillId="0" borderId="17" xfId="2" applyNumberFormat="1" applyFont="1" applyBorder="1"/>
    <xf numFmtId="42" fontId="5" fillId="3" borderId="0" xfId="2" applyNumberFormat="1" applyFont="1" applyFill="1" applyBorder="1"/>
    <xf numFmtId="42" fontId="3" fillId="3" borderId="16" xfId="0" applyNumberFormat="1" applyFont="1" applyFill="1" applyBorder="1"/>
    <xf numFmtId="42" fontId="3" fillId="3" borderId="16" xfId="2" applyNumberFormat="1" applyFont="1" applyFill="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7" fillId="8" borderId="1" xfId="0" quotePrefix="1" applyFont="1" applyFill="1" applyBorder="1" applyAlignment="1">
      <alignment horizontal="right"/>
    </xf>
    <xf numFmtId="0" fontId="7" fillId="8" borderId="2" xfId="0" quotePrefix="1" applyFont="1" applyFill="1" applyBorder="1" applyAlignment="1">
      <alignment horizontal="left" vertical="top"/>
    </xf>
    <xf numFmtId="166" fontId="7" fillId="8" borderId="2" xfId="1" applyNumberFormat="1" applyFont="1" applyFill="1" applyBorder="1" applyAlignment="1">
      <alignment vertical="center"/>
    </xf>
    <xf numFmtId="0" fontId="9" fillId="8" borderId="1" xfId="0" applyFont="1" applyFill="1" applyBorder="1"/>
    <xf numFmtId="0" fontId="9" fillId="8" borderId="2" xfId="0" applyFont="1" applyFill="1" applyBorder="1"/>
    <xf numFmtId="0" fontId="4" fillId="8" borderId="1" xfId="0" applyFont="1" applyFill="1" applyBorder="1" applyAlignment="1">
      <alignment horizontal="right"/>
    </xf>
    <xf numFmtId="0" fontId="4" fillId="8" borderId="2" xfId="0" applyFont="1" applyFill="1" applyBorder="1"/>
    <xf numFmtId="166" fontId="4" fillId="8" borderId="2" xfId="1" applyNumberFormat="1" applyFont="1" applyFill="1" applyBorder="1"/>
    <xf numFmtId="0" fontId="4" fillId="8" borderId="1" xfId="0" applyFont="1" applyFill="1" applyBorder="1" applyAlignment="1">
      <alignment horizontal="left"/>
    </xf>
    <xf numFmtId="0" fontId="7" fillId="8" borderId="1" xfId="0" applyFont="1" applyFill="1" applyBorder="1"/>
    <xf numFmtId="168" fontId="9" fillId="8" borderId="2" xfId="2" applyNumberFormat="1" applyFont="1" applyFill="1" applyBorder="1"/>
    <xf numFmtId="42" fontId="9" fillId="8" borderId="2" xfId="0" applyNumberFormat="1" applyFont="1" applyFill="1" applyBorder="1"/>
    <xf numFmtId="0" fontId="7" fillId="8" borderId="2" xfId="0" applyFont="1" applyFill="1" applyBorder="1"/>
    <xf numFmtId="166" fontId="7" fillId="8" borderId="2" xfId="1" applyNumberFormat="1" applyFont="1" applyFill="1" applyBorder="1"/>
    <xf numFmtId="42" fontId="7" fillId="8" borderId="2" xfId="2" applyNumberFormat="1" applyFont="1" applyFill="1" applyBorder="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4"/>
  <sheetViews>
    <sheetView topLeftCell="C1" zoomScaleNormal="100" workbookViewId="0">
      <selection sqref="A1:O1"/>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40" t="s">
        <v>0</v>
      </c>
      <c r="B1" s="141"/>
      <c r="C1" s="141"/>
      <c r="D1" s="141"/>
      <c r="E1" s="141"/>
      <c r="F1" s="141"/>
      <c r="G1" s="141"/>
      <c r="H1" s="141"/>
      <c r="I1" s="141"/>
      <c r="J1" s="141"/>
      <c r="K1" s="141"/>
      <c r="L1" s="141"/>
      <c r="M1" s="141"/>
      <c r="N1" s="141"/>
      <c r="O1" s="142"/>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35" t="s">
        <v>83</v>
      </c>
      <c r="B9" s="136"/>
      <c r="C9" s="136"/>
      <c r="D9" s="137"/>
      <c r="E9" s="138">
        <v>44773</v>
      </c>
      <c r="F9" s="139"/>
      <c r="G9" s="138">
        <v>44804</v>
      </c>
      <c r="H9" s="139"/>
      <c r="I9" s="138">
        <v>44834</v>
      </c>
      <c r="J9" s="139"/>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95" t="s">
        <v>93</v>
      </c>
      <c r="B11" s="95" t="s">
        <v>92</v>
      </c>
      <c r="C11" s="63" t="s">
        <v>345</v>
      </c>
      <c r="D11" s="63" t="s">
        <v>94</v>
      </c>
      <c r="E11" s="45">
        <v>2017</v>
      </c>
      <c r="F11" s="45">
        <v>36356723.839000002</v>
      </c>
      <c r="G11" s="45">
        <v>2012</v>
      </c>
      <c r="H11" s="45">
        <v>38267099.412999995</v>
      </c>
      <c r="I11" s="45">
        <v>2007</v>
      </c>
      <c r="J11" s="45">
        <v>37363209.011</v>
      </c>
    </row>
    <row r="12" spans="1:15" x14ac:dyDescent="0.2">
      <c r="A12" s="73" t="s">
        <v>93</v>
      </c>
      <c r="B12" s="73" t="s">
        <v>267</v>
      </c>
      <c r="C12" s="62" t="s">
        <v>345</v>
      </c>
      <c r="D12" s="62" t="s">
        <v>268</v>
      </c>
      <c r="E12" s="46">
        <v>971</v>
      </c>
      <c r="F12" s="46">
        <v>775440.45399999991</v>
      </c>
      <c r="G12" s="46">
        <v>969</v>
      </c>
      <c r="H12" s="46">
        <v>647533.12600000005</v>
      </c>
      <c r="I12" s="46">
        <v>971</v>
      </c>
      <c r="J12" s="46">
        <v>658650.73900000006</v>
      </c>
    </row>
    <row r="13" spans="1:15" x14ac:dyDescent="0.2">
      <c r="A13" s="73" t="s">
        <v>93</v>
      </c>
      <c r="B13" s="96" t="s">
        <v>92</v>
      </c>
      <c r="C13" s="62" t="s">
        <v>10</v>
      </c>
      <c r="D13" s="62" t="s">
        <v>94</v>
      </c>
      <c r="E13" s="46">
        <v>12712</v>
      </c>
      <c r="F13" s="46">
        <v>9418960.057</v>
      </c>
      <c r="G13" s="46">
        <v>12722</v>
      </c>
      <c r="H13" s="46">
        <v>10862106.291999999</v>
      </c>
      <c r="I13" s="46">
        <v>12721</v>
      </c>
      <c r="J13" s="46">
        <v>10376828.839</v>
      </c>
    </row>
    <row r="14" spans="1:15" x14ac:dyDescent="0.2">
      <c r="A14" s="73" t="s">
        <v>93</v>
      </c>
      <c r="B14" s="73" t="s">
        <v>267</v>
      </c>
      <c r="C14" s="62" t="s">
        <v>10</v>
      </c>
      <c r="D14" s="62" t="s">
        <v>268</v>
      </c>
      <c r="E14" s="46">
        <v>8387</v>
      </c>
      <c r="F14" s="46">
        <v>187966.853</v>
      </c>
      <c r="G14" s="46">
        <v>8397</v>
      </c>
      <c r="H14" s="46">
        <v>132967.06200000001</v>
      </c>
      <c r="I14" s="46">
        <v>8403</v>
      </c>
      <c r="J14" s="46">
        <v>133709.28400000001</v>
      </c>
    </row>
    <row r="15" spans="1:15" x14ac:dyDescent="0.2">
      <c r="A15" s="96" t="s">
        <v>95</v>
      </c>
      <c r="B15" s="96" t="s">
        <v>92</v>
      </c>
      <c r="C15" s="62" t="s">
        <v>345</v>
      </c>
      <c r="D15" s="62" t="s">
        <v>94</v>
      </c>
      <c r="E15" s="46">
        <v>2154</v>
      </c>
      <c r="F15" s="46">
        <v>13524086.659</v>
      </c>
      <c r="G15" s="46">
        <v>2155</v>
      </c>
      <c r="H15" s="46">
        <v>15571831.051999999</v>
      </c>
      <c r="I15" s="46">
        <v>2156</v>
      </c>
      <c r="J15" s="46">
        <v>16043823.783</v>
      </c>
    </row>
    <row r="16" spans="1:15" x14ac:dyDescent="0.2">
      <c r="A16" s="73" t="s">
        <v>95</v>
      </c>
      <c r="B16" s="73" t="s">
        <v>267</v>
      </c>
      <c r="C16" s="62" t="s">
        <v>345</v>
      </c>
      <c r="D16" s="62" t="s">
        <v>268</v>
      </c>
      <c r="E16" s="46">
        <v>990</v>
      </c>
      <c r="F16" s="46">
        <v>265173.88900000002</v>
      </c>
      <c r="G16" s="46">
        <v>992</v>
      </c>
      <c r="H16" s="46">
        <v>204438.10800000001</v>
      </c>
      <c r="I16" s="46">
        <v>987</v>
      </c>
      <c r="J16" s="46">
        <v>206876.44400000002</v>
      </c>
    </row>
    <row r="17" spans="1:10" x14ac:dyDescent="0.2">
      <c r="A17" s="73" t="s">
        <v>95</v>
      </c>
      <c r="B17" s="96" t="s">
        <v>92</v>
      </c>
      <c r="C17" s="62" t="s">
        <v>10</v>
      </c>
      <c r="D17" s="62" t="s">
        <v>94</v>
      </c>
      <c r="E17" s="46">
        <v>14206</v>
      </c>
      <c r="F17" s="46">
        <v>8748098.5500000007</v>
      </c>
      <c r="G17" s="46">
        <v>14201</v>
      </c>
      <c r="H17" s="46">
        <v>10243927.279999999</v>
      </c>
      <c r="I17" s="46">
        <v>14200</v>
      </c>
      <c r="J17" s="46">
        <v>10038297.727</v>
      </c>
    </row>
    <row r="18" spans="1:10" x14ac:dyDescent="0.2">
      <c r="A18" s="73" t="s">
        <v>95</v>
      </c>
      <c r="B18" s="73" t="s">
        <v>267</v>
      </c>
      <c r="C18" s="62" t="s">
        <v>10</v>
      </c>
      <c r="D18" s="62" t="s">
        <v>268</v>
      </c>
      <c r="E18" s="46">
        <v>5421</v>
      </c>
      <c r="F18" s="46">
        <v>101425.68</v>
      </c>
      <c r="G18" s="46">
        <v>5418</v>
      </c>
      <c r="H18" s="46">
        <v>68208.081999999995</v>
      </c>
      <c r="I18" s="46">
        <v>5416</v>
      </c>
      <c r="J18" s="46">
        <v>69963.009000000005</v>
      </c>
    </row>
    <row r="19" spans="1:10" x14ac:dyDescent="0.2">
      <c r="A19" s="96" t="s">
        <v>96</v>
      </c>
      <c r="B19" s="96" t="s">
        <v>92</v>
      </c>
      <c r="C19" s="62" t="s">
        <v>345</v>
      </c>
      <c r="D19" s="62" t="s">
        <v>94</v>
      </c>
      <c r="E19" s="46">
        <v>3038</v>
      </c>
      <c r="F19" s="46">
        <v>16710762.126</v>
      </c>
      <c r="G19" s="46">
        <v>3043</v>
      </c>
      <c r="H19" s="46">
        <v>18059816.681000002</v>
      </c>
      <c r="I19" s="46">
        <v>3049</v>
      </c>
      <c r="J19" s="46">
        <v>16005597.096000001</v>
      </c>
    </row>
    <row r="20" spans="1:10" x14ac:dyDescent="0.2">
      <c r="A20" s="73" t="s">
        <v>96</v>
      </c>
      <c r="B20" s="73" t="s">
        <v>267</v>
      </c>
      <c r="C20" s="62" t="s">
        <v>345</v>
      </c>
      <c r="D20" s="62" t="s">
        <v>268</v>
      </c>
      <c r="E20" s="46">
        <v>926</v>
      </c>
      <c r="F20" s="46">
        <v>318879.74399999995</v>
      </c>
      <c r="G20" s="46">
        <v>926</v>
      </c>
      <c r="H20" s="46">
        <v>237978.04299999998</v>
      </c>
      <c r="I20" s="46">
        <v>926</v>
      </c>
      <c r="J20" s="46">
        <v>214812.772</v>
      </c>
    </row>
    <row r="21" spans="1:10" x14ac:dyDescent="0.2">
      <c r="A21" s="73" t="s">
        <v>96</v>
      </c>
      <c r="B21" s="96" t="s">
        <v>92</v>
      </c>
      <c r="C21" s="62" t="s">
        <v>10</v>
      </c>
      <c r="D21" s="62" t="s">
        <v>94</v>
      </c>
      <c r="E21" s="46">
        <v>19695</v>
      </c>
      <c r="F21" s="46">
        <v>11599691.630999999</v>
      </c>
      <c r="G21" s="46">
        <v>19703</v>
      </c>
      <c r="H21" s="46">
        <v>12447106.556</v>
      </c>
      <c r="I21" s="46">
        <v>19699</v>
      </c>
      <c r="J21" s="46">
        <v>11859484.088</v>
      </c>
    </row>
    <row r="22" spans="1:10" x14ac:dyDescent="0.2">
      <c r="A22" s="73" t="s">
        <v>96</v>
      </c>
      <c r="B22" s="73" t="s">
        <v>267</v>
      </c>
      <c r="C22" s="62" t="s">
        <v>10</v>
      </c>
      <c r="D22" s="62" t="s">
        <v>268</v>
      </c>
      <c r="E22" s="46">
        <v>6951</v>
      </c>
      <c r="F22" s="46">
        <v>146886.492</v>
      </c>
      <c r="G22" s="46">
        <v>6952</v>
      </c>
      <c r="H22" s="46">
        <v>103460.539</v>
      </c>
      <c r="I22" s="46">
        <v>6952</v>
      </c>
      <c r="J22" s="46">
        <v>110707.95299999999</v>
      </c>
    </row>
    <row r="23" spans="1:10" x14ac:dyDescent="0.2">
      <c r="A23" s="96" t="s">
        <v>97</v>
      </c>
      <c r="B23" s="96" t="s">
        <v>92</v>
      </c>
      <c r="C23" s="62" t="s">
        <v>345</v>
      </c>
      <c r="D23" s="62" t="s">
        <v>94</v>
      </c>
      <c r="E23" s="46">
        <v>2183</v>
      </c>
      <c r="F23" s="46">
        <v>43082419.584000006</v>
      </c>
      <c r="G23" s="46">
        <v>2183</v>
      </c>
      <c r="H23" s="46">
        <v>39554000.931999996</v>
      </c>
      <c r="I23" s="46">
        <v>2175</v>
      </c>
      <c r="J23" s="46">
        <v>42961829.897</v>
      </c>
    </row>
    <row r="24" spans="1:10" x14ac:dyDescent="0.2">
      <c r="A24" s="73" t="s">
        <v>97</v>
      </c>
      <c r="B24" s="73" t="s">
        <v>267</v>
      </c>
      <c r="C24" s="62" t="s">
        <v>345</v>
      </c>
      <c r="D24" s="62" t="s">
        <v>268</v>
      </c>
      <c r="E24" s="46">
        <v>590</v>
      </c>
      <c r="F24" s="46">
        <v>525077.90599999996</v>
      </c>
      <c r="G24" s="46">
        <v>587</v>
      </c>
      <c r="H24" s="46">
        <v>378688.44099999999</v>
      </c>
      <c r="I24" s="46">
        <v>587</v>
      </c>
      <c r="J24" s="46">
        <v>338161.98899999994</v>
      </c>
    </row>
    <row r="25" spans="1:10" x14ac:dyDescent="0.2">
      <c r="A25" s="73" t="s">
        <v>97</v>
      </c>
      <c r="B25" s="96" t="s">
        <v>92</v>
      </c>
      <c r="C25" s="62" t="s">
        <v>10</v>
      </c>
      <c r="D25" s="62" t="s">
        <v>94</v>
      </c>
      <c r="E25" s="46">
        <v>19018</v>
      </c>
      <c r="F25" s="46">
        <v>11684469.594000001</v>
      </c>
      <c r="G25" s="46">
        <v>19008</v>
      </c>
      <c r="H25" s="46">
        <v>14088783.698999999</v>
      </c>
      <c r="I25" s="46">
        <v>19038</v>
      </c>
      <c r="J25" s="46">
        <v>12017297.642000001</v>
      </c>
    </row>
    <row r="26" spans="1:10" x14ac:dyDescent="0.2">
      <c r="A26" s="73" t="s">
        <v>97</v>
      </c>
      <c r="B26" s="73" t="s">
        <v>267</v>
      </c>
      <c r="C26" s="62" t="s">
        <v>10</v>
      </c>
      <c r="D26" s="62" t="s">
        <v>268</v>
      </c>
      <c r="E26" s="46">
        <v>6122</v>
      </c>
      <c r="F26" s="46">
        <v>180255.55799999999</v>
      </c>
      <c r="G26" s="46">
        <v>6125</v>
      </c>
      <c r="H26" s="46">
        <v>151289.97899999999</v>
      </c>
      <c r="I26" s="46">
        <v>6133</v>
      </c>
      <c r="J26" s="46">
        <v>174037.36799999999</v>
      </c>
    </row>
    <row r="27" spans="1:10" x14ac:dyDescent="0.2">
      <c r="A27" s="96" t="s">
        <v>98</v>
      </c>
      <c r="B27" s="96" t="s">
        <v>92</v>
      </c>
      <c r="C27" s="62" t="s">
        <v>345</v>
      </c>
      <c r="D27" s="62" t="s">
        <v>94</v>
      </c>
      <c r="E27" s="46">
        <v>1932</v>
      </c>
      <c r="F27" s="46">
        <v>16518801.189999999</v>
      </c>
      <c r="G27" s="46">
        <v>1938</v>
      </c>
      <c r="H27" s="46">
        <v>21262463.923</v>
      </c>
      <c r="I27" s="46">
        <v>1931</v>
      </c>
      <c r="J27" s="46">
        <v>16907491.909000002</v>
      </c>
    </row>
    <row r="28" spans="1:10" x14ac:dyDescent="0.2">
      <c r="A28" s="73" t="s">
        <v>98</v>
      </c>
      <c r="B28" s="73" t="s">
        <v>267</v>
      </c>
      <c r="C28" s="62" t="s">
        <v>345</v>
      </c>
      <c r="D28" s="62" t="s">
        <v>268</v>
      </c>
      <c r="E28" s="46">
        <v>784</v>
      </c>
      <c r="F28" s="46">
        <v>278251.01699999999</v>
      </c>
      <c r="G28" s="46">
        <v>786</v>
      </c>
      <c r="H28" s="46">
        <v>243647.95299999998</v>
      </c>
      <c r="I28" s="46">
        <v>785</v>
      </c>
      <c r="J28" s="46">
        <v>267496.54800000001</v>
      </c>
    </row>
    <row r="29" spans="1:10" x14ac:dyDescent="0.2">
      <c r="A29" s="73" t="s">
        <v>98</v>
      </c>
      <c r="B29" s="96" t="s">
        <v>92</v>
      </c>
      <c r="C29" s="62" t="s">
        <v>10</v>
      </c>
      <c r="D29" s="62" t="s">
        <v>94</v>
      </c>
      <c r="E29" s="46">
        <v>8991</v>
      </c>
      <c r="F29" s="46">
        <v>5795692.2759999996</v>
      </c>
      <c r="G29" s="46">
        <v>8989</v>
      </c>
      <c r="H29" s="46">
        <v>6169190.665</v>
      </c>
      <c r="I29" s="46">
        <v>9004</v>
      </c>
      <c r="J29" s="46">
        <v>5404361.9759999998</v>
      </c>
    </row>
    <row r="30" spans="1:10" x14ac:dyDescent="0.2">
      <c r="A30" s="73" t="s">
        <v>98</v>
      </c>
      <c r="B30" s="73" t="s">
        <v>267</v>
      </c>
      <c r="C30" s="62" t="s">
        <v>10</v>
      </c>
      <c r="D30" s="62" t="s">
        <v>268</v>
      </c>
      <c r="E30" s="46">
        <v>4316</v>
      </c>
      <c r="F30" s="46">
        <v>103397.197</v>
      </c>
      <c r="G30" s="46">
        <v>4318</v>
      </c>
      <c r="H30" s="46">
        <v>71945.092000000004</v>
      </c>
      <c r="I30" s="46">
        <v>4322</v>
      </c>
      <c r="J30" s="46">
        <v>90797.103000000003</v>
      </c>
    </row>
    <row r="31" spans="1:10" x14ac:dyDescent="0.2">
      <c r="A31" s="96" t="s">
        <v>99</v>
      </c>
      <c r="B31" s="96" t="s">
        <v>92</v>
      </c>
      <c r="C31" s="62" t="s">
        <v>345</v>
      </c>
      <c r="D31" s="62" t="s">
        <v>94</v>
      </c>
      <c r="E31" s="46">
        <v>1316</v>
      </c>
      <c r="F31" s="46">
        <v>7775431.7369999997</v>
      </c>
      <c r="G31" s="46">
        <v>1315</v>
      </c>
      <c r="H31" s="46">
        <v>7634408.0920000002</v>
      </c>
      <c r="I31" s="46">
        <v>1321</v>
      </c>
      <c r="J31" s="46">
        <v>7049837.9050000003</v>
      </c>
    </row>
    <row r="32" spans="1:10" x14ac:dyDescent="0.2">
      <c r="A32" s="73" t="s">
        <v>99</v>
      </c>
      <c r="B32" s="73" t="s">
        <v>267</v>
      </c>
      <c r="C32" s="62" t="s">
        <v>345</v>
      </c>
      <c r="D32" s="62" t="s">
        <v>268</v>
      </c>
      <c r="E32" s="46">
        <v>235</v>
      </c>
      <c r="F32" s="46">
        <v>60760.034999999996</v>
      </c>
      <c r="G32" s="46">
        <v>236</v>
      </c>
      <c r="H32" s="46">
        <v>41254.017</v>
      </c>
      <c r="I32" s="46">
        <v>236</v>
      </c>
      <c r="J32" s="46">
        <v>51920.219999999994</v>
      </c>
    </row>
    <row r="33" spans="1:10" x14ac:dyDescent="0.2">
      <c r="A33" s="73" t="s">
        <v>99</v>
      </c>
      <c r="B33" s="96" t="s">
        <v>92</v>
      </c>
      <c r="C33" s="62" t="s">
        <v>10</v>
      </c>
      <c r="D33" s="62" t="s">
        <v>94</v>
      </c>
      <c r="E33" s="46">
        <v>14748</v>
      </c>
      <c r="F33" s="46">
        <v>11111553.823999999</v>
      </c>
      <c r="G33" s="46">
        <v>14753</v>
      </c>
      <c r="H33" s="46">
        <v>12019281.456</v>
      </c>
      <c r="I33" s="46">
        <v>14753</v>
      </c>
      <c r="J33" s="46">
        <v>10254588.154999999</v>
      </c>
    </row>
    <row r="34" spans="1:10" x14ac:dyDescent="0.2">
      <c r="A34" s="73" t="s">
        <v>99</v>
      </c>
      <c r="B34" s="73" t="s">
        <v>267</v>
      </c>
      <c r="C34" s="62" t="s">
        <v>10</v>
      </c>
      <c r="D34" s="62" t="s">
        <v>268</v>
      </c>
      <c r="E34" s="46">
        <v>12019</v>
      </c>
      <c r="F34" s="46">
        <v>247044.98699999999</v>
      </c>
      <c r="G34" s="46">
        <v>12024</v>
      </c>
      <c r="H34" s="46">
        <v>183409.04</v>
      </c>
      <c r="I34" s="46">
        <v>12024</v>
      </c>
      <c r="J34" s="46">
        <v>243330.476</v>
      </c>
    </row>
    <row r="35" spans="1:10" x14ac:dyDescent="0.2">
      <c r="A35" s="96" t="s">
        <v>100</v>
      </c>
      <c r="B35" s="96" t="s">
        <v>92</v>
      </c>
      <c r="C35" s="62" t="s">
        <v>345</v>
      </c>
      <c r="D35" s="62" t="s">
        <v>94</v>
      </c>
      <c r="E35" s="46">
        <v>1251</v>
      </c>
      <c r="F35" s="46">
        <v>8460459.4250000007</v>
      </c>
      <c r="G35" s="46">
        <v>1250</v>
      </c>
      <c r="H35" s="46">
        <v>9974719.5419999994</v>
      </c>
      <c r="I35" s="46">
        <v>1247</v>
      </c>
      <c r="J35" s="46">
        <v>7294571.0240000002</v>
      </c>
    </row>
    <row r="36" spans="1:10" x14ac:dyDescent="0.2">
      <c r="A36" s="73" t="s">
        <v>100</v>
      </c>
      <c r="B36" s="73" t="s">
        <v>267</v>
      </c>
      <c r="C36" s="62" t="s">
        <v>345</v>
      </c>
      <c r="D36" s="62" t="s">
        <v>268</v>
      </c>
      <c r="E36" s="46">
        <v>392</v>
      </c>
      <c r="F36" s="46">
        <v>120947.255</v>
      </c>
      <c r="G36" s="46">
        <v>389</v>
      </c>
      <c r="H36" s="46">
        <v>101888.228</v>
      </c>
      <c r="I36" s="46">
        <v>388</v>
      </c>
      <c r="J36" s="46">
        <v>111113.63200000001</v>
      </c>
    </row>
    <row r="37" spans="1:10" x14ac:dyDescent="0.2">
      <c r="A37" s="73" t="s">
        <v>100</v>
      </c>
      <c r="B37" s="96" t="s">
        <v>92</v>
      </c>
      <c r="C37" s="62" t="s">
        <v>10</v>
      </c>
      <c r="D37" s="62" t="s">
        <v>94</v>
      </c>
      <c r="E37" s="46">
        <v>12335</v>
      </c>
      <c r="F37" s="46">
        <v>6491545.4579999996</v>
      </c>
      <c r="G37" s="46">
        <v>12334</v>
      </c>
      <c r="H37" s="46">
        <v>6734375.1260000002</v>
      </c>
      <c r="I37" s="46">
        <v>12334</v>
      </c>
      <c r="J37" s="46">
        <v>6095575.9960000003</v>
      </c>
    </row>
    <row r="38" spans="1:10" x14ac:dyDescent="0.2">
      <c r="A38" s="73" t="s">
        <v>100</v>
      </c>
      <c r="B38" s="73" t="s">
        <v>267</v>
      </c>
      <c r="C38" s="62" t="s">
        <v>10</v>
      </c>
      <c r="D38" s="62" t="s">
        <v>268</v>
      </c>
      <c r="E38" s="46">
        <v>3877</v>
      </c>
      <c r="F38" s="46">
        <v>65531.027999999998</v>
      </c>
      <c r="G38" s="46">
        <v>3881</v>
      </c>
      <c r="H38" s="46">
        <v>49565.661</v>
      </c>
      <c r="I38" s="46">
        <v>3882</v>
      </c>
      <c r="J38" s="46">
        <v>60833.294000000002</v>
      </c>
    </row>
    <row r="39" spans="1:10" x14ac:dyDescent="0.2">
      <c r="A39" s="96" t="s">
        <v>101</v>
      </c>
      <c r="B39" s="96" t="s">
        <v>92</v>
      </c>
      <c r="C39" s="62" t="s">
        <v>345</v>
      </c>
      <c r="D39" s="62" t="s">
        <v>94</v>
      </c>
      <c r="E39" s="46">
        <v>650</v>
      </c>
      <c r="F39" s="46">
        <v>6250535.3569999998</v>
      </c>
      <c r="G39" s="46">
        <v>645</v>
      </c>
      <c r="H39" s="46">
        <v>5581782.8629999999</v>
      </c>
      <c r="I39" s="46">
        <v>642</v>
      </c>
      <c r="J39" s="46">
        <v>5888464.6729999995</v>
      </c>
    </row>
    <row r="40" spans="1:10" x14ac:dyDescent="0.2">
      <c r="A40" s="73" t="s">
        <v>101</v>
      </c>
      <c r="B40" s="73" t="s">
        <v>267</v>
      </c>
      <c r="C40" s="62" t="s">
        <v>345</v>
      </c>
      <c r="D40" s="62" t="s">
        <v>268</v>
      </c>
      <c r="E40" s="46">
        <v>167</v>
      </c>
      <c r="F40" s="46">
        <v>35841.641000000003</v>
      </c>
      <c r="G40" s="46">
        <v>167</v>
      </c>
      <c r="H40" s="46">
        <v>26637.182000000001</v>
      </c>
      <c r="I40" s="46">
        <v>166</v>
      </c>
      <c r="J40" s="46">
        <v>30720.662</v>
      </c>
    </row>
    <row r="41" spans="1:10" x14ac:dyDescent="0.2">
      <c r="A41" s="73" t="s">
        <v>101</v>
      </c>
      <c r="B41" s="96" t="s">
        <v>92</v>
      </c>
      <c r="C41" s="62" t="s">
        <v>10</v>
      </c>
      <c r="D41" s="62" t="s">
        <v>94</v>
      </c>
      <c r="E41" s="46">
        <v>9556</v>
      </c>
      <c r="F41" s="46">
        <v>6452979.1179999998</v>
      </c>
      <c r="G41" s="46">
        <v>9560</v>
      </c>
      <c r="H41" s="46">
        <v>7231560.2300000004</v>
      </c>
      <c r="I41" s="46">
        <v>9567</v>
      </c>
      <c r="J41" s="46">
        <v>6067906.2340000002</v>
      </c>
    </row>
    <row r="42" spans="1:10" x14ac:dyDescent="0.2">
      <c r="A42" s="73" t="s">
        <v>101</v>
      </c>
      <c r="B42" s="73" t="s">
        <v>267</v>
      </c>
      <c r="C42" s="62" t="s">
        <v>10</v>
      </c>
      <c r="D42" s="62" t="s">
        <v>268</v>
      </c>
      <c r="E42" s="46">
        <v>7714</v>
      </c>
      <c r="F42" s="46">
        <v>138565.32999999999</v>
      </c>
      <c r="G42" s="46">
        <v>7713</v>
      </c>
      <c r="H42" s="46">
        <v>98404.695999999996</v>
      </c>
      <c r="I42" s="46">
        <v>7717</v>
      </c>
      <c r="J42" s="46">
        <v>125391.639</v>
      </c>
    </row>
    <row r="43" spans="1:10" x14ac:dyDescent="0.2">
      <c r="A43" s="96" t="s">
        <v>102</v>
      </c>
      <c r="B43" s="96" t="s">
        <v>92</v>
      </c>
      <c r="C43" s="62" t="s">
        <v>345</v>
      </c>
      <c r="D43" s="62" t="s">
        <v>94</v>
      </c>
      <c r="E43" s="46">
        <v>403</v>
      </c>
      <c r="F43" s="46">
        <v>532230.08400000003</v>
      </c>
      <c r="G43" s="46">
        <v>410</v>
      </c>
      <c r="H43" s="46">
        <v>601404.62699999998</v>
      </c>
      <c r="I43" s="46">
        <v>406</v>
      </c>
      <c r="J43" s="46">
        <v>588406.66500000004</v>
      </c>
    </row>
    <row r="44" spans="1:10" x14ac:dyDescent="0.2">
      <c r="A44" s="73" t="s">
        <v>102</v>
      </c>
      <c r="B44" s="73" t="s">
        <v>267</v>
      </c>
      <c r="C44" s="62" t="s">
        <v>345</v>
      </c>
      <c r="D44" s="62" t="s">
        <v>268</v>
      </c>
      <c r="E44" s="46">
        <v>59</v>
      </c>
      <c r="F44" s="46">
        <v>4069.7840000000001</v>
      </c>
      <c r="G44" s="46">
        <v>59</v>
      </c>
      <c r="H44" s="46">
        <v>2807.415</v>
      </c>
      <c r="I44" s="46">
        <v>59</v>
      </c>
      <c r="J44" s="46">
        <v>2651.7570000000001</v>
      </c>
    </row>
    <row r="45" spans="1:10" x14ac:dyDescent="0.2">
      <c r="A45" s="73" t="s">
        <v>102</v>
      </c>
      <c r="B45" s="96" t="s">
        <v>92</v>
      </c>
      <c r="C45" s="62" t="s">
        <v>10</v>
      </c>
      <c r="D45" s="62" t="s">
        <v>94</v>
      </c>
      <c r="E45" s="46">
        <v>3189</v>
      </c>
      <c r="F45" s="46">
        <v>2485465.8509999998</v>
      </c>
      <c r="G45" s="46">
        <v>3195</v>
      </c>
      <c r="H45" s="46">
        <v>3005943.7349999999</v>
      </c>
      <c r="I45" s="46">
        <v>3227</v>
      </c>
      <c r="J45" s="46">
        <v>2982198.9139999999</v>
      </c>
    </row>
    <row r="46" spans="1:10" x14ac:dyDescent="0.2">
      <c r="A46" s="73" t="s">
        <v>102</v>
      </c>
      <c r="B46" s="73" t="s">
        <v>267</v>
      </c>
      <c r="C46" s="62" t="s">
        <v>10</v>
      </c>
      <c r="D46" s="62" t="s">
        <v>268</v>
      </c>
      <c r="E46" s="46">
        <v>2294</v>
      </c>
      <c r="F46" s="46">
        <v>56500.724999999999</v>
      </c>
      <c r="G46" s="46">
        <v>2303</v>
      </c>
      <c r="H46" s="46">
        <v>39741.497000000003</v>
      </c>
      <c r="I46" s="46">
        <v>2316</v>
      </c>
      <c r="J46" s="46">
        <v>33802.29</v>
      </c>
    </row>
    <row r="47" spans="1:10" x14ac:dyDescent="0.2">
      <c r="A47" s="96" t="s">
        <v>103</v>
      </c>
      <c r="B47" s="96" t="s">
        <v>92</v>
      </c>
      <c r="C47" s="62" t="s">
        <v>345</v>
      </c>
      <c r="D47" s="62" t="s">
        <v>94</v>
      </c>
      <c r="E47" s="46">
        <v>1242</v>
      </c>
      <c r="F47" s="46">
        <v>12899932.236</v>
      </c>
      <c r="G47" s="46">
        <v>1245</v>
      </c>
      <c r="H47" s="46">
        <v>13477804.867000001</v>
      </c>
      <c r="I47" s="46">
        <v>1248</v>
      </c>
      <c r="J47" s="46">
        <v>13969943.244000001</v>
      </c>
    </row>
    <row r="48" spans="1:10" x14ac:dyDescent="0.2">
      <c r="A48" s="73" t="s">
        <v>103</v>
      </c>
      <c r="B48" s="73" t="s">
        <v>267</v>
      </c>
      <c r="C48" s="62" t="s">
        <v>345</v>
      </c>
      <c r="D48" s="62" t="s">
        <v>268</v>
      </c>
      <c r="E48" s="46">
        <v>369</v>
      </c>
      <c r="F48" s="46">
        <v>95754.43299999999</v>
      </c>
      <c r="G48" s="46">
        <v>369</v>
      </c>
      <c r="H48" s="46">
        <v>59440.062000000005</v>
      </c>
      <c r="I48" s="46">
        <v>368</v>
      </c>
      <c r="J48" s="46">
        <v>58961.133000000002</v>
      </c>
    </row>
    <row r="49" spans="1:10" x14ac:dyDescent="0.2">
      <c r="A49" s="73" t="s">
        <v>103</v>
      </c>
      <c r="B49" s="96" t="s">
        <v>92</v>
      </c>
      <c r="C49" s="62" t="s">
        <v>10</v>
      </c>
      <c r="D49" s="62" t="s">
        <v>94</v>
      </c>
      <c r="E49" s="46">
        <v>11875</v>
      </c>
      <c r="F49" s="46">
        <v>6595544.642</v>
      </c>
      <c r="G49" s="46">
        <v>11867</v>
      </c>
      <c r="H49" s="46">
        <v>8189936.1950000003</v>
      </c>
      <c r="I49" s="46">
        <v>11888</v>
      </c>
      <c r="J49" s="46">
        <v>7442611.1799999997</v>
      </c>
    </row>
    <row r="50" spans="1:10" x14ac:dyDescent="0.2">
      <c r="A50" s="73" t="s">
        <v>103</v>
      </c>
      <c r="B50" s="73" t="s">
        <v>267</v>
      </c>
      <c r="C50" s="62" t="s">
        <v>10</v>
      </c>
      <c r="D50" s="62" t="s">
        <v>268</v>
      </c>
      <c r="E50" s="46">
        <v>6376</v>
      </c>
      <c r="F50" s="46">
        <v>133157.889</v>
      </c>
      <c r="G50" s="46">
        <v>6372</v>
      </c>
      <c r="H50" s="46">
        <v>100634.205</v>
      </c>
      <c r="I50" s="46">
        <v>6379</v>
      </c>
      <c r="J50" s="46">
        <v>100251.637</v>
      </c>
    </row>
    <row r="51" spans="1:10" x14ac:dyDescent="0.2">
      <c r="A51" s="96" t="s">
        <v>269</v>
      </c>
      <c r="B51" s="96" t="s">
        <v>267</v>
      </c>
      <c r="C51" s="62" t="s">
        <v>345</v>
      </c>
      <c r="D51" s="62" t="s">
        <v>268</v>
      </c>
      <c r="E51" s="46">
        <v>512</v>
      </c>
      <c r="F51" s="46">
        <v>123343.99900000001</v>
      </c>
      <c r="G51" s="46">
        <v>512</v>
      </c>
      <c r="H51" s="46">
        <v>77853.979000000007</v>
      </c>
      <c r="I51" s="46">
        <v>512</v>
      </c>
      <c r="J51" s="46">
        <v>84200.111000000004</v>
      </c>
    </row>
    <row r="52" spans="1:10" x14ac:dyDescent="0.2">
      <c r="A52" s="73" t="s">
        <v>269</v>
      </c>
      <c r="B52" s="73" t="s">
        <v>267</v>
      </c>
      <c r="C52" s="62" t="s">
        <v>10</v>
      </c>
      <c r="D52" s="62" t="s">
        <v>268</v>
      </c>
      <c r="E52" s="46">
        <v>18224</v>
      </c>
      <c r="F52" s="46">
        <v>417938.83899999998</v>
      </c>
      <c r="G52" s="46">
        <v>18227</v>
      </c>
      <c r="H52" s="46">
        <v>284057.15299999999</v>
      </c>
      <c r="I52" s="46">
        <v>18232</v>
      </c>
      <c r="J52" s="46">
        <v>329127.38799999998</v>
      </c>
    </row>
    <row r="53" spans="1:10" x14ac:dyDescent="0.2">
      <c r="A53" s="96" t="s">
        <v>104</v>
      </c>
      <c r="B53" s="96" t="s">
        <v>92</v>
      </c>
      <c r="C53" s="62" t="s">
        <v>345</v>
      </c>
      <c r="D53" s="62" t="s">
        <v>94</v>
      </c>
      <c r="E53" s="46">
        <v>7</v>
      </c>
      <c r="F53" s="46">
        <v>4963</v>
      </c>
      <c r="G53" s="46">
        <v>7</v>
      </c>
      <c r="H53" s="46">
        <v>5249</v>
      </c>
      <c r="I53" s="46">
        <v>7</v>
      </c>
      <c r="J53" s="46">
        <v>4782</v>
      </c>
    </row>
    <row r="54" spans="1:10" x14ac:dyDescent="0.2">
      <c r="A54" s="73" t="s">
        <v>104</v>
      </c>
      <c r="B54" s="73" t="s">
        <v>92</v>
      </c>
      <c r="C54" s="62" t="s">
        <v>10</v>
      </c>
      <c r="D54" s="62" t="s">
        <v>94</v>
      </c>
      <c r="E54" s="46">
        <v>1</v>
      </c>
      <c r="F54" s="46">
        <v>894</v>
      </c>
      <c r="G54" s="46">
        <v>1</v>
      </c>
      <c r="H54" s="46">
        <v>789</v>
      </c>
      <c r="I54" s="46">
        <v>1</v>
      </c>
      <c r="J54" s="46">
        <v>870</v>
      </c>
    </row>
    <row r="55" spans="1:10" x14ac:dyDescent="0.2">
      <c r="A55" s="96" t="s">
        <v>105</v>
      </c>
      <c r="B55" s="96" t="s">
        <v>92</v>
      </c>
      <c r="C55" s="62" t="s">
        <v>345</v>
      </c>
      <c r="D55" s="62" t="s">
        <v>94</v>
      </c>
      <c r="E55" s="46">
        <v>416</v>
      </c>
      <c r="F55" s="46">
        <v>1239629.067</v>
      </c>
      <c r="G55" s="46">
        <v>412</v>
      </c>
      <c r="H55" s="46">
        <v>1102554.496</v>
      </c>
      <c r="I55" s="46">
        <v>414</v>
      </c>
      <c r="J55" s="46">
        <v>1061918.9709999999</v>
      </c>
    </row>
    <row r="56" spans="1:10" x14ac:dyDescent="0.2">
      <c r="A56" s="73" t="s">
        <v>105</v>
      </c>
      <c r="B56" s="73" t="s">
        <v>267</v>
      </c>
      <c r="C56" s="62" t="s">
        <v>345</v>
      </c>
      <c r="D56" s="62" t="s">
        <v>268</v>
      </c>
      <c r="E56" s="46">
        <v>22</v>
      </c>
      <c r="F56" s="46">
        <v>2613.2339999999999</v>
      </c>
      <c r="G56" s="46">
        <v>22</v>
      </c>
      <c r="H56" s="46">
        <v>2340.556</v>
      </c>
      <c r="I56" s="46">
        <v>22</v>
      </c>
      <c r="J56" s="46">
        <v>2348.2930000000001</v>
      </c>
    </row>
    <row r="57" spans="1:10" x14ac:dyDescent="0.2">
      <c r="A57" s="73" t="s">
        <v>105</v>
      </c>
      <c r="B57" s="96" t="s">
        <v>92</v>
      </c>
      <c r="C57" s="62" t="s">
        <v>10</v>
      </c>
      <c r="D57" s="62" t="s">
        <v>94</v>
      </c>
      <c r="E57" s="46">
        <v>2703</v>
      </c>
      <c r="F57" s="46">
        <v>2492739.577</v>
      </c>
      <c r="G57" s="46">
        <v>2702</v>
      </c>
      <c r="H57" s="46">
        <v>2877636.3679999998</v>
      </c>
      <c r="I57" s="46">
        <v>2706</v>
      </c>
      <c r="J57" s="46">
        <v>2741063.645</v>
      </c>
    </row>
    <row r="58" spans="1:10" x14ac:dyDescent="0.2">
      <c r="A58" s="73" t="s">
        <v>105</v>
      </c>
      <c r="B58" s="73" t="s">
        <v>267</v>
      </c>
      <c r="C58" s="62" t="s">
        <v>10</v>
      </c>
      <c r="D58" s="62" t="s">
        <v>268</v>
      </c>
      <c r="E58" s="46">
        <v>1008</v>
      </c>
      <c r="F58" s="46">
        <v>29293.386999999999</v>
      </c>
      <c r="G58" s="46">
        <v>1009</v>
      </c>
      <c r="H58" s="46">
        <v>20337.703000000001</v>
      </c>
      <c r="I58" s="46">
        <v>1010</v>
      </c>
      <c r="J58" s="46">
        <v>20586.638999999999</v>
      </c>
    </row>
    <row r="59" spans="1:10" x14ac:dyDescent="0.2">
      <c r="A59" s="96" t="s">
        <v>106</v>
      </c>
      <c r="B59" s="96" t="s">
        <v>92</v>
      </c>
      <c r="C59" s="62" t="s">
        <v>345</v>
      </c>
      <c r="D59" s="62" t="s">
        <v>94</v>
      </c>
      <c r="E59" s="46">
        <v>589</v>
      </c>
      <c r="F59" s="46">
        <v>1486487.977</v>
      </c>
      <c r="G59" s="46">
        <v>591</v>
      </c>
      <c r="H59" s="46">
        <v>1510947.7450000001</v>
      </c>
      <c r="I59" s="46">
        <v>597</v>
      </c>
      <c r="J59" s="46">
        <v>1547724.3319999999</v>
      </c>
    </row>
    <row r="60" spans="1:10" x14ac:dyDescent="0.2">
      <c r="A60" s="73" t="s">
        <v>106</v>
      </c>
      <c r="B60" s="73" t="s">
        <v>267</v>
      </c>
      <c r="C60" s="62" t="s">
        <v>345</v>
      </c>
      <c r="D60" s="62" t="s">
        <v>268</v>
      </c>
      <c r="E60" s="46">
        <v>106</v>
      </c>
      <c r="F60" s="46">
        <v>17157.367000000002</v>
      </c>
      <c r="G60" s="46">
        <v>106</v>
      </c>
      <c r="H60" s="46">
        <v>10300.203000000001</v>
      </c>
      <c r="I60" s="46">
        <v>106</v>
      </c>
      <c r="J60" s="46">
        <v>11838.304999999998</v>
      </c>
    </row>
    <row r="61" spans="1:10" x14ac:dyDescent="0.2">
      <c r="A61" s="73" t="s">
        <v>106</v>
      </c>
      <c r="B61" s="96" t="s">
        <v>92</v>
      </c>
      <c r="C61" s="62" t="s">
        <v>10</v>
      </c>
      <c r="D61" s="62" t="s">
        <v>94</v>
      </c>
      <c r="E61" s="46">
        <v>4603</v>
      </c>
      <c r="F61" s="46">
        <v>4069197.9440000001</v>
      </c>
      <c r="G61" s="46">
        <v>4601</v>
      </c>
      <c r="H61" s="46">
        <v>4366362.0149999997</v>
      </c>
      <c r="I61" s="46">
        <v>4609</v>
      </c>
      <c r="J61" s="46">
        <v>4148248.1409999998</v>
      </c>
    </row>
    <row r="62" spans="1:10" x14ac:dyDescent="0.2">
      <c r="A62" s="73" t="s">
        <v>106</v>
      </c>
      <c r="B62" s="73" t="s">
        <v>267</v>
      </c>
      <c r="C62" s="62" t="s">
        <v>10</v>
      </c>
      <c r="D62" s="62" t="s">
        <v>268</v>
      </c>
      <c r="E62" s="46">
        <v>2517</v>
      </c>
      <c r="F62" s="46">
        <v>65372.777999999998</v>
      </c>
      <c r="G62" s="46">
        <v>2521</v>
      </c>
      <c r="H62" s="46">
        <v>42008.981</v>
      </c>
      <c r="I62" s="46">
        <v>2525</v>
      </c>
      <c r="J62" s="46">
        <v>42437.800999999999</v>
      </c>
    </row>
    <row r="63" spans="1:10" x14ac:dyDescent="0.2">
      <c r="A63" s="96" t="s">
        <v>270</v>
      </c>
      <c r="B63" s="96" t="s">
        <v>267</v>
      </c>
      <c r="C63" s="62" t="s">
        <v>345</v>
      </c>
      <c r="D63" s="62" t="s">
        <v>268</v>
      </c>
      <c r="E63" s="46">
        <v>305</v>
      </c>
      <c r="F63" s="46">
        <v>66722.467000000004</v>
      </c>
      <c r="G63" s="46">
        <v>305</v>
      </c>
      <c r="H63" s="46">
        <v>57921.381999999998</v>
      </c>
      <c r="I63" s="46">
        <v>305</v>
      </c>
      <c r="J63" s="46">
        <v>58816.819999999992</v>
      </c>
    </row>
    <row r="64" spans="1:10" x14ac:dyDescent="0.2">
      <c r="A64" s="73" t="s">
        <v>270</v>
      </c>
      <c r="B64" s="73" t="s">
        <v>267</v>
      </c>
      <c r="C64" s="62" t="s">
        <v>10</v>
      </c>
      <c r="D64" s="62" t="s">
        <v>268</v>
      </c>
      <c r="E64" s="46">
        <v>5479</v>
      </c>
      <c r="F64" s="46">
        <v>132822.06200000001</v>
      </c>
      <c r="G64" s="46">
        <v>5483</v>
      </c>
      <c r="H64" s="46">
        <v>112401.005</v>
      </c>
      <c r="I64" s="46">
        <v>5479</v>
      </c>
      <c r="J64" s="46">
        <v>129708.996</v>
      </c>
    </row>
    <row r="65" spans="1:10" x14ac:dyDescent="0.2">
      <c r="A65" s="96" t="s">
        <v>271</v>
      </c>
      <c r="B65" s="96" t="s">
        <v>267</v>
      </c>
      <c r="C65" s="62" t="s">
        <v>345</v>
      </c>
      <c r="D65" s="62" t="s">
        <v>268</v>
      </c>
      <c r="E65" s="46">
        <v>358</v>
      </c>
      <c r="F65" s="46">
        <v>252683.01800000001</v>
      </c>
      <c r="G65" s="46">
        <v>358</v>
      </c>
      <c r="H65" s="46">
        <v>177942.10800000001</v>
      </c>
      <c r="I65" s="46">
        <v>356</v>
      </c>
      <c r="J65" s="46">
        <v>191478.31299999999</v>
      </c>
    </row>
    <row r="66" spans="1:10" x14ac:dyDescent="0.2">
      <c r="A66" s="73" t="s">
        <v>271</v>
      </c>
      <c r="B66" s="73" t="s">
        <v>267</v>
      </c>
      <c r="C66" s="62" t="s">
        <v>10</v>
      </c>
      <c r="D66" s="62" t="s">
        <v>268</v>
      </c>
      <c r="E66" s="46">
        <v>8923</v>
      </c>
      <c r="F66" s="46">
        <v>183626.24900000001</v>
      </c>
      <c r="G66" s="46">
        <v>8930</v>
      </c>
      <c r="H66" s="46">
        <v>138135.45800000001</v>
      </c>
      <c r="I66" s="46">
        <v>8939</v>
      </c>
      <c r="J66" s="46">
        <v>156761.1</v>
      </c>
    </row>
    <row r="67" spans="1:10" x14ac:dyDescent="0.2">
      <c r="A67" s="96" t="s">
        <v>107</v>
      </c>
      <c r="B67" s="96" t="s">
        <v>92</v>
      </c>
      <c r="C67" s="62" t="s">
        <v>345</v>
      </c>
      <c r="D67" s="62" t="s">
        <v>94</v>
      </c>
      <c r="E67" s="46">
        <v>1594</v>
      </c>
      <c r="F67" s="46">
        <v>4901145.5529999994</v>
      </c>
      <c r="G67" s="46">
        <v>1599</v>
      </c>
      <c r="H67" s="46">
        <v>5546892.2400000002</v>
      </c>
      <c r="I67" s="46">
        <v>1614</v>
      </c>
      <c r="J67" s="46">
        <v>5767517.4699999997</v>
      </c>
    </row>
    <row r="68" spans="1:10" x14ac:dyDescent="0.2">
      <c r="A68" s="73" t="s">
        <v>107</v>
      </c>
      <c r="B68" s="73" t="s">
        <v>92</v>
      </c>
      <c r="C68" s="62" t="s">
        <v>10</v>
      </c>
      <c r="D68" s="62" t="s">
        <v>94</v>
      </c>
      <c r="E68" s="46">
        <v>9886</v>
      </c>
      <c r="F68" s="46">
        <v>7962104.602</v>
      </c>
      <c r="G68" s="46">
        <v>9885</v>
      </c>
      <c r="H68" s="46">
        <v>9369934.0879999995</v>
      </c>
      <c r="I68" s="46">
        <v>9887</v>
      </c>
      <c r="J68" s="46">
        <v>9584929.6490000002</v>
      </c>
    </row>
    <row r="69" spans="1:10" x14ac:dyDescent="0.2">
      <c r="A69" s="96" t="s">
        <v>108</v>
      </c>
      <c r="B69" s="96" t="s">
        <v>92</v>
      </c>
      <c r="C69" s="62" t="s">
        <v>345</v>
      </c>
      <c r="D69" s="62" t="s">
        <v>94</v>
      </c>
      <c r="E69" s="46">
        <v>967</v>
      </c>
      <c r="F69" s="46">
        <v>4217526.3169999998</v>
      </c>
      <c r="G69" s="46">
        <v>960</v>
      </c>
      <c r="H69" s="46">
        <v>3148251.9709999999</v>
      </c>
      <c r="I69" s="46">
        <v>961</v>
      </c>
      <c r="J69" s="46">
        <v>2994440.1779999998</v>
      </c>
    </row>
    <row r="70" spans="1:10" x14ac:dyDescent="0.2">
      <c r="A70" s="73" t="s">
        <v>108</v>
      </c>
      <c r="B70" s="73" t="s">
        <v>267</v>
      </c>
      <c r="C70" s="62" t="s">
        <v>345</v>
      </c>
      <c r="D70" s="62" t="s">
        <v>268</v>
      </c>
      <c r="E70" s="46">
        <v>195</v>
      </c>
      <c r="F70" s="46">
        <v>50756.826000000001</v>
      </c>
      <c r="G70" s="46">
        <v>195</v>
      </c>
      <c r="H70" s="46">
        <v>34276.101000000002</v>
      </c>
      <c r="I70" s="46">
        <v>195</v>
      </c>
      <c r="J70" s="46">
        <v>36312.266000000003</v>
      </c>
    </row>
    <row r="71" spans="1:10" x14ac:dyDescent="0.2">
      <c r="A71" s="73" t="s">
        <v>108</v>
      </c>
      <c r="B71" s="96" t="s">
        <v>92</v>
      </c>
      <c r="C71" s="62" t="s">
        <v>10</v>
      </c>
      <c r="D71" s="62" t="s">
        <v>94</v>
      </c>
      <c r="E71" s="46">
        <v>18118</v>
      </c>
      <c r="F71" s="46">
        <v>12000455.146</v>
      </c>
      <c r="G71" s="46">
        <v>18118</v>
      </c>
      <c r="H71" s="46">
        <v>13069592.827</v>
      </c>
      <c r="I71" s="46">
        <v>18127</v>
      </c>
      <c r="J71" s="46">
        <v>11865180.879000001</v>
      </c>
    </row>
    <row r="72" spans="1:10" x14ac:dyDescent="0.2">
      <c r="A72" s="73" t="s">
        <v>108</v>
      </c>
      <c r="B72" s="73" t="s">
        <v>267</v>
      </c>
      <c r="C72" s="62" t="s">
        <v>10</v>
      </c>
      <c r="D72" s="62" t="s">
        <v>268</v>
      </c>
      <c r="E72" s="46">
        <v>11794</v>
      </c>
      <c r="F72" s="46">
        <v>247556.758</v>
      </c>
      <c r="G72" s="46">
        <v>11797</v>
      </c>
      <c r="H72" s="46">
        <v>186213.45</v>
      </c>
      <c r="I72" s="46">
        <v>11798</v>
      </c>
      <c r="J72" s="46">
        <v>189535.92300000001</v>
      </c>
    </row>
    <row r="73" spans="1:10" x14ac:dyDescent="0.2">
      <c r="A73" s="96" t="s">
        <v>109</v>
      </c>
      <c r="B73" s="96" t="s">
        <v>92</v>
      </c>
      <c r="C73" s="62" t="s">
        <v>345</v>
      </c>
      <c r="D73" s="62" t="s">
        <v>94</v>
      </c>
      <c r="E73" s="46">
        <v>322</v>
      </c>
      <c r="F73" s="46">
        <v>873692.13500000001</v>
      </c>
      <c r="G73" s="46">
        <v>323</v>
      </c>
      <c r="H73" s="46">
        <v>667138.38100000005</v>
      </c>
      <c r="I73" s="46">
        <v>320</v>
      </c>
      <c r="J73" s="46">
        <v>693814.90599999996</v>
      </c>
    </row>
    <row r="74" spans="1:10" x14ac:dyDescent="0.2">
      <c r="A74" s="73" t="s">
        <v>109</v>
      </c>
      <c r="B74" s="73" t="s">
        <v>267</v>
      </c>
      <c r="C74" s="62" t="s">
        <v>345</v>
      </c>
      <c r="D74" s="62" t="s">
        <v>268</v>
      </c>
      <c r="E74" s="46">
        <v>48</v>
      </c>
      <c r="F74" s="46">
        <v>3378.616</v>
      </c>
      <c r="G74" s="46">
        <v>48</v>
      </c>
      <c r="H74" s="46">
        <v>2353.806</v>
      </c>
      <c r="I74" s="46">
        <v>48</v>
      </c>
      <c r="J74" s="46">
        <v>2157.777</v>
      </c>
    </row>
    <row r="75" spans="1:10" x14ac:dyDescent="0.2">
      <c r="A75" s="73" t="s">
        <v>109</v>
      </c>
      <c r="B75" s="96" t="s">
        <v>92</v>
      </c>
      <c r="C75" s="62" t="s">
        <v>10</v>
      </c>
      <c r="D75" s="62" t="s">
        <v>94</v>
      </c>
      <c r="E75" s="46">
        <v>2000</v>
      </c>
      <c r="F75" s="46">
        <v>1843298.9739999999</v>
      </c>
      <c r="G75" s="46">
        <v>1998</v>
      </c>
      <c r="H75" s="46">
        <v>2256044.412</v>
      </c>
      <c r="I75" s="46">
        <v>1997</v>
      </c>
      <c r="J75" s="46">
        <v>2101436.23</v>
      </c>
    </row>
    <row r="76" spans="1:10" x14ac:dyDescent="0.2">
      <c r="A76" s="73" t="s">
        <v>109</v>
      </c>
      <c r="B76" s="73" t="s">
        <v>267</v>
      </c>
      <c r="C76" s="62" t="s">
        <v>10</v>
      </c>
      <c r="D76" s="62" t="s">
        <v>268</v>
      </c>
      <c r="E76" s="46">
        <v>958</v>
      </c>
      <c r="F76" s="46">
        <v>29656.249</v>
      </c>
      <c r="G76" s="46">
        <v>959</v>
      </c>
      <c r="H76" s="46">
        <v>21222.378000000001</v>
      </c>
      <c r="I76" s="46">
        <v>959</v>
      </c>
      <c r="J76" s="46">
        <v>17935.171999999999</v>
      </c>
    </row>
    <row r="77" spans="1:10" x14ac:dyDescent="0.2">
      <c r="A77" s="96" t="s">
        <v>272</v>
      </c>
      <c r="B77" s="96" t="s">
        <v>267</v>
      </c>
      <c r="C77" s="62" t="s">
        <v>345</v>
      </c>
      <c r="D77" s="62" t="s">
        <v>268</v>
      </c>
      <c r="E77" s="46">
        <v>276</v>
      </c>
      <c r="F77" s="46">
        <v>104125.561</v>
      </c>
      <c r="G77" s="46">
        <v>276</v>
      </c>
      <c r="H77" s="46">
        <v>91153.85100000001</v>
      </c>
      <c r="I77" s="46">
        <v>276</v>
      </c>
      <c r="J77" s="46">
        <v>85438.362999999998</v>
      </c>
    </row>
    <row r="78" spans="1:10" x14ac:dyDescent="0.2">
      <c r="A78" s="73" t="s">
        <v>272</v>
      </c>
      <c r="B78" s="73" t="s">
        <v>267</v>
      </c>
      <c r="C78" s="62" t="s">
        <v>10</v>
      </c>
      <c r="D78" s="62" t="s">
        <v>268</v>
      </c>
      <c r="E78" s="46">
        <v>9061</v>
      </c>
      <c r="F78" s="46">
        <v>188309.58</v>
      </c>
      <c r="G78" s="46">
        <v>9061</v>
      </c>
      <c r="H78" s="46">
        <v>157181.58100000001</v>
      </c>
      <c r="I78" s="46">
        <v>9059</v>
      </c>
      <c r="J78" s="46">
        <v>178328.253</v>
      </c>
    </row>
    <row r="79" spans="1:10" x14ac:dyDescent="0.2">
      <c r="A79" s="96" t="s">
        <v>110</v>
      </c>
      <c r="B79" s="96" t="s">
        <v>92</v>
      </c>
      <c r="C79" s="62" t="s">
        <v>345</v>
      </c>
      <c r="D79" s="62" t="s">
        <v>94</v>
      </c>
      <c r="E79" s="46">
        <v>2015</v>
      </c>
      <c r="F79" s="46">
        <v>10670325.142000001</v>
      </c>
      <c r="G79" s="46">
        <v>2009</v>
      </c>
      <c r="H79" s="46">
        <v>11528739.603</v>
      </c>
      <c r="I79" s="46">
        <v>2014</v>
      </c>
      <c r="J79" s="46">
        <v>13286784.844000001</v>
      </c>
    </row>
    <row r="80" spans="1:10" x14ac:dyDescent="0.2">
      <c r="A80" s="73" t="s">
        <v>110</v>
      </c>
      <c r="B80" s="73" t="s">
        <v>267</v>
      </c>
      <c r="C80" s="62" t="s">
        <v>345</v>
      </c>
      <c r="D80" s="62" t="s">
        <v>268</v>
      </c>
      <c r="E80" s="46">
        <v>529</v>
      </c>
      <c r="F80" s="46">
        <v>235480.91</v>
      </c>
      <c r="G80" s="46">
        <v>529</v>
      </c>
      <c r="H80" s="46">
        <v>229973.89299999998</v>
      </c>
      <c r="I80" s="46">
        <v>528</v>
      </c>
      <c r="J80" s="46">
        <v>244901.08900000001</v>
      </c>
    </row>
    <row r="81" spans="1:10" x14ac:dyDescent="0.2">
      <c r="A81" s="73" t="s">
        <v>110</v>
      </c>
      <c r="B81" s="96" t="s">
        <v>92</v>
      </c>
      <c r="C81" s="62" t="s">
        <v>10</v>
      </c>
      <c r="D81" s="62" t="s">
        <v>94</v>
      </c>
      <c r="E81" s="46">
        <v>12068</v>
      </c>
      <c r="F81" s="46">
        <v>8005336.5520000001</v>
      </c>
      <c r="G81" s="46">
        <v>12065</v>
      </c>
      <c r="H81" s="46">
        <v>9105785.7440000009</v>
      </c>
      <c r="I81" s="46">
        <v>12080</v>
      </c>
      <c r="J81" s="46">
        <v>9783377.0840000007</v>
      </c>
    </row>
    <row r="82" spans="1:10" x14ac:dyDescent="0.2">
      <c r="A82" s="73" t="s">
        <v>110</v>
      </c>
      <c r="B82" s="73" t="s">
        <v>267</v>
      </c>
      <c r="C82" s="62" t="s">
        <v>10</v>
      </c>
      <c r="D82" s="62" t="s">
        <v>268</v>
      </c>
      <c r="E82" s="46">
        <v>6407</v>
      </c>
      <c r="F82" s="46">
        <v>182331.791</v>
      </c>
      <c r="G82" s="46">
        <v>6414</v>
      </c>
      <c r="H82" s="46">
        <v>125741.531</v>
      </c>
      <c r="I82" s="46">
        <v>6419</v>
      </c>
      <c r="J82" s="46">
        <v>118798.715</v>
      </c>
    </row>
    <row r="83" spans="1:10" x14ac:dyDescent="0.2">
      <c r="A83" s="96" t="s">
        <v>111</v>
      </c>
      <c r="B83" s="96" t="s">
        <v>92</v>
      </c>
      <c r="C83" s="62" t="s">
        <v>345</v>
      </c>
      <c r="D83" s="62" t="s">
        <v>94</v>
      </c>
      <c r="E83" s="46">
        <v>734</v>
      </c>
      <c r="F83" s="46">
        <v>2595462.588</v>
      </c>
      <c r="G83" s="46">
        <v>735</v>
      </c>
      <c r="H83" s="46">
        <v>2462185.5529999998</v>
      </c>
      <c r="I83" s="46">
        <v>735</v>
      </c>
      <c r="J83" s="46">
        <v>2437054.1669999999</v>
      </c>
    </row>
    <row r="84" spans="1:10" x14ac:dyDescent="0.2">
      <c r="A84" s="73" t="s">
        <v>111</v>
      </c>
      <c r="B84" s="73" t="s">
        <v>267</v>
      </c>
      <c r="C84" s="62" t="s">
        <v>345</v>
      </c>
      <c r="D84" s="62" t="s">
        <v>268</v>
      </c>
      <c r="E84" s="46">
        <v>201</v>
      </c>
      <c r="F84" s="46">
        <v>48192.281000000003</v>
      </c>
      <c r="G84" s="46">
        <v>201</v>
      </c>
      <c r="H84" s="46">
        <v>34586.606999999996</v>
      </c>
      <c r="I84" s="46">
        <v>200</v>
      </c>
      <c r="J84" s="46">
        <v>35169.711999999992</v>
      </c>
    </row>
    <row r="85" spans="1:10" x14ac:dyDescent="0.2">
      <c r="A85" s="73" t="s">
        <v>111</v>
      </c>
      <c r="B85" s="96" t="s">
        <v>92</v>
      </c>
      <c r="C85" s="62" t="s">
        <v>10</v>
      </c>
      <c r="D85" s="62" t="s">
        <v>94</v>
      </c>
      <c r="E85" s="46">
        <v>9542</v>
      </c>
      <c r="F85" s="46">
        <v>5849498.7000000002</v>
      </c>
      <c r="G85" s="46">
        <v>9549</v>
      </c>
      <c r="H85" s="46">
        <v>7143800.2280000001</v>
      </c>
      <c r="I85" s="46">
        <v>9564</v>
      </c>
      <c r="J85" s="46">
        <v>6298233.3629999999</v>
      </c>
    </row>
    <row r="86" spans="1:10" x14ac:dyDescent="0.2">
      <c r="A86" s="73" t="s">
        <v>111</v>
      </c>
      <c r="B86" s="73" t="s">
        <v>267</v>
      </c>
      <c r="C86" s="62" t="s">
        <v>10</v>
      </c>
      <c r="D86" s="62" t="s">
        <v>268</v>
      </c>
      <c r="E86" s="46">
        <v>6034</v>
      </c>
      <c r="F86" s="46">
        <v>124828.455</v>
      </c>
      <c r="G86" s="46">
        <v>6033</v>
      </c>
      <c r="H86" s="46">
        <v>97375.558000000005</v>
      </c>
      <c r="I86" s="46">
        <v>6038</v>
      </c>
      <c r="J86" s="46">
        <v>91881.595000000001</v>
      </c>
    </row>
    <row r="87" spans="1:10" x14ac:dyDescent="0.2">
      <c r="A87" s="96" t="s">
        <v>112</v>
      </c>
      <c r="B87" s="96" t="s">
        <v>92</v>
      </c>
      <c r="C87" s="62" t="s">
        <v>345</v>
      </c>
      <c r="D87" s="62" t="s">
        <v>94</v>
      </c>
      <c r="E87" s="46">
        <v>1121</v>
      </c>
      <c r="F87" s="46">
        <v>6416057.7000000002</v>
      </c>
      <c r="G87" s="46">
        <v>1121</v>
      </c>
      <c r="H87" s="46">
        <v>6873388.8660000004</v>
      </c>
      <c r="I87" s="46">
        <v>1119</v>
      </c>
      <c r="J87" s="46">
        <v>8217264.4229999995</v>
      </c>
    </row>
    <row r="88" spans="1:10" x14ac:dyDescent="0.2">
      <c r="A88" s="73" t="s">
        <v>112</v>
      </c>
      <c r="B88" s="73" t="s">
        <v>267</v>
      </c>
      <c r="C88" s="62" t="s">
        <v>345</v>
      </c>
      <c r="D88" s="62" t="s">
        <v>268</v>
      </c>
      <c r="E88" s="46">
        <v>208</v>
      </c>
      <c r="F88" s="46">
        <v>65087.41</v>
      </c>
      <c r="G88" s="46">
        <v>209</v>
      </c>
      <c r="H88" s="46">
        <v>47603.171000000002</v>
      </c>
      <c r="I88" s="46">
        <v>209</v>
      </c>
      <c r="J88" s="46">
        <v>54781.887000000002</v>
      </c>
    </row>
    <row r="89" spans="1:10" x14ac:dyDescent="0.2">
      <c r="A89" s="73" t="s">
        <v>112</v>
      </c>
      <c r="B89" s="96" t="s">
        <v>92</v>
      </c>
      <c r="C89" s="62" t="s">
        <v>10</v>
      </c>
      <c r="D89" s="62" t="s">
        <v>94</v>
      </c>
      <c r="E89" s="46">
        <v>12144</v>
      </c>
      <c r="F89" s="46">
        <v>6812767.9570000004</v>
      </c>
      <c r="G89" s="46">
        <v>12160</v>
      </c>
      <c r="H89" s="46">
        <v>8049797.5750000002</v>
      </c>
      <c r="I89" s="46">
        <v>12175</v>
      </c>
      <c r="J89" s="46">
        <v>8838919.1999999993</v>
      </c>
    </row>
    <row r="90" spans="1:10" x14ac:dyDescent="0.2">
      <c r="A90" s="73" t="s">
        <v>112</v>
      </c>
      <c r="B90" s="73" t="s">
        <v>267</v>
      </c>
      <c r="C90" s="62" t="s">
        <v>10</v>
      </c>
      <c r="D90" s="62" t="s">
        <v>268</v>
      </c>
      <c r="E90" s="46">
        <v>8671</v>
      </c>
      <c r="F90" s="46">
        <v>230654.47500000001</v>
      </c>
      <c r="G90" s="46">
        <v>8681</v>
      </c>
      <c r="H90" s="46">
        <v>140899.92499999999</v>
      </c>
      <c r="I90" s="46">
        <v>8690</v>
      </c>
      <c r="J90" s="46">
        <v>146310.08499999999</v>
      </c>
    </row>
    <row r="91" spans="1:10" x14ac:dyDescent="0.2">
      <c r="A91" s="96" t="s">
        <v>113</v>
      </c>
      <c r="B91" s="96" t="s">
        <v>92</v>
      </c>
      <c r="C91" s="62" t="s">
        <v>345</v>
      </c>
      <c r="D91" s="62" t="s">
        <v>94</v>
      </c>
      <c r="E91" s="46">
        <v>1151</v>
      </c>
      <c r="F91" s="46">
        <v>4550833.9110000003</v>
      </c>
      <c r="G91" s="46">
        <v>1147</v>
      </c>
      <c r="H91" s="46">
        <v>4633758.068</v>
      </c>
      <c r="I91" s="46">
        <v>1149</v>
      </c>
      <c r="J91" s="46">
        <v>4630454.9160000002</v>
      </c>
    </row>
    <row r="92" spans="1:10" x14ac:dyDescent="0.2">
      <c r="A92" s="73" t="s">
        <v>113</v>
      </c>
      <c r="B92" s="73" t="s">
        <v>267</v>
      </c>
      <c r="C92" s="62" t="s">
        <v>345</v>
      </c>
      <c r="D92" s="62" t="s">
        <v>268</v>
      </c>
      <c r="E92" s="46">
        <v>359</v>
      </c>
      <c r="F92" s="46">
        <v>68248.726999999999</v>
      </c>
      <c r="G92" s="46">
        <v>358</v>
      </c>
      <c r="H92" s="46">
        <v>52307.662000000004</v>
      </c>
      <c r="I92" s="46">
        <v>358</v>
      </c>
      <c r="J92" s="46">
        <v>54315.855000000003</v>
      </c>
    </row>
    <row r="93" spans="1:10" x14ac:dyDescent="0.2">
      <c r="A93" s="73" t="s">
        <v>113</v>
      </c>
      <c r="B93" s="96" t="s">
        <v>92</v>
      </c>
      <c r="C93" s="62" t="s">
        <v>10</v>
      </c>
      <c r="D93" s="62" t="s">
        <v>94</v>
      </c>
      <c r="E93" s="46">
        <v>13256</v>
      </c>
      <c r="F93" s="46">
        <v>8596162.9100000001</v>
      </c>
      <c r="G93" s="46">
        <v>13256</v>
      </c>
      <c r="H93" s="46">
        <v>9536030.898</v>
      </c>
      <c r="I93" s="46">
        <v>13259</v>
      </c>
      <c r="J93" s="46">
        <v>8825778.5390000008</v>
      </c>
    </row>
    <row r="94" spans="1:10" x14ac:dyDescent="0.2">
      <c r="A94" s="73" t="s">
        <v>113</v>
      </c>
      <c r="B94" s="73" t="s">
        <v>267</v>
      </c>
      <c r="C94" s="62" t="s">
        <v>10</v>
      </c>
      <c r="D94" s="62" t="s">
        <v>268</v>
      </c>
      <c r="E94" s="46">
        <v>6506</v>
      </c>
      <c r="F94" s="46">
        <v>138570.962</v>
      </c>
      <c r="G94" s="46">
        <v>6506</v>
      </c>
      <c r="H94" s="46">
        <v>94685.475999999995</v>
      </c>
      <c r="I94" s="46">
        <v>6503</v>
      </c>
      <c r="J94" s="46">
        <v>104930.178</v>
      </c>
    </row>
    <row r="95" spans="1:10" x14ac:dyDescent="0.2">
      <c r="A95" s="96" t="s">
        <v>114</v>
      </c>
      <c r="B95" s="96" t="s">
        <v>92</v>
      </c>
      <c r="C95" s="62" t="s">
        <v>345</v>
      </c>
      <c r="D95" s="62" t="s">
        <v>94</v>
      </c>
      <c r="E95" s="46">
        <v>1136</v>
      </c>
      <c r="F95" s="46">
        <v>5585492.1160000004</v>
      </c>
      <c r="G95" s="46">
        <v>1135</v>
      </c>
      <c r="H95" s="46">
        <v>5585130.5129999993</v>
      </c>
      <c r="I95" s="46">
        <v>1134</v>
      </c>
      <c r="J95" s="46">
        <v>4713382.7020000005</v>
      </c>
    </row>
    <row r="96" spans="1:10" x14ac:dyDescent="0.2">
      <c r="A96" s="73" t="s">
        <v>114</v>
      </c>
      <c r="B96" s="73" t="s">
        <v>267</v>
      </c>
      <c r="C96" s="62" t="s">
        <v>345</v>
      </c>
      <c r="D96" s="62" t="s">
        <v>268</v>
      </c>
      <c r="E96" s="46">
        <v>391</v>
      </c>
      <c r="F96" s="46">
        <v>49561.959000000003</v>
      </c>
      <c r="G96" s="46">
        <v>392</v>
      </c>
      <c r="H96" s="46">
        <v>40227.267999999996</v>
      </c>
      <c r="I96" s="46">
        <v>392</v>
      </c>
      <c r="J96" s="46">
        <v>44872.396999999997</v>
      </c>
    </row>
    <row r="97" spans="1:10" x14ac:dyDescent="0.2">
      <c r="A97" s="73" t="s">
        <v>114</v>
      </c>
      <c r="B97" s="96" t="s">
        <v>92</v>
      </c>
      <c r="C97" s="62" t="s">
        <v>10</v>
      </c>
      <c r="D97" s="62" t="s">
        <v>94</v>
      </c>
      <c r="E97" s="46">
        <v>14700</v>
      </c>
      <c r="F97" s="46">
        <v>10298446.379000001</v>
      </c>
      <c r="G97" s="46">
        <v>14705</v>
      </c>
      <c r="H97" s="46">
        <v>11676296.314999999</v>
      </c>
      <c r="I97" s="46">
        <v>14699</v>
      </c>
      <c r="J97" s="46">
        <v>10068053.632999999</v>
      </c>
    </row>
    <row r="98" spans="1:10" x14ac:dyDescent="0.2">
      <c r="A98" s="73" t="s">
        <v>114</v>
      </c>
      <c r="B98" s="73" t="s">
        <v>267</v>
      </c>
      <c r="C98" s="62" t="s">
        <v>10</v>
      </c>
      <c r="D98" s="62" t="s">
        <v>268</v>
      </c>
      <c r="E98" s="46">
        <v>8999</v>
      </c>
      <c r="F98" s="46">
        <v>154168.42000000001</v>
      </c>
      <c r="G98" s="46">
        <v>9002</v>
      </c>
      <c r="H98" s="46">
        <v>120810.75</v>
      </c>
      <c r="I98" s="46">
        <v>9003</v>
      </c>
      <c r="J98" s="46">
        <v>152411.77799999999</v>
      </c>
    </row>
    <row r="99" spans="1:10" x14ac:dyDescent="0.2">
      <c r="A99" s="96" t="s">
        <v>115</v>
      </c>
      <c r="B99" s="96" t="s">
        <v>92</v>
      </c>
      <c r="C99" s="62" t="s">
        <v>345</v>
      </c>
      <c r="D99" s="62" t="s">
        <v>94</v>
      </c>
      <c r="E99" s="46">
        <v>4498</v>
      </c>
      <c r="F99" s="46">
        <v>52506902.025999993</v>
      </c>
      <c r="G99" s="46">
        <v>4502</v>
      </c>
      <c r="H99" s="46">
        <v>63895346.226999998</v>
      </c>
      <c r="I99" s="46">
        <v>4496</v>
      </c>
      <c r="J99" s="46">
        <v>55108807.239999995</v>
      </c>
    </row>
    <row r="100" spans="1:10" x14ac:dyDescent="0.2">
      <c r="A100" s="73" t="s">
        <v>115</v>
      </c>
      <c r="B100" s="73" t="s">
        <v>267</v>
      </c>
      <c r="C100" s="62" t="s">
        <v>345</v>
      </c>
      <c r="D100" s="62" t="s">
        <v>268</v>
      </c>
      <c r="E100" s="46">
        <v>2365</v>
      </c>
      <c r="F100" s="46">
        <v>1194795.2479999999</v>
      </c>
      <c r="G100" s="46">
        <v>2373</v>
      </c>
      <c r="H100" s="46">
        <v>956350.90899999999</v>
      </c>
      <c r="I100" s="46">
        <v>2371</v>
      </c>
      <c r="J100" s="46">
        <v>1014793.3589999999</v>
      </c>
    </row>
    <row r="101" spans="1:10" x14ac:dyDescent="0.2">
      <c r="A101" s="73" t="s">
        <v>115</v>
      </c>
      <c r="B101" s="96" t="s">
        <v>92</v>
      </c>
      <c r="C101" s="62" t="s">
        <v>10</v>
      </c>
      <c r="D101" s="62" t="s">
        <v>94</v>
      </c>
      <c r="E101" s="46">
        <v>15750</v>
      </c>
      <c r="F101" s="46">
        <v>8940908.1099999994</v>
      </c>
      <c r="G101" s="46">
        <v>15910</v>
      </c>
      <c r="H101" s="46">
        <v>9661690.5460000001</v>
      </c>
      <c r="I101" s="46">
        <v>15895</v>
      </c>
      <c r="J101" s="46">
        <v>9162373.5590000004</v>
      </c>
    </row>
    <row r="102" spans="1:10" x14ac:dyDescent="0.2">
      <c r="A102" s="73" t="s">
        <v>115</v>
      </c>
      <c r="B102" s="73" t="s">
        <v>267</v>
      </c>
      <c r="C102" s="62" t="s">
        <v>10</v>
      </c>
      <c r="D102" s="62" t="s">
        <v>268</v>
      </c>
      <c r="E102" s="46">
        <v>4816</v>
      </c>
      <c r="F102" s="46">
        <v>83067.001999999993</v>
      </c>
      <c r="G102" s="46">
        <v>4818</v>
      </c>
      <c r="H102" s="46">
        <v>60801.447</v>
      </c>
      <c r="I102" s="46">
        <v>4817</v>
      </c>
      <c r="J102" s="46">
        <v>70359.646999999997</v>
      </c>
    </row>
    <row r="103" spans="1:10" x14ac:dyDescent="0.2">
      <c r="A103" s="96" t="s">
        <v>116</v>
      </c>
      <c r="B103" s="96" t="s">
        <v>92</v>
      </c>
      <c r="C103" s="62" t="s">
        <v>345</v>
      </c>
      <c r="D103" s="62" t="s">
        <v>94</v>
      </c>
      <c r="E103" s="46">
        <v>2180</v>
      </c>
      <c r="F103" s="46">
        <v>11965313.397</v>
      </c>
      <c r="G103" s="46">
        <v>2184</v>
      </c>
      <c r="H103" s="46">
        <v>11943055.819</v>
      </c>
      <c r="I103" s="46">
        <v>2187</v>
      </c>
      <c r="J103" s="46">
        <v>11166293.209000001</v>
      </c>
    </row>
    <row r="104" spans="1:10" x14ac:dyDescent="0.2">
      <c r="A104" s="73" t="s">
        <v>116</v>
      </c>
      <c r="B104" s="73" t="s">
        <v>267</v>
      </c>
      <c r="C104" s="62" t="s">
        <v>345</v>
      </c>
      <c r="D104" s="62" t="s">
        <v>268</v>
      </c>
      <c r="E104" s="46">
        <v>672</v>
      </c>
      <c r="F104" s="46">
        <v>134719.09399999998</v>
      </c>
      <c r="G104" s="46">
        <v>670</v>
      </c>
      <c r="H104" s="46">
        <v>122764.74</v>
      </c>
      <c r="I104" s="46">
        <v>674</v>
      </c>
      <c r="J104" s="46">
        <v>101267.02300000002</v>
      </c>
    </row>
    <row r="105" spans="1:10" x14ac:dyDescent="0.2">
      <c r="A105" s="73" t="s">
        <v>116</v>
      </c>
      <c r="B105" s="96" t="s">
        <v>92</v>
      </c>
      <c r="C105" s="62" t="s">
        <v>10</v>
      </c>
      <c r="D105" s="62" t="s">
        <v>94</v>
      </c>
      <c r="E105" s="46">
        <v>18183</v>
      </c>
      <c r="F105" s="46">
        <v>11642568.161</v>
      </c>
      <c r="G105" s="46">
        <v>18191</v>
      </c>
      <c r="H105" s="46">
        <v>13555536.557</v>
      </c>
      <c r="I105" s="46">
        <v>18206</v>
      </c>
      <c r="J105" s="46">
        <v>12123362.028999999</v>
      </c>
    </row>
    <row r="106" spans="1:10" x14ac:dyDescent="0.2">
      <c r="A106" s="73" t="s">
        <v>116</v>
      </c>
      <c r="B106" s="73" t="s">
        <v>267</v>
      </c>
      <c r="C106" s="62" t="s">
        <v>10</v>
      </c>
      <c r="D106" s="62" t="s">
        <v>268</v>
      </c>
      <c r="E106" s="46">
        <v>11358</v>
      </c>
      <c r="F106" s="46">
        <v>257183.43100000001</v>
      </c>
      <c r="G106" s="46">
        <v>11360</v>
      </c>
      <c r="H106" s="46">
        <v>187910.79300000001</v>
      </c>
      <c r="I106" s="46">
        <v>11357</v>
      </c>
      <c r="J106" s="46">
        <v>209928.1</v>
      </c>
    </row>
    <row r="107" spans="1:10" x14ac:dyDescent="0.2">
      <c r="A107" s="96" t="s">
        <v>117</v>
      </c>
      <c r="B107" s="96" t="s">
        <v>92</v>
      </c>
      <c r="C107" s="62" t="s">
        <v>345</v>
      </c>
      <c r="D107" s="62" t="s">
        <v>94</v>
      </c>
      <c r="E107" s="46">
        <v>1784</v>
      </c>
      <c r="F107" s="46">
        <v>13479853.366</v>
      </c>
      <c r="G107" s="46">
        <v>1780</v>
      </c>
      <c r="H107" s="46">
        <v>14422095.584000001</v>
      </c>
      <c r="I107" s="46">
        <v>1780</v>
      </c>
      <c r="J107" s="46">
        <v>12388277.275</v>
      </c>
    </row>
    <row r="108" spans="1:10" x14ac:dyDescent="0.2">
      <c r="A108" s="73" t="s">
        <v>117</v>
      </c>
      <c r="B108" s="73" t="s">
        <v>267</v>
      </c>
      <c r="C108" s="62" t="s">
        <v>345</v>
      </c>
      <c r="D108" s="62" t="s">
        <v>268</v>
      </c>
      <c r="E108" s="46">
        <v>675</v>
      </c>
      <c r="F108" s="46">
        <v>222727.139</v>
      </c>
      <c r="G108" s="46">
        <v>675</v>
      </c>
      <c r="H108" s="46">
        <v>161989.01</v>
      </c>
      <c r="I108" s="46">
        <v>674</v>
      </c>
      <c r="J108" s="46">
        <v>162558.76</v>
      </c>
    </row>
    <row r="109" spans="1:10" x14ac:dyDescent="0.2">
      <c r="A109" s="73" t="s">
        <v>117</v>
      </c>
      <c r="B109" s="96" t="s">
        <v>92</v>
      </c>
      <c r="C109" s="62" t="s">
        <v>10</v>
      </c>
      <c r="D109" s="62" t="s">
        <v>94</v>
      </c>
      <c r="E109" s="46">
        <v>23167</v>
      </c>
      <c r="F109" s="46">
        <v>12901566.199999999</v>
      </c>
      <c r="G109" s="46">
        <v>23202</v>
      </c>
      <c r="H109" s="46">
        <v>15591803.052999999</v>
      </c>
      <c r="I109" s="46">
        <v>23211</v>
      </c>
      <c r="J109" s="46">
        <v>14018863.18</v>
      </c>
    </row>
    <row r="110" spans="1:10" x14ac:dyDescent="0.2">
      <c r="A110" s="73" t="s">
        <v>117</v>
      </c>
      <c r="B110" s="73" t="s">
        <v>267</v>
      </c>
      <c r="C110" s="62" t="s">
        <v>10</v>
      </c>
      <c r="D110" s="62" t="s">
        <v>268</v>
      </c>
      <c r="E110" s="46">
        <v>12164</v>
      </c>
      <c r="F110" s="46">
        <v>243777.31</v>
      </c>
      <c r="G110" s="46">
        <v>12175</v>
      </c>
      <c r="H110" s="46">
        <v>182002.73</v>
      </c>
      <c r="I110" s="46">
        <v>12177</v>
      </c>
      <c r="J110" s="46">
        <v>178562.11900000001</v>
      </c>
    </row>
    <row r="111" spans="1:10" x14ac:dyDescent="0.2">
      <c r="A111" s="96" t="s">
        <v>273</v>
      </c>
      <c r="B111" s="96" t="s">
        <v>267</v>
      </c>
      <c r="C111" s="62" t="s">
        <v>345</v>
      </c>
      <c r="D111" s="62" t="s">
        <v>268</v>
      </c>
      <c r="E111" s="46">
        <v>819</v>
      </c>
      <c r="F111" s="46">
        <v>181774.00599999999</v>
      </c>
      <c r="G111" s="46">
        <v>821</v>
      </c>
      <c r="H111" s="46">
        <v>108325.011</v>
      </c>
      <c r="I111" s="46">
        <v>820</v>
      </c>
      <c r="J111" s="46">
        <v>137285.79799999998</v>
      </c>
    </row>
    <row r="112" spans="1:10" x14ac:dyDescent="0.2">
      <c r="A112" s="73" t="s">
        <v>273</v>
      </c>
      <c r="B112" s="73" t="s">
        <v>267</v>
      </c>
      <c r="C112" s="62" t="s">
        <v>10</v>
      </c>
      <c r="D112" s="62" t="s">
        <v>268</v>
      </c>
      <c r="E112" s="46">
        <v>8497</v>
      </c>
      <c r="F112" s="46">
        <v>160515.663</v>
      </c>
      <c r="G112" s="46">
        <v>8509</v>
      </c>
      <c r="H112" s="46">
        <v>126655.192</v>
      </c>
      <c r="I112" s="46">
        <v>8514</v>
      </c>
      <c r="J112" s="46">
        <v>146855.038</v>
      </c>
    </row>
    <row r="113" spans="1:10" x14ac:dyDescent="0.2">
      <c r="A113" s="96" t="s">
        <v>274</v>
      </c>
      <c r="B113" s="96" t="s">
        <v>267</v>
      </c>
      <c r="C113" s="62" t="s">
        <v>345</v>
      </c>
      <c r="D113" s="62" t="s">
        <v>268</v>
      </c>
      <c r="E113" s="46">
        <v>444</v>
      </c>
      <c r="F113" s="46">
        <v>98105.656999999992</v>
      </c>
      <c r="G113" s="46">
        <v>445</v>
      </c>
      <c r="H113" s="46">
        <v>75026.05</v>
      </c>
      <c r="I113" s="46">
        <v>440</v>
      </c>
      <c r="J113" s="46">
        <v>93717.438999999998</v>
      </c>
    </row>
    <row r="114" spans="1:10" x14ac:dyDescent="0.2">
      <c r="A114" s="73" t="s">
        <v>274</v>
      </c>
      <c r="B114" s="73" t="s">
        <v>267</v>
      </c>
      <c r="C114" s="62" t="s">
        <v>10</v>
      </c>
      <c r="D114" s="62" t="s">
        <v>268</v>
      </c>
      <c r="E114" s="46">
        <v>5989</v>
      </c>
      <c r="F114" s="46">
        <v>124229.197</v>
      </c>
      <c r="G114" s="46">
        <v>5995</v>
      </c>
      <c r="H114" s="46">
        <v>98250.111999999994</v>
      </c>
      <c r="I114" s="46">
        <v>6004</v>
      </c>
      <c r="J114" s="46">
        <v>108768.327</v>
      </c>
    </row>
    <row r="115" spans="1:10" x14ac:dyDescent="0.2">
      <c r="A115" s="96" t="s">
        <v>118</v>
      </c>
      <c r="B115" s="96" t="s">
        <v>92</v>
      </c>
      <c r="C115" s="62" t="s">
        <v>345</v>
      </c>
      <c r="D115" s="62" t="s">
        <v>94</v>
      </c>
      <c r="E115" s="46">
        <v>1364</v>
      </c>
      <c r="F115" s="46">
        <v>5723588.4759999998</v>
      </c>
      <c r="G115" s="46">
        <v>1363</v>
      </c>
      <c r="H115" s="46">
        <v>7228709.8339999998</v>
      </c>
      <c r="I115" s="46">
        <v>1364</v>
      </c>
      <c r="J115" s="46">
        <v>6806894.5420000004</v>
      </c>
    </row>
    <row r="116" spans="1:10" x14ac:dyDescent="0.2">
      <c r="A116" s="73" t="s">
        <v>118</v>
      </c>
      <c r="B116" s="73" t="s">
        <v>267</v>
      </c>
      <c r="C116" s="62" t="s">
        <v>345</v>
      </c>
      <c r="D116" s="62" t="s">
        <v>268</v>
      </c>
      <c r="E116" s="46">
        <v>274</v>
      </c>
      <c r="F116" s="46">
        <v>35223.527000000002</v>
      </c>
      <c r="G116" s="46">
        <v>273</v>
      </c>
      <c r="H116" s="46">
        <v>27529.483</v>
      </c>
      <c r="I116" s="46">
        <v>273</v>
      </c>
      <c r="J116" s="46">
        <v>25100.573</v>
      </c>
    </row>
    <row r="117" spans="1:10" x14ac:dyDescent="0.2">
      <c r="A117" s="73" t="s">
        <v>118</v>
      </c>
      <c r="B117" s="96" t="s">
        <v>92</v>
      </c>
      <c r="C117" s="62" t="s">
        <v>10</v>
      </c>
      <c r="D117" s="62" t="s">
        <v>94</v>
      </c>
      <c r="E117" s="46">
        <v>13182</v>
      </c>
      <c r="F117" s="46">
        <v>10129011.197000001</v>
      </c>
      <c r="G117" s="46">
        <v>13185</v>
      </c>
      <c r="H117" s="46">
        <v>13051412.437999999</v>
      </c>
      <c r="I117" s="46">
        <v>13187</v>
      </c>
      <c r="J117" s="46">
        <v>12521798.934</v>
      </c>
    </row>
    <row r="118" spans="1:10" x14ac:dyDescent="0.2">
      <c r="A118" s="73" t="s">
        <v>118</v>
      </c>
      <c r="B118" s="73" t="s">
        <v>267</v>
      </c>
      <c r="C118" s="62" t="s">
        <v>10</v>
      </c>
      <c r="D118" s="62" t="s">
        <v>268</v>
      </c>
      <c r="E118" s="46">
        <v>8916</v>
      </c>
      <c r="F118" s="46">
        <v>239714</v>
      </c>
      <c r="G118" s="46">
        <v>8923</v>
      </c>
      <c r="H118" s="46">
        <v>168997.234</v>
      </c>
      <c r="I118" s="46">
        <v>8925</v>
      </c>
      <c r="J118" s="46">
        <v>144767.459</v>
      </c>
    </row>
    <row r="119" spans="1:10" x14ac:dyDescent="0.2">
      <c r="A119" s="96" t="s">
        <v>119</v>
      </c>
      <c r="B119" s="96" t="s">
        <v>92</v>
      </c>
      <c r="C119" s="62" t="s">
        <v>345</v>
      </c>
      <c r="D119" s="62" t="s">
        <v>94</v>
      </c>
      <c r="E119" s="46">
        <v>114</v>
      </c>
      <c r="F119" s="46">
        <v>570849.83299999998</v>
      </c>
      <c r="G119" s="46">
        <v>114</v>
      </c>
      <c r="H119" s="46">
        <v>1009070.368</v>
      </c>
      <c r="I119" s="46">
        <v>115</v>
      </c>
      <c r="J119" s="46">
        <v>715681.31200000003</v>
      </c>
    </row>
    <row r="120" spans="1:10" x14ac:dyDescent="0.2">
      <c r="A120" s="73" t="s">
        <v>119</v>
      </c>
      <c r="B120" s="73" t="s">
        <v>267</v>
      </c>
      <c r="C120" s="62" t="s">
        <v>345</v>
      </c>
      <c r="D120" s="62" t="s">
        <v>268</v>
      </c>
      <c r="E120" s="46">
        <v>10</v>
      </c>
      <c r="F120" s="46">
        <v>3254.6460000000002</v>
      </c>
      <c r="G120" s="46">
        <v>10</v>
      </c>
      <c r="H120" s="46">
        <v>6666.53</v>
      </c>
      <c r="I120" s="46">
        <v>10</v>
      </c>
      <c r="J120" s="46">
        <v>5233.1589999999997</v>
      </c>
    </row>
    <row r="121" spans="1:10" x14ac:dyDescent="0.2">
      <c r="A121" s="73" t="s">
        <v>119</v>
      </c>
      <c r="B121" s="96" t="s">
        <v>92</v>
      </c>
      <c r="C121" s="62" t="s">
        <v>10</v>
      </c>
      <c r="D121" s="62" t="s">
        <v>94</v>
      </c>
      <c r="E121" s="46">
        <v>1133</v>
      </c>
      <c r="F121" s="46">
        <v>1805682.64</v>
      </c>
      <c r="G121" s="46">
        <v>1137</v>
      </c>
      <c r="H121" s="46">
        <v>2574888.6940000001</v>
      </c>
      <c r="I121" s="46">
        <v>1136</v>
      </c>
      <c r="J121" s="46">
        <v>2146508.9559999998</v>
      </c>
    </row>
    <row r="122" spans="1:10" x14ac:dyDescent="0.2">
      <c r="A122" s="73" t="s">
        <v>119</v>
      </c>
      <c r="B122" s="73" t="s">
        <v>267</v>
      </c>
      <c r="C122" s="62" t="s">
        <v>10</v>
      </c>
      <c r="D122" s="62" t="s">
        <v>268</v>
      </c>
      <c r="E122" s="46">
        <v>1109</v>
      </c>
      <c r="F122" s="46">
        <v>62437</v>
      </c>
      <c r="G122" s="46">
        <v>1113</v>
      </c>
      <c r="H122" s="46">
        <v>45560.3</v>
      </c>
      <c r="I122" s="46">
        <v>1112</v>
      </c>
      <c r="J122" s="46">
        <v>52756.843000000001</v>
      </c>
    </row>
    <row r="123" spans="1:10" x14ac:dyDescent="0.2">
      <c r="A123" s="96" t="s">
        <v>120</v>
      </c>
      <c r="B123" s="96" t="s">
        <v>92</v>
      </c>
      <c r="C123" s="62" t="s">
        <v>345</v>
      </c>
      <c r="D123" s="62" t="s">
        <v>94</v>
      </c>
      <c r="E123" s="46">
        <v>696</v>
      </c>
      <c r="F123" s="46">
        <v>4669186.3339999998</v>
      </c>
      <c r="G123" s="46">
        <v>701</v>
      </c>
      <c r="H123" s="46">
        <v>4645818.841</v>
      </c>
      <c r="I123" s="46">
        <v>702</v>
      </c>
      <c r="J123" s="46">
        <v>4353735.1679999996</v>
      </c>
    </row>
    <row r="124" spans="1:10" x14ac:dyDescent="0.2">
      <c r="A124" s="73" t="s">
        <v>120</v>
      </c>
      <c r="B124" s="73" t="s">
        <v>267</v>
      </c>
      <c r="C124" s="62" t="s">
        <v>345</v>
      </c>
      <c r="D124" s="62" t="s">
        <v>268</v>
      </c>
      <c r="E124" s="46">
        <v>188</v>
      </c>
      <c r="F124" s="46">
        <v>85839.039000000019</v>
      </c>
      <c r="G124" s="46">
        <v>188</v>
      </c>
      <c r="H124" s="46">
        <v>48891.863999999994</v>
      </c>
      <c r="I124" s="46">
        <v>189</v>
      </c>
      <c r="J124" s="46">
        <v>69822.808000000005</v>
      </c>
    </row>
    <row r="125" spans="1:10" x14ac:dyDescent="0.2">
      <c r="A125" s="73" t="s">
        <v>120</v>
      </c>
      <c r="B125" s="96" t="s">
        <v>92</v>
      </c>
      <c r="C125" s="62" t="s">
        <v>10</v>
      </c>
      <c r="D125" s="62" t="s">
        <v>94</v>
      </c>
      <c r="E125" s="46">
        <v>10010</v>
      </c>
      <c r="F125" s="46">
        <v>8060569.1200000001</v>
      </c>
      <c r="G125" s="46">
        <v>10012</v>
      </c>
      <c r="H125" s="46">
        <v>10344996.618000001</v>
      </c>
      <c r="I125" s="46">
        <v>10015</v>
      </c>
      <c r="J125" s="46">
        <v>8015579.2410000004</v>
      </c>
    </row>
    <row r="126" spans="1:10" x14ac:dyDescent="0.2">
      <c r="A126" s="73" t="s">
        <v>120</v>
      </c>
      <c r="B126" s="73" t="s">
        <v>267</v>
      </c>
      <c r="C126" s="62" t="s">
        <v>10</v>
      </c>
      <c r="D126" s="62" t="s">
        <v>268</v>
      </c>
      <c r="E126" s="46">
        <v>6964</v>
      </c>
      <c r="F126" s="46">
        <v>175320.69099999999</v>
      </c>
      <c r="G126" s="46">
        <v>6967</v>
      </c>
      <c r="H126" s="46">
        <v>152782.70300000001</v>
      </c>
      <c r="I126" s="46">
        <v>6970</v>
      </c>
      <c r="J126" s="46">
        <v>163516.573</v>
      </c>
    </row>
    <row r="127" spans="1:10" x14ac:dyDescent="0.2">
      <c r="A127" s="96" t="s">
        <v>121</v>
      </c>
      <c r="B127" s="96" t="s">
        <v>92</v>
      </c>
      <c r="C127" s="62" t="s">
        <v>345</v>
      </c>
      <c r="D127" s="62" t="s">
        <v>94</v>
      </c>
      <c r="E127" s="46">
        <v>1219</v>
      </c>
      <c r="F127" s="46">
        <v>5870628.148</v>
      </c>
      <c r="G127" s="46">
        <v>1278</v>
      </c>
      <c r="H127" s="46">
        <v>6424963.7599999998</v>
      </c>
      <c r="I127" s="46">
        <v>1276</v>
      </c>
      <c r="J127" s="46">
        <v>5732295.3250000002</v>
      </c>
    </row>
    <row r="128" spans="1:10" x14ac:dyDescent="0.2">
      <c r="A128" s="73" t="s">
        <v>121</v>
      </c>
      <c r="B128" s="73" t="s">
        <v>267</v>
      </c>
      <c r="C128" s="62" t="s">
        <v>345</v>
      </c>
      <c r="D128" s="62" t="s">
        <v>268</v>
      </c>
      <c r="E128" s="46">
        <v>333</v>
      </c>
      <c r="F128" s="46">
        <v>141043.28900000002</v>
      </c>
      <c r="G128" s="46">
        <v>332</v>
      </c>
      <c r="H128" s="46">
        <v>100246.28599999999</v>
      </c>
      <c r="I128" s="46">
        <v>333</v>
      </c>
      <c r="J128" s="46">
        <v>85429.350999999995</v>
      </c>
    </row>
    <row r="129" spans="1:10" x14ac:dyDescent="0.2">
      <c r="A129" s="73" t="s">
        <v>121</v>
      </c>
      <c r="B129" s="96" t="s">
        <v>92</v>
      </c>
      <c r="C129" s="62" t="s">
        <v>10</v>
      </c>
      <c r="D129" s="62" t="s">
        <v>94</v>
      </c>
      <c r="E129" s="46">
        <v>17530</v>
      </c>
      <c r="F129" s="46">
        <v>13096468.013</v>
      </c>
      <c r="G129" s="46">
        <v>17538</v>
      </c>
      <c r="H129" s="46">
        <v>15723006.651000001</v>
      </c>
      <c r="I129" s="46">
        <v>17555</v>
      </c>
      <c r="J129" s="46">
        <v>16031284.206</v>
      </c>
    </row>
    <row r="130" spans="1:10" x14ac:dyDescent="0.2">
      <c r="A130" s="73" t="s">
        <v>121</v>
      </c>
      <c r="B130" s="73" t="s">
        <v>267</v>
      </c>
      <c r="C130" s="62" t="s">
        <v>10</v>
      </c>
      <c r="D130" s="62" t="s">
        <v>268</v>
      </c>
      <c r="E130" s="46">
        <v>11910</v>
      </c>
      <c r="F130" s="46">
        <v>302370.31699999998</v>
      </c>
      <c r="G130" s="46">
        <v>11914</v>
      </c>
      <c r="H130" s="46">
        <v>203214.44</v>
      </c>
      <c r="I130" s="46">
        <v>11922</v>
      </c>
      <c r="J130" s="46">
        <v>186996.02600000001</v>
      </c>
    </row>
    <row r="131" spans="1:10" x14ac:dyDescent="0.2">
      <c r="A131" s="96" t="s">
        <v>275</v>
      </c>
      <c r="B131" s="96" t="s">
        <v>267</v>
      </c>
      <c r="C131" s="62" t="s">
        <v>345</v>
      </c>
      <c r="D131" s="62" t="s">
        <v>268</v>
      </c>
      <c r="E131" s="46">
        <v>266</v>
      </c>
      <c r="F131" s="46">
        <v>60876.241999999998</v>
      </c>
      <c r="G131" s="46">
        <v>267</v>
      </c>
      <c r="H131" s="46">
        <v>51783.016000000003</v>
      </c>
      <c r="I131" s="46">
        <v>265</v>
      </c>
      <c r="J131" s="46">
        <v>46726.940999999999</v>
      </c>
    </row>
    <row r="132" spans="1:10" x14ac:dyDescent="0.2">
      <c r="A132" s="73" t="s">
        <v>275</v>
      </c>
      <c r="B132" s="73" t="s">
        <v>267</v>
      </c>
      <c r="C132" s="62" t="s">
        <v>10</v>
      </c>
      <c r="D132" s="62" t="s">
        <v>268</v>
      </c>
      <c r="E132" s="46">
        <v>3922</v>
      </c>
      <c r="F132" s="46">
        <v>58455.83</v>
      </c>
      <c r="G132" s="46">
        <v>3915</v>
      </c>
      <c r="H132" s="46">
        <v>44504.131999999998</v>
      </c>
      <c r="I132" s="46">
        <v>3911</v>
      </c>
      <c r="J132" s="46">
        <v>52824.502</v>
      </c>
    </row>
    <row r="133" spans="1:10" x14ac:dyDescent="0.2">
      <c r="A133" s="96" t="s">
        <v>122</v>
      </c>
      <c r="B133" s="96" t="s">
        <v>92</v>
      </c>
      <c r="C133" s="62" t="s">
        <v>345</v>
      </c>
      <c r="D133" s="62" t="s">
        <v>94</v>
      </c>
      <c r="E133" s="46">
        <v>544</v>
      </c>
      <c r="F133" s="46">
        <v>1586220.88</v>
      </c>
      <c r="G133" s="46">
        <v>541</v>
      </c>
      <c r="H133" s="46">
        <v>2648236.767</v>
      </c>
      <c r="I133" s="46">
        <v>539</v>
      </c>
      <c r="J133" s="46">
        <v>1901214.3729999999</v>
      </c>
    </row>
    <row r="134" spans="1:10" x14ac:dyDescent="0.2">
      <c r="A134" s="73" t="s">
        <v>122</v>
      </c>
      <c r="B134" s="73" t="s">
        <v>267</v>
      </c>
      <c r="C134" s="62" t="s">
        <v>345</v>
      </c>
      <c r="D134" s="62" t="s">
        <v>268</v>
      </c>
      <c r="E134" s="46">
        <v>276</v>
      </c>
      <c r="F134" s="46">
        <v>38012.220999999998</v>
      </c>
      <c r="G134" s="46">
        <v>274</v>
      </c>
      <c r="H134" s="46">
        <v>19310.697</v>
      </c>
      <c r="I134" s="46">
        <v>272</v>
      </c>
      <c r="J134" s="46">
        <v>20189.386999999999</v>
      </c>
    </row>
    <row r="135" spans="1:10" x14ac:dyDescent="0.2">
      <c r="A135" s="73" t="s">
        <v>122</v>
      </c>
      <c r="B135" s="96" t="s">
        <v>92</v>
      </c>
      <c r="C135" s="62" t="s">
        <v>10</v>
      </c>
      <c r="D135" s="62" t="s">
        <v>94</v>
      </c>
      <c r="E135" s="46">
        <v>4377</v>
      </c>
      <c r="F135" s="46">
        <v>3632033.4589999998</v>
      </c>
      <c r="G135" s="46">
        <v>4377</v>
      </c>
      <c r="H135" s="46">
        <v>3734535.625</v>
      </c>
      <c r="I135" s="46">
        <v>4382</v>
      </c>
      <c r="J135" s="46">
        <v>3736522.9279999998</v>
      </c>
    </row>
    <row r="136" spans="1:10" x14ac:dyDescent="0.2">
      <c r="A136" s="73" t="s">
        <v>122</v>
      </c>
      <c r="B136" s="73" t="s">
        <v>267</v>
      </c>
      <c r="C136" s="62" t="s">
        <v>10</v>
      </c>
      <c r="D136" s="62" t="s">
        <v>268</v>
      </c>
      <c r="E136" s="46">
        <v>3269</v>
      </c>
      <c r="F136" s="46">
        <v>96334.285000000003</v>
      </c>
      <c r="G136" s="46">
        <v>3273</v>
      </c>
      <c r="H136" s="46">
        <v>51150.283000000003</v>
      </c>
      <c r="I136" s="46">
        <v>3284</v>
      </c>
      <c r="J136" s="46">
        <v>49722.646000000001</v>
      </c>
    </row>
    <row r="137" spans="1:10" x14ac:dyDescent="0.2">
      <c r="A137" s="96" t="s">
        <v>123</v>
      </c>
      <c r="B137" s="96" t="s">
        <v>92</v>
      </c>
      <c r="C137" s="62" t="s">
        <v>345</v>
      </c>
      <c r="D137" s="62" t="s">
        <v>94</v>
      </c>
      <c r="E137" s="46">
        <v>386</v>
      </c>
      <c r="F137" s="46">
        <v>1315651.8670000001</v>
      </c>
      <c r="G137" s="46">
        <v>385</v>
      </c>
      <c r="H137" s="46">
        <v>1458774</v>
      </c>
      <c r="I137" s="46">
        <v>385</v>
      </c>
      <c r="J137" s="46">
        <v>1336867.8670000001</v>
      </c>
    </row>
    <row r="138" spans="1:10" x14ac:dyDescent="0.2">
      <c r="A138" s="73" t="s">
        <v>123</v>
      </c>
      <c r="B138" s="73" t="s">
        <v>267</v>
      </c>
      <c r="C138" s="62" t="s">
        <v>345</v>
      </c>
      <c r="D138" s="62" t="s">
        <v>268</v>
      </c>
      <c r="E138" s="46">
        <v>136</v>
      </c>
      <c r="F138" s="46">
        <v>8069.2939999999999</v>
      </c>
      <c r="G138" s="46">
        <v>136</v>
      </c>
      <c r="H138" s="46">
        <v>6710.174</v>
      </c>
      <c r="I138" s="46">
        <v>135</v>
      </c>
      <c r="J138" s="46">
        <v>6306.4840000000004</v>
      </c>
    </row>
    <row r="139" spans="1:10" x14ac:dyDescent="0.2">
      <c r="A139" s="73" t="s">
        <v>123</v>
      </c>
      <c r="B139" s="96" t="s">
        <v>92</v>
      </c>
      <c r="C139" s="62" t="s">
        <v>10</v>
      </c>
      <c r="D139" s="62" t="s">
        <v>94</v>
      </c>
      <c r="E139" s="46">
        <v>2418</v>
      </c>
      <c r="F139" s="46">
        <v>1732354.89</v>
      </c>
      <c r="G139" s="46">
        <v>2421</v>
      </c>
      <c r="H139" s="46">
        <v>1992986.1980000001</v>
      </c>
      <c r="I139" s="46">
        <v>2417</v>
      </c>
      <c r="J139" s="46">
        <v>1930968.544</v>
      </c>
    </row>
    <row r="140" spans="1:10" x14ac:dyDescent="0.2">
      <c r="A140" s="73" t="s">
        <v>123</v>
      </c>
      <c r="B140" s="73" t="s">
        <v>267</v>
      </c>
      <c r="C140" s="62" t="s">
        <v>10</v>
      </c>
      <c r="D140" s="62" t="s">
        <v>268</v>
      </c>
      <c r="E140" s="46">
        <v>1180</v>
      </c>
      <c r="F140" s="46">
        <v>24487.256000000001</v>
      </c>
      <c r="G140" s="46">
        <v>1181</v>
      </c>
      <c r="H140" s="46">
        <v>16560.653999999999</v>
      </c>
      <c r="I140" s="46">
        <v>1180</v>
      </c>
      <c r="J140" s="46">
        <v>17135.008000000002</v>
      </c>
    </row>
    <row r="141" spans="1:10" x14ac:dyDescent="0.2">
      <c r="A141" s="96" t="s">
        <v>124</v>
      </c>
      <c r="B141" s="96" t="s">
        <v>92</v>
      </c>
      <c r="C141" s="62" t="s">
        <v>345</v>
      </c>
      <c r="D141" s="62" t="s">
        <v>94</v>
      </c>
      <c r="E141" s="46">
        <v>74</v>
      </c>
      <c r="F141" s="46">
        <v>270571.16599999997</v>
      </c>
      <c r="G141" s="46">
        <v>74</v>
      </c>
      <c r="H141" s="46">
        <v>266359.66599999997</v>
      </c>
      <c r="I141" s="46">
        <v>74</v>
      </c>
      <c r="J141" s="46">
        <v>285704.06299999997</v>
      </c>
    </row>
    <row r="142" spans="1:10" x14ac:dyDescent="0.2">
      <c r="A142" s="73" t="s">
        <v>124</v>
      </c>
      <c r="B142" s="73" t="s">
        <v>92</v>
      </c>
      <c r="C142" s="62" t="s">
        <v>10</v>
      </c>
      <c r="D142" s="62" t="s">
        <v>94</v>
      </c>
      <c r="E142" s="46">
        <v>151</v>
      </c>
      <c r="F142" s="46">
        <v>164266.682</v>
      </c>
      <c r="G142" s="46">
        <v>151</v>
      </c>
      <c r="H142" s="46">
        <v>173082.318</v>
      </c>
      <c r="I142" s="46">
        <v>151</v>
      </c>
      <c r="J142" s="46">
        <v>159018.823</v>
      </c>
    </row>
    <row r="143" spans="1:10" x14ac:dyDescent="0.2">
      <c r="A143" s="96" t="s">
        <v>125</v>
      </c>
      <c r="B143" s="96" t="s">
        <v>92</v>
      </c>
      <c r="C143" s="62" t="s">
        <v>345</v>
      </c>
      <c r="D143" s="62" t="s">
        <v>94</v>
      </c>
      <c r="E143" s="46">
        <v>298</v>
      </c>
      <c r="F143" s="46">
        <v>886656.174</v>
      </c>
      <c r="G143" s="46">
        <v>298</v>
      </c>
      <c r="H143" s="46">
        <v>1039025.377</v>
      </c>
      <c r="I143" s="46">
        <v>300</v>
      </c>
      <c r="J143" s="46">
        <v>1020156.563</v>
      </c>
    </row>
    <row r="144" spans="1:10" x14ac:dyDescent="0.2">
      <c r="A144" s="73" t="s">
        <v>125</v>
      </c>
      <c r="B144" s="73" t="s">
        <v>267</v>
      </c>
      <c r="C144" s="62" t="s">
        <v>345</v>
      </c>
      <c r="D144" s="62" t="s">
        <v>268</v>
      </c>
      <c r="E144" s="46">
        <v>1</v>
      </c>
      <c r="F144" s="46">
        <v>2948.4029999999998</v>
      </c>
      <c r="G144" s="46">
        <v>1</v>
      </c>
      <c r="H144" s="46">
        <v>114.098</v>
      </c>
      <c r="I144" s="46">
        <v>1</v>
      </c>
      <c r="J144" s="46">
        <v>950.16200000000003</v>
      </c>
    </row>
    <row r="145" spans="1:10" x14ac:dyDescent="0.2">
      <c r="A145" s="73" t="s">
        <v>125</v>
      </c>
      <c r="B145" s="96" t="s">
        <v>92</v>
      </c>
      <c r="C145" s="62" t="s">
        <v>10</v>
      </c>
      <c r="D145" s="62" t="s">
        <v>94</v>
      </c>
      <c r="E145" s="46">
        <v>1429</v>
      </c>
      <c r="F145" s="46">
        <v>1568578.7790000001</v>
      </c>
      <c r="G145" s="46">
        <v>1430</v>
      </c>
      <c r="H145" s="46">
        <v>1829764.406</v>
      </c>
      <c r="I145" s="46">
        <v>1430</v>
      </c>
      <c r="J145" s="46">
        <v>1641351.3840000001</v>
      </c>
    </row>
    <row r="146" spans="1:10" x14ac:dyDescent="0.2">
      <c r="A146" s="73" t="s">
        <v>125</v>
      </c>
      <c r="B146" s="73" t="s">
        <v>267</v>
      </c>
      <c r="C146" s="62" t="s">
        <v>10</v>
      </c>
      <c r="D146" s="62" t="s">
        <v>268</v>
      </c>
      <c r="E146" s="46">
        <v>7</v>
      </c>
      <c r="F146" s="46">
        <v>223.392</v>
      </c>
      <c r="G146" s="46">
        <v>7</v>
      </c>
      <c r="H146" s="46">
        <v>123.465</v>
      </c>
      <c r="I146" s="46">
        <v>7</v>
      </c>
      <c r="J146" s="46">
        <v>101.372</v>
      </c>
    </row>
    <row r="147" spans="1:10" x14ac:dyDescent="0.2">
      <c r="A147" s="96" t="s">
        <v>126</v>
      </c>
      <c r="B147" s="96" t="s">
        <v>92</v>
      </c>
      <c r="C147" s="62" t="s">
        <v>345</v>
      </c>
      <c r="D147" s="62" t="s">
        <v>94</v>
      </c>
      <c r="E147" s="46">
        <v>3862</v>
      </c>
      <c r="F147" s="46">
        <v>59106333.359999999</v>
      </c>
      <c r="G147" s="46">
        <v>3868</v>
      </c>
      <c r="H147" s="46">
        <v>69272444.578000009</v>
      </c>
      <c r="I147" s="46">
        <v>3859</v>
      </c>
      <c r="J147" s="46">
        <v>60753420.813999996</v>
      </c>
    </row>
    <row r="148" spans="1:10" x14ac:dyDescent="0.2">
      <c r="A148" s="73" t="s">
        <v>126</v>
      </c>
      <c r="B148" s="73" t="s">
        <v>267</v>
      </c>
      <c r="C148" s="62" t="s">
        <v>345</v>
      </c>
      <c r="D148" s="62" t="s">
        <v>268</v>
      </c>
      <c r="E148" s="46">
        <v>1572</v>
      </c>
      <c r="F148" s="46">
        <v>573446.46299999999</v>
      </c>
      <c r="G148" s="46">
        <v>1570</v>
      </c>
      <c r="H148" s="46">
        <v>422983.35200000001</v>
      </c>
      <c r="I148" s="46">
        <v>1572</v>
      </c>
      <c r="J148" s="46">
        <v>360296.13099999999</v>
      </c>
    </row>
    <row r="149" spans="1:10" x14ac:dyDescent="0.2">
      <c r="A149" s="73" t="s">
        <v>126</v>
      </c>
      <c r="B149" s="96" t="s">
        <v>92</v>
      </c>
      <c r="C149" s="62" t="s">
        <v>10</v>
      </c>
      <c r="D149" s="62" t="s">
        <v>94</v>
      </c>
      <c r="E149" s="46">
        <v>33852</v>
      </c>
      <c r="F149" s="46">
        <v>18424709.112</v>
      </c>
      <c r="G149" s="46">
        <v>33840</v>
      </c>
      <c r="H149" s="46">
        <v>19949024.763</v>
      </c>
      <c r="I149" s="46">
        <v>33900</v>
      </c>
      <c r="J149" s="46">
        <v>18682861.390999999</v>
      </c>
    </row>
    <row r="150" spans="1:10" x14ac:dyDescent="0.2">
      <c r="A150" s="73" t="s">
        <v>126</v>
      </c>
      <c r="B150" s="73" t="s">
        <v>267</v>
      </c>
      <c r="C150" s="62" t="s">
        <v>10</v>
      </c>
      <c r="D150" s="62" t="s">
        <v>268</v>
      </c>
      <c r="E150" s="46">
        <v>14450</v>
      </c>
      <c r="F150" s="46">
        <v>326907.76</v>
      </c>
      <c r="G150" s="46">
        <v>14453</v>
      </c>
      <c r="H150" s="46">
        <v>221186.05</v>
      </c>
      <c r="I150" s="46">
        <v>14466</v>
      </c>
      <c r="J150" s="46">
        <v>254657.57199999999</v>
      </c>
    </row>
    <row r="151" spans="1:10" x14ac:dyDescent="0.2">
      <c r="A151" s="96" t="s">
        <v>127</v>
      </c>
      <c r="B151" s="96" t="s">
        <v>92</v>
      </c>
      <c r="C151" s="62" t="s">
        <v>345</v>
      </c>
      <c r="D151" s="62" t="s">
        <v>94</v>
      </c>
      <c r="E151" s="46">
        <v>666</v>
      </c>
      <c r="F151" s="46">
        <v>9794491.7679999992</v>
      </c>
      <c r="G151" s="46">
        <v>662</v>
      </c>
      <c r="H151" s="46">
        <v>11091090.959000001</v>
      </c>
      <c r="I151" s="46">
        <v>670</v>
      </c>
      <c r="J151" s="46">
        <v>13322985.59</v>
      </c>
    </row>
    <row r="152" spans="1:10" x14ac:dyDescent="0.2">
      <c r="A152" s="73" t="s">
        <v>127</v>
      </c>
      <c r="B152" s="73" t="s">
        <v>267</v>
      </c>
      <c r="C152" s="62" t="s">
        <v>345</v>
      </c>
      <c r="D152" s="62" t="s">
        <v>268</v>
      </c>
      <c r="E152" s="46">
        <v>140</v>
      </c>
      <c r="F152" s="46">
        <v>55950.142</v>
      </c>
      <c r="G152" s="46">
        <v>140</v>
      </c>
      <c r="H152" s="46">
        <v>72875.112999999998</v>
      </c>
      <c r="I152" s="46">
        <v>140</v>
      </c>
      <c r="J152" s="46">
        <v>44487.433000000005</v>
      </c>
    </row>
    <row r="153" spans="1:10" x14ac:dyDescent="0.2">
      <c r="A153" s="73" t="s">
        <v>127</v>
      </c>
      <c r="B153" s="96" t="s">
        <v>92</v>
      </c>
      <c r="C153" s="62" t="s">
        <v>10</v>
      </c>
      <c r="D153" s="62" t="s">
        <v>94</v>
      </c>
      <c r="E153" s="46">
        <v>7293</v>
      </c>
      <c r="F153" s="46">
        <v>5516280.3200000003</v>
      </c>
      <c r="G153" s="46">
        <v>7295</v>
      </c>
      <c r="H153" s="46">
        <v>6165215.4369999999</v>
      </c>
      <c r="I153" s="46">
        <v>7301</v>
      </c>
      <c r="J153" s="46">
        <v>6284390.1399999997</v>
      </c>
    </row>
    <row r="154" spans="1:10" x14ac:dyDescent="0.2">
      <c r="A154" s="73" t="s">
        <v>127</v>
      </c>
      <c r="B154" s="73" t="s">
        <v>267</v>
      </c>
      <c r="C154" s="62" t="s">
        <v>10</v>
      </c>
      <c r="D154" s="62" t="s">
        <v>268</v>
      </c>
      <c r="E154" s="46">
        <v>6631</v>
      </c>
      <c r="F154" s="46">
        <v>229904.3</v>
      </c>
      <c r="G154" s="46">
        <v>6635</v>
      </c>
      <c r="H154" s="46">
        <v>137328.348</v>
      </c>
      <c r="I154" s="46">
        <v>6641</v>
      </c>
      <c r="J154" s="46">
        <v>149311.413</v>
      </c>
    </row>
    <row r="155" spans="1:10" x14ac:dyDescent="0.2">
      <c r="A155" s="96" t="s">
        <v>128</v>
      </c>
      <c r="B155" s="96" t="s">
        <v>92</v>
      </c>
      <c r="C155" s="62" t="s">
        <v>345</v>
      </c>
      <c r="D155" s="62" t="s">
        <v>94</v>
      </c>
      <c r="E155" s="46">
        <v>824</v>
      </c>
      <c r="F155" s="46">
        <v>15326684.640999999</v>
      </c>
      <c r="G155" s="46">
        <v>823</v>
      </c>
      <c r="H155" s="46">
        <v>16074253.151999999</v>
      </c>
      <c r="I155" s="46">
        <v>823</v>
      </c>
      <c r="J155" s="46">
        <v>16161337.188999999</v>
      </c>
    </row>
    <row r="156" spans="1:10" x14ac:dyDescent="0.2">
      <c r="A156" s="73" t="s">
        <v>128</v>
      </c>
      <c r="B156" s="73" t="s">
        <v>267</v>
      </c>
      <c r="C156" s="62" t="s">
        <v>345</v>
      </c>
      <c r="D156" s="62" t="s">
        <v>268</v>
      </c>
      <c r="E156" s="46">
        <v>138</v>
      </c>
      <c r="F156" s="46">
        <v>290115.37699999998</v>
      </c>
      <c r="G156" s="46">
        <v>138</v>
      </c>
      <c r="H156" s="46">
        <v>256802.67500000002</v>
      </c>
      <c r="I156" s="46">
        <v>138</v>
      </c>
      <c r="J156" s="46">
        <v>255940.74400000001</v>
      </c>
    </row>
    <row r="157" spans="1:10" x14ac:dyDescent="0.2">
      <c r="A157" s="73" t="s">
        <v>128</v>
      </c>
      <c r="B157" s="96" t="s">
        <v>92</v>
      </c>
      <c r="C157" s="62" t="s">
        <v>10</v>
      </c>
      <c r="D157" s="62" t="s">
        <v>94</v>
      </c>
      <c r="E157" s="46">
        <v>9768</v>
      </c>
      <c r="F157" s="46">
        <v>6028802.9589999998</v>
      </c>
      <c r="G157" s="46">
        <v>9769</v>
      </c>
      <c r="H157" s="46">
        <v>6699927.9819999998</v>
      </c>
      <c r="I157" s="46">
        <v>9782</v>
      </c>
      <c r="J157" s="46">
        <v>5641875.9879999999</v>
      </c>
    </row>
    <row r="158" spans="1:10" x14ac:dyDescent="0.2">
      <c r="A158" s="73" t="s">
        <v>128</v>
      </c>
      <c r="B158" s="73" t="s">
        <v>267</v>
      </c>
      <c r="C158" s="62" t="s">
        <v>10</v>
      </c>
      <c r="D158" s="62" t="s">
        <v>268</v>
      </c>
      <c r="E158" s="46">
        <v>4732</v>
      </c>
      <c r="F158" s="46">
        <v>83913.725999999995</v>
      </c>
      <c r="G158" s="46">
        <v>4732</v>
      </c>
      <c r="H158" s="46">
        <v>69193.066000000006</v>
      </c>
      <c r="I158" s="46">
        <v>4735</v>
      </c>
      <c r="J158" s="46">
        <v>80669.434999999998</v>
      </c>
    </row>
    <row r="159" spans="1:10" x14ac:dyDescent="0.2">
      <c r="A159" s="96" t="s">
        <v>129</v>
      </c>
      <c r="B159" s="96" t="s">
        <v>92</v>
      </c>
      <c r="C159" s="62" t="s">
        <v>345</v>
      </c>
      <c r="D159" s="62" t="s">
        <v>94</v>
      </c>
      <c r="E159" s="46">
        <v>923</v>
      </c>
      <c r="F159" s="46">
        <v>3771733.1370000001</v>
      </c>
      <c r="G159" s="46">
        <v>927</v>
      </c>
      <c r="H159" s="46">
        <v>4740013.9050000003</v>
      </c>
      <c r="I159" s="46">
        <v>922</v>
      </c>
      <c r="J159" s="46">
        <v>5244427.8030000003</v>
      </c>
    </row>
    <row r="160" spans="1:10" x14ac:dyDescent="0.2">
      <c r="A160" s="73" t="s">
        <v>129</v>
      </c>
      <c r="B160" s="73" t="s">
        <v>267</v>
      </c>
      <c r="C160" s="62" t="s">
        <v>345</v>
      </c>
      <c r="D160" s="62" t="s">
        <v>268</v>
      </c>
      <c r="E160" s="46">
        <v>219</v>
      </c>
      <c r="F160" s="46">
        <v>50846.159999999996</v>
      </c>
      <c r="G160" s="46">
        <v>219</v>
      </c>
      <c r="H160" s="46">
        <v>40824.516999999993</v>
      </c>
      <c r="I160" s="46">
        <v>220</v>
      </c>
      <c r="J160" s="46">
        <v>41210.903999999995</v>
      </c>
    </row>
    <row r="161" spans="1:10" x14ac:dyDescent="0.2">
      <c r="A161" s="73" t="s">
        <v>129</v>
      </c>
      <c r="B161" s="96" t="s">
        <v>92</v>
      </c>
      <c r="C161" s="62" t="s">
        <v>10</v>
      </c>
      <c r="D161" s="62" t="s">
        <v>94</v>
      </c>
      <c r="E161" s="46">
        <v>14564</v>
      </c>
      <c r="F161" s="46">
        <v>9505382.3090000004</v>
      </c>
      <c r="G161" s="46">
        <v>14569</v>
      </c>
      <c r="H161" s="46">
        <v>10854564.952</v>
      </c>
      <c r="I161" s="46">
        <v>14574</v>
      </c>
      <c r="J161" s="46">
        <v>9243521.1730000004</v>
      </c>
    </row>
    <row r="162" spans="1:10" x14ac:dyDescent="0.2">
      <c r="A162" s="73" t="s">
        <v>129</v>
      </c>
      <c r="B162" s="73" t="s">
        <v>267</v>
      </c>
      <c r="C162" s="62" t="s">
        <v>10</v>
      </c>
      <c r="D162" s="62" t="s">
        <v>268</v>
      </c>
      <c r="E162" s="46">
        <v>8167</v>
      </c>
      <c r="F162" s="46">
        <v>132683.484</v>
      </c>
      <c r="G162" s="46">
        <v>8168</v>
      </c>
      <c r="H162" s="46">
        <v>112691.242</v>
      </c>
      <c r="I162" s="46">
        <v>8168</v>
      </c>
      <c r="J162" s="46">
        <v>136705.66099999999</v>
      </c>
    </row>
    <row r="163" spans="1:10" x14ac:dyDescent="0.2">
      <c r="A163" s="96" t="s">
        <v>130</v>
      </c>
      <c r="B163" s="96" t="s">
        <v>92</v>
      </c>
      <c r="C163" s="62" t="s">
        <v>345</v>
      </c>
      <c r="D163" s="62" t="s">
        <v>94</v>
      </c>
      <c r="E163" s="46">
        <v>1888</v>
      </c>
      <c r="F163" s="46">
        <v>22317796.307999998</v>
      </c>
      <c r="G163" s="46">
        <v>1889</v>
      </c>
      <c r="H163" s="46">
        <v>26115401.744000003</v>
      </c>
      <c r="I163" s="46">
        <v>1889</v>
      </c>
      <c r="J163" s="46">
        <v>23015457.292999998</v>
      </c>
    </row>
    <row r="164" spans="1:10" x14ac:dyDescent="0.2">
      <c r="A164" s="73" t="s">
        <v>130</v>
      </c>
      <c r="B164" s="73" t="s">
        <v>267</v>
      </c>
      <c r="C164" s="62" t="s">
        <v>345</v>
      </c>
      <c r="D164" s="62" t="s">
        <v>268</v>
      </c>
      <c r="E164" s="46">
        <v>998</v>
      </c>
      <c r="F164" s="46">
        <v>463836.11900000001</v>
      </c>
      <c r="G164" s="46">
        <v>996</v>
      </c>
      <c r="H164" s="46">
        <v>193600.07399999999</v>
      </c>
      <c r="I164" s="46">
        <v>996</v>
      </c>
      <c r="J164" s="46">
        <v>393004.64399999997</v>
      </c>
    </row>
    <row r="165" spans="1:10" x14ac:dyDescent="0.2">
      <c r="A165" s="73" t="s">
        <v>130</v>
      </c>
      <c r="B165" s="96" t="s">
        <v>92</v>
      </c>
      <c r="C165" s="62" t="s">
        <v>10</v>
      </c>
      <c r="D165" s="62" t="s">
        <v>94</v>
      </c>
      <c r="E165" s="46">
        <v>6195</v>
      </c>
      <c r="F165" s="46">
        <v>3093860.3739999998</v>
      </c>
      <c r="G165" s="46">
        <v>6197</v>
      </c>
      <c r="H165" s="46">
        <v>3499211.216</v>
      </c>
      <c r="I165" s="46">
        <v>6193</v>
      </c>
      <c r="J165" s="46">
        <v>3094642.4589999998</v>
      </c>
    </row>
    <row r="166" spans="1:10" x14ac:dyDescent="0.2">
      <c r="A166" s="73" t="s">
        <v>130</v>
      </c>
      <c r="B166" s="73" t="s">
        <v>267</v>
      </c>
      <c r="C166" s="62" t="s">
        <v>10</v>
      </c>
      <c r="D166" s="62" t="s">
        <v>268</v>
      </c>
      <c r="E166" s="46">
        <v>1595</v>
      </c>
      <c r="F166" s="46">
        <v>24058.216</v>
      </c>
      <c r="G166" s="46">
        <v>1597</v>
      </c>
      <c r="H166" s="46">
        <v>19777.62</v>
      </c>
      <c r="I166" s="46">
        <v>1595</v>
      </c>
      <c r="J166" s="46">
        <v>23627.584999999999</v>
      </c>
    </row>
    <row r="167" spans="1:10" x14ac:dyDescent="0.2">
      <c r="A167" s="96" t="s">
        <v>131</v>
      </c>
      <c r="B167" s="96" t="s">
        <v>92</v>
      </c>
      <c r="C167" s="62" t="s">
        <v>345</v>
      </c>
      <c r="D167" s="62" t="s">
        <v>94</v>
      </c>
      <c r="E167" s="46">
        <v>951</v>
      </c>
      <c r="F167" s="46">
        <v>3491208.4550000001</v>
      </c>
      <c r="G167" s="46">
        <v>960</v>
      </c>
      <c r="H167" s="46">
        <v>4038669.5189999999</v>
      </c>
      <c r="I167" s="46">
        <v>964</v>
      </c>
      <c r="J167" s="46">
        <v>3726914.06</v>
      </c>
    </row>
    <row r="168" spans="1:10" x14ac:dyDescent="0.2">
      <c r="A168" s="73" t="s">
        <v>131</v>
      </c>
      <c r="B168" s="73" t="s">
        <v>267</v>
      </c>
      <c r="C168" s="62" t="s">
        <v>345</v>
      </c>
      <c r="D168" s="62" t="s">
        <v>268</v>
      </c>
      <c r="E168" s="46">
        <v>131</v>
      </c>
      <c r="F168" s="46">
        <v>33660.180999999997</v>
      </c>
      <c r="G168" s="46">
        <v>131</v>
      </c>
      <c r="H168" s="46">
        <v>37373.709000000003</v>
      </c>
      <c r="I168" s="46">
        <v>131</v>
      </c>
      <c r="J168" s="46">
        <v>25319.112000000001</v>
      </c>
    </row>
    <row r="169" spans="1:10" x14ac:dyDescent="0.2">
      <c r="A169" s="73" t="s">
        <v>131</v>
      </c>
      <c r="B169" s="96" t="s">
        <v>92</v>
      </c>
      <c r="C169" s="62" t="s">
        <v>10</v>
      </c>
      <c r="D169" s="62" t="s">
        <v>94</v>
      </c>
      <c r="E169" s="46">
        <v>16372</v>
      </c>
      <c r="F169" s="46">
        <v>11433224.982999999</v>
      </c>
      <c r="G169" s="46">
        <v>16372</v>
      </c>
      <c r="H169" s="46">
        <v>13450034.372</v>
      </c>
      <c r="I169" s="46">
        <v>16372</v>
      </c>
      <c r="J169" s="46">
        <v>10851364.800000001</v>
      </c>
    </row>
    <row r="170" spans="1:10" x14ac:dyDescent="0.2">
      <c r="A170" s="73" t="s">
        <v>131</v>
      </c>
      <c r="B170" s="73" t="s">
        <v>267</v>
      </c>
      <c r="C170" s="62" t="s">
        <v>10</v>
      </c>
      <c r="D170" s="62" t="s">
        <v>268</v>
      </c>
      <c r="E170" s="46">
        <v>10517</v>
      </c>
      <c r="F170" s="46">
        <v>168779.26199999999</v>
      </c>
      <c r="G170" s="46">
        <v>10518</v>
      </c>
      <c r="H170" s="46">
        <v>143951.93299999999</v>
      </c>
      <c r="I170" s="46">
        <v>10517</v>
      </c>
      <c r="J170" s="46">
        <v>170343.09299999999</v>
      </c>
    </row>
    <row r="171" spans="1:10" x14ac:dyDescent="0.2">
      <c r="A171" s="96" t="s">
        <v>132</v>
      </c>
      <c r="B171" s="96" t="s">
        <v>92</v>
      </c>
      <c r="C171" s="62" t="s">
        <v>345</v>
      </c>
      <c r="D171" s="62" t="s">
        <v>94</v>
      </c>
      <c r="E171" s="46">
        <v>1031</v>
      </c>
      <c r="F171" s="46">
        <v>3676959.1290000002</v>
      </c>
      <c r="G171" s="46">
        <v>1034</v>
      </c>
      <c r="H171" s="46">
        <v>4809465.8540000003</v>
      </c>
      <c r="I171" s="46">
        <v>1033</v>
      </c>
      <c r="J171" s="46">
        <v>3990063.33</v>
      </c>
    </row>
    <row r="172" spans="1:10" x14ac:dyDescent="0.2">
      <c r="A172" s="73" t="s">
        <v>132</v>
      </c>
      <c r="B172" s="73" t="s">
        <v>267</v>
      </c>
      <c r="C172" s="62" t="s">
        <v>345</v>
      </c>
      <c r="D172" s="62" t="s">
        <v>268</v>
      </c>
      <c r="E172" s="46">
        <v>211</v>
      </c>
      <c r="F172" s="46">
        <v>78369.072</v>
      </c>
      <c r="G172" s="46">
        <v>211</v>
      </c>
      <c r="H172" s="46">
        <v>41555.457999999999</v>
      </c>
      <c r="I172" s="46">
        <v>211</v>
      </c>
      <c r="J172" s="46">
        <v>43631.024999999994</v>
      </c>
    </row>
    <row r="173" spans="1:10" x14ac:dyDescent="0.2">
      <c r="A173" s="73" t="s">
        <v>132</v>
      </c>
      <c r="B173" s="96" t="s">
        <v>92</v>
      </c>
      <c r="C173" s="62" t="s">
        <v>10</v>
      </c>
      <c r="D173" s="62" t="s">
        <v>94</v>
      </c>
      <c r="E173" s="46">
        <v>15344</v>
      </c>
      <c r="F173" s="46">
        <v>11356752.634</v>
      </c>
      <c r="G173" s="46">
        <v>15342</v>
      </c>
      <c r="H173" s="46">
        <v>13312063.276000001</v>
      </c>
      <c r="I173" s="46">
        <v>15348</v>
      </c>
      <c r="J173" s="46">
        <v>10869323.788000001</v>
      </c>
    </row>
    <row r="174" spans="1:10" x14ac:dyDescent="0.2">
      <c r="A174" s="73" t="s">
        <v>132</v>
      </c>
      <c r="B174" s="73" t="s">
        <v>267</v>
      </c>
      <c r="C174" s="62" t="s">
        <v>10</v>
      </c>
      <c r="D174" s="62" t="s">
        <v>268</v>
      </c>
      <c r="E174" s="46">
        <v>10464</v>
      </c>
      <c r="F174" s="46">
        <v>193788.16699999999</v>
      </c>
      <c r="G174" s="46">
        <v>10463</v>
      </c>
      <c r="H174" s="46">
        <v>165789.50599999999</v>
      </c>
      <c r="I174" s="46">
        <v>10466</v>
      </c>
      <c r="J174" s="46">
        <v>201323.78599999999</v>
      </c>
    </row>
    <row r="175" spans="1:10" x14ac:dyDescent="0.2">
      <c r="A175" s="96" t="s">
        <v>133</v>
      </c>
      <c r="B175" s="96" t="s">
        <v>92</v>
      </c>
      <c r="C175" s="62" t="s">
        <v>345</v>
      </c>
      <c r="D175" s="62" t="s">
        <v>94</v>
      </c>
      <c r="E175" s="46">
        <v>671</v>
      </c>
      <c r="F175" s="46">
        <v>3836861.696</v>
      </c>
      <c r="G175" s="46">
        <v>670</v>
      </c>
      <c r="H175" s="46">
        <v>4014001.6710000001</v>
      </c>
      <c r="I175" s="46">
        <v>673</v>
      </c>
      <c r="J175" s="46">
        <v>4211783.1409999998</v>
      </c>
    </row>
    <row r="176" spans="1:10" x14ac:dyDescent="0.2">
      <c r="A176" s="73" t="s">
        <v>133</v>
      </c>
      <c r="B176" s="73" t="s">
        <v>267</v>
      </c>
      <c r="C176" s="62" t="s">
        <v>345</v>
      </c>
      <c r="D176" s="62" t="s">
        <v>268</v>
      </c>
      <c r="E176" s="46">
        <v>248</v>
      </c>
      <c r="F176" s="46">
        <v>65861.592999999993</v>
      </c>
      <c r="G176" s="46">
        <v>247</v>
      </c>
      <c r="H176" s="46">
        <v>69290.358000000007</v>
      </c>
      <c r="I176" s="46">
        <v>249</v>
      </c>
      <c r="J176" s="46">
        <v>57705.326000000001</v>
      </c>
    </row>
    <row r="177" spans="1:10" x14ac:dyDescent="0.2">
      <c r="A177" s="73" t="s">
        <v>133</v>
      </c>
      <c r="B177" s="96" t="s">
        <v>92</v>
      </c>
      <c r="C177" s="62" t="s">
        <v>10</v>
      </c>
      <c r="D177" s="62" t="s">
        <v>94</v>
      </c>
      <c r="E177" s="46">
        <v>5628</v>
      </c>
      <c r="F177" s="46">
        <v>4039633.3190000001</v>
      </c>
      <c r="G177" s="46">
        <v>5638</v>
      </c>
      <c r="H177" s="46">
        <v>5287917.6960000005</v>
      </c>
      <c r="I177" s="46">
        <v>5630</v>
      </c>
      <c r="J177" s="46">
        <v>4918380.9340000004</v>
      </c>
    </row>
    <row r="178" spans="1:10" x14ac:dyDescent="0.2">
      <c r="A178" s="73" t="s">
        <v>133</v>
      </c>
      <c r="B178" s="73" t="s">
        <v>267</v>
      </c>
      <c r="C178" s="62" t="s">
        <v>10</v>
      </c>
      <c r="D178" s="62" t="s">
        <v>268</v>
      </c>
      <c r="E178" s="46">
        <v>4342</v>
      </c>
      <c r="F178" s="46">
        <v>125021.58199999999</v>
      </c>
      <c r="G178" s="46">
        <v>4347</v>
      </c>
      <c r="H178" s="46">
        <v>89194.006999999998</v>
      </c>
      <c r="I178" s="46">
        <v>4346</v>
      </c>
      <c r="J178" s="46">
        <v>76564.42</v>
      </c>
    </row>
    <row r="179" spans="1:10" x14ac:dyDescent="0.2">
      <c r="A179" s="96" t="s">
        <v>134</v>
      </c>
      <c r="B179" s="96" t="s">
        <v>92</v>
      </c>
      <c r="C179" s="62" t="s">
        <v>345</v>
      </c>
      <c r="D179" s="62" t="s">
        <v>94</v>
      </c>
      <c r="E179" s="46">
        <v>125</v>
      </c>
      <c r="F179" s="46">
        <v>612023.75</v>
      </c>
      <c r="G179" s="46">
        <v>125</v>
      </c>
      <c r="H179" s="46">
        <v>447341.79200000002</v>
      </c>
      <c r="I179" s="46">
        <v>125</v>
      </c>
      <c r="J179" s="46">
        <v>474890.326</v>
      </c>
    </row>
    <row r="180" spans="1:10" x14ac:dyDescent="0.2">
      <c r="A180" s="73" t="s">
        <v>134</v>
      </c>
      <c r="B180" s="73" t="s">
        <v>92</v>
      </c>
      <c r="C180" s="62" t="s">
        <v>10</v>
      </c>
      <c r="D180" s="62" t="s">
        <v>94</v>
      </c>
      <c r="E180" s="46">
        <v>864</v>
      </c>
      <c r="F180" s="46">
        <v>659944.49399999995</v>
      </c>
      <c r="G180" s="46">
        <v>867</v>
      </c>
      <c r="H180" s="46">
        <v>274908.32199999999</v>
      </c>
      <c r="I180" s="46">
        <v>869</v>
      </c>
      <c r="J180" s="46">
        <v>441920.22899999999</v>
      </c>
    </row>
    <row r="181" spans="1:10" x14ac:dyDescent="0.2">
      <c r="A181" s="96" t="s">
        <v>135</v>
      </c>
      <c r="B181" s="96" t="s">
        <v>92</v>
      </c>
      <c r="C181" s="62" t="s">
        <v>345</v>
      </c>
      <c r="D181" s="62" t="s">
        <v>94</v>
      </c>
      <c r="E181" s="46">
        <v>1059</v>
      </c>
      <c r="F181" s="46">
        <v>1581814.858</v>
      </c>
      <c r="G181" s="46">
        <v>1060</v>
      </c>
      <c r="H181" s="46">
        <v>2232572.9739999999</v>
      </c>
      <c r="I181" s="46">
        <v>1058</v>
      </c>
      <c r="J181" s="46">
        <v>1941287.6569999999</v>
      </c>
    </row>
    <row r="182" spans="1:10" x14ac:dyDescent="0.2">
      <c r="A182" s="73" t="s">
        <v>135</v>
      </c>
      <c r="B182" s="73" t="s">
        <v>267</v>
      </c>
      <c r="C182" s="62" t="s">
        <v>345</v>
      </c>
      <c r="D182" s="62" t="s">
        <v>268</v>
      </c>
      <c r="E182" s="46">
        <v>154</v>
      </c>
      <c r="F182" s="46">
        <v>16386.648000000001</v>
      </c>
      <c r="G182" s="46">
        <v>155</v>
      </c>
      <c r="H182" s="46">
        <v>14797.983</v>
      </c>
      <c r="I182" s="46">
        <v>155</v>
      </c>
      <c r="J182" s="46">
        <v>18017.18</v>
      </c>
    </row>
    <row r="183" spans="1:10" x14ac:dyDescent="0.2">
      <c r="A183" s="73" t="s">
        <v>135</v>
      </c>
      <c r="B183" s="96" t="s">
        <v>92</v>
      </c>
      <c r="C183" s="62" t="s">
        <v>10</v>
      </c>
      <c r="D183" s="62" t="s">
        <v>94</v>
      </c>
      <c r="E183" s="46">
        <v>5516</v>
      </c>
      <c r="F183" s="46">
        <v>3560445.037</v>
      </c>
      <c r="G183" s="46">
        <v>5519</v>
      </c>
      <c r="H183" s="46">
        <v>3662545.8450000002</v>
      </c>
      <c r="I183" s="46">
        <v>5522</v>
      </c>
      <c r="J183" s="46">
        <v>3536720.9670000002</v>
      </c>
    </row>
    <row r="184" spans="1:10" x14ac:dyDescent="0.2">
      <c r="A184" s="73" t="s">
        <v>135</v>
      </c>
      <c r="B184" s="73" t="s">
        <v>267</v>
      </c>
      <c r="C184" s="62" t="s">
        <v>10</v>
      </c>
      <c r="D184" s="62" t="s">
        <v>268</v>
      </c>
      <c r="E184" s="46">
        <v>1442</v>
      </c>
      <c r="F184" s="46">
        <v>25980.355</v>
      </c>
      <c r="G184" s="46">
        <v>1441</v>
      </c>
      <c r="H184" s="46">
        <v>23710.873</v>
      </c>
      <c r="I184" s="46">
        <v>1440</v>
      </c>
      <c r="J184" s="46">
        <v>27158.603999999999</v>
      </c>
    </row>
    <row r="185" spans="1:10" x14ac:dyDescent="0.2">
      <c r="A185" s="96" t="s">
        <v>136</v>
      </c>
      <c r="B185" s="96" t="s">
        <v>92</v>
      </c>
      <c r="C185" s="62" t="s">
        <v>345</v>
      </c>
      <c r="D185" s="62" t="s">
        <v>94</v>
      </c>
      <c r="E185" s="46">
        <v>1737</v>
      </c>
      <c r="F185" s="46">
        <v>9052394.8200000003</v>
      </c>
      <c r="G185" s="46">
        <v>1730</v>
      </c>
      <c r="H185" s="46">
        <v>9631267.3609999996</v>
      </c>
      <c r="I185" s="46">
        <v>1729</v>
      </c>
      <c r="J185" s="46">
        <v>9138439.9140000008</v>
      </c>
    </row>
    <row r="186" spans="1:10" x14ac:dyDescent="0.2">
      <c r="A186" s="73" t="s">
        <v>136</v>
      </c>
      <c r="B186" s="73" t="s">
        <v>267</v>
      </c>
      <c r="C186" s="62" t="s">
        <v>345</v>
      </c>
      <c r="D186" s="62" t="s">
        <v>268</v>
      </c>
      <c r="E186" s="46">
        <v>909</v>
      </c>
      <c r="F186" s="46">
        <v>420505.45300000004</v>
      </c>
      <c r="G186" s="46">
        <v>899</v>
      </c>
      <c r="H186" s="46">
        <v>328836.30800000002</v>
      </c>
      <c r="I186" s="46">
        <v>901</v>
      </c>
      <c r="J186" s="46">
        <v>373536.82100000005</v>
      </c>
    </row>
    <row r="187" spans="1:10" x14ac:dyDescent="0.2">
      <c r="A187" s="73" t="s">
        <v>136</v>
      </c>
      <c r="B187" s="96" t="s">
        <v>92</v>
      </c>
      <c r="C187" s="62" t="s">
        <v>10</v>
      </c>
      <c r="D187" s="62" t="s">
        <v>94</v>
      </c>
      <c r="E187" s="46">
        <v>9032</v>
      </c>
      <c r="F187" s="46">
        <v>6119355.5420000004</v>
      </c>
      <c r="G187" s="46">
        <v>9050</v>
      </c>
      <c r="H187" s="46">
        <v>7237218.409</v>
      </c>
      <c r="I187" s="46">
        <v>9046</v>
      </c>
      <c r="J187" s="46">
        <v>7076592.733</v>
      </c>
    </row>
    <row r="188" spans="1:10" x14ac:dyDescent="0.2">
      <c r="A188" s="73" t="s">
        <v>136</v>
      </c>
      <c r="B188" s="73" t="s">
        <v>267</v>
      </c>
      <c r="C188" s="62" t="s">
        <v>10</v>
      </c>
      <c r="D188" s="62" t="s">
        <v>268</v>
      </c>
      <c r="E188" s="46">
        <v>6388</v>
      </c>
      <c r="F188" s="46">
        <v>195845.81899999999</v>
      </c>
      <c r="G188" s="46">
        <v>6393</v>
      </c>
      <c r="H188" s="46">
        <v>132636.73499999999</v>
      </c>
      <c r="I188" s="46">
        <v>6394</v>
      </c>
      <c r="J188" s="46">
        <v>140831.46599999999</v>
      </c>
    </row>
    <row r="189" spans="1:10" x14ac:dyDescent="0.2">
      <c r="A189" s="96" t="s">
        <v>137</v>
      </c>
      <c r="B189" s="96" t="s">
        <v>92</v>
      </c>
      <c r="C189" s="62" t="s">
        <v>345</v>
      </c>
      <c r="D189" s="62" t="s">
        <v>94</v>
      </c>
      <c r="E189" s="46">
        <v>543</v>
      </c>
      <c r="F189" s="46">
        <v>2086197.0930000001</v>
      </c>
      <c r="G189" s="46">
        <v>545</v>
      </c>
      <c r="H189" s="46">
        <v>2587470.7230000002</v>
      </c>
      <c r="I189" s="46">
        <v>547</v>
      </c>
      <c r="J189" s="46">
        <v>2618998.9610000001</v>
      </c>
    </row>
    <row r="190" spans="1:10" x14ac:dyDescent="0.2">
      <c r="A190" s="73" t="s">
        <v>137</v>
      </c>
      <c r="B190" s="73" t="s">
        <v>267</v>
      </c>
      <c r="C190" s="62" t="s">
        <v>345</v>
      </c>
      <c r="D190" s="62" t="s">
        <v>268</v>
      </c>
      <c r="E190" s="46">
        <v>110</v>
      </c>
      <c r="F190" s="46">
        <v>38106.076000000001</v>
      </c>
      <c r="G190" s="46">
        <v>110</v>
      </c>
      <c r="H190" s="46">
        <v>30259.914000000001</v>
      </c>
      <c r="I190" s="46">
        <v>110</v>
      </c>
      <c r="J190" s="46">
        <v>23153.039000000001</v>
      </c>
    </row>
    <row r="191" spans="1:10" x14ac:dyDescent="0.2">
      <c r="A191" s="73" t="s">
        <v>137</v>
      </c>
      <c r="B191" s="96" t="s">
        <v>92</v>
      </c>
      <c r="C191" s="62" t="s">
        <v>10</v>
      </c>
      <c r="D191" s="62" t="s">
        <v>94</v>
      </c>
      <c r="E191" s="46">
        <v>10372</v>
      </c>
      <c r="F191" s="46">
        <v>7311613.6109999996</v>
      </c>
      <c r="G191" s="46">
        <v>10377</v>
      </c>
      <c r="H191" s="46">
        <v>8772785.852</v>
      </c>
      <c r="I191" s="46">
        <v>10385</v>
      </c>
      <c r="J191" s="46">
        <v>9392646.0830000006</v>
      </c>
    </row>
    <row r="192" spans="1:10" x14ac:dyDescent="0.2">
      <c r="A192" s="73" t="s">
        <v>137</v>
      </c>
      <c r="B192" s="73" t="s">
        <v>267</v>
      </c>
      <c r="C192" s="62" t="s">
        <v>10</v>
      </c>
      <c r="D192" s="62" t="s">
        <v>268</v>
      </c>
      <c r="E192" s="46">
        <v>9542</v>
      </c>
      <c r="F192" s="46">
        <v>313563.614</v>
      </c>
      <c r="G192" s="46">
        <v>9547</v>
      </c>
      <c r="H192" s="46">
        <v>179632.33799999999</v>
      </c>
      <c r="I192" s="46">
        <v>9555</v>
      </c>
      <c r="J192" s="46">
        <v>198463.639</v>
      </c>
    </row>
    <row r="193" spans="1:10" x14ac:dyDescent="0.2">
      <c r="A193" s="96" t="s">
        <v>138</v>
      </c>
      <c r="B193" s="96" t="s">
        <v>92</v>
      </c>
      <c r="C193" s="62" t="s">
        <v>345</v>
      </c>
      <c r="D193" s="62" t="s">
        <v>94</v>
      </c>
      <c r="E193" s="46">
        <v>497</v>
      </c>
      <c r="F193" s="46">
        <v>1602926.6950000001</v>
      </c>
      <c r="G193" s="46">
        <v>502</v>
      </c>
      <c r="H193" s="46">
        <v>1802977.0060000001</v>
      </c>
      <c r="I193" s="46">
        <v>500</v>
      </c>
      <c r="J193" s="46">
        <v>2075940.3470000001</v>
      </c>
    </row>
    <row r="194" spans="1:10" x14ac:dyDescent="0.2">
      <c r="A194" s="73" t="s">
        <v>138</v>
      </c>
      <c r="B194" s="73" t="s">
        <v>267</v>
      </c>
      <c r="C194" s="62" t="s">
        <v>345</v>
      </c>
      <c r="D194" s="62" t="s">
        <v>268</v>
      </c>
      <c r="E194" s="46">
        <v>75</v>
      </c>
      <c r="F194" s="46">
        <v>31676.721999999998</v>
      </c>
      <c r="G194" s="46">
        <v>76</v>
      </c>
      <c r="H194" s="46">
        <v>14044.123</v>
      </c>
      <c r="I194" s="46">
        <v>76</v>
      </c>
      <c r="J194" s="46">
        <v>16432.650999999998</v>
      </c>
    </row>
    <row r="195" spans="1:10" x14ac:dyDescent="0.2">
      <c r="A195" s="73" t="s">
        <v>138</v>
      </c>
      <c r="B195" s="96" t="s">
        <v>92</v>
      </c>
      <c r="C195" s="62" t="s">
        <v>10</v>
      </c>
      <c r="D195" s="62" t="s">
        <v>94</v>
      </c>
      <c r="E195" s="46">
        <v>8547</v>
      </c>
      <c r="F195" s="46">
        <v>6638441.7309999997</v>
      </c>
      <c r="G195" s="46">
        <v>8547</v>
      </c>
      <c r="H195" s="46">
        <v>8208793.1459999997</v>
      </c>
      <c r="I195" s="46">
        <v>8551</v>
      </c>
      <c r="J195" s="46">
        <v>8702293.9560000002</v>
      </c>
    </row>
    <row r="196" spans="1:10" x14ac:dyDescent="0.2">
      <c r="A196" s="73" t="s">
        <v>138</v>
      </c>
      <c r="B196" s="73" t="s">
        <v>267</v>
      </c>
      <c r="C196" s="62" t="s">
        <v>10</v>
      </c>
      <c r="D196" s="62" t="s">
        <v>268</v>
      </c>
      <c r="E196" s="46">
        <v>7849</v>
      </c>
      <c r="F196" s="46">
        <v>281965.23499999999</v>
      </c>
      <c r="G196" s="46">
        <v>7848</v>
      </c>
      <c r="H196" s="46">
        <v>169282.99100000001</v>
      </c>
      <c r="I196" s="46">
        <v>7849</v>
      </c>
      <c r="J196" s="46">
        <v>185686.68599999999</v>
      </c>
    </row>
    <row r="197" spans="1:10" x14ac:dyDescent="0.2">
      <c r="A197" s="96" t="s">
        <v>139</v>
      </c>
      <c r="B197" s="96" t="s">
        <v>92</v>
      </c>
      <c r="C197" s="62" t="s">
        <v>345</v>
      </c>
      <c r="D197" s="62" t="s">
        <v>94</v>
      </c>
      <c r="E197" s="46">
        <v>302</v>
      </c>
      <c r="F197" s="46">
        <v>802370.93700000003</v>
      </c>
      <c r="G197" s="46">
        <v>304</v>
      </c>
      <c r="H197" s="46">
        <v>726320.40099999995</v>
      </c>
      <c r="I197" s="46">
        <v>306</v>
      </c>
      <c r="J197" s="46">
        <v>788827.99699999997</v>
      </c>
    </row>
    <row r="198" spans="1:10" x14ac:dyDescent="0.2">
      <c r="A198" s="73" t="s">
        <v>139</v>
      </c>
      <c r="B198" s="73" t="s">
        <v>267</v>
      </c>
      <c r="C198" s="62" t="s">
        <v>345</v>
      </c>
      <c r="D198" s="62" t="s">
        <v>268</v>
      </c>
      <c r="E198" s="46">
        <v>32</v>
      </c>
      <c r="F198" s="46">
        <v>12681.937</v>
      </c>
      <c r="G198" s="46">
        <v>32</v>
      </c>
      <c r="H198" s="46">
        <v>4185.4009999999998</v>
      </c>
      <c r="I198" s="46">
        <v>32</v>
      </c>
      <c r="J198" s="46">
        <v>6198.4340000000002</v>
      </c>
    </row>
    <row r="199" spans="1:10" x14ac:dyDescent="0.2">
      <c r="A199" s="73" t="s">
        <v>139</v>
      </c>
      <c r="B199" s="96" t="s">
        <v>92</v>
      </c>
      <c r="C199" s="62" t="s">
        <v>10</v>
      </c>
      <c r="D199" s="62" t="s">
        <v>94</v>
      </c>
      <c r="E199" s="46">
        <v>4357</v>
      </c>
      <c r="F199" s="46">
        <v>4619049.93</v>
      </c>
      <c r="G199" s="46">
        <v>4356</v>
      </c>
      <c r="H199" s="46">
        <v>4897576.6509999996</v>
      </c>
      <c r="I199" s="46">
        <v>4355</v>
      </c>
      <c r="J199" s="46">
        <v>4956210.7019999996</v>
      </c>
    </row>
    <row r="200" spans="1:10" x14ac:dyDescent="0.2">
      <c r="A200" s="73" t="s">
        <v>139</v>
      </c>
      <c r="B200" s="73" t="s">
        <v>267</v>
      </c>
      <c r="C200" s="62" t="s">
        <v>10</v>
      </c>
      <c r="D200" s="62" t="s">
        <v>268</v>
      </c>
      <c r="E200" s="46">
        <v>3879</v>
      </c>
      <c r="F200" s="46">
        <v>156991.94899999999</v>
      </c>
      <c r="G200" s="46">
        <v>3880</v>
      </c>
      <c r="H200" s="46">
        <v>93397.953999999998</v>
      </c>
      <c r="I200" s="46">
        <v>3882</v>
      </c>
      <c r="J200" s="46">
        <v>98274.827999999994</v>
      </c>
    </row>
    <row r="201" spans="1:10" x14ac:dyDescent="0.2">
      <c r="A201" s="96" t="s">
        <v>276</v>
      </c>
      <c r="B201" s="96" t="s">
        <v>267</v>
      </c>
      <c r="C201" s="62" t="s">
        <v>345</v>
      </c>
      <c r="D201" s="62" t="s">
        <v>268</v>
      </c>
      <c r="E201" s="46">
        <v>313</v>
      </c>
      <c r="F201" s="46">
        <v>79801.744000000006</v>
      </c>
      <c r="G201" s="46">
        <v>312</v>
      </c>
      <c r="H201" s="46">
        <v>62099.825000000004</v>
      </c>
      <c r="I201" s="46">
        <v>309</v>
      </c>
      <c r="J201" s="46">
        <v>67360.951000000015</v>
      </c>
    </row>
    <row r="202" spans="1:10" x14ac:dyDescent="0.2">
      <c r="A202" s="73" t="s">
        <v>276</v>
      </c>
      <c r="B202" s="73" t="s">
        <v>267</v>
      </c>
      <c r="C202" s="62" t="s">
        <v>10</v>
      </c>
      <c r="D202" s="62" t="s">
        <v>268</v>
      </c>
      <c r="E202" s="46">
        <v>7051</v>
      </c>
      <c r="F202" s="46">
        <v>143310.74400000001</v>
      </c>
      <c r="G202" s="46">
        <v>7049</v>
      </c>
      <c r="H202" s="46">
        <v>108812.264</v>
      </c>
      <c r="I202" s="46">
        <v>7046</v>
      </c>
      <c r="J202" s="46">
        <v>124334.749</v>
      </c>
    </row>
    <row r="203" spans="1:10" x14ac:dyDescent="0.2">
      <c r="A203" s="96" t="s">
        <v>140</v>
      </c>
      <c r="B203" s="96" t="s">
        <v>92</v>
      </c>
      <c r="C203" s="62" t="s">
        <v>345</v>
      </c>
      <c r="D203" s="62" t="s">
        <v>94</v>
      </c>
      <c r="E203" s="46">
        <v>1556</v>
      </c>
      <c r="F203" s="46">
        <v>4055137.7080000001</v>
      </c>
      <c r="G203" s="46">
        <v>1548</v>
      </c>
      <c r="H203" s="46">
        <v>8242404.0140000004</v>
      </c>
      <c r="I203" s="46">
        <v>1549</v>
      </c>
      <c r="J203" s="46">
        <v>4353073.4479999999</v>
      </c>
    </row>
    <row r="204" spans="1:10" x14ac:dyDescent="0.2">
      <c r="A204" s="73" t="s">
        <v>140</v>
      </c>
      <c r="B204" s="73" t="s">
        <v>267</v>
      </c>
      <c r="C204" s="62" t="s">
        <v>345</v>
      </c>
      <c r="D204" s="62" t="s">
        <v>268</v>
      </c>
      <c r="E204" s="46">
        <v>184</v>
      </c>
      <c r="F204" s="46">
        <v>86327.898000000001</v>
      </c>
      <c r="G204" s="46">
        <v>185</v>
      </c>
      <c r="H204" s="46">
        <v>32205.287</v>
      </c>
      <c r="I204" s="46">
        <v>185</v>
      </c>
      <c r="J204" s="46">
        <v>38853.345999999998</v>
      </c>
    </row>
    <row r="205" spans="1:10" x14ac:dyDescent="0.2">
      <c r="A205" s="73" t="s">
        <v>140</v>
      </c>
      <c r="B205" s="96" t="s">
        <v>92</v>
      </c>
      <c r="C205" s="62" t="s">
        <v>10</v>
      </c>
      <c r="D205" s="62" t="s">
        <v>94</v>
      </c>
      <c r="E205" s="46">
        <v>17373</v>
      </c>
      <c r="F205" s="46">
        <v>13343947.217</v>
      </c>
      <c r="G205" s="46">
        <v>17393</v>
      </c>
      <c r="H205" s="46">
        <v>15713888.926999999</v>
      </c>
      <c r="I205" s="46">
        <v>17393</v>
      </c>
      <c r="J205" s="46">
        <v>15669634.578</v>
      </c>
    </row>
    <row r="206" spans="1:10" x14ac:dyDescent="0.2">
      <c r="A206" s="73" t="s">
        <v>140</v>
      </c>
      <c r="B206" s="73" t="s">
        <v>267</v>
      </c>
      <c r="C206" s="62" t="s">
        <v>10</v>
      </c>
      <c r="D206" s="62" t="s">
        <v>268</v>
      </c>
      <c r="E206" s="46">
        <v>9897</v>
      </c>
      <c r="F206" s="46">
        <v>272244.83799999999</v>
      </c>
      <c r="G206" s="46">
        <v>9911</v>
      </c>
      <c r="H206" s="46">
        <v>168585.101</v>
      </c>
      <c r="I206" s="46">
        <v>9913</v>
      </c>
      <c r="J206" s="46">
        <v>175100.35200000001</v>
      </c>
    </row>
    <row r="207" spans="1:10" x14ac:dyDescent="0.2">
      <c r="A207" s="96" t="s">
        <v>277</v>
      </c>
      <c r="B207" s="96" t="s">
        <v>267</v>
      </c>
      <c r="C207" s="62" t="s">
        <v>345</v>
      </c>
      <c r="D207" s="62" t="s">
        <v>268</v>
      </c>
      <c r="E207" s="46">
        <v>397</v>
      </c>
      <c r="F207" s="46">
        <v>1223578.2349999999</v>
      </c>
      <c r="G207" s="46">
        <v>398</v>
      </c>
      <c r="H207" s="46">
        <v>1090326.0730000001</v>
      </c>
      <c r="I207" s="46">
        <v>395</v>
      </c>
      <c r="J207" s="46">
        <v>1057083.5029999998</v>
      </c>
    </row>
    <row r="208" spans="1:10" x14ac:dyDescent="0.2">
      <c r="A208" s="73" t="s">
        <v>277</v>
      </c>
      <c r="B208" s="73" t="s">
        <v>267</v>
      </c>
      <c r="C208" s="62" t="s">
        <v>10</v>
      </c>
      <c r="D208" s="62" t="s">
        <v>268</v>
      </c>
      <c r="E208" s="46">
        <v>91</v>
      </c>
      <c r="F208" s="46">
        <v>1145.94</v>
      </c>
      <c r="G208" s="46">
        <v>93</v>
      </c>
      <c r="H208" s="46">
        <v>773.49900000000002</v>
      </c>
      <c r="I208" s="46">
        <v>92</v>
      </c>
      <c r="J208" s="46">
        <v>-251.06200000000001</v>
      </c>
    </row>
    <row r="209" spans="1:10" x14ac:dyDescent="0.2">
      <c r="A209" s="96" t="s">
        <v>278</v>
      </c>
      <c r="B209" s="96" t="s">
        <v>267</v>
      </c>
      <c r="C209" s="62" t="s">
        <v>345</v>
      </c>
      <c r="D209" s="62" t="s">
        <v>268</v>
      </c>
      <c r="E209" s="46">
        <v>551</v>
      </c>
      <c r="F209" s="46">
        <v>165056.84599999999</v>
      </c>
      <c r="G209" s="46">
        <v>549</v>
      </c>
      <c r="H209" s="46">
        <v>105718.58400000002</v>
      </c>
      <c r="I209" s="46">
        <v>548</v>
      </c>
      <c r="J209" s="46">
        <v>122049.68799999999</v>
      </c>
    </row>
    <row r="210" spans="1:10" x14ac:dyDescent="0.2">
      <c r="A210" s="73" t="s">
        <v>278</v>
      </c>
      <c r="B210" s="73" t="s">
        <v>267</v>
      </c>
      <c r="C210" s="62" t="s">
        <v>10</v>
      </c>
      <c r="D210" s="62" t="s">
        <v>268</v>
      </c>
      <c r="E210" s="46">
        <v>3488</v>
      </c>
      <c r="F210" s="46">
        <v>61615.196000000004</v>
      </c>
      <c r="G210" s="46">
        <v>3468</v>
      </c>
      <c r="H210" s="46">
        <v>41433.457999999999</v>
      </c>
      <c r="I210" s="46">
        <v>3475</v>
      </c>
      <c r="J210" s="46">
        <v>43561.284</v>
      </c>
    </row>
    <row r="211" spans="1:10" x14ac:dyDescent="0.2">
      <c r="A211" s="96" t="s">
        <v>279</v>
      </c>
      <c r="B211" s="96" t="s">
        <v>267</v>
      </c>
      <c r="C211" s="62" t="s">
        <v>345</v>
      </c>
      <c r="D211" s="62" t="s">
        <v>268</v>
      </c>
      <c r="E211" s="46">
        <v>997</v>
      </c>
      <c r="F211" s="46">
        <v>168987.89299999998</v>
      </c>
      <c r="G211" s="46">
        <v>994</v>
      </c>
      <c r="H211" s="46">
        <v>142685.163</v>
      </c>
      <c r="I211" s="46">
        <v>991</v>
      </c>
      <c r="J211" s="46">
        <v>147131.55900000001</v>
      </c>
    </row>
    <row r="212" spans="1:10" x14ac:dyDescent="0.2">
      <c r="A212" s="73" t="s">
        <v>279</v>
      </c>
      <c r="B212" s="73" t="s">
        <v>267</v>
      </c>
      <c r="C212" s="62" t="s">
        <v>10</v>
      </c>
      <c r="D212" s="62" t="s">
        <v>268</v>
      </c>
      <c r="E212" s="46">
        <v>12096</v>
      </c>
      <c r="F212" s="46">
        <v>160793.976</v>
      </c>
      <c r="G212" s="46">
        <v>12073</v>
      </c>
      <c r="H212" s="46">
        <v>133920.92300000001</v>
      </c>
      <c r="I212" s="46">
        <v>12072</v>
      </c>
      <c r="J212" s="46">
        <v>139010.989</v>
      </c>
    </row>
    <row r="213" spans="1:10" x14ac:dyDescent="0.2">
      <c r="A213" s="96" t="s">
        <v>280</v>
      </c>
      <c r="B213" s="96" t="s">
        <v>267</v>
      </c>
      <c r="C213" s="62" t="s">
        <v>345</v>
      </c>
      <c r="D213" s="62" t="s">
        <v>268</v>
      </c>
      <c r="E213" s="46">
        <v>478</v>
      </c>
      <c r="F213" s="46">
        <v>281506.80200000003</v>
      </c>
      <c r="G213" s="46">
        <v>475</v>
      </c>
      <c r="H213" s="46">
        <v>260198.6</v>
      </c>
      <c r="I213" s="46">
        <v>476</v>
      </c>
      <c r="J213" s="46">
        <v>185407.571</v>
      </c>
    </row>
    <row r="214" spans="1:10" x14ac:dyDescent="0.2">
      <c r="A214" s="73" t="s">
        <v>280</v>
      </c>
      <c r="B214" s="73" t="s">
        <v>267</v>
      </c>
      <c r="C214" s="62" t="s">
        <v>10</v>
      </c>
      <c r="D214" s="62" t="s">
        <v>268</v>
      </c>
      <c r="E214" s="46">
        <v>134</v>
      </c>
      <c r="F214" s="46">
        <v>1948.3240000000001</v>
      </c>
      <c r="G214" s="46">
        <v>136</v>
      </c>
      <c r="H214" s="46">
        <v>1614.2080000000001</v>
      </c>
      <c r="I214" s="46">
        <v>135</v>
      </c>
      <c r="J214" s="46">
        <v>1022.5839999999999</v>
      </c>
    </row>
    <row r="215" spans="1:10" x14ac:dyDescent="0.2">
      <c r="A215" s="96" t="s">
        <v>281</v>
      </c>
      <c r="B215" s="96" t="s">
        <v>267</v>
      </c>
      <c r="C215" s="62" t="s">
        <v>345</v>
      </c>
      <c r="D215" s="62" t="s">
        <v>268</v>
      </c>
      <c r="E215" s="46">
        <v>818</v>
      </c>
      <c r="F215" s="46">
        <v>366175.45400000003</v>
      </c>
      <c r="G215" s="46">
        <v>819</v>
      </c>
      <c r="H215" s="46">
        <v>287052.88099999999</v>
      </c>
      <c r="I215" s="46">
        <v>818</v>
      </c>
      <c r="J215" s="46">
        <v>287709.39600000001</v>
      </c>
    </row>
    <row r="216" spans="1:10" x14ac:dyDescent="0.2">
      <c r="A216" s="73" t="s">
        <v>281</v>
      </c>
      <c r="B216" s="73" t="s">
        <v>267</v>
      </c>
      <c r="C216" s="62" t="s">
        <v>10</v>
      </c>
      <c r="D216" s="62" t="s">
        <v>268</v>
      </c>
      <c r="E216" s="46">
        <v>6404</v>
      </c>
      <c r="F216" s="46">
        <v>139583.61300000001</v>
      </c>
      <c r="G216" s="46">
        <v>6386</v>
      </c>
      <c r="H216" s="46">
        <v>90908.475999999995</v>
      </c>
      <c r="I216" s="46">
        <v>6359</v>
      </c>
      <c r="J216" s="46">
        <v>90516.269</v>
      </c>
    </row>
    <row r="217" spans="1:10" x14ac:dyDescent="0.2">
      <c r="A217" s="96" t="s">
        <v>282</v>
      </c>
      <c r="B217" s="96" t="s">
        <v>267</v>
      </c>
      <c r="C217" s="62" t="s">
        <v>345</v>
      </c>
      <c r="D217" s="62" t="s">
        <v>268</v>
      </c>
      <c r="E217" s="46">
        <v>299</v>
      </c>
      <c r="F217" s="46">
        <v>1097470.0129999998</v>
      </c>
      <c r="G217" s="46">
        <v>298</v>
      </c>
      <c r="H217" s="46">
        <v>1069314.5719999999</v>
      </c>
      <c r="I217" s="46">
        <v>298</v>
      </c>
      <c r="J217" s="46">
        <v>1061958.176</v>
      </c>
    </row>
    <row r="218" spans="1:10" x14ac:dyDescent="0.2">
      <c r="A218" s="73" t="s">
        <v>282</v>
      </c>
      <c r="B218" s="73" t="s">
        <v>267</v>
      </c>
      <c r="C218" s="62" t="s">
        <v>10</v>
      </c>
      <c r="D218" s="62" t="s">
        <v>268</v>
      </c>
      <c r="E218" s="46">
        <v>4461</v>
      </c>
      <c r="F218" s="46">
        <v>65265.597999999998</v>
      </c>
      <c r="G218" s="46">
        <v>4470</v>
      </c>
      <c r="H218" s="46">
        <v>45270.180999999997</v>
      </c>
      <c r="I218" s="46">
        <v>4457</v>
      </c>
      <c r="J218" s="46">
        <v>41888.553</v>
      </c>
    </row>
    <row r="219" spans="1:10" x14ac:dyDescent="0.2">
      <c r="A219" s="96" t="s">
        <v>283</v>
      </c>
      <c r="B219" s="96" t="s">
        <v>267</v>
      </c>
      <c r="C219" s="62" t="s">
        <v>345</v>
      </c>
      <c r="D219" s="62" t="s">
        <v>268</v>
      </c>
      <c r="E219" s="46">
        <v>772</v>
      </c>
      <c r="F219" s="46">
        <v>185445.05400000003</v>
      </c>
      <c r="G219" s="46">
        <v>769</v>
      </c>
      <c r="H219" s="46">
        <v>144459.61599999998</v>
      </c>
      <c r="I219" s="46">
        <v>766</v>
      </c>
      <c r="J219" s="46">
        <v>200042.66</v>
      </c>
    </row>
    <row r="220" spans="1:10" x14ac:dyDescent="0.2">
      <c r="A220" s="73" t="s">
        <v>283</v>
      </c>
      <c r="B220" s="73" t="s">
        <v>267</v>
      </c>
      <c r="C220" s="62" t="s">
        <v>10</v>
      </c>
      <c r="D220" s="62" t="s">
        <v>268</v>
      </c>
      <c r="E220" s="46">
        <v>5416</v>
      </c>
      <c r="F220" s="46">
        <v>64713.928999999996</v>
      </c>
      <c r="G220" s="46">
        <v>5411</v>
      </c>
      <c r="H220" s="46">
        <v>60736.500999999997</v>
      </c>
      <c r="I220" s="46">
        <v>5411</v>
      </c>
      <c r="J220" s="46">
        <v>60753.618000000002</v>
      </c>
    </row>
    <row r="221" spans="1:10" x14ac:dyDescent="0.2">
      <c r="A221" s="96" t="s">
        <v>284</v>
      </c>
      <c r="B221" s="96" t="s">
        <v>267</v>
      </c>
      <c r="C221" s="62" t="s">
        <v>345</v>
      </c>
      <c r="D221" s="62" t="s">
        <v>268</v>
      </c>
      <c r="E221" s="46">
        <v>1327</v>
      </c>
      <c r="F221" s="46">
        <v>1069436.966</v>
      </c>
      <c r="G221" s="46">
        <v>1327</v>
      </c>
      <c r="H221" s="46">
        <v>926495.78999999992</v>
      </c>
      <c r="I221" s="46">
        <v>1321</v>
      </c>
      <c r="J221" s="46">
        <v>957607.77</v>
      </c>
    </row>
    <row r="222" spans="1:10" x14ac:dyDescent="0.2">
      <c r="A222" s="73" t="s">
        <v>284</v>
      </c>
      <c r="B222" s="73" t="s">
        <v>267</v>
      </c>
      <c r="C222" s="62" t="s">
        <v>10</v>
      </c>
      <c r="D222" s="62" t="s">
        <v>268</v>
      </c>
      <c r="E222" s="46">
        <v>4647</v>
      </c>
      <c r="F222" s="46">
        <v>75545.577999999994</v>
      </c>
      <c r="G222" s="46">
        <v>4651</v>
      </c>
      <c r="H222" s="46">
        <v>52228.017</v>
      </c>
      <c r="I222" s="46">
        <v>4652</v>
      </c>
      <c r="J222" s="46">
        <v>53481.845999999998</v>
      </c>
    </row>
    <row r="223" spans="1:10" x14ac:dyDescent="0.2">
      <c r="A223" s="96" t="s">
        <v>285</v>
      </c>
      <c r="B223" s="96" t="s">
        <v>267</v>
      </c>
      <c r="C223" s="62" t="s">
        <v>345</v>
      </c>
      <c r="D223" s="62" t="s">
        <v>268</v>
      </c>
      <c r="E223" s="46">
        <v>813</v>
      </c>
      <c r="F223" s="46">
        <v>514799.40800000005</v>
      </c>
      <c r="G223" s="46">
        <v>812</v>
      </c>
      <c r="H223" s="46">
        <v>357186.255</v>
      </c>
      <c r="I223" s="46">
        <v>811</v>
      </c>
      <c r="J223" s="46">
        <v>430568.14199999999</v>
      </c>
    </row>
    <row r="224" spans="1:10" x14ac:dyDescent="0.2">
      <c r="A224" s="73" t="s">
        <v>285</v>
      </c>
      <c r="B224" s="73" t="s">
        <v>267</v>
      </c>
      <c r="C224" s="62" t="s">
        <v>10</v>
      </c>
      <c r="D224" s="62" t="s">
        <v>268</v>
      </c>
      <c r="E224" s="46">
        <v>3231</v>
      </c>
      <c r="F224" s="46">
        <v>46897.637999999999</v>
      </c>
      <c r="G224" s="46">
        <v>3225</v>
      </c>
      <c r="H224" s="46">
        <v>38486.885000000002</v>
      </c>
      <c r="I224" s="46">
        <v>3242</v>
      </c>
      <c r="J224" s="46">
        <v>46854.442000000003</v>
      </c>
    </row>
    <row r="225" spans="1:10" x14ac:dyDescent="0.2">
      <c r="A225" s="96" t="s">
        <v>141</v>
      </c>
      <c r="B225" s="96" t="s">
        <v>92</v>
      </c>
      <c r="C225" s="62" t="s">
        <v>345</v>
      </c>
      <c r="D225" s="62" t="s">
        <v>94</v>
      </c>
      <c r="E225" s="46">
        <v>1791</v>
      </c>
      <c r="F225" s="46">
        <v>5136596.6859999998</v>
      </c>
      <c r="G225" s="46">
        <v>1797</v>
      </c>
      <c r="H225" s="46">
        <v>4041083.037</v>
      </c>
      <c r="I225" s="46">
        <v>1796</v>
      </c>
      <c r="J225" s="46">
        <v>4798750.87</v>
      </c>
    </row>
    <row r="226" spans="1:10" x14ac:dyDescent="0.2">
      <c r="A226" s="73" t="s">
        <v>141</v>
      </c>
      <c r="B226" s="73" t="s">
        <v>92</v>
      </c>
      <c r="C226" s="62" t="s">
        <v>10</v>
      </c>
      <c r="D226" s="62" t="s">
        <v>94</v>
      </c>
      <c r="E226" s="46">
        <v>11108</v>
      </c>
      <c r="F226" s="46">
        <v>9371411.0850000009</v>
      </c>
      <c r="G226" s="46">
        <v>11125</v>
      </c>
      <c r="H226" s="46">
        <v>8991602.6850000005</v>
      </c>
      <c r="I226" s="46">
        <v>11135</v>
      </c>
      <c r="J226" s="46">
        <v>9209649.6429999992</v>
      </c>
    </row>
    <row r="227" spans="1:10" x14ac:dyDescent="0.2">
      <c r="A227" s="96" t="s">
        <v>286</v>
      </c>
      <c r="B227" s="96" t="s">
        <v>267</v>
      </c>
      <c r="C227" s="62" t="s">
        <v>345</v>
      </c>
      <c r="D227" s="62" t="s">
        <v>268</v>
      </c>
      <c r="E227" s="46">
        <v>339</v>
      </c>
      <c r="F227" s="46">
        <v>143714.13199999998</v>
      </c>
      <c r="G227" s="46">
        <v>340</v>
      </c>
      <c r="H227" s="46">
        <v>107703.205</v>
      </c>
      <c r="I227" s="46">
        <v>342</v>
      </c>
      <c r="J227" s="46">
        <v>107203.86199999999</v>
      </c>
    </row>
    <row r="228" spans="1:10" x14ac:dyDescent="0.2">
      <c r="A228" s="73" t="s">
        <v>286</v>
      </c>
      <c r="B228" s="73" t="s">
        <v>267</v>
      </c>
      <c r="C228" s="62" t="s">
        <v>10</v>
      </c>
      <c r="D228" s="62" t="s">
        <v>268</v>
      </c>
      <c r="E228" s="46">
        <v>6240</v>
      </c>
      <c r="F228" s="46">
        <v>182384.07399999999</v>
      </c>
      <c r="G228" s="46">
        <v>6251</v>
      </c>
      <c r="H228" s="46">
        <v>123162.36199999999</v>
      </c>
      <c r="I228" s="46">
        <v>6252</v>
      </c>
      <c r="J228" s="46">
        <v>105767.322</v>
      </c>
    </row>
    <row r="229" spans="1:10" x14ac:dyDescent="0.2">
      <c r="A229" s="96" t="s">
        <v>287</v>
      </c>
      <c r="B229" s="96" t="s">
        <v>267</v>
      </c>
      <c r="C229" s="62" t="s">
        <v>345</v>
      </c>
      <c r="D229" s="62" t="s">
        <v>268</v>
      </c>
      <c r="E229" s="46">
        <v>485</v>
      </c>
      <c r="F229" s="46">
        <v>141257.084</v>
      </c>
      <c r="G229" s="46">
        <v>484</v>
      </c>
      <c r="H229" s="46">
        <v>89150.585999999996</v>
      </c>
      <c r="I229" s="46">
        <v>485</v>
      </c>
      <c r="J229" s="46">
        <v>89386.444000000003</v>
      </c>
    </row>
    <row r="230" spans="1:10" x14ac:dyDescent="0.2">
      <c r="A230" s="73" t="s">
        <v>287</v>
      </c>
      <c r="B230" s="73" t="s">
        <v>267</v>
      </c>
      <c r="C230" s="62" t="s">
        <v>10</v>
      </c>
      <c r="D230" s="62" t="s">
        <v>268</v>
      </c>
      <c r="E230" s="46">
        <v>11765</v>
      </c>
      <c r="F230" s="46">
        <v>223028.50700000001</v>
      </c>
      <c r="G230" s="46">
        <v>11742</v>
      </c>
      <c r="H230" s="46">
        <v>138442.905</v>
      </c>
      <c r="I230" s="46">
        <v>11724</v>
      </c>
      <c r="J230" s="46">
        <v>135550.00599999999</v>
      </c>
    </row>
    <row r="231" spans="1:10" x14ac:dyDescent="0.2">
      <c r="A231" s="96" t="s">
        <v>288</v>
      </c>
      <c r="B231" s="96" t="s">
        <v>267</v>
      </c>
      <c r="C231" s="62" t="s">
        <v>345</v>
      </c>
      <c r="D231" s="62" t="s">
        <v>268</v>
      </c>
      <c r="E231" s="46">
        <v>361</v>
      </c>
      <c r="F231" s="46">
        <v>83719.606999999989</v>
      </c>
      <c r="G231" s="46">
        <v>359</v>
      </c>
      <c r="H231" s="46">
        <v>77426.63</v>
      </c>
      <c r="I231" s="46">
        <v>359</v>
      </c>
      <c r="J231" s="46">
        <v>91251.627999999997</v>
      </c>
    </row>
    <row r="232" spans="1:10" x14ac:dyDescent="0.2">
      <c r="A232" s="73" t="s">
        <v>288</v>
      </c>
      <c r="B232" s="73" t="s">
        <v>267</v>
      </c>
      <c r="C232" s="62" t="s">
        <v>10</v>
      </c>
      <c r="D232" s="62" t="s">
        <v>268</v>
      </c>
      <c r="E232" s="46">
        <v>6324</v>
      </c>
      <c r="F232" s="46">
        <v>89020.847999999998</v>
      </c>
      <c r="G232" s="46">
        <v>6326</v>
      </c>
      <c r="H232" s="46">
        <v>96402.452000000005</v>
      </c>
      <c r="I232" s="46">
        <v>6313</v>
      </c>
      <c r="J232" s="46">
        <v>77723.501999999993</v>
      </c>
    </row>
    <row r="233" spans="1:10" x14ac:dyDescent="0.2">
      <c r="A233" s="96" t="s">
        <v>289</v>
      </c>
      <c r="B233" s="96" t="s">
        <v>267</v>
      </c>
      <c r="C233" s="62" t="s">
        <v>345</v>
      </c>
      <c r="D233" s="62" t="s">
        <v>268</v>
      </c>
      <c r="E233" s="46">
        <v>248</v>
      </c>
      <c r="F233" s="46">
        <v>61528.766000000003</v>
      </c>
      <c r="G233" s="46">
        <v>248</v>
      </c>
      <c r="H233" s="46">
        <v>51563.399000000005</v>
      </c>
      <c r="I233" s="46">
        <v>246</v>
      </c>
      <c r="J233" s="46">
        <v>38062.835000000006</v>
      </c>
    </row>
    <row r="234" spans="1:10" x14ac:dyDescent="0.2">
      <c r="A234" s="73" t="s">
        <v>289</v>
      </c>
      <c r="B234" s="73" t="s">
        <v>267</v>
      </c>
      <c r="C234" s="62" t="s">
        <v>10</v>
      </c>
      <c r="D234" s="62" t="s">
        <v>268</v>
      </c>
      <c r="E234" s="46">
        <v>9570</v>
      </c>
      <c r="F234" s="46">
        <v>140371.69899999999</v>
      </c>
      <c r="G234" s="46">
        <v>9565</v>
      </c>
      <c r="H234" s="46">
        <v>102522.912</v>
      </c>
      <c r="I234" s="46">
        <v>9582</v>
      </c>
      <c r="J234" s="46">
        <v>114400.58100000001</v>
      </c>
    </row>
    <row r="235" spans="1:10" x14ac:dyDescent="0.2">
      <c r="A235" s="96" t="s">
        <v>290</v>
      </c>
      <c r="B235" s="96" t="s">
        <v>267</v>
      </c>
      <c r="C235" s="62" t="s">
        <v>345</v>
      </c>
      <c r="D235" s="62" t="s">
        <v>268</v>
      </c>
      <c r="E235" s="46">
        <v>514</v>
      </c>
      <c r="F235" s="46">
        <v>122470.77399999999</v>
      </c>
      <c r="G235" s="46">
        <v>513</v>
      </c>
      <c r="H235" s="46">
        <v>99692.858000000007</v>
      </c>
      <c r="I235" s="46">
        <v>512</v>
      </c>
      <c r="J235" s="46">
        <v>104814.621</v>
      </c>
    </row>
    <row r="236" spans="1:10" x14ac:dyDescent="0.2">
      <c r="A236" s="73" t="s">
        <v>290</v>
      </c>
      <c r="B236" s="73" t="s">
        <v>267</v>
      </c>
      <c r="C236" s="62" t="s">
        <v>10</v>
      </c>
      <c r="D236" s="62" t="s">
        <v>268</v>
      </c>
      <c r="E236" s="46">
        <v>8993</v>
      </c>
      <c r="F236" s="46">
        <v>123441.56</v>
      </c>
      <c r="G236" s="46">
        <v>8994</v>
      </c>
      <c r="H236" s="46">
        <v>101603.477</v>
      </c>
      <c r="I236" s="46">
        <v>9006</v>
      </c>
      <c r="J236" s="46">
        <v>113611.09600000001</v>
      </c>
    </row>
    <row r="237" spans="1:10" x14ac:dyDescent="0.2">
      <c r="A237" s="96" t="s">
        <v>291</v>
      </c>
      <c r="B237" s="96" t="s">
        <v>267</v>
      </c>
      <c r="C237" s="62" t="s">
        <v>345</v>
      </c>
      <c r="D237" s="62" t="s">
        <v>268</v>
      </c>
      <c r="E237" s="46">
        <v>478</v>
      </c>
      <c r="F237" s="46">
        <v>135826.285</v>
      </c>
      <c r="G237" s="46">
        <v>479</v>
      </c>
      <c r="H237" s="46">
        <v>91696.383000000002</v>
      </c>
      <c r="I237" s="46">
        <v>478</v>
      </c>
      <c r="J237" s="46">
        <v>98718.008000000002</v>
      </c>
    </row>
    <row r="238" spans="1:10" x14ac:dyDescent="0.2">
      <c r="A238" s="73" t="s">
        <v>291</v>
      </c>
      <c r="B238" s="73" t="s">
        <v>267</v>
      </c>
      <c r="C238" s="62" t="s">
        <v>10</v>
      </c>
      <c r="D238" s="62" t="s">
        <v>268</v>
      </c>
      <c r="E238" s="46">
        <v>4497</v>
      </c>
      <c r="F238" s="46">
        <v>63261.485999999997</v>
      </c>
      <c r="G238" s="46">
        <v>4504</v>
      </c>
      <c r="H238" s="46">
        <v>53724.074999999997</v>
      </c>
      <c r="I238" s="46">
        <v>4502</v>
      </c>
      <c r="J238" s="46">
        <v>63359.853000000003</v>
      </c>
    </row>
    <row r="239" spans="1:10" x14ac:dyDescent="0.2">
      <c r="A239" s="96" t="s">
        <v>292</v>
      </c>
      <c r="B239" s="96" t="s">
        <v>267</v>
      </c>
      <c r="C239" s="62" t="s">
        <v>345</v>
      </c>
      <c r="D239" s="62" t="s">
        <v>268</v>
      </c>
      <c r="E239" s="46">
        <v>397</v>
      </c>
      <c r="F239" s="46">
        <v>338676.94199999998</v>
      </c>
      <c r="G239" s="46">
        <v>398</v>
      </c>
      <c r="H239" s="46">
        <v>237194.18999999997</v>
      </c>
      <c r="I239" s="46">
        <v>395</v>
      </c>
      <c r="J239" s="46">
        <v>214928.66200000001</v>
      </c>
    </row>
    <row r="240" spans="1:10" x14ac:dyDescent="0.2">
      <c r="A240" s="73" t="s">
        <v>292</v>
      </c>
      <c r="B240" s="73" t="s">
        <v>267</v>
      </c>
      <c r="C240" s="62" t="s">
        <v>10</v>
      </c>
      <c r="D240" s="62" t="s">
        <v>268</v>
      </c>
      <c r="E240" s="46">
        <v>351</v>
      </c>
      <c r="F240" s="46">
        <v>4554.1719999999996</v>
      </c>
      <c r="G240" s="46">
        <v>352</v>
      </c>
      <c r="H240" s="46">
        <v>4791.4430000000002</v>
      </c>
      <c r="I240" s="46">
        <v>350</v>
      </c>
      <c r="J240" s="46">
        <v>2532.4859999999999</v>
      </c>
    </row>
    <row r="241" spans="1:10" x14ac:dyDescent="0.2">
      <c r="A241" s="96" t="s">
        <v>293</v>
      </c>
      <c r="B241" s="96" t="s">
        <v>267</v>
      </c>
      <c r="C241" s="62" t="s">
        <v>345</v>
      </c>
      <c r="D241" s="62" t="s">
        <v>268</v>
      </c>
      <c r="E241" s="46">
        <v>840</v>
      </c>
      <c r="F241" s="46">
        <v>378606.65799999994</v>
      </c>
      <c r="G241" s="46">
        <v>840</v>
      </c>
      <c r="H241" s="46">
        <v>245165.46000000002</v>
      </c>
      <c r="I241" s="46">
        <v>838</v>
      </c>
      <c r="J241" s="46">
        <v>242918.723</v>
      </c>
    </row>
    <row r="242" spans="1:10" x14ac:dyDescent="0.2">
      <c r="A242" s="73" t="s">
        <v>293</v>
      </c>
      <c r="B242" s="73" t="s">
        <v>267</v>
      </c>
      <c r="C242" s="62" t="s">
        <v>10</v>
      </c>
      <c r="D242" s="62" t="s">
        <v>268</v>
      </c>
      <c r="E242" s="46">
        <v>7161</v>
      </c>
      <c r="F242" s="46">
        <v>131157.41099999999</v>
      </c>
      <c r="G242" s="46">
        <v>7159</v>
      </c>
      <c r="H242" s="46">
        <v>80808.736999999994</v>
      </c>
      <c r="I242" s="46">
        <v>7165</v>
      </c>
      <c r="J242" s="46">
        <v>70745.27</v>
      </c>
    </row>
    <row r="243" spans="1:10" x14ac:dyDescent="0.2">
      <c r="A243" s="96" t="s">
        <v>294</v>
      </c>
      <c r="B243" s="96" t="s">
        <v>267</v>
      </c>
      <c r="C243" s="62" t="s">
        <v>345</v>
      </c>
      <c r="D243" s="62" t="s">
        <v>268</v>
      </c>
      <c r="E243" s="46">
        <v>382</v>
      </c>
      <c r="F243" s="46">
        <v>122802.36599999999</v>
      </c>
      <c r="G243" s="46">
        <v>382</v>
      </c>
      <c r="H243" s="46">
        <v>65445.915999999997</v>
      </c>
      <c r="I243" s="46">
        <v>382</v>
      </c>
      <c r="J243" s="46">
        <v>103688.102</v>
      </c>
    </row>
    <row r="244" spans="1:10" x14ac:dyDescent="0.2">
      <c r="A244" s="73" t="s">
        <v>294</v>
      </c>
      <c r="B244" s="73" t="s">
        <v>267</v>
      </c>
      <c r="C244" s="62" t="s">
        <v>10</v>
      </c>
      <c r="D244" s="62" t="s">
        <v>268</v>
      </c>
      <c r="E244" s="46">
        <v>6250</v>
      </c>
      <c r="F244" s="46">
        <v>122001.56600000001</v>
      </c>
      <c r="G244" s="46">
        <v>6248</v>
      </c>
      <c r="H244" s="46">
        <v>73857.498000000007</v>
      </c>
      <c r="I244" s="46">
        <v>6237</v>
      </c>
      <c r="J244" s="46">
        <v>76110.947</v>
      </c>
    </row>
    <row r="245" spans="1:10" x14ac:dyDescent="0.2">
      <c r="A245" s="96" t="s">
        <v>295</v>
      </c>
      <c r="B245" s="96" t="s">
        <v>267</v>
      </c>
      <c r="C245" s="62" t="s">
        <v>345</v>
      </c>
      <c r="D245" s="62" t="s">
        <v>268</v>
      </c>
      <c r="E245" s="46">
        <v>197</v>
      </c>
      <c r="F245" s="46">
        <v>60422.822</v>
      </c>
      <c r="G245" s="46">
        <v>197</v>
      </c>
      <c r="H245" s="46">
        <v>47883.563999999998</v>
      </c>
      <c r="I245" s="46">
        <v>196</v>
      </c>
      <c r="J245" s="46">
        <v>65475.161999999997</v>
      </c>
    </row>
    <row r="246" spans="1:10" x14ac:dyDescent="0.2">
      <c r="A246" s="73" t="s">
        <v>295</v>
      </c>
      <c r="B246" s="73" t="s">
        <v>267</v>
      </c>
      <c r="C246" s="62" t="s">
        <v>10</v>
      </c>
      <c r="D246" s="62" t="s">
        <v>268</v>
      </c>
      <c r="E246" s="46">
        <v>5202</v>
      </c>
      <c r="F246" s="46">
        <v>68900.317999999999</v>
      </c>
      <c r="G246" s="46">
        <v>5205</v>
      </c>
      <c r="H246" s="46">
        <v>55770.228000000003</v>
      </c>
      <c r="I246" s="46">
        <v>5205</v>
      </c>
      <c r="J246" s="46">
        <v>51648.74</v>
      </c>
    </row>
    <row r="247" spans="1:10" x14ac:dyDescent="0.2">
      <c r="A247" s="96" t="s">
        <v>296</v>
      </c>
      <c r="B247" s="96" t="s">
        <v>267</v>
      </c>
      <c r="C247" s="62" t="s">
        <v>345</v>
      </c>
      <c r="D247" s="62" t="s">
        <v>268</v>
      </c>
      <c r="E247" s="46">
        <v>696</v>
      </c>
      <c r="F247" s="46">
        <v>292993.36599999998</v>
      </c>
      <c r="G247" s="46">
        <v>692</v>
      </c>
      <c r="H247" s="46">
        <v>213096.04199999999</v>
      </c>
      <c r="I247" s="46">
        <v>691</v>
      </c>
      <c r="J247" s="46">
        <v>186828.00200000001</v>
      </c>
    </row>
    <row r="248" spans="1:10" x14ac:dyDescent="0.2">
      <c r="A248" s="73" t="s">
        <v>296</v>
      </c>
      <c r="B248" s="73" t="s">
        <v>267</v>
      </c>
      <c r="C248" s="62" t="s">
        <v>10</v>
      </c>
      <c r="D248" s="62" t="s">
        <v>268</v>
      </c>
      <c r="E248" s="46">
        <v>8155</v>
      </c>
      <c r="F248" s="46">
        <v>140947.40700000001</v>
      </c>
      <c r="G248" s="46">
        <v>8175</v>
      </c>
      <c r="H248" s="46">
        <v>101166.54</v>
      </c>
      <c r="I248" s="46">
        <v>8171</v>
      </c>
      <c r="J248" s="46">
        <v>98651.506999999998</v>
      </c>
    </row>
    <row r="249" spans="1:10" x14ac:dyDescent="0.2">
      <c r="A249" s="96" t="s">
        <v>297</v>
      </c>
      <c r="B249" s="96" t="s">
        <v>267</v>
      </c>
      <c r="C249" s="62" t="s">
        <v>345</v>
      </c>
      <c r="D249" s="62" t="s">
        <v>268</v>
      </c>
      <c r="E249" s="46">
        <v>771</v>
      </c>
      <c r="F249" s="46">
        <v>1891035.3120000002</v>
      </c>
      <c r="G249" s="46">
        <v>767</v>
      </c>
      <c r="H249" s="46">
        <v>1980079.8940000001</v>
      </c>
      <c r="I249" s="46">
        <v>768</v>
      </c>
      <c r="J249" s="46">
        <v>3583393.37</v>
      </c>
    </row>
    <row r="250" spans="1:10" x14ac:dyDescent="0.2">
      <c r="A250" s="73" t="s">
        <v>297</v>
      </c>
      <c r="B250" s="73" t="s">
        <v>267</v>
      </c>
      <c r="C250" s="62" t="s">
        <v>10</v>
      </c>
      <c r="D250" s="62" t="s">
        <v>268</v>
      </c>
      <c r="E250" s="46">
        <v>55</v>
      </c>
      <c r="F250" s="46">
        <v>585.56100000000004</v>
      </c>
      <c r="G250" s="46">
        <v>53</v>
      </c>
      <c r="H250" s="46">
        <v>530.93299999999999</v>
      </c>
      <c r="I250" s="46">
        <v>49</v>
      </c>
      <c r="J250" s="46">
        <v>509.983</v>
      </c>
    </row>
    <row r="251" spans="1:10" x14ac:dyDescent="0.2">
      <c r="A251" s="96" t="s">
        <v>298</v>
      </c>
      <c r="B251" s="96" t="s">
        <v>267</v>
      </c>
      <c r="C251" s="62" t="s">
        <v>345</v>
      </c>
      <c r="D251" s="62" t="s">
        <v>268</v>
      </c>
      <c r="E251" s="46">
        <v>93</v>
      </c>
      <c r="F251" s="46">
        <v>20655.042000000001</v>
      </c>
      <c r="G251" s="46">
        <v>92</v>
      </c>
      <c r="H251" s="46">
        <v>15812.72</v>
      </c>
      <c r="I251" s="46">
        <v>91</v>
      </c>
      <c r="J251" s="46">
        <v>15700.743</v>
      </c>
    </row>
    <row r="252" spans="1:10" x14ac:dyDescent="0.2">
      <c r="A252" s="73" t="s">
        <v>298</v>
      </c>
      <c r="B252" s="73" t="s">
        <v>267</v>
      </c>
      <c r="C252" s="62" t="s">
        <v>10</v>
      </c>
      <c r="D252" s="62" t="s">
        <v>268</v>
      </c>
      <c r="E252" s="46">
        <v>4616</v>
      </c>
      <c r="F252" s="46">
        <v>74095.294999999998</v>
      </c>
      <c r="G252" s="46">
        <v>4606</v>
      </c>
      <c r="H252" s="46">
        <v>64741.535000000003</v>
      </c>
      <c r="I252" s="46">
        <v>4611</v>
      </c>
      <c r="J252" s="46">
        <v>60423.565000000002</v>
      </c>
    </row>
    <row r="253" spans="1:10" x14ac:dyDescent="0.2">
      <c r="A253" s="96" t="s">
        <v>299</v>
      </c>
      <c r="B253" s="96" t="s">
        <v>267</v>
      </c>
      <c r="C253" s="62" t="s">
        <v>345</v>
      </c>
      <c r="D253" s="62" t="s">
        <v>268</v>
      </c>
      <c r="E253" s="46">
        <v>482</v>
      </c>
      <c r="F253" s="46">
        <v>161136.57800000001</v>
      </c>
      <c r="G253" s="46">
        <v>481</v>
      </c>
      <c r="H253" s="46">
        <v>136189.19899999999</v>
      </c>
      <c r="I253" s="46">
        <v>480</v>
      </c>
      <c r="J253" s="46">
        <v>133662.61900000001</v>
      </c>
    </row>
    <row r="254" spans="1:10" x14ac:dyDescent="0.2">
      <c r="A254" s="73" t="s">
        <v>299</v>
      </c>
      <c r="B254" s="73" t="s">
        <v>267</v>
      </c>
      <c r="C254" s="62" t="s">
        <v>10</v>
      </c>
      <c r="D254" s="62" t="s">
        <v>268</v>
      </c>
      <c r="E254" s="46">
        <v>6912</v>
      </c>
      <c r="F254" s="46">
        <v>128078.592</v>
      </c>
      <c r="G254" s="46">
        <v>6899</v>
      </c>
      <c r="H254" s="46">
        <v>76484.221000000005</v>
      </c>
      <c r="I254" s="46">
        <v>6925</v>
      </c>
      <c r="J254" s="46">
        <v>77251.025999999998</v>
      </c>
    </row>
    <row r="255" spans="1:10" x14ac:dyDescent="0.2">
      <c r="A255" s="96" t="s">
        <v>300</v>
      </c>
      <c r="B255" s="96" t="s">
        <v>267</v>
      </c>
      <c r="C255" s="62" t="s">
        <v>345</v>
      </c>
      <c r="D255" s="62" t="s">
        <v>268</v>
      </c>
      <c r="E255" s="46">
        <v>157</v>
      </c>
      <c r="F255" s="46">
        <v>33948.862999999998</v>
      </c>
      <c r="G255" s="46">
        <v>158</v>
      </c>
      <c r="H255" s="46">
        <v>25209.566999999999</v>
      </c>
      <c r="I255" s="46">
        <v>158</v>
      </c>
      <c r="J255" s="46">
        <v>27381.050999999999</v>
      </c>
    </row>
    <row r="256" spans="1:10" x14ac:dyDescent="0.2">
      <c r="A256" s="73" t="s">
        <v>300</v>
      </c>
      <c r="B256" s="73" t="s">
        <v>267</v>
      </c>
      <c r="C256" s="62" t="s">
        <v>10</v>
      </c>
      <c r="D256" s="62" t="s">
        <v>268</v>
      </c>
      <c r="E256" s="46">
        <v>4920</v>
      </c>
      <c r="F256" s="46">
        <v>76351.241999999998</v>
      </c>
      <c r="G256" s="46">
        <v>4920</v>
      </c>
      <c r="H256" s="46">
        <v>53701.508000000002</v>
      </c>
      <c r="I256" s="46">
        <v>4918</v>
      </c>
      <c r="J256" s="46">
        <v>54756.745999999999</v>
      </c>
    </row>
    <row r="257" spans="1:10" x14ac:dyDescent="0.2">
      <c r="A257" s="96" t="s">
        <v>142</v>
      </c>
      <c r="B257" s="96" t="s">
        <v>92</v>
      </c>
      <c r="C257" s="62" t="s">
        <v>345</v>
      </c>
      <c r="D257" s="62" t="s">
        <v>94</v>
      </c>
      <c r="E257" s="46">
        <v>503</v>
      </c>
      <c r="F257" s="46">
        <v>2082901.145</v>
      </c>
      <c r="G257" s="46">
        <v>507</v>
      </c>
      <c r="H257" s="46">
        <v>2166782.5290000001</v>
      </c>
      <c r="I257" s="46">
        <v>504</v>
      </c>
      <c r="J257" s="46">
        <v>2063664.9539999999</v>
      </c>
    </row>
    <row r="258" spans="1:10" x14ac:dyDescent="0.2">
      <c r="A258" s="73" t="s">
        <v>142</v>
      </c>
      <c r="B258" s="73" t="s">
        <v>267</v>
      </c>
      <c r="C258" s="62" t="s">
        <v>345</v>
      </c>
      <c r="D258" s="62" t="s">
        <v>268</v>
      </c>
      <c r="E258" s="46">
        <v>357</v>
      </c>
      <c r="F258" s="46">
        <v>37005.103999999999</v>
      </c>
      <c r="G258" s="46">
        <v>357</v>
      </c>
      <c r="H258" s="46">
        <v>32107.677</v>
      </c>
      <c r="I258" s="46">
        <v>360</v>
      </c>
      <c r="J258" s="46">
        <v>28434.928</v>
      </c>
    </row>
    <row r="259" spans="1:10" x14ac:dyDescent="0.2">
      <c r="A259" s="73" t="s">
        <v>142</v>
      </c>
      <c r="B259" s="96" t="s">
        <v>92</v>
      </c>
      <c r="C259" s="62" t="s">
        <v>10</v>
      </c>
      <c r="D259" s="62" t="s">
        <v>94</v>
      </c>
      <c r="E259" s="46">
        <v>2864</v>
      </c>
      <c r="F259" s="46">
        <v>1735543.7490000001</v>
      </c>
      <c r="G259" s="46">
        <v>2860</v>
      </c>
      <c r="H259" s="46">
        <v>2124990.2659999998</v>
      </c>
      <c r="I259" s="46">
        <v>2864</v>
      </c>
      <c r="J259" s="46">
        <v>1717557.6980000001</v>
      </c>
    </row>
    <row r="260" spans="1:10" x14ac:dyDescent="0.2">
      <c r="A260" s="73" t="s">
        <v>142</v>
      </c>
      <c r="B260" s="73" t="s">
        <v>267</v>
      </c>
      <c r="C260" s="62" t="s">
        <v>10</v>
      </c>
      <c r="D260" s="62" t="s">
        <v>268</v>
      </c>
      <c r="E260" s="46">
        <v>1466</v>
      </c>
      <c r="F260" s="46">
        <v>21276.258000000002</v>
      </c>
      <c r="G260" s="46">
        <v>1467</v>
      </c>
      <c r="H260" s="46">
        <v>17980.940999999999</v>
      </c>
      <c r="I260" s="46">
        <v>1466</v>
      </c>
      <c r="J260" s="46">
        <v>18239.973000000002</v>
      </c>
    </row>
    <row r="261" spans="1:10" x14ac:dyDescent="0.2">
      <c r="A261" s="62" t="s">
        <v>301</v>
      </c>
      <c r="B261" s="62" t="s">
        <v>267</v>
      </c>
      <c r="C261" s="62" t="s">
        <v>345</v>
      </c>
      <c r="D261" s="62" t="s">
        <v>268</v>
      </c>
      <c r="E261" s="46">
        <v>5</v>
      </c>
      <c r="F261" s="46">
        <v>41.173000000000002</v>
      </c>
      <c r="G261" s="46">
        <v>5</v>
      </c>
      <c r="H261" s="46">
        <v>492.12900000000002</v>
      </c>
      <c r="I261" s="46">
        <v>5</v>
      </c>
      <c r="J261" s="46">
        <v>55.697000000000003</v>
      </c>
    </row>
    <row r="262" spans="1:10" x14ac:dyDescent="0.2">
      <c r="A262" s="96" t="s">
        <v>143</v>
      </c>
      <c r="B262" s="96" t="s">
        <v>92</v>
      </c>
      <c r="C262" s="62" t="s">
        <v>345</v>
      </c>
      <c r="D262" s="62" t="s">
        <v>94</v>
      </c>
      <c r="E262" s="46">
        <v>7</v>
      </c>
      <c r="F262" s="46">
        <v>7368</v>
      </c>
      <c r="G262" s="46">
        <v>7</v>
      </c>
      <c r="H262" s="46">
        <v>8345.4670000000006</v>
      </c>
      <c r="I262" s="46">
        <v>7</v>
      </c>
      <c r="J262" s="46">
        <v>7324</v>
      </c>
    </row>
    <row r="263" spans="1:10" x14ac:dyDescent="0.2">
      <c r="A263" s="73" t="s">
        <v>143</v>
      </c>
      <c r="B263" s="73" t="s">
        <v>267</v>
      </c>
      <c r="C263" s="62" t="s">
        <v>345</v>
      </c>
      <c r="D263" s="62" t="s">
        <v>268</v>
      </c>
      <c r="E263" s="46">
        <v>285</v>
      </c>
      <c r="F263" s="46">
        <v>95000.737000000008</v>
      </c>
      <c r="G263" s="46">
        <v>284</v>
      </c>
      <c r="H263" s="46">
        <v>61811.998000000007</v>
      </c>
      <c r="I263" s="46">
        <v>284</v>
      </c>
      <c r="J263" s="46">
        <v>68225.133000000002</v>
      </c>
    </row>
    <row r="264" spans="1:10" x14ac:dyDescent="0.2">
      <c r="A264" s="73" t="s">
        <v>143</v>
      </c>
      <c r="B264" s="96" t="s">
        <v>92</v>
      </c>
      <c r="C264" s="62" t="s">
        <v>10</v>
      </c>
      <c r="D264" s="62" t="s">
        <v>94</v>
      </c>
      <c r="E264" s="46">
        <v>81</v>
      </c>
      <c r="F264" s="46">
        <v>55541</v>
      </c>
      <c r="G264" s="46">
        <v>81</v>
      </c>
      <c r="H264" s="46">
        <v>72849</v>
      </c>
      <c r="I264" s="46">
        <v>81</v>
      </c>
      <c r="J264" s="46">
        <v>63822</v>
      </c>
    </row>
    <row r="265" spans="1:10" x14ac:dyDescent="0.2">
      <c r="A265" s="73" t="s">
        <v>143</v>
      </c>
      <c r="B265" s="73" t="s">
        <v>267</v>
      </c>
      <c r="C265" s="62" t="s">
        <v>10</v>
      </c>
      <c r="D265" s="62" t="s">
        <v>268</v>
      </c>
      <c r="E265" s="46">
        <v>7354</v>
      </c>
      <c r="F265" s="46">
        <v>154932.33499999999</v>
      </c>
      <c r="G265" s="46">
        <v>7349</v>
      </c>
      <c r="H265" s="46">
        <v>101617.24099999999</v>
      </c>
      <c r="I265" s="46">
        <v>7336</v>
      </c>
      <c r="J265" s="46">
        <v>107207.052</v>
      </c>
    </row>
    <row r="266" spans="1:10" x14ac:dyDescent="0.2">
      <c r="A266" s="96" t="s">
        <v>144</v>
      </c>
      <c r="B266" s="62" t="s">
        <v>92</v>
      </c>
      <c r="C266" s="62" t="s">
        <v>345</v>
      </c>
      <c r="D266" s="62" t="s">
        <v>94</v>
      </c>
      <c r="E266" s="46">
        <v>2</v>
      </c>
      <c r="F266" s="46">
        <v>5720</v>
      </c>
      <c r="G266" s="46">
        <v>2</v>
      </c>
      <c r="H266" s="46">
        <v>4800</v>
      </c>
      <c r="I266" s="46">
        <v>2</v>
      </c>
      <c r="J266" s="46">
        <v>958220</v>
      </c>
    </row>
    <row r="267" spans="1:10" x14ac:dyDescent="0.2">
      <c r="A267" s="73" t="s">
        <v>144</v>
      </c>
      <c r="B267" s="62" t="s">
        <v>267</v>
      </c>
      <c r="C267" s="62" t="s">
        <v>345</v>
      </c>
      <c r="D267" s="62" t="s">
        <v>268</v>
      </c>
      <c r="E267" s="46">
        <v>37</v>
      </c>
      <c r="F267" s="46">
        <v>241572.91199999998</v>
      </c>
      <c r="G267" s="46">
        <v>37</v>
      </c>
      <c r="H267" s="46">
        <v>188018.32199999999</v>
      </c>
      <c r="I267" s="46">
        <v>37</v>
      </c>
      <c r="J267" s="46">
        <v>196543.65000000002</v>
      </c>
    </row>
    <row r="268" spans="1:10" x14ac:dyDescent="0.2">
      <c r="A268" s="62" t="s">
        <v>302</v>
      </c>
      <c r="B268" s="62" t="s">
        <v>267</v>
      </c>
      <c r="C268" s="62" t="s">
        <v>345</v>
      </c>
      <c r="D268" s="62" t="s">
        <v>268</v>
      </c>
      <c r="E268" s="46">
        <v>1</v>
      </c>
      <c r="F268" s="46">
        <v>1185.4880000000001</v>
      </c>
      <c r="G268" s="46">
        <v>1</v>
      </c>
      <c r="H268" s="46">
        <v>881.4</v>
      </c>
      <c r="I268" s="46">
        <v>1</v>
      </c>
      <c r="J268" s="46">
        <v>605.27499999999998</v>
      </c>
    </row>
    <row r="269" spans="1:10" x14ac:dyDescent="0.2">
      <c r="A269" s="96" t="s">
        <v>145</v>
      </c>
      <c r="B269" s="96" t="s">
        <v>92</v>
      </c>
      <c r="C269" s="62" t="s">
        <v>345</v>
      </c>
      <c r="D269" s="62" t="s">
        <v>94</v>
      </c>
      <c r="E269" s="46">
        <v>84</v>
      </c>
      <c r="F269" s="46">
        <v>407784</v>
      </c>
      <c r="G269" s="46">
        <v>81</v>
      </c>
      <c r="H269" s="46">
        <v>500212.6</v>
      </c>
      <c r="I269" s="46">
        <v>84</v>
      </c>
      <c r="J269" s="46">
        <v>419374</v>
      </c>
    </row>
    <row r="270" spans="1:10" x14ac:dyDescent="0.2">
      <c r="A270" s="73" t="s">
        <v>145</v>
      </c>
      <c r="B270" s="73" t="s">
        <v>267</v>
      </c>
      <c r="C270" s="62" t="s">
        <v>345</v>
      </c>
      <c r="D270" s="62" t="s">
        <v>268</v>
      </c>
      <c r="E270" s="46">
        <v>443</v>
      </c>
      <c r="F270" s="46">
        <v>80380.194999999992</v>
      </c>
      <c r="G270" s="46">
        <v>441</v>
      </c>
      <c r="H270" s="46">
        <v>65203.661999999997</v>
      </c>
      <c r="I270" s="46">
        <v>442</v>
      </c>
      <c r="J270" s="46">
        <v>65572.807000000001</v>
      </c>
    </row>
    <row r="271" spans="1:10" x14ac:dyDescent="0.2">
      <c r="A271" s="73" t="s">
        <v>145</v>
      </c>
      <c r="B271" s="96" t="s">
        <v>92</v>
      </c>
      <c r="C271" s="62" t="s">
        <v>10</v>
      </c>
      <c r="D271" s="62" t="s">
        <v>94</v>
      </c>
      <c r="E271" s="46">
        <v>2292</v>
      </c>
      <c r="F271" s="46">
        <v>1838334.754</v>
      </c>
      <c r="G271" s="46">
        <v>2294</v>
      </c>
      <c r="H271" s="46">
        <v>2223076.8670000001</v>
      </c>
      <c r="I271" s="46">
        <v>2295</v>
      </c>
      <c r="J271" s="46">
        <v>1800880.034</v>
      </c>
    </row>
    <row r="272" spans="1:10" x14ac:dyDescent="0.2">
      <c r="A272" s="73" t="s">
        <v>145</v>
      </c>
      <c r="B272" s="73" t="s">
        <v>267</v>
      </c>
      <c r="C272" s="62" t="s">
        <v>10</v>
      </c>
      <c r="D272" s="62" t="s">
        <v>268</v>
      </c>
      <c r="E272" s="46">
        <v>5410</v>
      </c>
      <c r="F272" s="46">
        <v>103349.694</v>
      </c>
      <c r="G272" s="46">
        <v>5404</v>
      </c>
      <c r="H272" s="46">
        <v>87204.303</v>
      </c>
      <c r="I272" s="46">
        <v>5418</v>
      </c>
      <c r="J272" s="46">
        <v>93009.125</v>
      </c>
    </row>
    <row r="273" spans="1:10" x14ac:dyDescent="0.2">
      <c r="A273" s="96" t="s">
        <v>146</v>
      </c>
      <c r="B273" s="96" t="s">
        <v>92</v>
      </c>
      <c r="C273" s="62" t="s">
        <v>345</v>
      </c>
      <c r="D273" s="62" t="s">
        <v>94</v>
      </c>
      <c r="E273" s="46">
        <v>232</v>
      </c>
      <c r="F273" s="46">
        <v>631716</v>
      </c>
      <c r="G273" s="46">
        <v>232</v>
      </c>
      <c r="H273" s="46">
        <v>670537.52099999995</v>
      </c>
      <c r="I273" s="46">
        <v>232</v>
      </c>
      <c r="J273" s="46">
        <v>576603.80000000005</v>
      </c>
    </row>
    <row r="274" spans="1:10" x14ac:dyDescent="0.2">
      <c r="A274" s="73" t="s">
        <v>146</v>
      </c>
      <c r="B274" s="73" t="s">
        <v>267</v>
      </c>
      <c r="C274" s="62" t="s">
        <v>345</v>
      </c>
      <c r="D274" s="62" t="s">
        <v>268</v>
      </c>
      <c r="E274" s="46">
        <v>550</v>
      </c>
      <c r="F274" s="46">
        <v>84259.768000000011</v>
      </c>
      <c r="G274" s="46">
        <v>552</v>
      </c>
      <c r="H274" s="46">
        <v>106051.144</v>
      </c>
      <c r="I274" s="46">
        <v>550</v>
      </c>
      <c r="J274" s="46">
        <v>61848.89</v>
      </c>
    </row>
    <row r="275" spans="1:10" x14ac:dyDescent="0.2">
      <c r="A275" s="73" t="s">
        <v>146</v>
      </c>
      <c r="B275" s="96" t="s">
        <v>92</v>
      </c>
      <c r="C275" s="62" t="s">
        <v>10</v>
      </c>
      <c r="D275" s="62" t="s">
        <v>94</v>
      </c>
      <c r="E275" s="46">
        <v>525</v>
      </c>
      <c r="F275" s="46">
        <v>371724.57500000001</v>
      </c>
      <c r="G275" s="46">
        <v>524</v>
      </c>
      <c r="H275" s="46">
        <v>398362.55800000002</v>
      </c>
      <c r="I275" s="46">
        <v>525</v>
      </c>
      <c r="J275" s="46">
        <v>336218.201</v>
      </c>
    </row>
    <row r="276" spans="1:10" x14ac:dyDescent="0.2">
      <c r="A276" s="73" t="s">
        <v>146</v>
      </c>
      <c r="B276" s="73" t="s">
        <v>267</v>
      </c>
      <c r="C276" s="62" t="s">
        <v>10</v>
      </c>
      <c r="D276" s="62" t="s">
        <v>268</v>
      </c>
      <c r="E276" s="46">
        <v>5049</v>
      </c>
      <c r="F276" s="46">
        <v>75891.856</v>
      </c>
      <c r="G276" s="46">
        <v>5055</v>
      </c>
      <c r="H276" s="46">
        <v>59741.49</v>
      </c>
      <c r="I276" s="46">
        <v>5051</v>
      </c>
      <c r="J276" s="46">
        <v>66523.650999999998</v>
      </c>
    </row>
    <row r="277" spans="1:10" x14ac:dyDescent="0.2">
      <c r="A277" s="96" t="s">
        <v>303</v>
      </c>
      <c r="B277" s="96" t="s">
        <v>267</v>
      </c>
      <c r="C277" s="62" t="s">
        <v>345</v>
      </c>
      <c r="D277" s="62" t="s">
        <v>268</v>
      </c>
      <c r="E277" s="46">
        <v>65</v>
      </c>
      <c r="F277" s="46">
        <v>24100.644</v>
      </c>
      <c r="G277" s="46">
        <v>65</v>
      </c>
      <c r="H277" s="46">
        <v>14147.303</v>
      </c>
      <c r="I277" s="46">
        <v>65</v>
      </c>
      <c r="J277" s="46">
        <v>14694.793</v>
      </c>
    </row>
    <row r="278" spans="1:10" x14ac:dyDescent="0.2">
      <c r="A278" s="73" t="s">
        <v>303</v>
      </c>
      <c r="B278" s="73" t="s">
        <v>267</v>
      </c>
      <c r="C278" s="62" t="s">
        <v>10</v>
      </c>
      <c r="D278" s="62" t="s">
        <v>268</v>
      </c>
      <c r="E278" s="46">
        <v>6147</v>
      </c>
      <c r="F278" s="46">
        <v>152896.451</v>
      </c>
      <c r="G278" s="46">
        <v>6146</v>
      </c>
      <c r="H278" s="46">
        <v>116735.368</v>
      </c>
      <c r="I278" s="46">
        <v>6153</v>
      </c>
      <c r="J278" s="46">
        <v>116263.80899999999</v>
      </c>
    </row>
    <row r="279" spans="1:10" x14ac:dyDescent="0.2">
      <c r="A279" s="96" t="s">
        <v>147</v>
      </c>
      <c r="B279" s="62" t="s">
        <v>92</v>
      </c>
      <c r="C279" s="62" t="s">
        <v>345</v>
      </c>
      <c r="D279" s="62" t="s">
        <v>94</v>
      </c>
      <c r="E279" s="46">
        <v>1</v>
      </c>
      <c r="F279" s="46">
        <v>231</v>
      </c>
      <c r="G279" s="46">
        <v>1</v>
      </c>
      <c r="H279" s="46">
        <v>234</v>
      </c>
      <c r="I279" s="46">
        <v>1</v>
      </c>
      <c r="J279" s="46">
        <v>250</v>
      </c>
    </row>
    <row r="280" spans="1:10" x14ac:dyDescent="0.2">
      <c r="A280" s="73" t="s">
        <v>147</v>
      </c>
      <c r="B280" s="96" t="s">
        <v>267</v>
      </c>
      <c r="C280" s="62" t="s">
        <v>345</v>
      </c>
      <c r="D280" s="62" t="s">
        <v>268</v>
      </c>
      <c r="E280" s="46">
        <v>95</v>
      </c>
      <c r="F280" s="46">
        <v>127421.95299999999</v>
      </c>
      <c r="G280" s="46">
        <v>95</v>
      </c>
      <c r="H280" s="46">
        <v>105080.08200000001</v>
      </c>
      <c r="I280" s="46">
        <v>95</v>
      </c>
      <c r="J280" s="46">
        <v>41980.819000000003</v>
      </c>
    </row>
    <row r="281" spans="1:10" x14ac:dyDescent="0.2">
      <c r="A281" s="73" t="s">
        <v>147</v>
      </c>
      <c r="B281" s="73" t="s">
        <v>267</v>
      </c>
      <c r="C281" s="62" t="s">
        <v>10</v>
      </c>
      <c r="D281" s="62" t="s">
        <v>268</v>
      </c>
      <c r="E281" s="46">
        <v>4379</v>
      </c>
      <c r="F281" s="46">
        <v>54126.171999999999</v>
      </c>
      <c r="G281" s="46">
        <v>4374</v>
      </c>
      <c r="H281" s="46">
        <v>42585.663999999997</v>
      </c>
      <c r="I281" s="46">
        <v>4382</v>
      </c>
      <c r="J281" s="46">
        <v>51337.983</v>
      </c>
    </row>
    <row r="282" spans="1:10" x14ac:dyDescent="0.2">
      <c r="A282" s="62" t="s">
        <v>148</v>
      </c>
      <c r="B282" s="62" t="s">
        <v>92</v>
      </c>
      <c r="C282" s="62" t="s">
        <v>345</v>
      </c>
      <c r="D282" s="62" t="s">
        <v>94</v>
      </c>
      <c r="E282" s="46">
        <v>2128</v>
      </c>
      <c r="F282" s="46">
        <v>22550108.241</v>
      </c>
      <c r="G282" s="46">
        <v>2131</v>
      </c>
      <c r="H282" s="46">
        <v>29632469.120999999</v>
      </c>
      <c r="I282" s="46">
        <v>2124</v>
      </c>
      <c r="J282" s="46">
        <v>22777884.957000002</v>
      </c>
    </row>
    <row r="283" spans="1:10" x14ac:dyDescent="0.2">
      <c r="A283" s="96" t="s">
        <v>148</v>
      </c>
      <c r="B283" s="96" t="s">
        <v>267</v>
      </c>
      <c r="C283" s="62" t="s">
        <v>345</v>
      </c>
      <c r="D283" s="62" t="s">
        <v>268</v>
      </c>
      <c r="E283" s="46">
        <v>1076</v>
      </c>
      <c r="F283" s="46">
        <v>516916.82900000003</v>
      </c>
      <c r="G283" s="46">
        <v>1077</v>
      </c>
      <c r="H283" s="46">
        <v>447055.36600000004</v>
      </c>
      <c r="I283" s="46">
        <v>1074</v>
      </c>
      <c r="J283" s="46">
        <v>509141.72400000005</v>
      </c>
    </row>
    <row r="284" spans="1:10" x14ac:dyDescent="0.2">
      <c r="A284" s="73" t="s">
        <v>148</v>
      </c>
      <c r="B284" s="73" t="s">
        <v>92</v>
      </c>
      <c r="C284" s="62" t="s">
        <v>10</v>
      </c>
      <c r="D284" s="62" t="s">
        <v>94</v>
      </c>
      <c r="E284" s="46">
        <v>8192</v>
      </c>
      <c r="F284" s="46">
        <v>4641267.0970000001</v>
      </c>
      <c r="G284" s="46">
        <v>8188</v>
      </c>
      <c r="H284" s="46">
        <v>5400059.9579999996</v>
      </c>
      <c r="I284" s="46">
        <v>8190</v>
      </c>
      <c r="J284" s="46">
        <v>4431744.8839999996</v>
      </c>
    </row>
    <row r="285" spans="1:10" x14ac:dyDescent="0.2">
      <c r="A285" s="73" t="s">
        <v>148</v>
      </c>
      <c r="B285" s="96" t="s">
        <v>267</v>
      </c>
      <c r="C285" s="62" t="s">
        <v>10</v>
      </c>
      <c r="D285" s="62" t="s">
        <v>268</v>
      </c>
      <c r="E285" s="46">
        <v>3374</v>
      </c>
      <c r="F285" s="46">
        <v>49959.989000000001</v>
      </c>
      <c r="G285" s="46">
        <v>3377</v>
      </c>
      <c r="H285" s="46">
        <v>42030.345999999998</v>
      </c>
      <c r="I285" s="46">
        <v>3378</v>
      </c>
      <c r="J285" s="46">
        <v>45530.775999999998</v>
      </c>
    </row>
    <row r="286" spans="1:10" x14ac:dyDescent="0.2">
      <c r="A286" s="73" t="s">
        <v>304</v>
      </c>
      <c r="B286" s="73" t="s">
        <v>267</v>
      </c>
      <c r="C286" s="62" t="s">
        <v>345</v>
      </c>
      <c r="D286" s="62" t="s">
        <v>268</v>
      </c>
      <c r="E286" s="46">
        <v>2</v>
      </c>
      <c r="F286" s="46">
        <v>61.448</v>
      </c>
      <c r="G286" s="46">
        <v>2</v>
      </c>
      <c r="H286" s="46">
        <v>1.014</v>
      </c>
      <c r="I286" s="46">
        <v>2</v>
      </c>
      <c r="J286" s="46">
        <v>23.096</v>
      </c>
    </row>
    <row r="287" spans="1:10" x14ac:dyDescent="0.2">
      <c r="A287" s="62" t="s">
        <v>305</v>
      </c>
      <c r="B287" s="62" t="s">
        <v>267</v>
      </c>
      <c r="C287" s="62" t="s">
        <v>345</v>
      </c>
      <c r="D287" s="62" t="s">
        <v>268</v>
      </c>
      <c r="E287" s="46">
        <v>6</v>
      </c>
      <c r="F287" s="46">
        <v>958212.79099999997</v>
      </c>
      <c r="G287" s="46">
        <v>6</v>
      </c>
      <c r="H287" s="46">
        <v>883151.64199999999</v>
      </c>
      <c r="I287" s="46">
        <v>6</v>
      </c>
      <c r="J287" s="46">
        <v>776421.76599999995</v>
      </c>
    </row>
    <row r="288" spans="1:10" x14ac:dyDescent="0.2">
      <c r="A288" s="96" t="s">
        <v>149</v>
      </c>
      <c r="B288" s="96" t="s">
        <v>92</v>
      </c>
      <c r="C288" s="62" t="s">
        <v>345</v>
      </c>
      <c r="D288" s="62" t="s">
        <v>94</v>
      </c>
      <c r="E288" s="46">
        <v>1344</v>
      </c>
      <c r="F288" s="46">
        <v>8230134.4989999998</v>
      </c>
      <c r="G288" s="46">
        <v>1351</v>
      </c>
      <c r="H288" s="46">
        <v>8335205.2680000002</v>
      </c>
      <c r="I288" s="46">
        <v>1345</v>
      </c>
      <c r="J288" s="46">
        <v>7705956.4859999996</v>
      </c>
    </row>
    <row r="289" spans="1:10" x14ac:dyDescent="0.2">
      <c r="A289" s="73" t="s">
        <v>149</v>
      </c>
      <c r="B289" s="73" t="s">
        <v>267</v>
      </c>
      <c r="C289" s="62" t="s">
        <v>345</v>
      </c>
      <c r="D289" s="62" t="s">
        <v>268</v>
      </c>
      <c r="E289" s="46">
        <v>402</v>
      </c>
      <c r="F289" s="46">
        <v>249654.92700000003</v>
      </c>
      <c r="G289" s="46">
        <v>402</v>
      </c>
      <c r="H289" s="46">
        <v>124440.46399999999</v>
      </c>
      <c r="I289" s="46">
        <v>402</v>
      </c>
      <c r="J289" s="46">
        <v>113840.90700000001</v>
      </c>
    </row>
    <row r="290" spans="1:10" x14ac:dyDescent="0.2">
      <c r="A290" s="96" t="s">
        <v>149</v>
      </c>
      <c r="B290" s="96" t="s">
        <v>92</v>
      </c>
      <c r="C290" s="62" t="s">
        <v>10</v>
      </c>
      <c r="D290" s="62" t="s">
        <v>94</v>
      </c>
      <c r="E290" s="46">
        <v>14619</v>
      </c>
      <c r="F290" s="46">
        <v>8863986.1070000008</v>
      </c>
      <c r="G290" s="46">
        <v>14618</v>
      </c>
      <c r="H290" s="46">
        <v>9606450.1679999996</v>
      </c>
      <c r="I290" s="46">
        <v>14776</v>
      </c>
      <c r="J290" s="46">
        <v>9154678.1999999993</v>
      </c>
    </row>
    <row r="291" spans="1:10" x14ac:dyDescent="0.2">
      <c r="A291" s="73" t="s">
        <v>149</v>
      </c>
      <c r="B291" s="73" t="s">
        <v>267</v>
      </c>
      <c r="C291" s="62" t="s">
        <v>10</v>
      </c>
      <c r="D291" s="62" t="s">
        <v>268</v>
      </c>
      <c r="E291" s="46">
        <v>6425</v>
      </c>
      <c r="F291" s="46">
        <v>106751.33</v>
      </c>
      <c r="G291" s="46">
        <v>6425</v>
      </c>
      <c r="H291" s="46">
        <v>83565.819000000003</v>
      </c>
      <c r="I291" s="46">
        <v>6429</v>
      </c>
      <c r="J291" s="46">
        <v>93140.587</v>
      </c>
    </row>
    <row r="292" spans="1:10" x14ac:dyDescent="0.2">
      <c r="A292" s="73" t="s">
        <v>306</v>
      </c>
      <c r="B292" s="96" t="s">
        <v>267</v>
      </c>
      <c r="C292" s="62" t="s">
        <v>345</v>
      </c>
      <c r="D292" s="62" t="s">
        <v>268</v>
      </c>
      <c r="E292" s="46">
        <v>276</v>
      </c>
      <c r="F292" s="46">
        <v>37854.959999999999</v>
      </c>
      <c r="G292" s="46">
        <v>276</v>
      </c>
      <c r="H292" s="46">
        <v>28531.738000000001</v>
      </c>
      <c r="I292" s="46">
        <v>275</v>
      </c>
      <c r="J292" s="46">
        <v>27943.969999999998</v>
      </c>
    </row>
    <row r="293" spans="1:10" x14ac:dyDescent="0.2">
      <c r="A293" s="73" t="s">
        <v>306</v>
      </c>
      <c r="B293" s="73" t="s">
        <v>267</v>
      </c>
      <c r="C293" s="62" t="s">
        <v>10</v>
      </c>
      <c r="D293" s="62" t="s">
        <v>268</v>
      </c>
      <c r="E293" s="46">
        <v>5615</v>
      </c>
      <c r="F293" s="46">
        <v>98336.035999999993</v>
      </c>
      <c r="G293" s="46">
        <v>5614</v>
      </c>
      <c r="H293" s="46">
        <v>78053.839000000007</v>
      </c>
      <c r="I293" s="46">
        <v>5614</v>
      </c>
      <c r="J293" s="46">
        <v>89505.229000000007</v>
      </c>
    </row>
    <row r="294" spans="1:10" x14ac:dyDescent="0.2">
      <c r="A294" s="96" t="s">
        <v>307</v>
      </c>
      <c r="B294" s="96" t="s">
        <v>267</v>
      </c>
      <c r="C294" s="62" t="s">
        <v>345</v>
      </c>
      <c r="D294" s="62" t="s">
        <v>268</v>
      </c>
      <c r="E294" s="46">
        <v>975</v>
      </c>
      <c r="F294" s="46">
        <v>560451.60600000003</v>
      </c>
      <c r="G294" s="46">
        <v>976</v>
      </c>
      <c r="H294" s="46">
        <v>618908.46</v>
      </c>
      <c r="I294" s="46">
        <v>973</v>
      </c>
      <c r="J294" s="46">
        <v>870604.57299999986</v>
      </c>
    </row>
    <row r="295" spans="1:10" x14ac:dyDescent="0.2">
      <c r="A295" s="73" t="s">
        <v>307</v>
      </c>
      <c r="B295" s="73" t="s">
        <v>267</v>
      </c>
      <c r="C295" s="62" t="s">
        <v>10</v>
      </c>
      <c r="D295" s="62" t="s">
        <v>268</v>
      </c>
      <c r="E295" s="46">
        <v>5131</v>
      </c>
      <c r="F295" s="46">
        <v>69085.532999999996</v>
      </c>
      <c r="G295" s="46">
        <v>5124</v>
      </c>
      <c r="H295" s="46">
        <v>60713.747000000003</v>
      </c>
      <c r="I295" s="46">
        <v>5116</v>
      </c>
      <c r="J295" s="46">
        <v>73558.577999999994</v>
      </c>
    </row>
    <row r="296" spans="1:10" x14ac:dyDescent="0.2">
      <c r="A296" s="96" t="s">
        <v>308</v>
      </c>
      <c r="B296" s="96" t="s">
        <v>267</v>
      </c>
      <c r="C296" s="62" t="s">
        <v>345</v>
      </c>
      <c r="D296" s="62" t="s">
        <v>268</v>
      </c>
      <c r="E296" s="46">
        <v>520</v>
      </c>
      <c r="F296" s="46">
        <v>362471.64199999999</v>
      </c>
      <c r="G296" s="46">
        <v>520</v>
      </c>
      <c r="H296" s="46">
        <v>261133.12899999999</v>
      </c>
      <c r="I296" s="46">
        <v>523</v>
      </c>
      <c r="J296" s="46">
        <v>283857.533</v>
      </c>
    </row>
    <row r="297" spans="1:10" x14ac:dyDescent="0.2">
      <c r="A297" s="73" t="s">
        <v>308</v>
      </c>
      <c r="B297" s="73" t="s">
        <v>267</v>
      </c>
      <c r="C297" s="62" t="s">
        <v>10</v>
      </c>
      <c r="D297" s="62" t="s">
        <v>268</v>
      </c>
      <c r="E297" s="46">
        <v>6273</v>
      </c>
      <c r="F297" s="46">
        <v>119600.943</v>
      </c>
      <c r="G297" s="46">
        <v>6268</v>
      </c>
      <c r="H297" s="46">
        <v>102234.75599999999</v>
      </c>
      <c r="I297" s="46">
        <v>6270</v>
      </c>
      <c r="J297" s="46">
        <v>128639.42600000001</v>
      </c>
    </row>
    <row r="298" spans="1:10" x14ac:dyDescent="0.2">
      <c r="A298" s="96" t="s">
        <v>309</v>
      </c>
      <c r="B298" s="96" t="s">
        <v>267</v>
      </c>
      <c r="C298" s="62" t="s">
        <v>345</v>
      </c>
      <c r="D298" s="62" t="s">
        <v>268</v>
      </c>
      <c r="E298" s="46">
        <v>665</v>
      </c>
      <c r="F298" s="46">
        <v>960061.22499999998</v>
      </c>
      <c r="G298" s="46">
        <v>667</v>
      </c>
      <c r="H298" s="46">
        <v>799744.97100000002</v>
      </c>
      <c r="I298" s="46">
        <v>669</v>
      </c>
      <c r="J298" s="46">
        <v>890941.18200000003</v>
      </c>
    </row>
    <row r="299" spans="1:10" x14ac:dyDescent="0.2">
      <c r="A299" s="73" t="s">
        <v>309</v>
      </c>
      <c r="B299" s="73" t="s">
        <v>267</v>
      </c>
      <c r="C299" s="62" t="s">
        <v>10</v>
      </c>
      <c r="D299" s="62" t="s">
        <v>268</v>
      </c>
      <c r="E299" s="46">
        <v>4059</v>
      </c>
      <c r="F299" s="46">
        <v>60213.474999999999</v>
      </c>
      <c r="G299" s="46">
        <v>4066</v>
      </c>
      <c r="H299" s="46">
        <v>74379.53</v>
      </c>
      <c r="I299" s="46">
        <v>4067</v>
      </c>
      <c r="J299" s="46">
        <v>66555.684999999998</v>
      </c>
    </row>
    <row r="300" spans="1:10" x14ac:dyDescent="0.2">
      <c r="A300" s="96" t="s">
        <v>310</v>
      </c>
      <c r="B300" s="96" t="s">
        <v>267</v>
      </c>
      <c r="C300" s="62" t="s">
        <v>345</v>
      </c>
      <c r="D300" s="62" t="s">
        <v>268</v>
      </c>
      <c r="E300" s="46">
        <v>596</v>
      </c>
      <c r="F300" s="46">
        <v>103783.91800000001</v>
      </c>
      <c r="G300" s="46">
        <v>596</v>
      </c>
      <c r="H300" s="46">
        <v>98610.37</v>
      </c>
      <c r="I300" s="46">
        <v>595</v>
      </c>
      <c r="J300" s="46">
        <v>82598.807000000001</v>
      </c>
    </row>
    <row r="301" spans="1:10" x14ac:dyDescent="0.2">
      <c r="A301" s="73" t="s">
        <v>310</v>
      </c>
      <c r="B301" s="73" t="s">
        <v>267</v>
      </c>
      <c r="C301" s="62" t="s">
        <v>10</v>
      </c>
      <c r="D301" s="62" t="s">
        <v>268</v>
      </c>
      <c r="E301" s="46">
        <v>11398</v>
      </c>
      <c r="F301" s="46">
        <v>212339.95199999999</v>
      </c>
      <c r="G301" s="46">
        <v>11393</v>
      </c>
      <c r="H301" s="46">
        <v>197091.644</v>
      </c>
      <c r="I301" s="46">
        <v>11387</v>
      </c>
      <c r="J301" s="46">
        <v>205924.38</v>
      </c>
    </row>
    <row r="302" spans="1:10" x14ac:dyDescent="0.2">
      <c r="A302" s="62" t="s">
        <v>150</v>
      </c>
      <c r="B302" s="62" t="s">
        <v>92</v>
      </c>
      <c r="C302" s="62" t="s">
        <v>345</v>
      </c>
      <c r="D302" s="62" t="s">
        <v>94</v>
      </c>
      <c r="E302" s="46">
        <v>72</v>
      </c>
      <c r="F302" s="46">
        <v>297641.92</v>
      </c>
      <c r="G302" s="46">
        <v>72</v>
      </c>
      <c r="H302" s="46">
        <v>158840.674</v>
      </c>
      <c r="I302" s="46">
        <v>72</v>
      </c>
      <c r="J302" s="46">
        <v>144397.81200000001</v>
      </c>
    </row>
    <row r="303" spans="1:10" x14ac:dyDescent="0.2">
      <c r="A303" s="96" t="s">
        <v>150</v>
      </c>
      <c r="B303" s="96" t="s">
        <v>92</v>
      </c>
      <c r="C303" s="62" t="s">
        <v>10</v>
      </c>
      <c r="D303" s="62" t="s">
        <v>94</v>
      </c>
      <c r="E303" s="46">
        <v>262</v>
      </c>
      <c r="F303" s="46">
        <v>239345.266</v>
      </c>
      <c r="G303" s="46">
        <v>261</v>
      </c>
      <c r="H303" s="46">
        <v>157700.18</v>
      </c>
      <c r="I303" s="46">
        <v>260</v>
      </c>
      <c r="J303" s="46">
        <v>231851.45</v>
      </c>
    </row>
    <row r="304" spans="1:10" x14ac:dyDescent="0.2">
      <c r="A304" s="73" t="s">
        <v>151</v>
      </c>
      <c r="B304" s="73" t="s">
        <v>92</v>
      </c>
      <c r="C304" s="62" t="s">
        <v>345</v>
      </c>
      <c r="D304" s="62" t="s">
        <v>94</v>
      </c>
      <c r="E304" s="46">
        <v>1969</v>
      </c>
      <c r="F304" s="46">
        <v>63767207.402000003</v>
      </c>
      <c r="G304" s="46">
        <v>1973</v>
      </c>
      <c r="H304" s="46">
        <v>66173157.600000001</v>
      </c>
      <c r="I304" s="46">
        <v>1972</v>
      </c>
      <c r="J304" s="46">
        <v>66902987.077</v>
      </c>
    </row>
    <row r="305" spans="1:10" x14ac:dyDescent="0.2">
      <c r="A305" s="96" t="s">
        <v>151</v>
      </c>
      <c r="B305" s="96" t="s">
        <v>92</v>
      </c>
      <c r="C305" s="62" t="s">
        <v>10</v>
      </c>
      <c r="D305" s="62" t="s">
        <v>94</v>
      </c>
      <c r="E305" s="46">
        <v>10923</v>
      </c>
      <c r="F305" s="46">
        <v>5806932.7929999996</v>
      </c>
      <c r="G305" s="46">
        <v>10932</v>
      </c>
      <c r="H305" s="46">
        <v>5899087.0329999998</v>
      </c>
      <c r="I305" s="46">
        <v>10944</v>
      </c>
      <c r="J305" s="46">
        <v>6274572.7699999996</v>
      </c>
    </row>
    <row r="306" spans="1:10" x14ac:dyDescent="0.2">
      <c r="A306" s="73" t="s">
        <v>311</v>
      </c>
      <c r="B306" s="73" t="s">
        <v>267</v>
      </c>
      <c r="C306" s="62" t="s">
        <v>345</v>
      </c>
      <c r="D306" s="62" t="s">
        <v>268</v>
      </c>
      <c r="E306" s="46">
        <v>128</v>
      </c>
      <c r="F306" s="46">
        <v>61615.87</v>
      </c>
      <c r="G306" s="46">
        <v>128</v>
      </c>
      <c r="H306" s="46">
        <v>23422.071</v>
      </c>
      <c r="I306" s="46">
        <v>130</v>
      </c>
      <c r="J306" s="46">
        <v>18463.440999999999</v>
      </c>
    </row>
    <row r="307" spans="1:10" x14ac:dyDescent="0.2">
      <c r="A307" s="96" t="s">
        <v>311</v>
      </c>
      <c r="B307" s="96" t="s">
        <v>267</v>
      </c>
      <c r="C307" s="62" t="s">
        <v>10</v>
      </c>
      <c r="D307" s="62" t="s">
        <v>268</v>
      </c>
      <c r="E307" s="46">
        <v>319</v>
      </c>
      <c r="F307" s="46">
        <v>4246.6760000000004</v>
      </c>
      <c r="G307" s="46">
        <v>321</v>
      </c>
      <c r="H307" s="46">
        <v>2416.0050000000001</v>
      </c>
      <c r="I307" s="46">
        <v>319</v>
      </c>
      <c r="J307" s="46">
        <v>-4785.1270000000004</v>
      </c>
    </row>
    <row r="308" spans="1:10" x14ac:dyDescent="0.2">
      <c r="A308" s="73" t="s">
        <v>152</v>
      </c>
      <c r="B308" s="73" t="s">
        <v>92</v>
      </c>
      <c r="C308" s="62" t="s">
        <v>345</v>
      </c>
      <c r="D308" s="62" t="s">
        <v>94</v>
      </c>
      <c r="E308" s="46">
        <v>29</v>
      </c>
      <c r="F308" s="46">
        <v>11410</v>
      </c>
      <c r="G308" s="46">
        <v>30</v>
      </c>
      <c r="H308" s="46">
        <v>23143</v>
      </c>
      <c r="I308" s="46">
        <v>30</v>
      </c>
      <c r="J308" s="46">
        <v>12194</v>
      </c>
    </row>
    <row r="309" spans="1:10" x14ac:dyDescent="0.2">
      <c r="A309" s="96" t="s">
        <v>152</v>
      </c>
      <c r="B309" s="96" t="s">
        <v>92</v>
      </c>
      <c r="C309" s="62" t="s">
        <v>10</v>
      </c>
      <c r="D309" s="62" t="s">
        <v>94</v>
      </c>
      <c r="E309" s="46">
        <v>252</v>
      </c>
      <c r="F309" s="46">
        <v>101678.94</v>
      </c>
      <c r="G309" s="46">
        <v>251</v>
      </c>
      <c r="H309" s="46">
        <v>173253.31099999999</v>
      </c>
      <c r="I309" s="46">
        <v>251</v>
      </c>
      <c r="J309" s="46">
        <v>81424.608999999997</v>
      </c>
    </row>
    <row r="310" spans="1:10" x14ac:dyDescent="0.2">
      <c r="A310" s="73" t="s">
        <v>153</v>
      </c>
      <c r="B310" s="73" t="s">
        <v>92</v>
      </c>
      <c r="C310" s="62" t="s">
        <v>345</v>
      </c>
      <c r="D310" s="62" t="s">
        <v>94</v>
      </c>
      <c r="E310" s="46">
        <v>3670</v>
      </c>
      <c r="F310" s="46">
        <v>18716812.620000001</v>
      </c>
      <c r="G310" s="46">
        <v>3670</v>
      </c>
      <c r="H310" s="46">
        <v>23757759.348999999</v>
      </c>
      <c r="I310" s="46">
        <v>3668</v>
      </c>
      <c r="J310" s="46">
        <v>20435195.666000001</v>
      </c>
    </row>
    <row r="311" spans="1:10" x14ac:dyDescent="0.2">
      <c r="A311" s="96" t="s">
        <v>153</v>
      </c>
      <c r="B311" s="96" t="s">
        <v>92</v>
      </c>
      <c r="C311" s="62" t="s">
        <v>10</v>
      </c>
      <c r="D311" s="62" t="s">
        <v>94</v>
      </c>
      <c r="E311" s="46">
        <v>20781</v>
      </c>
      <c r="F311" s="46">
        <v>9143547.9069999997</v>
      </c>
      <c r="G311" s="46">
        <v>20757</v>
      </c>
      <c r="H311" s="46">
        <v>9098943.2670000009</v>
      </c>
      <c r="I311" s="46">
        <v>20811</v>
      </c>
      <c r="J311" s="46">
        <v>9093180.3859999999</v>
      </c>
    </row>
    <row r="312" spans="1:10" x14ac:dyDescent="0.2">
      <c r="A312" s="73" t="s">
        <v>154</v>
      </c>
      <c r="B312" s="73" t="s">
        <v>92</v>
      </c>
      <c r="C312" s="62" t="s">
        <v>345</v>
      </c>
      <c r="D312" s="62" t="s">
        <v>94</v>
      </c>
      <c r="E312" s="46">
        <v>3535</v>
      </c>
      <c r="F312" s="46">
        <v>14921677.625</v>
      </c>
      <c r="G312" s="46">
        <v>3530</v>
      </c>
      <c r="H312" s="46">
        <v>18813279.991</v>
      </c>
      <c r="I312" s="46">
        <v>3531</v>
      </c>
      <c r="J312" s="46">
        <v>17131142.565000001</v>
      </c>
    </row>
    <row r="313" spans="1:10" x14ac:dyDescent="0.2">
      <c r="A313" s="96" t="s">
        <v>154</v>
      </c>
      <c r="B313" s="96" t="s">
        <v>92</v>
      </c>
      <c r="C313" s="62" t="s">
        <v>10</v>
      </c>
      <c r="D313" s="62" t="s">
        <v>94</v>
      </c>
      <c r="E313" s="46">
        <v>20271</v>
      </c>
      <c r="F313" s="46">
        <v>11572736.873</v>
      </c>
      <c r="G313" s="46">
        <v>20299</v>
      </c>
      <c r="H313" s="46">
        <v>12941970.323000001</v>
      </c>
      <c r="I313" s="46">
        <v>20376</v>
      </c>
      <c r="J313" s="46">
        <v>12778961.890000001</v>
      </c>
    </row>
    <row r="314" spans="1:10" x14ac:dyDescent="0.2">
      <c r="A314" s="73" t="s">
        <v>155</v>
      </c>
      <c r="B314" s="73" t="s">
        <v>92</v>
      </c>
      <c r="C314" s="62" t="s">
        <v>345</v>
      </c>
      <c r="D314" s="62" t="s">
        <v>94</v>
      </c>
      <c r="E314" s="46">
        <v>1297</v>
      </c>
      <c r="F314" s="46">
        <v>3060824.7769999998</v>
      </c>
      <c r="G314" s="46">
        <v>1295</v>
      </c>
      <c r="H314" s="46">
        <v>3595055.3420000002</v>
      </c>
      <c r="I314" s="46">
        <v>1294</v>
      </c>
      <c r="J314" s="46">
        <v>3396222.4530000002</v>
      </c>
    </row>
    <row r="315" spans="1:10" x14ac:dyDescent="0.2">
      <c r="A315" s="96" t="s">
        <v>155</v>
      </c>
      <c r="B315" s="96" t="s">
        <v>92</v>
      </c>
      <c r="C315" s="62" t="s">
        <v>10</v>
      </c>
      <c r="D315" s="62" t="s">
        <v>94</v>
      </c>
      <c r="E315" s="46">
        <v>14754</v>
      </c>
      <c r="F315" s="46">
        <v>8549043.2479999997</v>
      </c>
      <c r="G315" s="46">
        <v>14755</v>
      </c>
      <c r="H315" s="46">
        <v>8935154.0580000002</v>
      </c>
      <c r="I315" s="46">
        <v>14754</v>
      </c>
      <c r="J315" s="46">
        <v>8687606.0240000002</v>
      </c>
    </row>
    <row r="316" spans="1:10" x14ac:dyDescent="0.2">
      <c r="A316" s="73" t="s">
        <v>156</v>
      </c>
      <c r="B316" s="73" t="s">
        <v>92</v>
      </c>
      <c r="C316" s="62" t="s">
        <v>345</v>
      </c>
      <c r="D316" s="62" t="s">
        <v>94</v>
      </c>
      <c r="E316" s="46">
        <v>605</v>
      </c>
      <c r="F316" s="46">
        <v>1653717.4839999999</v>
      </c>
      <c r="G316" s="46">
        <v>602</v>
      </c>
      <c r="H316" s="46">
        <v>1815977.9550000001</v>
      </c>
      <c r="I316" s="46">
        <v>604</v>
      </c>
      <c r="J316" s="46">
        <v>1649986.6040000001</v>
      </c>
    </row>
    <row r="317" spans="1:10" x14ac:dyDescent="0.2">
      <c r="A317" s="96" t="s">
        <v>156</v>
      </c>
      <c r="B317" s="96" t="s">
        <v>92</v>
      </c>
      <c r="C317" s="62" t="s">
        <v>10</v>
      </c>
      <c r="D317" s="62" t="s">
        <v>94</v>
      </c>
      <c r="E317" s="46">
        <v>6644</v>
      </c>
      <c r="F317" s="46">
        <v>3527282.7119999998</v>
      </c>
      <c r="G317" s="46">
        <v>6644</v>
      </c>
      <c r="H317" s="46">
        <v>4005378.8369999998</v>
      </c>
      <c r="I317" s="46">
        <v>6651</v>
      </c>
      <c r="J317" s="46">
        <v>4073573.625</v>
      </c>
    </row>
    <row r="318" spans="1:10" x14ac:dyDescent="0.2">
      <c r="A318" s="73" t="s">
        <v>157</v>
      </c>
      <c r="B318" s="73" t="s">
        <v>92</v>
      </c>
      <c r="C318" s="62" t="s">
        <v>345</v>
      </c>
      <c r="D318" s="62" t="s">
        <v>94</v>
      </c>
      <c r="E318" s="46">
        <v>435</v>
      </c>
      <c r="F318" s="46">
        <v>1286619.9990000001</v>
      </c>
      <c r="G318" s="46">
        <v>435</v>
      </c>
      <c r="H318" s="46">
        <v>1177949.0560000001</v>
      </c>
      <c r="I318" s="46">
        <v>436</v>
      </c>
      <c r="J318" s="46">
        <v>1457493.8640000001</v>
      </c>
    </row>
    <row r="319" spans="1:10" x14ac:dyDescent="0.2">
      <c r="A319" s="96" t="s">
        <v>157</v>
      </c>
      <c r="B319" s="96" t="s">
        <v>92</v>
      </c>
      <c r="C319" s="62" t="s">
        <v>10</v>
      </c>
      <c r="D319" s="62" t="s">
        <v>94</v>
      </c>
      <c r="E319" s="46">
        <v>1798</v>
      </c>
      <c r="F319" s="46">
        <v>1572141.648</v>
      </c>
      <c r="G319" s="46">
        <v>1803</v>
      </c>
      <c r="H319" s="46">
        <v>1260185.1040000001</v>
      </c>
      <c r="I319" s="46">
        <v>1802</v>
      </c>
      <c r="J319" s="46">
        <v>1491937.3019999999</v>
      </c>
    </row>
    <row r="320" spans="1:10" x14ac:dyDescent="0.2">
      <c r="A320" s="73" t="s">
        <v>158</v>
      </c>
      <c r="B320" s="73" t="s">
        <v>92</v>
      </c>
      <c r="C320" s="62" t="s">
        <v>345</v>
      </c>
      <c r="D320" s="62" t="s">
        <v>94</v>
      </c>
      <c r="E320" s="46">
        <v>1782</v>
      </c>
      <c r="F320" s="46">
        <v>11098761.116</v>
      </c>
      <c r="G320" s="46">
        <v>1784</v>
      </c>
      <c r="H320" s="46">
        <v>13647574.402000001</v>
      </c>
      <c r="I320" s="46">
        <v>1781</v>
      </c>
      <c r="J320" s="46">
        <v>12411828.642999999</v>
      </c>
    </row>
    <row r="321" spans="1:10" x14ac:dyDescent="0.2">
      <c r="A321" s="96" t="s">
        <v>158</v>
      </c>
      <c r="B321" s="96" t="s">
        <v>92</v>
      </c>
      <c r="C321" s="62" t="s">
        <v>10</v>
      </c>
      <c r="D321" s="62" t="s">
        <v>94</v>
      </c>
      <c r="E321" s="46">
        <v>6294</v>
      </c>
      <c r="F321" s="46">
        <v>3812240.1880000001</v>
      </c>
      <c r="G321" s="46">
        <v>6282</v>
      </c>
      <c r="H321" s="46">
        <v>4203738.8140000002</v>
      </c>
      <c r="I321" s="46">
        <v>6301</v>
      </c>
      <c r="J321" s="46">
        <v>3958064.5070000002</v>
      </c>
    </row>
    <row r="322" spans="1:10" x14ac:dyDescent="0.2">
      <c r="A322" s="73" t="s">
        <v>159</v>
      </c>
      <c r="B322" s="73" t="s">
        <v>92</v>
      </c>
      <c r="C322" s="62" t="s">
        <v>345</v>
      </c>
      <c r="D322" s="62" t="s">
        <v>94</v>
      </c>
      <c r="E322" s="46">
        <v>26</v>
      </c>
      <c r="F322" s="46">
        <v>24143</v>
      </c>
      <c r="G322" s="46">
        <v>27</v>
      </c>
      <c r="H322" s="46">
        <v>63330.559999999998</v>
      </c>
      <c r="I322" s="46">
        <v>28</v>
      </c>
      <c r="J322" s="46">
        <v>25330</v>
      </c>
    </row>
    <row r="323" spans="1:10" x14ac:dyDescent="0.2">
      <c r="A323" s="96" t="s">
        <v>159</v>
      </c>
      <c r="B323" s="96" t="s">
        <v>92</v>
      </c>
      <c r="C323" s="62" t="s">
        <v>10</v>
      </c>
      <c r="D323" s="62" t="s">
        <v>94</v>
      </c>
      <c r="E323" s="46">
        <v>122</v>
      </c>
      <c r="F323" s="46">
        <v>44933.116000000002</v>
      </c>
      <c r="G323" s="46">
        <v>122</v>
      </c>
      <c r="H323" s="46">
        <v>142703.40400000001</v>
      </c>
      <c r="I323" s="46">
        <v>122</v>
      </c>
      <c r="J323" s="46">
        <v>49365.815999999999</v>
      </c>
    </row>
    <row r="324" spans="1:10" x14ac:dyDescent="0.2">
      <c r="A324" s="73" t="s">
        <v>160</v>
      </c>
      <c r="B324" s="73" t="s">
        <v>92</v>
      </c>
      <c r="C324" s="62" t="s">
        <v>345</v>
      </c>
      <c r="D324" s="62" t="s">
        <v>94</v>
      </c>
      <c r="E324" s="46">
        <v>583</v>
      </c>
      <c r="F324" s="46">
        <v>640252.52399999998</v>
      </c>
      <c r="G324" s="46">
        <v>585</v>
      </c>
      <c r="H324" s="46">
        <v>629507.91299999994</v>
      </c>
      <c r="I324" s="46">
        <v>586</v>
      </c>
      <c r="J324" s="46">
        <v>611119.01100000006</v>
      </c>
    </row>
    <row r="325" spans="1:10" x14ac:dyDescent="0.2">
      <c r="A325" s="96" t="s">
        <v>160</v>
      </c>
      <c r="B325" s="96" t="s">
        <v>92</v>
      </c>
      <c r="C325" s="62" t="s">
        <v>10</v>
      </c>
      <c r="D325" s="62" t="s">
        <v>94</v>
      </c>
      <c r="E325" s="46">
        <v>3506</v>
      </c>
      <c r="F325" s="46">
        <v>2546491.0410000002</v>
      </c>
      <c r="G325" s="46">
        <v>3503</v>
      </c>
      <c r="H325" s="46">
        <v>2303886.5729999999</v>
      </c>
      <c r="I325" s="46">
        <v>3515</v>
      </c>
      <c r="J325" s="46">
        <v>2406273.63</v>
      </c>
    </row>
    <row r="326" spans="1:10" x14ac:dyDescent="0.2">
      <c r="A326" s="73" t="s">
        <v>161</v>
      </c>
      <c r="B326" s="73" t="s">
        <v>92</v>
      </c>
      <c r="C326" s="62" t="s">
        <v>345</v>
      </c>
      <c r="D326" s="62" t="s">
        <v>94</v>
      </c>
      <c r="E326" s="46">
        <v>355</v>
      </c>
      <c r="F326" s="46">
        <v>854838.29200000002</v>
      </c>
      <c r="G326" s="46">
        <v>359</v>
      </c>
      <c r="H326" s="46">
        <v>833182.27099999995</v>
      </c>
      <c r="I326" s="46">
        <v>359</v>
      </c>
      <c r="J326" s="46">
        <v>819924.701</v>
      </c>
    </row>
    <row r="327" spans="1:10" x14ac:dyDescent="0.2">
      <c r="A327" s="96" t="s">
        <v>161</v>
      </c>
      <c r="B327" s="96" t="s">
        <v>92</v>
      </c>
      <c r="C327" s="62" t="s">
        <v>10</v>
      </c>
      <c r="D327" s="62" t="s">
        <v>94</v>
      </c>
      <c r="E327" s="46">
        <v>2091</v>
      </c>
      <c r="F327" s="46">
        <v>1417494.61</v>
      </c>
      <c r="G327" s="46">
        <v>2094</v>
      </c>
      <c r="H327" s="46">
        <v>1703795.523</v>
      </c>
      <c r="I327" s="46">
        <v>2094</v>
      </c>
      <c r="J327" s="46">
        <v>1472450.8259999999</v>
      </c>
    </row>
    <row r="328" spans="1:10" x14ac:dyDescent="0.2">
      <c r="A328" s="73" t="s">
        <v>162</v>
      </c>
      <c r="B328" s="73" t="s">
        <v>92</v>
      </c>
      <c r="C328" s="62" t="s">
        <v>345</v>
      </c>
      <c r="D328" s="62" t="s">
        <v>94</v>
      </c>
      <c r="E328" s="46">
        <v>23</v>
      </c>
      <c r="F328" s="46">
        <v>116088</v>
      </c>
      <c r="G328" s="46">
        <v>23</v>
      </c>
      <c r="H328" s="46">
        <v>139183.5</v>
      </c>
      <c r="I328" s="46">
        <v>23</v>
      </c>
      <c r="J328" s="46">
        <v>117132.806</v>
      </c>
    </row>
    <row r="329" spans="1:10" x14ac:dyDescent="0.2">
      <c r="A329" s="96" t="s">
        <v>162</v>
      </c>
      <c r="B329" s="96" t="s">
        <v>92</v>
      </c>
      <c r="C329" s="62" t="s">
        <v>10</v>
      </c>
      <c r="D329" s="62" t="s">
        <v>94</v>
      </c>
      <c r="E329" s="46">
        <v>27</v>
      </c>
      <c r="F329" s="46"/>
      <c r="G329" s="46">
        <v>27</v>
      </c>
      <c r="H329" s="46">
        <v>40654</v>
      </c>
      <c r="I329" s="46">
        <v>27</v>
      </c>
      <c r="J329" s="46"/>
    </row>
    <row r="330" spans="1:10" x14ac:dyDescent="0.2">
      <c r="A330" s="73" t="s">
        <v>163</v>
      </c>
      <c r="B330" s="73" t="s">
        <v>92</v>
      </c>
      <c r="C330" s="62" t="s">
        <v>345</v>
      </c>
      <c r="D330" s="62" t="s">
        <v>94</v>
      </c>
      <c r="E330" s="46">
        <v>717</v>
      </c>
      <c r="F330" s="46">
        <v>1391847.7930000001</v>
      </c>
      <c r="G330" s="46">
        <v>722</v>
      </c>
      <c r="H330" s="46">
        <v>2240309.1719999998</v>
      </c>
      <c r="I330" s="46">
        <v>721</v>
      </c>
      <c r="J330" s="46">
        <v>1598057.8360000001</v>
      </c>
    </row>
    <row r="331" spans="1:10" x14ac:dyDescent="0.2">
      <c r="A331" s="96" t="s">
        <v>163</v>
      </c>
      <c r="B331" s="96" t="s">
        <v>92</v>
      </c>
      <c r="C331" s="62" t="s">
        <v>10</v>
      </c>
      <c r="D331" s="62" t="s">
        <v>94</v>
      </c>
      <c r="E331" s="46">
        <v>4154</v>
      </c>
      <c r="F331" s="46">
        <v>2687022.7779999999</v>
      </c>
      <c r="G331" s="46">
        <v>4157</v>
      </c>
      <c r="H331" s="46">
        <v>2476156.2390000001</v>
      </c>
      <c r="I331" s="46">
        <v>4167</v>
      </c>
      <c r="J331" s="46">
        <v>2429991.1310000001</v>
      </c>
    </row>
    <row r="332" spans="1:10" x14ac:dyDescent="0.2">
      <c r="A332" s="73" t="s">
        <v>164</v>
      </c>
      <c r="B332" s="73" t="s">
        <v>92</v>
      </c>
      <c r="C332" s="62" t="s">
        <v>345</v>
      </c>
      <c r="D332" s="62" t="s">
        <v>94</v>
      </c>
      <c r="E332" s="46">
        <v>241</v>
      </c>
      <c r="F332" s="46">
        <v>616216.30099999998</v>
      </c>
      <c r="G332" s="46">
        <v>240</v>
      </c>
      <c r="H332" s="46">
        <v>719928.34499999997</v>
      </c>
      <c r="I332" s="46">
        <v>241</v>
      </c>
      <c r="J332" s="46">
        <v>728558.804</v>
      </c>
    </row>
    <row r="333" spans="1:10" x14ac:dyDescent="0.2">
      <c r="A333" s="96" t="s">
        <v>164</v>
      </c>
      <c r="B333" s="96" t="s">
        <v>92</v>
      </c>
      <c r="C333" s="62" t="s">
        <v>10</v>
      </c>
      <c r="D333" s="62" t="s">
        <v>94</v>
      </c>
      <c r="E333" s="46">
        <v>1200</v>
      </c>
      <c r="F333" s="46">
        <v>1085134.719</v>
      </c>
      <c r="G333" s="46">
        <v>1201</v>
      </c>
      <c r="H333" s="46">
        <v>1122093.8970000001</v>
      </c>
      <c r="I333" s="46">
        <v>1197</v>
      </c>
      <c r="J333" s="46">
        <v>1168682.3500000001</v>
      </c>
    </row>
    <row r="334" spans="1:10" x14ac:dyDescent="0.2">
      <c r="A334" s="73" t="s">
        <v>165</v>
      </c>
      <c r="B334" s="73" t="s">
        <v>92</v>
      </c>
      <c r="C334" s="62" t="s">
        <v>345</v>
      </c>
      <c r="D334" s="62" t="s">
        <v>94</v>
      </c>
      <c r="E334" s="46">
        <v>373</v>
      </c>
      <c r="F334" s="46">
        <v>788989.23300000001</v>
      </c>
      <c r="G334" s="46">
        <v>372</v>
      </c>
      <c r="H334" s="46">
        <v>1565855.1569999999</v>
      </c>
      <c r="I334" s="46">
        <v>376</v>
      </c>
      <c r="J334" s="46">
        <v>694818.67299999995</v>
      </c>
    </row>
    <row r="335" spans="1:10" x14ac:dyDescent="0.2">
      <c r="A335" s="96" t="s">
        <v>165</v>
      </c>
      <c r="B335" s="96" t="s">
        <v>92</v>
      </c>
      <c r="C335" s="62" t="s">
        <v>10</v>
      </c>
      <c r="D335" s="62" t="s">
        <v>94</v>
      </c>
      <c r="E335" s="46">
        <v>2079</v>
      </c>
      <c r="F335" s="46">
        <v>1099078.662</v>
      </c>
      <c r="G335" s="46">
        <v>2080</v>
      </c>
      <c r="H335" s="46">
        <v>1497263.9939999999</v>
      </c>
      <c r="I335" s="46">
        <v>2080</v>
      </c>
      <c r="J335" s="46">
        <v>1008069.393</v>
      </c>
    </row>
    <row r="336" spans="1:10" x14ac:dyDescent="0.2">
      <c r="A336" s="73" t="s">
        <v>166</v>
      </c>
      <c r="B336" s="73" t="s">
        <v>92</v>
      </c>
      <c r="C336" s="62" t="s">
        <v>345</v>
      </c>
      <c r="D336" s="62" t="s">
        <v>94</v>
      </c>
      <c r="E336" s="46">
        <v>685</v>
      </c>
      <c r="F336" s="46">
        <v>3112645.8289999999</v>
      </c>
      <c r="G336" s="46">
        <v>689</v>
      </c>
      <c r="H336" s="46">
        <v>4050392.5729999999</v>
      </c>
      <c r="I336" s="46">
        <v>683</v>
      </c>
      <c r="J336" s="46">
        <v>3796960.3040000005</v>
      </c>
    </row>
    <row r="337" spans="1:10" x14ac:dyDescent="0.2">
      <c r="A337" s="96" t="s">
        <v>166</v>
      </c>
      <c r="B337" s="96" t="s">
        <v>92</v>
      </c>
      <c r="C337" s="62" t="s">
        <v>10</v>
      </c>
      <c r="D337" s="62" t="s">
        <v>94</v>
      </c>
      <c r="E337" s="46">
        <v>3166</v>
      </c>
      <c r="F337" s="46">
        <v>2335871.3659999999</v>
      </c>
      <c r="G337" s="46">
        <v>3164</v>
      </c>
      <c r="H337" s="46">
        <v>3204102.5520000001</v>
      </c>
      <c r="I337" s="46">
        <v>3164</v>
      </c>
      <c r="J337" s="46">
        <v>2525710.2119999998</v>
      </c>
    </row>
    <row r="338" spans="1:10" x14ac:dyDescent="0.2">
      <c r="A338" s="73" t="s">
        <v>167</v>
      </c>
      <c r="B338" s="73" t="s">
        <v>92</v>
      </c>
      <c r="C338" s="62" t="s">
        <v>345</v>
      </c>
      <c r="D338" s="62" t="s">
        <v>94</v>
      </c>
      <c r="E338" s="46">
        <v>1984</v>
      </c>
      <c r="F338" s="46">
        <v>81374298.247999996</v>
      </c>
      <c r="G338" s="46">
        <v>1982</v>
      </c>
      <c r="H338" s="46">
        <v>87777528.078000009</v>
      </c>
      <c r="I338" s="46">
        <v>1990</v>
      </c>
      <c r="J338" s="46">
        <v>84839392.152999997</v>
      </c>
    </row>
    <row r="339" spans="1:10" x14ac:dyDescent="0.2">
      <c r="A339" s="96" t="s">
        <v>167</v>
      </c>
      <c r="B339" s="96" t="s">
        <v>92</v>
      </c>
      <c r="C339" s="62" t="s">
        <v>10</v>
      </c>
      <c r="D339" s="62" t="s">
        <v>94</v>
      </c>
      <c r="E339" s="46">
        <v>10401</v>
      </c>
      <c r="F339" s="46">
        <v>6830315.3080000002</v>
      </c>
      <c r="G339" s="46">
        <v>10411</v>
      </c>
      <c r="H339" s="46">
        <v>7269701.8679999998</v>
      </c>
      <c r="I339" s="46">
        <v>10414</v>
      </c>
      <c r="J339" s="46">
        <v>8219577.8339999998</v>
      </c>
    </row>
    <row r="340" spans="1:10" x14ac:dyDescent="0.2">
      <c r="A340" s="73" t="s">
        <v>168</v>
      </c>
      <c r="B340" s="73" t="s">
        <v>92</v>
      </c>
      <c r="C340" s="62" t="s">
        <v>345</v>
      </c>
      <c r="D340" s="62" t="s">
        <v>94</v>
      </c>
      <c r="E340" s="46">
        <v>563</v>
      </c>
      <c r="F340" s="46">
        <v>770873.16700000002</v>
      </c>
      <c r="G340" s="46">
        <v>562</v>
      </c>
      <c r="H340" s="46">
        <v>987585.64800000004</v>
      </c>
      <c r="I340" s="46">
        <v>561</v>
      </c>
      <c r="J340" s="46">
        <v>800477.01699999999</v>
      </c>
    </row>
    <row r="341" spans="1:10" x14ac:dyDescent="0.2">
      <c r="A341" s="96" t="s">
        <v>168</v>
      </c>
      <c r="B341" s="96" t="s">
        <v>92</v>
      </c>
      <c r="C341" s="62" t="s">
        <v>10</v>
      </c>
      <c r="D341" s="62" t="s">
        <v>94</v>
      </c>
      <c r="E341" s="46">
        <v>3246</v>
      </c>
      <c r="F341" s="46">
        <v>2084144.1089999999</v>
      </c>
      <c r="G341" s="46">
        <v>3247</v>
      </c>
      <c r="H341" s="46">
        <v>2128957.4270000001</v>
      </c>
      <c r="I341" s="46">
        <v>3249</v>
      </c>
      <c r="J341" s="46">
        <v>1970625.064</v>
      </c>
    </row>
    <row r="342" spans="1:10" x14ac:dyDescent="0.2">
      <c r="A342" s="73" t="s">
        <v>312</v>
      </c>
      <c r="B342" s="73" t="s">
        <v>267</v>
      </c>
      <c r="C342" s="62" t="s">
        <v>345</v>
      </c>
      <c r="D342" s="62" t="s">
        <v>268</v>
      </c>
      <c r="E342" s="46">
        <v>22</v>
      </c>
      <c r="F342" s="46">
        <v>4154.1409999999996</v>
      </c>
      <c r="G342" s="46">
        <v>22</v>
      </c>
      <c r="H342" s="46">
        <v>2684.4319999999998</v>
      </c>
      <c r="I342" s="46">
        <v>23</v>
      </c>
      <c r="J342" s="46">
        <v>2912.45</v>
      </c>
    </row>
    <row r="343" spans="1:10" x14ac:dyDescent="0.2">
      <c r="A343" s="96" t="s">
        <v>312</v>
      </c>
      <c r="B343" s="96" t="s">
        <v>92</v>
      </c>
      <c r="C343" s="62" t="s">
        <v>10</v>
      </c>
      <c r="D343" s="62" t="s">
        <v>94</v>
      </c>
      <c r="E343" s="46">
        <v>1</v>
      </c>
      <c r="F343" s="46"/>
      <c r="G343" s="46">
        <v>1</v>
      </c>
      <c r="H343" s="46">
        <v>798</v>
      </c>
      <c r="I343" s="46">
        <v>1</v>
      </c>
      <c r="J343" s="46"/>
    </row>
    <row r="344" spans="1:10" x14ac:dyDescent="0.2">
      <c r="A344" s="73" t="s">
        <v>312</v>
      </c>
      <c r="B344" s="73" t="s">
        <v>267</v>
      </c>
      <c r="C344" s="62" t="s">
        <v>10</v>
      </c>
      <c r="D344" s="62" t="s">
        <v>268</v>
      </c>
      <c r="E344" s="46">
        <v>408</v>
      </c>
      <c r="F344" s="46">
        <v>8372.5709999999999</v>
      </c>
      <c r="G344" s="46">
        <v>409</v>
      </c>
      <c r="H344" s="46">
        <v>5846.91</v>
      </c>
      <c r="I344" s="46">
        <v>410</v>
      </c>
      <c r="J344" s="46">
        <v>5705.3810000000003</v>
      </c>
    </row>
    <row r="345" spans="1:10" x14ac:dyDescent="0.2">
      <c r="A345" s="96" t="s">
        <v>313</v>
      </c>
      <c r="B345" s="62" t="s">
        <v>267</v>
      </c>
      <c r="C345" s="62" t="s">
        <v>345</v>
      </c>
      <c r="D345" s="62" t="s">
        <v>268</v>
      </c>
      <c r="E345" s="46">
        <v>56</v>
      </c>
      <c r="F345" s="46">
        <v>17424.469999999998</v>
      </c>
      <c r="G345" s="46">
        <v>56</v>
      </c>
      <c r="H345" s="46">
        <v>8940.893</v>
      </c>
      <c r="I345" s="46">
        <v>56</v>
      </c>
      <c r="J345" s="46">
        <v>8797.0019999999986</v>
      </c>
    </row>
    <row r="346" spans="1:10" x14ac:dyDescent="0.2">
      <c r="A346" s="73" t="s">
        <v>313</v>
      </c>
      <c r="B346" s="96" t="s">
        <v>267</v>
      </c>
      <c r="C346" s="62" t="s">
        <v>10</v>
      </c>
      <c r="D346" s="62" t="s">
        <v>268</v>
      </c>
      <c r="E346" s="46">
        <v>1210</v>
      </c>
      <c r="F346" s="46">
        <v>28039.724999999999</v>
      </c>
      <c r="G346" s="46">
        <v>1212</v>
      </c>
      <c r="H346" s="46">
        <v>16568.275000000001</v>
      </c>
      <c r="I346" s="46">
        <v>1211</v>
      </c>
      <c r="J346" s="46">
        <v>16589.912</v>
      </c>
    </row>
    <row r="347" spans="1:10" x14ac:dyDescent="0.2">
      <c r="A347" s="73" t="s">
        <v>169</v>
      </c>
      <c r="B347" s="73" t="s">
        <v>92</v>
      </c>
      <c r="C347" s="62" t="s">
        <v>345</v>
      </c>
      <c r="D347" s="62" t="s">
        <v>94</v>
      </c>
      <c r="E347" s="46">
        <v>241</v>
      </c>
      <c r="F347" s="46">
        <v>146459.989</v>
      </c>
      <c r="G347" s="46">
        <v>242</v>
      </c>
      <c r="H347" s="46">
        <v>106486.111</v>
      </c>
      <c r="I347" s="46">
        <v>242</v>
      </c>
      <c r="J347" s="46">
        <v>155417.29500000001</v>
      </c>
    </row>
    <row r="348" spans="1:10" x14ac:dyDescent="0.2">
      <c r="A348" s="96" t="s">
        <v>169</v>
      </c>
      <c r="B348" s="96" t="s">
        <v>92</v>
      </c>
      <c r="C348" s="62" t="s">
        <v>10</v>
      </c>
      <c r="D348" s="62" t="s">
        <v>94</v>
      </c>
      <c r="E348" s="46">
        <v>1432</v>
      </c>
      <c r="F348" s="46">
        <v>1019919.376</v>
      </c>
      <c r="G348" s="46">
        <v>1430</v>
      </c>
      <c r="H348" s="46">
        <v>765406.27899999998</v>
      </c>
      <c r="I348" s="46">
        <v>1431</v>
      </c>
      <c r="J348" s="46">
        <v>929570.95499999996</v>
      </c>
    </row>
    <row r="349" spans="1:10" x14ac:dyDescent="0.2">
      <c r="A349" s="73" t="s">
        <v>170</v>
      </c>
      <c r="B349" s="73" t="s">
        <v>92</v>
      </c>
      <c r="C349" s="62" t="s">
        <v>345</v>
      </c>
      <c r="D349" s="62" t="s">
        <v>94</v>
      </c>
      <c r="E349" s="46">
        <v>30</v>
      </c>
      <c r="F349" s="46">
        <v>1923935</v>
      </c>
      <c r="G349" s="46">
        <v>30</v>
      </c>
      <c r="H349" s="46">
        <v>51934.048000000003</v>
      </c>
      <c r="I349" s="46">
        <v>30</v>
      </c>
      <c r="J349" s="46">
        <v>2165641</v>
      </c>
    </row>
    <row r="350" spans="1:10" x14ac:dyDescent="0.2">
      <c r="A350" s="96" t="s">
        <v>170</v>
      </c>
      <c r="B350" s="96" t="s">
        <v>92</v>
      </c>
      <c r="C350" s="62" t="s">
        <v>10</v>
      </c>
      <c r="D350" s="62" t="s">
        <v>94</v>
      </c>
      <c r="E350" s="46">
        <v>85</v>
      </c>
      <c r="F350" s="46"/>
      <c r="G350" s="46">
        <v>86</v>
      </c>
      <c r="H350" s="46">
        <v>116428.68</v>
      </c>
      <c r="I350" s="46">
        <v>85</v>
      </c>
      <c r="J350" s="46">
        <v>25.126999999999999</v>
      </c>
    </row>
    <row r="351" spans="1:10" x14ac:dyDescent="0.2">
      <c r="A351" s="73" t="s">
        <v>171</v>
      </c>
      <c r="B351" s="73" t="s">
        <v>92</v>
      </c>
      <c r="C351" s="62" t="s">
        <v>345</v>
      </c>
      <c r="D351" s="62" t="s">
        <v>94</v>
      </c>
      <c r="E351" s="46">
        <v>564</v>
      </c>
      <c r="F351" s="46">
        <v>1147607.923</v>
      </c>
      <c r="G351" s="46">
        <v>565</v>
      </c>
      <c r="H351" s="46">
        <v>950763.90099999995</v>
      </c>
      <c r="I351" s="46">
        <v>561</v>
      </c>
      <c r="J351" s="46">
        <v>1070127.2549999999</v>
      </c>
    </row>
    <row r="352" spans="1:10" x14ac:dyDescent="0.2">
      <c r="A352" s="96" t="s">
        <v>171</v>
      </c>
      <c r="B352" s="96" t="s">
        <v>92</v>
      </c>
      <c r="C352" s="62" t="s">
        <v>10</v>
      </c>
      <c r="D352" s="62" t="s">
        <v>94</v>
      </c>
      <c r="E352" s="46">
        <v>2170</v>
      </c>
      <c r="F352" s="46">
        <v>1666639.8910000001</v>
      </c>
      <c r="G352" s="46">
        <v>2172</v>
      </c>
      <c r="H352" s="46">
        <v>1213640.102</v>
      </c>
      <c r="I352" s="46">
        <v>2172</v>
      </c>
      <c r="J352" s="46">
        <v>1489614.47</v>
      </c>
    </row>
    <row r="353" spans="1:10" x14ac:dyDescent="0.2">
      <c r="A353" s="73" t="s">
        <v>314</v>
      </c>
      <c r="B353" s="73" t="s">
        <v>267</v>
      </c>
      <c r="C353" s="62" t="s">
        <v>345</v>
      </c>
      <c r="D353" s="62" t="s">
        <v>268</v>
      </c>
      <c r="E353" s="46">
        <v>263</v>
      </c>
      <c r="F353" s="46">
        <v>31368.660000000003</v>
      </c>
      <c r="G353" s="46">
        <v>263</v>
      </c>
      <c r="H353" s="46">
        <v>48575.464999999997</v>
      </c>
      <c r="I353" s="46">
        <v>260</v>
      </c>
      <c r="J353" s="46">
        <v>33456.173999999999</v>
      </c>
    </row>
    <row r="354" spans="1:10" x14ac:dyDescent="0.2">
      <c r="A354" s="96" t="s">
        <v>314</v>
      </c>
      <c r="B354" s="96" t="s">
        <v>267</v>
      </c>
      <c r="C354" s="62" t="s">
        <v>10</v>
      </c>
      <c r="D354" s="62" t="s">
        <v>268</v>
      </c>
      <c r="E354" s="46">
        <v>10645</v>
      </c>
      <c r="F354" s="46">
        <v>255059.177</v>
      </c>
      <c r="G354" s="46">
        <v>10650</v>
      </c>
      <c r="H354" s="46">
        <v>173092.64499999999</v>
      </c>
      <c r="I354" s="46">
        <v>10669</v>
      </c>
      <c r="J354" s="46">
        <v>181816.17600000001</v>
      </c>
    </row>
    <row r="355" spans="1:10" x14ac:dyDescent="0.2">
      <c r="A355" s="73" t="s">
        <v>172</v>
      </c>
      <c r="B355" s="73" t="s">
        <v>92</v>
      </c>
      <c r="C355" s="62" t="s">
        <v>345</v>
      </c>
      <c r="D355" s="62" t="s">
        <v>94</v>
      </c>
      <c r="E355" s="46">
        <v>689</v>
      </c>
      <c r="F355" s="46">
        <v>1082903.878</v>
      </c>
      <c r="G355" s="46">
        <v>688</v>
      </c>
      <c r="H355" s="46">
        <v>1182364.254</v>
      </c>
      <c r="I355" s="46">
        <v>692</v>
      </c>
      <c r="J355" s="46">
        <v>1071305.273</v>
      </c>
    </row>
    <row r="356" spans="1:10" x14ac:dyDescent="0.2">
      <c r="A356" s="96" t="s">
        <v>172</v>
      </c>
      <c r="B356" s="96" t="s">
        <v>92</v>
      </c>
      <c r="C356" s="62" t="s">
        <v>10</v>
      </c>
      <c r="D356" s="62" t="s">
        <v>94</v>
      </c>
      <c r="E356" s="46">
        <v>3490</v>
      </c>
      <c r="F356" s="46">
        <v>2111114.085</v>
      </c>
      <c r="G356" s="46">
        <v>3492</v>
      </c>
      <c r="H356" s="46">
        <v>2228773.0109999999</v>
      </c>
      <c r="I356" s="46">
        <v>3495</v>
      </c>
      <c r="J356" s="46">
        <v>2109275.057</v>
      </c>
    </row>
    <row r="357" spans="1:10" x14ac:dyDescent="0.2">
      <c r="A357" s="73" t="s">
        <v>173</v>
      </c>
      <c r="B357" s="73" t="s">
        <v>92</v>
      </c>
      <c r="C357" s="62" t="s">
        <v>345</v>
      </c>
      <c r="D357" s="62" t="s">
        <v>94</v>
      </c>
      <c r="E357" s="46">
        <v>140</v>
      </c>
      <c r="F357" s="46">
        <v>107193.2</v>
      </c>
      <c r="G357" s="46">
        <v>140</v>
      </c>
      <c r="H357" s="46">
        <v>111665.251</v>
      </c>
      <c r="I357" s="46">
        <v>138</v>
      </c>
      <c r="J357" s="46">
        <v>107741.159</v>
      </c>
    </row>
    <row r="358" spans="1:10" x14ac:dyDescent="0.2">
      <c r="A358" s="96" t="s">
        <v>173</v>
      </c>
      <c r="B358" s="96" t="s">
        <v>92</v>
      </c>
      <c r="C358" s="62" t="s">
        <v>10</v>
      </c>
      <c r="D358" s="62" t="s">
        <v>94</v>
      </c>
      <c r="E358" s="46">
        <v>802</v>
      </c>
      <c r="F358" s="46">
        <v>361202.64299999998</v>
      </c>
      <c r="G358" s="46">
        <v>802</v>
      </c>
      <c r="H358" s="46">
        <v>354023.31599999999</v>
      </c>
      <c r="I358" s="46">
        <v>808</v>
      </c>
      <c r="J358" s="46">
        <v>353625.07</v>
      </c>
    </row>
    <row r="359" spans="1:10" x14ac:dyDescent="0.2">
      <c r="A359" s="73" t="s">
        <v>174</v>
      </c>
      <c r="B359" s="73" t="s">
        <v>92</v>
      </c>
      <c r="C359" s="62" t="s">
        <v>345</v>
      </c>
      <c r="D359" s="62" t="s">
        <v>94</v>
      </c>
      <c r="E359" s="46">
        <v>36</v>
      </c>
      <c r="F359" s="46">
        <v>97596</v>
      </c>
      <c r="G359" s="46">
        <v>36</v>
      </c>
      <c r="H359" s="46">
        <v>71448</v>
      </c>
      <c r="I359" s="46">
        <v>36</v>
      </c>
      <c r="J359" s="46">
        <v>52454</v>
      </c>
    </row>
    <row r="360" spans="1:10" x14ac:dyDescent="0.2">
      <c r="A360" s="96" t="s">
        <v>174</v>
      </c>
      <c r="B360" s="96" t="s">
        <v>92</v>
      </c>
      <c r="C360" s="62" t="s">
        <v>10</v>
      </c>
      <c r="D360" s="62" t="s">
        <v>94</v>
      </c>
      <c r="E360" s="46">
        <v>156</v>
      </c>
      <c r="F360" s="46">
        <v>3506</v>
      </c>
      <c r="G360" s="46">
        <v>156</v>
      </c>
      <c r="H360" s="46">
        <v>234031.77499999999</v>
      </c>
      <c r="I360" s="46">
        <v>156</v>
      </c>
      <c r="J360" s="46">
        <v>-3210.8760000000002</v>
      </c>
    </row>
    <row r="361" spans="1:10" x14ac:dyDescent="0.2">
      <c r="A361" s="73" t="s">
        <v>175</v>
      </c>
      <c r="B361" s="73" t="s">
        <v>92</v>
      </c>
      <c r="C361" s="62" t="s">
        <v>345</v>
      </c>
      <c r="D361" s="62" t="s">
        <v>94</v>
      </c>
      <c r="E361" s="46">
        <v>1784</v>
      </c>
      <c r="F361" s="46">
        <v>9524861.5240000002</v>
      </c>
      <c r="G361" s="46">
        <v>1789</v>
      </c>
      <c r="H361" s="46">
        <v>14587626.514999999</v>
      </c>
      <c r="I361" s="46">
        <v>1787</v>
      </c>
      <c r="J361" s="46">
        <v>12305463.904000001</v>
      </c>
    </row>
    <row r="362" spans="1:10" x14ac:dyDescent="0.2">
      <c r="A362" s="96" t="s">
        <v>175</v>
      </c>
      <c r="B362" s="96" t="s">
        <v>92</v>
      </c>
      <c r="C362" s="62" t="s">
        <v>10</v>
      </c>
      <c r="D362" s="62" t="s">
        <v>94</v>
      </c>
      <c r="E362" s="46">
        <v>8701</v>
      </c>
      <c r="F362" s="46">
        <v>5481257.6469999999</v>
      </c>
      <c r="G362" s="46">
        <v>8710</v>
      </c>
      <c r="H362" s="46">
        <v>7447858.8990000002</v>
      </c>
      <c r="I362" s="46">
        <v>8699</v>
      </c>
      <c r="J362" s="46">
        <v>7259382.3499999996</v>
      </c>
    </row>
    <row r="363" spans="1:10" x14ac:dyDescent="0.2">
      <c r="A363" s="73" t="s">
        <v>176</v>
      </c>
      <c r="B363" s="73" t="s">
        <v>92</v>
      </c>
      <c r="C363" s="62" t="s">
        <v>345</v>
      </c>
      <c r="D363" s="62" t="s">
        <v>94</v>
      </c>
      <c r="E363" s="46">
        <v>152</v>
      </c>
      <c r="F363" s="46">
        <v>299305.06</v>
      </c>
      <c r="G363" s="46">
        <v>154</v>
      </c>
      <c r="H363" s="46">
        <v>226036.74</v>
      </c>
      <c r="I363" s="46">
        <v>153</v>
      </c>
      <c r="J363" s="46">
        <v>250262.40700000001</v>
      </c>
    </row>
    <row r="364" spans="1:10" x14ac:dyDescent="0.2">
      <c r="A364" s="96" t="s">
        <v>176</v>
      </c>
      <c r="B364" s="96" t="s">
        <v>92</v>
      </c>
      <c r="C364" s="62" t="s">
        <v>10</v>
      </c>
      <c r="D364" s="62" t="s">
        <v>94</v>
      </c>
      <c r="E364" s="46">
        <v>1848</v>
      </c>
      <c r="F364" s="46">
        <v>1356106.1259999999</v>
      </c>
      <c r="G364" s="46">
        <v>1850</v>
      </c>
      <c r="H364" s="46">
        <v>1264126.243</v>
      </c>
      <c r="I364" s="46">
        <v>1857</v>
      </c>
      <c r="J364" s="46">
        <v>1315608.3629999999</v>
      </c>
    </row>
    <row r="365" spans="1:10" x14ac:dyDescent="0.2">
      <c r="A365" s="73" t="s">
        <v>177</v>
      </c>
      <c r="B365" s="73" t="s">
        <v>92</v>
      </c>
      <c r="C365" s="62" t="s">
        <v>345</v>
      </c>
      <c r="D365" s="62" t="s">
        <v>94</v>
      </c>
      <c r="E365" s="46">
        <v>57</v>
      </c>
      <c r="F365" s="46">
        <v>246758.524</v>
      </c>
      <c r="G365" s="46">
        <v>56</v>
      </c>
      <c r="H365" s="46">
        <v>188160.97</v>
      </c>
      <c r="I365" s="46">
        <v>57</v>
      </c>
      <c r="J365" s="46">
        <v>246691.32</v>
      </c>
    </row>
    <row r="366" spans="1:10" x14ac:dyDescent="0.2">
      <c r="A366" s="96" t="s">
        <v>177</v>
      </c>
      <c r="B366" s="96" t="s">
        <v>92</v>
      </c>
      <c r="C366" s="62" t="s">
        <v>10</v>
      </c>
      <c r="D366" s="62" t="s">
        <v>94</v>
      </c>
      <c r="E366" s="46">
        <v>222</v>
      </c>
      <c r="F366" s="46">
        <v>315235.88699999999</v>
      </c>
      <c r="G366" s="46">
        <v>223</v>
      </c>
      <c r="H366" s="46">
        <v>353</v>
      </c>
      <c r="I366" s="46">
        <v>223</v>
      </c>
      <c r="J366" s="46">
        <v>298412.94699999999</v>
      </c>
    </row>
    <row r="367" spans="1:10" x14ac:dyDescent="0.2">
      <c r="A367" s="73" t="s">
        <v>315</v>
      </c>
      <c r="B367" s="73" t="s">
        <v>267</v>
      </c>
      <c r="C367" s="62" t="s">
        <v>345</v>
      </c>
      <c r="D367" s="62" t="s">
        <v>268</v>
      </c>
      <c r="E367" s="46">
        <v>554</v>
      </c>
      <c r="F367" s="46">
        <v>73976.28</v>
      </c>
      <c r="G367" s="46">
        <v>553</v>
      </c>
      <c r="H367" s="46">
        <v>57285.172999999995</v>
      </c>
      <c r="I367" s="46">
        <v>552</v>
      </c>
      <c r="J367" s="46">
        <v>51388.442000000003</v>
      </c>
    </row>
    <row r="368" spans="1:10" x14ac:dyDescent="0.2">
      <c r="A368" s="96" t="s">
        <v>315</v>
      </c>
      <c r="B368" s="96" t="s">
        <v>267</v>
      </c>
      <c r="C368" s="62" t="s">
        <v>10</v>
      </c>
      <c r="D368" s="62" t="s">
        <v>268</v>
      </c>
      <c r="E368" s="46">
        <v>11159</v>
      </c>
      <c r="F368" s="46">
        <v>251171.91500000001</v>
      </c>
      <c r="G368" s="46">
        <v>11161</v>
      </c>
      <c r="H368" s="46">
        <v>198717.76800000001</v>
      </c>
      <c r="I368" s="46">
        <v>11172</v>
      </c>
      <c r="J368" s="46">
        <v>170064.04500000001</v>
      </c>
    </row>
    <row r="369" spans="1:10" x14ac:dyDescent="0.2">
      <c r="A369" s="73" t="s">
        <v>316</v>
      </c>
      <c r="B369" s="73" t="s">
        <v>267</v>
      </c>
      <c r="C369" s="62" t="s">
        <v>345</v>
      </c>
      <c r="D369" s="62" t="s">
        <v>268</v>
      </c>
      <c r="E369" s="46">
        <v>521</v>
      </c>
      <c r="F369" s="46">
        <v>370233.88699999999</v>
      </c>
      <c r="G369" s="46">
        <v>520</v>
      </c>
      <c r="H369" s="46">
        <v>241466.04200000002</v>
      </c>
      <c r="I369" s="46">
        <v>523</v>
      </c>
      <c r="J369" s="46">
        <v>246568.77100000001</v>
      </c>
    </row>
    <row r="370" spans="1:10" x14ac:dyDescent="0.2">
      <c r="A370" s="96" t="s">
        <v>316</v>
      </c>
      <c r="B370" s="96" t="s">
        <v>267</v>
      </c>
      <c r="C370" s="62" t="s">
        <v>10</v>
      </c>
      <c r="D370" s="62" t="s">
        <v>268</v>
      </c>
      <c r="E370" s="46">
        <v>2959</v>
      </c>
      <c r="F370" s="46">
        <v>70845.547999999995</v>
      </c>
      <c r="G370" s="46">
        <v>2952</v>
      </c>
      <c r="H370" s="46">
        <v>55389.362999999998</v>
      </c>
      <c r="I370" s="46">
        <v>2952</v>
      </c>
      <c r="J370" s="46">
        <v>48167.669000000002</v>
      </c>
    </row>
    <row r="371" spans="1:10" x14ac:dyDescent="0.2">
      <c r="A371" s="73" t="s">
        <v>178</v>
      </c>
      <c r="B371" s="73" t="s">
        <v>92</v>
      </c>
      <c r="C371" s="62" t="s">
        <v>345</v>
      </c>
      <c r="D371" s="62" t="s">
        <v>94</v>
      </c>
      <c r="E371" s="46">
        <v>5</v>
      </c>
      <c r="F371" s="46">
        <v>990</v>
      </c>
      <c r="G371" s="46">
        <v>5</v>
      </c>
      <c r="H371" s="46">
        <v>694</v>
      </c>
      <c r="I371" s="46">
        <v>5</v>
      </c>
      <c r="J371" s="46">
        <v>634</v>
      </c>
    </row>
    <row r="372" spans="1:10" x14ac:dyDescent="0.2">
      <c r="A372" s="96" t="s">
        <v>178</v>
      </c>
      <c r="B372" s="96" t="s">
        <v>267</v>
      </c>
      <c r="C372" s="62" t="s">
        <v>345</v>
      </c>
      <c r="D372" s="62" t="s">
        <v>268</v>
      </c>
      <c r="E372" s="46">
        <v>628</v>
      </c>
      <c r="F372" s="46">
        <v>144785.90400000001</v>
      </c>
      <c r="G372" s="46">
        <v>628</v>
      </c>
      <c r="H372" s="46">
        <v>287908.12300000002</v>
      </c>
      <c r="I372" s="46">
        <v>627</v>
      </c>
      <c r="J372" s="46">
        <v>188399.49899999998</v>
      </c>
    </row>
    <row r="373" spans="1:10" x14ac:dyDescent="0.2">
      <c r="A373" s="73" t="s">
        <v>178</v>
      </c>
      <c r="B373" s="73" t="s">
        <v>92</v>
      </c>
      <c r="C373" s="62" t="s">
        <v>10</v>
      </c>
      <c r="D373" s="62" t="s">
        <v>94</v>
      </c>
      <c r="E373" s="46">
        <v>3</v>
      </c>
      <c r="F373" s="46">
        <v>2329</v>
      </c>
      <c r="G373" s="46">
        <v>3</v>
      </c>
      <c r="H373" s="46">
        <v>1952</v>
      </c>
      <c r="I373" s="46">
        <v>3</v>
      </c>
      <c r="J373" s="46">
        <v>1924</v>
      </c>
    </row>
    <row r="374" spans="1:10" x14ac:dyDescent="0.2">
      <c r="A374" s="96" t="s">
        <v>178</v>
      </c>
      <c r="B374" s="96" t="s">
        <v>267</v>
      </c>
      <c r="C374" s="62" t="s">
        <v>10</v>
      </c>
      <c r="D374" s="62" t="s">
        <v>268</v>
      </c>
      <c r="E374" s="46">
        <v>4442</v>
      </c>
      <c r="F374" s="46">
        <v>101728.72199999999</v>
      </c>
      <c r="G374" s="46">
        <v>4443</v>
      </c>
      <c r="H374" s="46">
        <v>67162.756999999998</v>
      </c>
      <c r="I374" s="46">
        <v>4446</v>
      </c>
      <c r="J374" s="46">
        <v>71635.857999999993</v>
      </c>
    </row>
    <row r="375" spans="1:10" x14ac:dyDescent="0.2">
      <c r="A375" s="73" t="s">
        <v>179</v>
      </c>
      <c r="B375" s="73" t="s">
        <v>92</v>
      </c>
      <c r="C375" s="62" t="s">
        <v>345</v>
      </c>
      <c r="D375" s="62" t="s">
        <v>94</v>
      </c>
      <c r="E375" s="46">
        <v>2412</v>
      </c>
      <c r="F375" s="46">
        <v>16245435.494000001</v>
      </c>
      <c r="G375" s="46">
        <v>2413</v>
      </c>
      <c r="H375" s="46">
        <v>18724247.151999999</v>
      </c>
      <c r="I375" s="46">
        <v>2411</v>
      </c>
      <c r="J375" s="46">
        <v>17971967.646000002</v>
      </c>
    </row>
    <row r="376" spans="1:10" x14ac:dyDescent="0.2">
      <c r="A376" s="73" t="s">
        <v>179</v>
      </c>
      <c r="B376" s="96" t="s">
        <v>92</v>
      </c>
      <c r="C376" s="62" t="s">
        <v>10</v>
      </c>
      <c r="D376" s="62" t="s">
        <v>94</v>
      </c>
      <c r="E376" s="46">
        <v>11421</v>
      </c>
      <c r="F376" s="46">
        <v>7031166.2470000004</v>
      </c>
      <c r="G376" s="46">
        <v>11417</v>
      </c>
      <c r="H376" s="46">
        <v>7613599.0820000004</v>
      </c>
      <c r="I376" s="46">
        <v>11458</v>
      </c>
      <c r="J376" s="46">
        <v>7495596.8990000002</v>
      </c>
    </row>
    <row r="377" spans="1:10" x14ac:dyDescent="0.2">
      <c r="A377" s="73" t="s">
        <v>180</v>
      </c>
      <c r="B377" s="73" t="s">
        <v>92</v>
      </c>
      <c r="C377" s="62" t="s">
        <v>345</v>
      </c>
      <c r="D377" s="62" t="s">
        <v>94</v>
      </c>
      <c r="E377" s="46">
        <v>794</v>
      </c>
      <c r="F377" s="46">
        <v>3350705.0529999998</v>
      </c>
      <c r="G377" s="46">
        <v>796</v>
      </c>
      <c r="H377" s="46">
        <v>3553210.648</v>
      </c>
      <c r="I377" s="46">
        <v>793</v>
      </c>
      <c r="J377" s="46">
        <v>3275623.35</v>
      </c>
    </row>
    <row r="378" spans="1:10" x14ac:dyDescent="0.2">
      <c r="A378" s="96" t="s">
        <v>180</v>
      </c>
      <c r="B378" s="96" t="s">
        <v>92</v>
      </c>
      <c r="C378" s="62" t="s">
        <v>10</v>
      </c>
      <c r="D378" s="62" t="s">
        <v>94</v>
      </c>
      <c r="E378" s="46">
        <v>7814</v>
      </c>
      <c r="F378" s="46">
        <v>5314550.47</v>
      </c>
      <c r="G378" s="46">
        <v>7812</v>
      </c>
      <c r="H378" s="46">
        <v>5408219.176</v>
      </c>
      <c r="I378" s="46">
        <v>7819</v>
      </c>
      <c r="J378" s="46">
        <v>5723079.1660000002</v>
      </c>
    </row>
    <row r="379" spans="1:10" x14ac:dyDescent="0.2">
      <c r="A379" s="73" t="s">
        <v>317</v>
      </c>
      <c r="B379" s="73" t="s">
        <v>267</v>
      </c>
      <c r="C379" s="62" t="s">
        <v>345</v>
      </c>
      <c r="D379" s="62" t="s">
        <v>268</v>
      </c>
      <c r="E379" s="46">
        <v>462</v>
      </c>
      <c r="F379" s="46">
        <v>114995.52800000001</v>
      </c>
      <c r="G379" s="46">
        <v>463</v>
      </c>
      <c r="H379" s="46">
        <v>64659.396999999997</v>
      </c>
      <c r="I379" s="46">
        <v>464</v>
      </c>
      <c r="J379" s="46">
        <v>71402.519</v>
      </c>
    </row>
    <row r="380" spans="1:10" x14ac:dyDescent="0.2">
      <c r="A380" s="96" t="s">
        <v>317</v>
      </c>
      <c r="B380" s="96" t="s">
        <v>267</v>
      </c>
      <c r="C380" s="62" t="s">
        <v>10</v>
      </c>
      <c r="D380" s="62" t="s">
        <v>268</v>
      </c>
      <c r="E380" s="46">
        <v>5420</v>
      </c>
      <c r="F380" s="46">
        <v>121155.05899999999</v>
      </c>
      <c r="G380" s="46">
        <v>5416</v>
      </c>
      <c r="H380" s="46">
        <v>95483.841</v>
      </c>
      <c r="I380" s="46">
        <v>5414</v>
      </c>
      <c r="J380" s="46">
        <v>112171.995</v>
      </c>
    </row>
    <row r="381" spans="1:10" x14ac:dyDescent="0.2">
      <c r="A381" s="73" t="s">
        <v>181</v>
      </c>
      <c r="B381" s="73" t="s">
        <v>92</v>
      </c>
      <c r="C381" s="62" t="s">
        <v>345</v>
      </c>
      <c r="D381" s="62" t="s">
        <v>94</v>
      </c>
      <c r="E381" s="46">
        <v>72</v>
      </c>
      <c r="F381" s="46">
        <v>114464.83</v>
      </c>
      <c r="G381" s="46">
        <v>73</v>
      </c>
      <c r="H381" s="46">
        <v>123008.67</v>
      </c>
      <c r="I381" s="46">
        <v>71</v>
      </c>
      <c r="J381" s="46">
        <v>112944.75</v>
      </c>
    </row>
    <row r="382" spans="1:10" x14ac:dyDescent="0.2">
      <c r="A382" s="96" t="s">
        <v>181</v>
      </c>
      <c r="B382" s="96" t="s">
        <v>92</v>
      </c>
      <c r="C382" s="62" t="s">
        <v>10</v>
      </c>
      <c r="D382" s="62" t="s">
        <v>94</v>
      </c>
      <c r="E382" s="46">
        <v>537</v>
      </c>
      <c r="F382" s="46">
        <v>381393.05099999998</v>
      </c>
      <c r="G382" s="46">
        <v>537</v>
      </c>
      <c r="H382" s="46">
        <v>448775.06400000001</v>
      </c>
      <c r="I382" s="46">
        <v>537</v>
      </c>
      <c r="J382" s="46">
        <v>378248.88400000002</v>
      </c>
    </row>
    <row r="383" spans="1:10" x14ac:dyDescent="0.2">
      <c r="A383" s="73" t="s">
        <v>182</v>
      </c>
      <c r="B383" s="73" t="s">
        <v>92</v>
      </c>
      <c r="C383" s="62" t="s">
        <v>345</v>
      </c>
      <c r="D383" s="62" t="s">
        <v>94</v>
      </c>
      <c r="E383" s="46">
        <v>2222</v>
      </c>
      <c r="F383" s="46">
        <v>10425179.255999999</v>
      </c>
      <c r="G383" s="46">
        <v>2226</v>
      </c>
      <c r="H383" s="46">
        <v>10097950.108999999</v>
      </c>
      <c r="I383" s="46">
        <v>2224</v>
      </c>
      <c r="J383" s="46">
        <v>10983914.050000001</v>
      </c>
    </row>
    <row r="384" spans="1:10" x14ac:dyDescent="0.2">
      <c r="A384" s="96" t="s">
        <v>182</v>
      </c>
      <c r="B384" s="96" t="s">
        <v>92</v>
      </c>
      <c r="C384" s="62" t="s">
        <v>10</v>
      </c>
      <c r="D384" s="62" t="s">
        <v>94</v>
      </c>
      <c r="E384" s="46">
        <v>17117</v>
      </c>
      <c r="F384" s="46">
        <v>10729864.35</v>
      </c>
      <c r="G384" s="46">
        <v>17121</v>
      </c>
      <c r="H384" s="46">
        <v>9886747.1180000007</v>
      </c>
      <c r="I384" s="46">
        <v>17128</v>
      </c>
      <c r="J384" s="46">
        <v>10966440.293</v>
      </c>
    </row>
    <row r="385" spans="1:10" x14ac:dyDescent="0.2">
      <c r="A385" s="73" t="s">
        <v>183</v>
      </c>
      <c r="B385" s="73" t="s">
        <v>92</v>
      </c>
      <c r="C385" s="62" t="s">
        <v>345</v>
      </c>
      <c r="D385" s="62" t="s">
        <v>94</v>
      </c>
      <c r="E385" s="46">
        <v>1</v>
      </c>
      <c r="F385" s="46"/>
      <c r="G385" s="46">
        <v>1</v>
      </c>
      <c r="H385" s="46">
        <v>49440</v>
      </c>
      <c r="I385" s="46">
        <v>1</v>
      </c>
      <c r="J385" s="46"/>
    </row>
    <row r="386" spans="1:10" x14ac:dyDescent="0.2">
      <c r="A386" s="96" t="s">
        <v>184</v>
      </c>
      <c r="B386" s="96" t="s">
        <v>92</v>
      </c>
      <c r="C386" s="62" t="s">
        <v>345</v>
      </c>
      <c r="D386" s="62" t="s">
        <v>94</v>
      </c>
      <c r="E386" s="46">
        <v>192</v>
      </c>
      <c r="F386" s="46">
        <v>257415.11600000001</v>
      </c>
      <c r="G386" s="46">
        <v>194</v>
      </c>
      <c r="H386" s="46">
        <v>257183.74900000001</v>
      </c>
      <c r="I386" s="46">
        <v>191</v>
      </c>
      <c r="J386" s="46">
        <v>271074.136</v>
      </c>
    </row>
    <row r="387" spans="1:10" x14ac:dyDescent="0.2">
      <c r="A387" s="73" t="s">
        <v>184</v>
      </c>
      <c r="B387" s="73" t="s">
        <v>92</v>
      </c>
      <c r="C387" s="62" t="s">
        <v>10</v>
      </c>
      <c r="D387" s="62" t="s">
        <v>94</v>
      </c>
      <c r="E387" s="46">
        <v>2116</v>
      </c>
      <c r="F387" s="46">
        <v>764680.72600000002</v>
      </c>
      <c r="G387" s="46">
        <v>2117</v>
      </c>
      <c r="H387" s="46">
        <v>789719.90800000005</v>
      </c>
      <c r="I387" s="46">
        <v>2118</v>
      </c>
      <c r="J387" s="46">
        <v>779650.80299999996</v>
      </c>
    </row>
    <row r="388" spans="1:10" x14ac:dyDescent="0.2">
      <c r="A388" s="62" t="s">
        <v>185</v>
      </c>
      <c r="B388" s="62" t="s">
        <v>92</v>
      </c>
      <c r="C388" s="62" t="s">
        <v>345</v>
      </c>
      <c r="D388" s="62" t="s">
        <v>94</v>
      </c>
      <c r="E388" s="46">
        <v>68</v>
      </c>
      <c r="F388" s="46">
        <v>105361</v>
      </c>
      <c r="G388" s="46">
        <v>69</v>
      </c>
      <c r="H388" s="46">
        <v>55212</v>
      </c>
      <c r="I388" s="46">
        <v>67</v>
      </c>
      <c r="J388" s="46">
        <v>109031</v>
      </c>
    </row>
    <row r="389" spans="1:10" x14ac:dyDescent="0.2">
      <c r="A389" s="96" t="s">
        <v>185</v>
      </c>
      <c r="B389" s="96" t="s">
        <v>92</v>
      </c>
      <c r="C389" s="62" t="s">
        <v>10</v>
      </c>
      <c r="D389" s="62" t="s">
        <v>94</v>
      </c>
      <c r="E389" s="46">
        <v>225</v>
      </c>
      <c r="F389" s="46">
        <v>203898.878</v>
      </c>
      <c r="G389" s="46">
        <v>224</v>
      </c>
      <c r="H389" s="46">
        <v>92418.839000000007</v>
      </c>
      <c r="I389" s="46">
        <v>225</v>
      </c>
      <c r="J389" s="46">
        <v>211164.87599999999</v>
      </c>
    </row>
    <row r="390" spans="1:10" x14ac:dyDescent="0.2">
      <c r="A390" s="73" t="s">
        <v>186</v>
      </c>
      <c r="B390" s="73" t="s">
        <v>92</v>
      </c>
      <c r="C390" s="62" t="s">
        <v>345</v>
      </c>
      <c r="D390" s="62" t="s">
        <v>94</v>
      </c>
      <c r="E390" s="46">
        <v>1418</v>
      </c>
      <c r="F390" s="46">
        <v>4256107.415</v>
      </c>
      <c r="G390" s="46">
        <v>1419</v>
      </c>
      <c r="H390" s="46">
        <v>4559210.8880000003</v>
      </c>
      <c r="I390" s="46">
        <v>1421</v>
      </c>
      <c r="J390" s="46">
        <v>4769634.9689999996</v>
      </c>
    </row>
    <row r="391" spans="1:10" x14ac:dyDescent="0.2">
      <c r="A391" s="96" t="s">
        <v>186</v>
      </c>
      <c r="B391" s="96" t="s">
        <v>92</v>
      </c>
      <c r="C391" s="62" t="s">
        <v>10</v>
      </c>
      <c r="D391" s="62" t="s">
        <v>94</v>
      </c>
      <c r="E391" s="46">
        <v>10663</v>
      </c>
      <c r="F391" s="46">
        <v>7714182.017</v>
      </c>
      <c r="G391" s="46">
        <v>10677</v>
      </c>
      <c r="H391" s="46">
        <v>8413664.5260000005</v>
      </c>
      <c r="I391" s="46">
        <v>10683</v>
      </c>
      <c r="J391" s="46">
        <v>7914833.4390000002</v>
      </c>
    </row>
    <row r="392" spans="1:10" x14ac:dyDescent="0.2">
      <c r="A392" s="73" t="s">
        <v>187</v>
      </c>
      <c r="B392" s="73" t="s">
        <v>92</v>
      </c>
      <c r="C392" s="62" t="s">
        <v>345</v>
      </c>
      <c r="D392" s="62" t="s">
        <v>94</v>
      </c>
      <c r="E392" s="46">
        <v>90</v>
      </c>
      <c r="F392" s="46">
        <v>147151.63</v>
      </c>
      <c r="G392" s="46">
        <v>89</v>
      </c>
      <c r="H392" s="46">
        <v>74135</v>
      </c>
      <c r="I392" s="46">
        <v>89</v>
      </c>
      <c r="J392" s="46">
        <v>134901.21299999999</v>
      </c>
    </row>
    <row r="393" spans="1:10" x14ac:dyDescent="0.2">
      <c r="A393" s="96" t="s">
        <v>187</v>
      </c>
      <c r="B393" s="96" t="s">
        <v>92</v>
      </c>
      <c r="C393" s="62" t="s">
        <v>10</v>
      </c>
      <c r="D393" s="62" t="s">
        <v>94</v>
      </c>
      <c r="E393" s="46">
        <v>372</v>
      </c>
      <c r="F393" s="46">
        <v>242834.75</v>
      </c>
      <c r="G393" s="46">
        <v>373</v>
      </c>
      <c r="H393" s="46">
        <v>124525</v>
      </c>
      <c r="I393" s="46">
        <v>374</v>
      </c>
      <c r="J393" s="46">
        <v>177725.98699999999</v>
      </c>
    </row>
    <row r="394" spans="1:10" x14ac:dyDescent="0.2">
      <c r="A394" s="73" t="s">
        <v>318</v>
      </c>
      <c r="B394" s="73" t="s">
        <v>267</v>
      </c>
      <c r="C394" s="62" t="s">
        <v>345</v>
      </c>
      <c r="D394" s="62" t="s">
        <v>268</v>
      </c>
      <c r="E394" s="46">
        <v>419</v>
      </c>
      <c r="F394" s="46">
        <v>74367.923999999999</v>
      </c>
      <c r="G394" s="46">
        <v>419</v>
      </c>
      <c r="H394" s="46">
        <v>40410.171999999999</v>
      </c>
      <c r="I394" s="46">
        <v>416</v>
      </c>
      <c r="J394" s="46">
        <v>38057.818000000007</v>
      </c>
    </row>
    <row r="395" spans="1:10" x14ac:dyDescent="0.2">
      <c r="A395" s="96" t="s">
        <v>318</v>
      </c>
      <c r="B395" s="96" t="s">
        <v>267</v>
      </c>
      <c r="C395" s="62" t="s">
        <v>10</v>
      </c>
      <c r="D395" s="62" t="s">
        <v>268</v>
      </c>
      <c r="E395" s="46">
        <v>2897</v>
      </c>
      <c r="F395" s="46">
        <v>66812.975999999995</v>
      </c>
      <c r="G395" s="46">
        <v>2897</v>
      </c>
      <c r="H395" s="46">
        <v>42565.803</v>
      </c>
      <c r="I395" s="46">
        <v>2904</v>
      </c>
      <c r="J395" s="46">
        <v>47239.205999999998</v>
      </c>
    </row>
    <row r="396" spans="1:10" x14ac:dyDescent="0.2">
      <c r="A396" s="73" t="s">
        <v>188</v>
      </c>
      <c r="B396" s="73" t="s">
        <v>92</v>
      </c>
      <c r="C396" s="62" t="s">
        <v>345</v>
      </c>
      <c r="D396" s="62" t="s">
        <v>94</v>
      </c>
      <c r="E396" s="46">
        <v>6</v>
      </c>
      <c r="F396" s="46">
        <v>41</v>
      </c>
      <c r="G396" s="46">
        <v>6</v>
      </c>
      <c r="H396" s="46">
        <v>8967</v>
      </c>
      <c r="I396" s="46">
        <v>7</v>
      </c>
      <c r="J396" s="46">
        <v>41</v>
      </c>
    </row>
    <row r="397" spans="1:10" x14ac:dyDescent="0.2">
      <c r="A397" s="96" t="s">
        <v>188</v>
      </c>
      <c r="B397" s="96" t="s">
        <v>267</v>
      </c>
      <c r="C397" s="62" t="s">
        <v>345</v>
      </c>
      <c r="D397" s="62" t="s">
        <v>268</v>
      </c>
      <c r="E397" s="46">
        <v>1</v>
      </c>
      <c r="F397" s="46">
        <v>74.423000000000002</v>
      </c>
      <c r="G397" s="46">
        <v>1</v>
      </c>
      <c r="H397" s="46">
        <v>122.40900000000001</v>
      </c>
      <c r="I397" s="46">
        <v>1</v>
      </c>
      <c r="J397" s="46">
        <v>133.48099999999999</v>
      </c>
    </row>
    <row r="398" spans="1:10" x14ac:dyDescent="0.2">
      <c r="A398" s="73" t="s">
        <v>188</v>
      </c>
      <c r="B398" s="73" t="s">
        <v>92</v>
      </c>
      <c r="C398" s="62" t="s">
        <v>10</v>
      </c>
      <c r="D398" s="62" t="s">
        <v>94</v>
      </c>
      <c r="E398" s="46">
        <v>28</v>
      </c>
      <c r="F398" s="46"/>
      <c r="G398" s="46">
        <v>28</v>
      </c>
      <c r="H398" s="46">
        <v>61151</v>
      </c>
      <c r="I398" s="46">
        <v>28</v>
      </c>
      <c r="J398" s="46"/>
    </row>
    <row r="399" spans="1:10" x14ac:dyDescent="0.2">
      <c r="A399" s="96" t="s">
        <v>188</v>
      </c>
      <c r="B399" s="96" t="s">
        <v>267</v>
      </c>
      <c r="C399" s="62" t="s">
        <v>10</v>
      </c>
      <c r="D399" s="62" t="s">
        <v>268</v>
      </c>
      <c r="E399" s="46">
        <v>481</v>
      </c>
      <c r="F399" s="46">
        <v>13958.875</v>
      </c>
      <c r="G399" s="46">
        <v>484</v>
      </c>
      <c r="H399" s="46">
        <v>8968.7729999999992</v>
      </c>
      <c r="I399" s="46">
        <v>485</v>
      </c>
      <c r="J399" s="46">
        <v>8285.8549999999996</v>
      </c>
    </row>
    <row r="400" spans="1:10" x14ac:dyDescent="0.2">
      <c r="A400" s="73" t="s">
        <v>319</v>
      </c>
      <c r="B400" s="73" t="s">
        <v>267</v>
      </c>
      <c r="C400" s="62" t="s">
        <v>345</v>
      </c>
      <c r="D400" s="62" t="s">
        <v>268</v>
      </c>
      <c r="E400" s="46">
        <v>64</v>
      </c>
      <c r="F400" s="46">
        <v>140620.93700000001</v>
      </c>
      <c r="G400" s="46">
        <v>63</v>
      </c>
      <c r="H400" s="46">
        <v>66216</v>
      </c>
      <c r="I400" s="46">
        <v>63</v>
      </c>
      <c r="J400" s="46">
        <v>66403.642999999996</v>
      </c>
    </row>
    <row r="401" spans="1:10" x14ac:dyDescent="0.2">
      <c r="A401" s="73" t="s">
        <v>319</v>
      </c>
      <c r="B401" s="96" t="s">
        <v>267</v>
      </c>
      <c r="C401" s="62" t="s">
        <v>10</v>
      </c>
      <c r="D401" s="62" t="s">
        <v>268</v>
      </c>
      <c r="E401" s="46">
        <v>1551</v>
      </c>
      <c r="F401" s="46">
        <v>25122.325000000001</v>
      </c>
      <c r="G401" s="46">
        <v>1569</v>
      </c>
      <c r="H401" s="46">
        <v>16488.628000000001</v>
      </c>
      <c r="I401" s="46">
        <v>1592</v>
      </c>
      <c r="J401" s="46">
        <v>15570.402</v>
      </c>
    </row>
    <row r="402" spans="1:10" x14ac:dyDescent="0.2">
      <c r="A402" s="73" t="s">
        <v>189</v>
      </c>
      <c r="B402" s="73" t="s">
        <v>92</v>
      </c>
      <c r="C402" s="62" t="s">
        <v>345</v>
      </c>
      <c r="D402" s="62" t="s">
        <v>94</v>
      </c>
      <c r="E402" s="46">
        <v>167</v>
      </c>
      <c r="F402" s="46">
        <v>800794.28</v>
      </c>
      <c r="G402" s="46">
        <v>170</v>
      </c>
      <c r="H402" s="46">
        <v>1064357.9720000001</v>
      </c>
      <c r="I402" s="46">
        <v>172</v>
      </c>
      <c r="J402" s="46">
        <v>858037.93500000006</v>
      </c>
    </row>
    <row r="403" spans="1:10" x14ac:dyDescent="0.2">
      <c r="A403" s="96" t="s">
        <v>189</v>
      </c>
      <c r="B403" s="96" t="s">
        <v>92</v>
      </c>
      <c r="C403" s="62" t="s">
        <v>10</v>
      </c>
      <c r="D403" s="62" t="s">
        <v>94</v>
      </c>
      <c r="E403" s="46">
        <v>460</v>
      </c>
      <c r="F403" s="46">
        <v>387200.533</v>
      </c>
      <c r="G403" s="46">
        <v>462</v>
      </c>
      <c r="H403" s="46">
        <v>442286.99300000002</v>
      </c>
      <c r="I403" s="46">
        <v>460</v>
      </c>
      <c r="J403" s="46">
        <v>426482.98700000002</v>
      </c>
    </row>
    <row r="404" spans="1:10" x14ac:dyDescent="0.2">
      <c r="A404" s="73" t="s">
        <v>320</v>
      </c>
      <c r="B404" s="73" t="s">
        <v>267</v>
      </c>
      <c r="C404" s="62" t="s">
        <v>345</v>
      </c>
      <c r="D404" s="62" t="s">
        <v>268</v>
      </c>
      <c r="E404" s="46">
        <v>140</v>
      </c>
      <c r="F404" s="46">
        <v>36561.032000000007</v>
      </c>
      <c r="G404" s="46">
        <v>139</v>
      </c>
      <c r="H404" s="46">
        <v>33176.210999999996</v>
      </c>
      <c r="I404" s="46">
        <v>140</v>
      </c>
      <c r="J404" s="46">
        <v>23326.326000000001</v>
      </c>
    </row>
    <row r="405" spans="1:10" x14ac:dyDescent="0.2">
      <c r="A405" s="96" t="s">
        <v>320</v>
      </c>
      <c r="B405" s="96" t="s">
        <v>267</v>
      </c>
      <c r="C405" s="62" t="s">
        <v>10</v>
      </c>
      <c r="D405" s="62" t="s">
        <v>268</v>
      </c>
      <c r="E405" s="46">
        <v>6449</v>
      </c>
      <c r="F405" s="46">
        <v>187315.81700000001</v>
      </c>
      <c r="G405" s="46">
        <v>6458</v>
      </c>
      <c r="H405" s="46">
        <v>131791.416</v>
      </c>
      <c r="I405" s="46">
        <v>6462</v>
      </c>
      <c r="J405" s="46">
        <v>137978.519</v>
      </c>
    </row>
    <row r="406" spans="1:10" x14ac:dyDescent="0.2">
      <c r="A406" s="73" t="s">
        <v>190</v>
      </c>
      <c r="B406" s="73" t="s">
        <v>92</v>
      </c>
      <c r="C406" s="62" t="s">
        <v>345</v>
      </c>
      <c r="D406" s="62" t="s">
        <v>94</v>
      </c>
      <c r="E406" s="46">
        <v>954</v>
      </c>
      <c r="F406" s="46">
        <v>2221763.9409999996</v>
      </c>
      <c r="G406" s="46">
        <v>950</v>
      </c>
      <c r="H406" s="46">
        <v>4642446.5049999999</v>
      </c>
      <c r="I406" s="46">
        <v>950</v>
      </c>
      <c r="J406" s="46">
        <v>3446410.4249999998</v>
      </c>
    </row>
    <row r="407" spans="1:10" x14ac:dyDescent="0.2">
      <c r="A407" s="73" t="s">
        <v>190</v>
      </c>
      <c r="B407" s="62" t="s">
        <v>92</v>
      </c>
      <c r="C407" s="62" t="s">
        <v>10</v>
      </c>
      <c r="D407" s="62" t="s">
        <v>94</v>
      </c>
      <c r="E407" s="46">
        <v>9456</v>
      </c>
      <c r="F407" s="46">
        <v>5120222.4890000001</v>
      </c>
      <c r="G407" s="46">
        <v>9452</v>
      </c>
      <c r="H407" s="46">
        <v>6303784.7280000001</v>
      </c>
      <c r="I407" s="46">
        <v>9441</v>
      </c>
      <c r="J407" s="46">
        <v>5974750.1500000004</v>
      </c>
    </row>
    <row r="408" spans="1:10" x14ac:dyDescent="0.2">
      <c r="A408" s="96" t="s">
        <v>191</v>
      </c>
      <c r="B408" s="96" t="s">
        <v>92</v>
      </c>
      <c r="C408" s="62" t="s">
        <v>345</v>
      </c>
      <c r="D408" s="62" t="s">
        <v>94</v>
      </c>
      <c r="E408" s="46">
        <v>701</v>
      </c>
      <c r="F408" s="46">
        <v>1913966.683</v>
      </c>
      <c r="G408" s="46">
        <v>699</v>
      </c>
      <c r="H408" s="46">
        <v>3227786.699</v>
      </c>
      <c r="I408" s="46">
        <v>684</v>
      </c>
      <c r="J408" s="46">
        <v>2582748.8450000002</v>
      </c>
    </row>
    <row r="409" spans="1:10" x14ac:dyDescent="0.2">
      <c r="A409" s="73" t="s">
        <v>191</v>
      </c>
      <c r="B409" s="73" t="s">
        <v>92</v>
      </c>
      <c r="C409" s="62" t="s">
        <v>10</v>
      </c>
      <c r="D409" s="62" t="s">
        <v>94</v>
      </c>
      <c r="E409" s="46">
        <v>10719</v>
      </c>
      <c r="F409" s="46">
        <v>6932954.71</v>
      </c>
      <c r="G409" s="46">
        <v>10759</v>
      </c>
      <c r="H409" s="46">
        <v>8485339.2440000009</v>
      </c>
      <c r="I409" s="46">
        <v>10796</v>
      </c>
      <c r="J409" s="46">
        <v>8078092.0860000001</v>
      </c>
    </row>
    <row r="410" spans="1:10" x14ac:dyDescent="0.2">
      <c r="A410" s="96" t="s">
        <v>192</v>
      </c>
      <c r="B410" s="96" t="s">
        <v>92</v>
      </c>
      <c r="C410" s="62" t="s">
        <v>345</v>
      </c>
      <c r="D410" s="62" t="s">
        <v>94</v>
      </c>
      <c r="E410" s="46">
        <v>1885</v>
      </c>
      <c r="F410" s="46">
        <v>6566363.8839999996</v>
      </c>
      <c r="G410" s="46">
        <v>1899</v>
      </c>
      <c r="H410" s="46">
        <v>8462511.6899999995</v>
      </c>
      <c r="I410" s="46">
        <v>1888</v>
      </c>
      <c r="J410" s="46">
        <v>7494432.2649999997</v>
      </c>
    </row>
    <row r="411" spans="1:10" x14ac:dyDescent="0.2">
      <c r="A411" s="73" t="s">
        <v>192</v>
      </c>
      <c r="B411" s="73" t="s">
        <v>92</v>
      </c>
      <c r="C411" s="62" t="s">
        <v>10</v>
      </c>
      <c r="D411" s="62" t="s">
        <v>94</v>
      </c>
      <c r="E411" s="46">
        <v>14582</v>
      </c>
      <c r="F411" s="46">
        <v>9906415.4460000005</v>
      </c>
      <c r="G411" s="46">
        <v>14604</v>
      </c>
      <c r="H411" s="46">
        <v>10087882.107999999</v>
      </c>
      <c r="I411" s="46">
        <v>14628</v>
      </c>
      <c r="J411" s="46">
        <v>11838006.823000001</v>
      </c>
    </row>
    <row r="412" spans="1:10" x14ac:dyDescent="0.2">
      <c r="A412" s="96" t="s">
        <v>193</v>
      </c>
      <c r="B412" s="96" t="s">
        <v>92</v>
      </c>
      <c r="C412" s="62" t="s">
        <v>345</v>
      </c>
      <c r="D412" s="62" t="s">
        <v>94</v>
      </c>
      <c r="E412" s="46">
        <v>2</v>
      </c>
      <c r="F412" s="46">
        <v>3261</v>
      </c>
      <c r="G412" s="46">
        <v>2</v>
      </c>
      <c r="H412" s="46">
        <v>3552</v>
      </c>
      <c r="I412" s="46">
        <v>2</v>
      </c>
      <c r="J412" s="46">
        <v>4015</v>
      </c>
    </row>
    <row r="413" spans="1:10" x14ac:dyDescent="0.2">
      <c r="A413" s="73" t="s">
        <v>194</v>
      </c>
      <c r="B413" s="73" t="s">
        <v>92</v>
      </c>
      <c r="C413" s="62" t="s">
        <v>345</v>
      </c>
      <c r="D413" s="62" t="s">
        <v>94</v>
      </c>
      <c r="E413" s="46">
        <v>915</v>
      </c>
      <c r="F413" s="46">
        <v>2147924.6340000001</v>
      </c>
      <c r="G413" s="46">
        <v>911</v>
      </c>
      <c r="H413" s="46">
        <v>2020878.247</v>
      </c>
      <c r="I413" s="46">
        <v>905</v>
      </c>
      <c r="J413" s="46">
        <v>1764785.5870000001</v>
      </c>
    </row>
    <row r="414" spans="1:10" x14ac:dyDescent="0.2">
      <c r="A414" s="96" t="s">
        <v>194</v>
      </c>
      <c r="B414" s="96" t="s">
        <v>267</v>
      </c>
      <c r="C414" s="62" t="s">
        <v>345</v>
      </c>
      <c r="D414" s="62" t="s">
        <v>268</v>
      </c>
      <c r="E414" s="46">
        <v>169</v>
      </c>
      <c r="F414" s="46">
        <v>44027.865999999995</v>
      </c>
      <c r="G414" s="46">
        <v>171</v>
      </c>
      <c r="H414" s="46">
        <v>34241.919999999998</v>
      </c>
      <c r="I414" s="46">
        <v>170</v>
      </c>
      <c r="J414" s="46">
        <v>33594.413999999997</v>
      </c>
    </row>
    <row r="415" spans="1:10" x14ac:dyDescent="0.2">
      <c r="A415" s="73" t="s">
        <v>194</v>
      </c>
      <c r="B415" s="73" t="s">
        <v>92</v>
      </c>
      <c r="C415" s="62" t="s">
        <v>10</v>
      </c>
      <c r="D415" s="62" t="s">
        <v>94</v>
      </c>
      <c r="E415" s="46">
        <v>6449</v>
      </c>
      <c r="F415" s="46">
        <v>5894194.8320000004</v>
      </c>
      <c r="G415" s="46">
        <v>6473</v>
      </c>
      <c r="H415" s="46">
        <v>7758788.8289999999</v>
      </c>
      <c r="I415" s="46">
        <v>6496</v>
      </c>
      <c r="J415" s="46">
        <v>5864201.159</v>
      </c>
    </row>
    <row r="416" spans="1:10" x14ac:dyDescent="0.2">
      <c r="A416" s="62" t="s">
        <v>194</v>
      </c>
      <c r="B416" s="62" t="s">
        <v>267</v>
      </c>
      <c r="C416" s="62" t="s">
        <v>10</v>
      </c>
      <c r="D416" s="62" t="s">
        <v>268</v>
      </c>
      <c r="E416" s="46">
        <v>3075</v>
      </c>
      <c r="F416" s="46">
        <v>51963.735999999997</v>
      </c>
      <c r="G416" s="46">
        <v>3097</v>
      </c>
      <c r="H416" s="46">
        <v>45541.442000000003</v>
      </c>
      <c r="I416" s="46">
        <v>3121</v>
      </c>
      <c r="J416" s="46">
        <v>49931.292000000001</v>
      </c>
    </row>
    <row r="417" spans="1:10" x14ac:dyDescent="0.2">
      <c r="A417" s="96" t="s">
        <v>195</v>
      </c>
      <c r="B417" s="96" t="s">
        <v>92</v>
      </c>
      <c r="C417" s="62" t="s">
        <v>345</v>
      </c>
      <c r="D417" s="62" t="s">
        <v>94</v>
      </c>
      <c r="E417" s="46">
        <v>1</v>
      </c>
      <c r="F417" s="46">
        <v>60</v>
      </c>
      <c r="G417" s="46">
        <v>1</v>
      </c>
      <c r="H417" s="46">
        <v>60</v>
      </c>
      <c r="I417" s="46">
        <v>1</v>
      </c>
      <c r="J417" s="46">
        <v>60</v>
      </c>
    </row>
    <row r="418" spans="1:10" x14ac:dyDescent="0.2">
      <c r="A418" s="73" t="s">
        <v>196</v>
      </c>
      <c r="B418" s="73" t="s">
        <v>92</v>
      </c>
      <c r="C418" s="62" t="s">
        <v>345</v>
      </c>
      <c r="D418" s="62" t="s">
        <v>94</v>
      </c>
      <c r="E418" s="46">
        <v>42</v>
      </c>
      <c r="F418" s="46">
        <v>55552.004999999997</v>
      </c>
      <c r="G418" s="46">
        <v>42</v>
      </c>
      <c r="H418" s="46">
        <v>23428.734</v>
      </c>
      <c r="I418" s="46">
        <v>40</v>
      </c>
      <c r="J418" s="46">
        <v>46122.06</v>
      </c>
    </row>
    <row r="419" spans="1:10" x14ac:dyDescent="0.2">
      <c r="A419" s="73" t="s">
        <v>196</v>
      </c>
      <c r="B419" s="96" t="s">
        <v>92</v>
      </c>
      <c r="C419" s="62" t="s">
        <v>10</v>
      </c>
      <c r="D419" s="62" t="s">
        <v>94</v>
      </c>
      <c r="E419" s="46">
        <v>335</v>
      </c>
      <c r="F419" s="46">
        <v>680075.10499999998</v>
      </c>
      <c r="G419" s="46">
        <v>335</v>
      </c>
      <c r="H419" s="46">
        <v>3550.6959999999999</v>
      </c>
      <c r="I419" s="46">
        <v>336</v>
      </c>
      <c r="J419" s="46">
        <v>657910.71299999999</v>
      </c>
    </row>
    <row r="420" spans="1:10" x14ac:dyDescent="0.2">
      <c r="A420" s="73" t="s">
        <v>197</v>
      </c>
      <c r="B420" s="73" t="s">
        <v>92</v>
      </c>
      <c r="C420" s="62" t="s">
        <v>345</v>
      </c>
      <c r="D420" s="62" t="s">
        <v>94</v>
      </c>
      <c r="E420" s="46">
        <v>410</v>
      </c>
      <c r="F420" s="46">
        <v>4450255.0970000001</v>
      </c>
      <c r="G420" s="46">
        <v>412</v>
      </c>
      <c r="H420" s="46">
        <v>4113979.5399999996</v>
      </c>
      <c r="I420" s="46">
        <v>411</v>
      </c>
      <c r="J420" s="46">
        <v>5248785.0490000006</v>
      </c>
    </row>
    <row r="421" spans="1:10" x14ac:dyDescent="0.2">
      <c r="A421" s="62" t="s">
        <v>197</v>
      </c>
      <c r="B421" s="62" t="s">
        <v>267</v>
      </c>
      <c r="C421" s="62" t="s">
        <v>345</v>
      </c>
      <c r="D421" s="62" t="s">
        <v>268</v>
      </c>
      <c r="E421" s="46">
        <v>120</v>
      </c>
      <c r="F421" s="46">
        <v>58739.497000000003</v>
      </c>
      <c r="G421" s="46">
        <v>120</v>
      </c>
      <c r="H421" s="46">
        <v>51080.531000000003</v>
      </c>
      <c r="I421" s="46">
        <v>120</v>
      </c>
      <c r="J421" s="46">
        <v>17635.554</v>
      </c>
    </row>
    <row r="422" spans="1:10" x14ac:dyDescent="0.2">
      <c r="A422" s="96" t="s">
        <v>197</v>
      </c>
      <c r="B422" s="96" t="s">
        <v>92</v>
      </c>
      <c r="C422" s="62" t="s">
        <v>10</v>
      </c>
      <c r="D422" s="62" t="s">
        <v>94</v>
      </c>
      <c r="E422" s="46">
        <v>3623</v>
      </c>
      <c r="F422" s="46">
        <v>1986912.1629999999</v>
      </c>
      <c r="G422" s="46">
        <v>3629</v>
      </c>
      <c r="H422" s="46">
        <v>2398726.1150000002</v>
      </c>
      <c r="I422" s="46">
        <v>3628</v>
      </c>
      <c r="J422" s="46">
        <v>2763290.8220000002</v>
      </c>
    </row>
    <row r="423" spans="1:10" x14ac:dyDescent="0.2">
      <c r="A423" s="73" t="s">
        <v>197</v>
      </c>
      <c r="B423" s="73" t="s">
        <v>267</v>
      </c>
      <c r="C423" s="62" t="s">
        <v>10</v>
      </c>
      <c r="D423" s="62" t="s">
        <v>268</v>
      </c>
      <c r="E423" s="46">
        <v>2905</v>
      </c>
      <c r="F423" s="46">
        <v>58253.589</v>
      </c>
      <c r="G423" s="46">
        <v>2911</v>
      </c>
      <c r="H423" s="46">
        <v>43688.036999999997</v>
      </c>
      <c r="I423" s="46">
        <v>2912</v>
      </c>
      <c r="J423" s="46">
        <v>42712.97</v>
      </c>
    </row>
    <row r="424" spans="1:10" x14ac:dyDescent="0.2">
      <c r="A424" s="96" t="s">
        <v>198</v>
      </c>
      <c r="B424" s="96" t="s">
        <v>92</v>
      </c>
      <c r="C424" s="62" t="s">
        <v>345</v>
      </c>
      <c r="D424" s="62" t="s">
        <v>94</v>
      </c>
      <c r="E424" s="46">
        <v>64</v>
      </c>
      <c r="F424" s="46">
        <v>84675</v>
      </c>
      <c r="G424" s="46">
        <v>65</v>
      </c>
      <c r="H424" s="46">
        <v>118524.86</v>
      </c>
      <c r="I424" s="46">
        <v>66</v>
      </c>
      <c r="J424" s="46">
        <v>93358.94</v>
      </c>
    </row>
    <row r="425" spans="1:10" x14ac:dyDescent="0.2">
      <c r="A425" s="73" t="s">
        <v>198</v>
      </c>
      <c r="B425" s="73" t="s">
        <v>92</v>
      </c>
      <c r="C425" s="62" t="s">
        <v>10</v>
      </c>
      <c r="D425" s="62" t="s">
        <v>94</v>
      </c>
      <c r="E425" s="46">
        <v>360</v>
      </c>
      <c r="F425" s="46">
        <v>407557.228</v>
      </c>
      <c r="G425" s="46">
        <v>359</v>
      </c>
      <c r="H425" s="46">
        <v>284110</v>
      </c>
      <c r="I425" s="46">
        <v>359</v>
      </c>
      <c r="J425" s="46">
        <v>450004.43099999998</v>
      </c>
    </row>
    <row r="426" spans="1:10" x14ac:dyDescent="0.2">
      <c r="A426" s="73" t="s">
        <v>199</v>
      </c>
      <c r="B426" s="96" t="s">
        <v>92</v>
      </c>
      <c r="C426" s="62" t="s">
        <v>345</v>
      </c>
      <c r="D426" s="62" t="s">
        <v>94</v>
      </c>
      <c r="E426" s="46">
        <v>2</v>
      </c>
      <c r="F426" s="46">
        <v>903</v>
      </c>
      <c r="G426" s="46">
        <v>2</v>
      </c>
      <c r="H426" s="46"/>
      <c r="I426" s="46">
        <v>2</v>
      </c>
      <c r="J426" s="46">
        <v>812.03200000000004</v>
      </c>
    </row>
    <row r="427" spans="1:10" x14ac:dyDescent="0.2">
      <c r="A427" s="73" t="s">
        <v>199</v>
      </c>
      <c r="B427" s="73" t="s">
        <v>92</v>
      </c>
      <c r="C427" s="62" t="s">
        <v>10</v>
      </c>
      <c r="D427" s="62" t="s">
        <v>94</v>
      </c>
      <c r="E427" s="46">
        <v>28</v>
      </c>
      <c r="F427" s="46">
        <v>33681.531999999999</v>
      </c>
      <c r="G427" s="46">
        <v>28</v>
      </c>
      <c r="H427" s="46">
        <v>9283</v>
      </c>
      <c r="I427" s="46">
        <v>28</v>
      </c>
      <c r="J427" s="46">
        <v>32317.663</v>
      </c>
    </row>
    <row r="428" spans="1:10" x14ac:dyDescent="0.2">
      <c r="A428" s="96" t="s">
        <v>200</v>
      </c>
      <c r="B428" s="96" t="s">
        <v>92</v>
      </c>
      <c r="C428" s="62" t="s">
        <v>345</v>
      </c>
      <c r="D428" s="62" t="s">
        <v>94</v>
      </c>
      <c r="E428" s="46">
        <v>24</v>
      </c>
      <c r="F428" s="46">
        <v>10125</v>
      </c>
      <c r="G428" s="46">
        <v>24</v>
      </c>
      <c r="H428" s="46">
        <v>12504</v>
      </c>
      <c r="I428" s="46">
        <v>24</v>
      </c>
      <c r="J428" s="46">
        <v>9977</v>
      </c>
    </row>
    <row r="429" spans="1:10" x14ac:dyDescent="0.2">
      <c r="A429" s="73" t="s">
        <v>200</v>
      </c>
      <c r="B429" s="73" t="s">
        <v>267</v>
      </c>
      <c r="C429" s="62" t="s">
        <v>345</v>
      </c>
      <c r="D429" s="62" t="s">
        <v>268</v>
      </c>
      <c r="E429" s="46">
        <v>150</v>
      </c>
      <c r="F429" s="46">
        <v>70399.989000000001</v>
      </c>
      <c r="G429" s="46">
        <v>150</v>
      </c>
      <c r="H429" s="46">
        <v>51601.407999999996</v>
      </c>
      <c r="I429" s="46">
        <v>150</v>
      </c>
      <c r="J429" s="46">
        <v>62478.162000000004</v>
      </c>
    </row>
    <row r="430" spans="1:10" x14ac:dyDescent="0.2">
      <c r="A430" s="96" t="s">
        <v>200</v>
      </c>
      <c r="B430" s="96" t="s">
        <v>92</v>
      </c>
      <c r="C430" s="62" t="s">
        <v>10</v>
      </c>
      <c r="D430" s="62" t="s">
        <v>94</v>
      </c>
      <c r="E430" s="46">
        <v>311</v>
      </c>
      <c r="F430" s="46">
        <v>307000</v>
      </c>
      <c r="G430" s="46">
        <v>311</v>
      </c>
      <c r="H430" s="46">
        <v>313289</v>
      </c>
      <c r="I430" s="46">
        <v>312</v>
      </c>
      <c r="J430" s="46">
        <v>292579</v>
      </c>
    </row>
    <row r="431" spans="1:10" x14ac:dyDescent="0.2">
      <c r="A431" s="73" t="s">
        <v>200</v>
      </c>
      <c r="B431" s="73" t="s">
        <v>267</v>
      </c>
      <c r="C431" s="62" t="s">
        <v>10</v>
      </c>
      <c r="D431" s="62" t="s">
        <v>268</v>
      </c>
      <c r="E431" s="46">
        <v>4856</v>
      </c>
      <c r="F431" s="46">
        <v>131521.973</v>
      </c>
      <c r="G431" s="46">
        <v>4871</v>
      </c>
      <c r="H431" s="46">
        <v>97425.313999999998</v>
      </c>
      <c r="I431" s="46">
        <v>4877</v>
      </c>
      <c r="J431" s="46">
        <v>103647.323</v>
      </c>
    </row>
    <row r="432" spans="1:10" x14ac:dyDescent="0.2">
      <c r="A432" s="96" t="s">
        <v>321</v>
      </c>
      <c r="B432" s="96" t="s">
        <v>267</v>
      </c>
      <c r="C432" s="62" t="s">
        <v>345</v>
      </c>
      <c r="D432" s="62" t="s">
        <v>268</v>
      </c>
      <c r="E432" s="46">
        <v>489</v>
      </c>
      <c r="F432" s="46">
        <v>95642.822</v>
      </c>
      <c r="G432" s="46">
        <v>489</v>
      </c>
      <c r="H432" s="46">
        <v>64373.633000000002</v>
      </c>
      <c r="I432" s="46">
        <v>488</v>
      </c>
      <c r="J432" s="46">
        <v>54135.184000000001</v>
      </c>
    </row>
    <row r="433" spans="1:10" x14ac:dyDescent="0.2">
      <c r="A433" s="73" t="s">
        <v>321</v>
      </c>
      <c r="B433" s="73" t="s">
        <v>267</v>
      </c>
      <c r="C433" s="62" t="s">
        <v>10</v>
      </c>
      <c r="D433" s="62" t="s">
        <v>268</v>
      </c>
      <c r="E433" s="46">
        <v>6590</v>
      </c>
      <c r="F433" s="46">
        <v>165105.739</v>
      </c>
      <c r="G433" s="46">
        <v>6598</v>
      </c>
      <c r="H433" s="46">
        <v>143332.19899999999</v>
      </c>
      <c r="I433" s="46">
        <v>6594</v>
      </c>
      <c r="J433" s="46">
        <v>136153.712</v>
      </c>
    </row>
    <row r="434" spans="1:10" x14ac:dyDescent="0.2">
      <c r="A434" s="73" t="s">
        <v>201</v>
      </c>
      <c r="B434" s="96" t="s">
        <v>92</v>
      </c>
      <c r="C434" s="62" t="s">
        <v>345</v>
      </c>
      <c r="D434" s="62" t="s">
        <v>94</v>
      </c>
      <c r="E434" s="46">
        <v>506</v>
      </c>
      <c r="F434" s="46">
        <v>2497081.2459999998</v>
      </c>
      <c r="G434" s="46">
        <v>503</v>
      </c>
      <c r="H434" s="46">
        <v>3163863.128</v>
      </c>
      <c r="I434" s="46">
        <v>507</v>
      </c>
      <c r="J434" s="46">
        <v>3010477.7560000001</v>
      </c>
    </row>
    <row r="435" spans="1:10" x14ac:dyDescent="0.2">
      <c r="A435" s="73" t="s">
        <v>201</v>
      </c>
      <c r="B435" s="73" t="s">
        <v>92</v>
      </c>
      <c r="C435" s="62" t="s">
        <v>10</v>
      </c>
      <c r="D435" s="62" t="s">
        <v>94</v>
      </c>
      <c r="E435" s="46">
        <v>3588</v>
      </c>
      <c r="F435" s="46">
        <v>1607752.7490000001</v>
      </c>
      <c r="G435" s="46">
        <v>3718</v>
      </c>
      <c r="H435" s="46">
        <v>1791849.189</v>
      </c>
      <c r="I435" s="46">
        <v>3718</v>
      </c>
      <c r="J435" s="46">
        <v>1965590.4369999999</v>
      </c>
    </row>
    <row r="436" spans="1:10" x14ac:dyDescent="0.2">
      <c r="A436" s="96" t="s">
        <v>202</v>
      </c>
      <c r="B436" s="96" t="s">
        <v>92</v>
      </c>
      <c r="C436" s="62" t="s">
        <v>345</v>
      </c>
      <c r="D436" s="62" t="s">
        <v>94</v>
      </c>
      <c r="E436" s="46">
        <v>461</v>
      </c>
      <c r="F436" s="46">
        <v>494108.745</v>
      </c>
      <c r="G436" s="46">
        <v>462</v>
      </c>
      <c r="H436" s="46">
        <v>910734.65300000005</v>
      </c>
      <c r="I436" s="46">
        <v>463</v>
      </c>
      <c r="J436" s="46">
        <v>620613.098</v>
      </c>
    </row>
    <row r="437" spans="1:10" x14ac:dyDescent="0.2">
      <c r="A437" s="73" t="s">
        <v>202</v>
      </c>
      <c r="B437" s="73" t="s">
        <v>267</v>
      </c>
      <c r="C437" s="62" t="s">
        <v>345</v>
      </c>
      <c r="D437" s="62" t="s">
        <v>268</v>
      </c>
      <c r="E437" s="46">
        <v>97</v>
      </c>
      <c r="F437" s="46">
        <v>18336.316999999999</v>
      </c>
      <c r="G437" s="46">
        <v>97</v>
      </c>
      <c r="H437" s="46">
        <v>11576.076999999999</v>
      </c>
      <c r="I437" s="46">
        <v>97</v>
      </c>
      <c r="J437" s="46">
        <v>12652.24</v>
      </c>
    </row>
    <row r="438" spans="1:10" x14ac:dyDescent="0.2">
      <c r="A438" s="96" t="s">
        <v>202</v>
      </c>
      <c r="B438" s="96" t="s">
        <v>92</v>
      </c>
      <c r="C438" s="62" t="s">
        <v>10</v>
      </c>
      <c r="D438" s="62" t="s">
        <v>94</v>
      </c>
      <c r="E438" s="46">
        <v>3817</v>
      </c>
      <c r="F438" s="46">
        <v>4316265.898</v>
      </c>
      <c r="G438" s="46">
        <v>3824</v>
      </c>
      <c r="H438" s="46">
        <v>4886281.8260000004</v>
      </c>
      <c r="I438" s="46">
        <v>3837</v>
      </c>
      <c r="J438" s="46">
        <v>4458699.7070000004</v>
      </c>
    </row>
    <row r="439" spans="1:10" x14ac:dyDescent="0.2">
      <c r="A439" s="73" t="s">
        <v>202</v>
      </c>
      <c r="B439" s="73" t="s">
        <v>267</v>
      </c>
      <c r="C439" s="62" t="s">
        <v>10</v>
      </c>
      <c r="D439" s="62" t="s">
        <v>268</v>
      </c>
      <c r="E439" s="46">
        <v>2902</v>
      </c>
      <c r="F439" s="46">
        <v>71233.820000000007</v>
      </c>
      <c r="G439" s="46">
        <v>2907</v>
      </c>
      <c r="H439" s="46">
        <v>53345.873</v>
      </c>
      <c r="I439" s="46">
        <v>2917</v>
      </c>
      <c r="J439" s="46">
        <v>55186.381000000001</v>
      </c>
    </row>
    <row r="440" spans="1:10" x14ac:dyDescent="0.2">
      <c r="A440" s="96" t="s">
        <v>203</v>
      </c>
      <c r="B440" s="96" t="s">
        <v>92</v>
      </c>
      <c r="C440" s="62" t="s">
        <v>345</v>
      </c>
      <c r="D440" s="62" t="s">
        <v>94</v>
      </c>
      <c r="E440" s="46">
        <v>123</v>
      </c>
      <c r="F440" s="46">
        <v>58005.66</v>
      </c>
      <c r="G440" s="46">
        <v>124</v>
      </c>
      <c r="H440" s="46">
        <v>70645.994999999995</v>
      </c>
      <c r="I440" s="46">
        <v>125</v>
      </c>
      <c r="J440" s="46">
        <v>58457</v>
      </c>
    </row>
    <row r="441" spans="1:10" x14ac:dyDescent="0.2">
      <c r="A441" s="73" t="s">
        <v>203</v>
      </c>
      <c r="B441" s="73" t="s">
        <v>92</v>
      </c>
      <c r="C441" s="62" t="s">
        <v>10</v>
      </c>
      <c r="D441" s="62" t="s">
        <v>94</v>
      </c>
      <c r="E441" s="46">
        <v>1596</v>
      </c>
      <c r="F441" s="46">
        <v>1111058.1610000001</v>
      </c>
      <c r="G441" s="46">
        <v>1595</v>
      </c>
      <c r="H441" s="46">
        <v>1166375.436</v>
      </c>
      <c r="I441" s="46">
        <v>1594</v>
      </c>
      <c r="J441" s="46">
        <v>1070254.7560000001</v>
      </c>
    </row>
    <row r="442" spans="1:10" x14ac:dyDescent="0.2">
      <c r="A442" s="73" t="s">
        <v>204</v>
      </c>
      <c r="B442" s="96" t="s">
        <v>92</v>
      </c>
      <c r="C442" s="62" t="s">
        <v>345</v>
      </c>
      <c r="D442" s="62" t="s">
        <v>94</v>
      </c>
      <c r="E442" s="46">
        <v>77</v>
      </c>
      <c r="F442" s="46">
        <v>52472</v>
      </c>
      <c r="G442" s="46">
        <v>78</v>
      </c>
      <c r="H442" s="46">
        <v>69617</v>
      </c>
      <c r="I442" s="46">
        <v>77</v>
      </c>
      <c r="J442" s="46">
        <v>58890</v>
      </c>
    </row>
    <row r="443" spans="1:10" x14ac:dyDescent="0.2">
      <c r="A443" s="73" t="s">
        <v>204</v>
      </c>
      <c r="B443" s="73" t="s">
        <v>92</v>
      </c>
      <c r="C443" s="62" t="s">
        <v>10</v>
      </c>
      <c r="D443" s="62" t="s">
        <v>94</v>
      </c>
      <c r="E443" s="46">
        <v>800</v>
      </c>
      <c r="F443" s="46">
        <v>575760.31299999997</v>
      </c>
      <c r="G443" s="46">
        <v>802</v>
      </c>
      <c r="H443" s="46">
        <v>565721.84499999997</v>
      </c>
      <c r="I443" s="46">
        <v>803</v>
      </c>
      <c r="J443" s="46">
        <v>576366.45799999998</v>
      </c>
    </row>
    <row r="444" spans="1:10" x14ac:dyDescent="0.2">
      <c r="A444" s="96" t="s">
        <v>205</v>
      </c>
      <c r="B444" s="96" t="s">
        <v>92</v>
      </c>
      <c r="C444" s="62" t="s">
        <v>345</v>
      </c>
      <c r="D444" s="62" t="s">
        <v>94</v>
      </c>
      <c r="E444" s="46">
        <v>4</v>
      </c>
      <c r="F444" s="46">
        <v>112552</v>
      </c>
      <c r="G444" s="46">
        <v>4</v>
      </c>
      <c r="H444" s="46">
        <v>119105</v>
      </c>
      <c r="I444" s="46">
        <v>4</v>
      </c>
      <c r="J444" s="46">
        <v>109432</v>
      </c>
    </row>
    <row r="445" spans="1:10" x14ac:dyDescent="0.2">
      <c r="A445" s="73" t="s">
        <v>205</v>
      </c>
      <c r="B445" s="73" t="s">
        <v>92</v>
      </c>
      <c r="C445" s="62" t="s">
        <v>10</v>
      </c>
      <c r="D445" s="62" t="s">
        <v>94</v>
      </c>
      <c r="E445" s="46">
        <v>1</v>
      </c>
      <c r="F445" s="46">
        <v>3267</v>
      </c>
      <c r="G445" s="46">
        <v>1</v>
      </c>
      <c r="H445" s="46"/>
      <c r="I445" s="46">
        <v>1</v>
      </c>
      <c r="J445" s="46">
        <v>3985</v>
      </c>
    </row>
    <row r="446" spans="1:10" x14ac:dyDescent="0.2">
      <c r="A446" s="96" t="s">
        <v>206</v>
      </c>
      <c r="B446" s="96" t="s">
        <v>92</v>
      </c>
      <c r="C446" s="62" t="s">
        <v>345</v>
      </c>
      <c r="D446" s="62" t="s">
        <v>94</v>
      </c>
      <c r="E446" s="46">
        <v>28</v>
      </c>
      <c r="F446" s="46">
        <v>41922</v>
      </c>
      <c r="G446" s="46">
        <v>29</v>
      </c>
      <c r="H446" s="46">
        <v>49237</v>
      </c>
      <c r="I446" s="46">
        <v>29</v>
      </c>
      <c r="J446" s="46">
        <v>47642</v>
      </c>
    </row>
    <row r="447" spans="1:10" x14ac:dyDescent="0.2">
      <c r="A447" s="73" t="s">
        <v>206</v>
      </c>
      <c r="B447" s="73" t="s">
        <v>92</v>
      </c>
      <c r="C447" s="62" t="s">
        <v>10</v>
      </c>
      <c r="D447" s="62" t="s">
        <v>94</v>
      </c>
      <c r="E447" s="46">
        <v>202</v>
      </c>
      <c r="F447" s="46">
        <v>110999</v>
      </c>
      <c r="G447" s="46">
        <v>202</v>
      </c>
      <c r="H447" s="46">
        <v>136266.76699999999</v>
      </c>
      <c r="I447" s="46">
        <v>203</v>
      </c>
      <c r="J447" s="46">
        <v>121243</v>
      </c>
    </row>
    <row r="448" spans="1:10" x14ac:dyDescent="0.2">
      <c r="A448" s="96" t="s">
        <v>207</v>
      </c>
      <c r="B448" s="96" t="s">
        <v>92</v>
      </c>
      <c r="C448" s="62" t="s">
        <v>345</v>
      </c>
      <c r="D448" s="62" t="s">
        <v>94</v>
      </c>
      <c r="E448" s="46">
        <v>844</v>
      </c>
      <c r="F448" s="46">
        <v>2199114.7400000002</v>
      </c>
      <c r="G448" s="46">
        <v>849</v>
      </c>
      <c r="H448" s="46">
        <v>2066551.5109999999</v>
      </c>
      <c r="I448" s="46">
        <v>850</v>
      </c>
      <c r="J448" s="46">
        <v>1960379.669</v>
      </c>
    </row>
    <row r="449" spans="1:10" x14ac:dyDescent="0.2">
      <c r="A449" s="73" t="s">
        <v>207</v>
      </c>
      <c r="B449" s="73" t="s">
        <v>92</v>
      </c>
      <c r="C449" s="62" t="s">
        <v>10</v>
      </c>
      <c r="D449" s="62" t="s">
        <v>94</v>
      </c>
      <c r="E449" s="46">
        <v>4580</v>
      </c>
      <c r="F449" s="46">
        <v>3599434.8319999999</v>
      </c>
      <c r="G449" s="46">
        <v>4580</v>
      </c>
      <c r="H449" s="46">
        <v>3767796.307</v>
      </c>
      <c r="I449" s="46">
        <v>4577</v>
      </c>
      <c r="J449" s="46">
        <v>3371391.0090000001</v>
      </c>
    </row>
    <row r="450" spans="1:10" x14ac:dyDescent="0.2">
      <c r="A450" s="96" t="s">
        <v>208</v>
      </c>
      <c r="B450" s="96" t="s">
        <v>92</v>
      </c>
      <c r="C450" s="62" t="s">
        <v>345</v>
      </c>
      <c r="D450" s="62" t="s">
        <v>94</v>
      </c>
      <c r="E450" s="46">
        <v>4</v>
      </c>
      <c r="F450" s="46">
        <v>463140</v>
      </c>
      <c r="G450" s="46">
        <v>4</v>
      </c>
      <c r="H450" s="46">
        <v>522080</v>
      </c>
      <c r="I450" s="46">
        <v>4</v>
      </c>
      <c r="J450" s="46">
        <v>444060</v>
      </c>
    </row>
    <row r="451" spans="1:10" x14ac:dyDescent="0.2">
      <c r="A451" s="73" t="s">
        <v>208</v>
      </c>
      <c r="B451" s="73" t="s">
        <v>267</v>
      </c>
      <c r="C451" s="62" t="s">
        <v>345</v>
      </c>
      <c r="D451" s="62" t="s">
        <v>268</v>
      </c>
      <c r="E451" s="46">
        <v>1</v>
      </c>
      <c r="F451" s="46">
        <v>510.76499999999999</v>
      </c>
      <c r="G451" s="46">
        <v>1</v>
      </c>
      <c r="H451" s="46">
        <v>399.58699999999999</v>
      </c>
      <c r="I451" s="46">
        <v>1</v>
      </c>
      <c r="J451" s="46">
        <v>363.90300000000002</v>
      </c>
    </row>
    <row r="452" spans="1:10" x14ac:dyDescent="0.2">
      <c r="A452" s="96" t="s">
        <v>209</v>
      </c>
      <c r="B452" s="96" t="s">
        <v>92</v>
      </c>
      <c r="C452" s="62" t="s">
        <v>345</v>
      </c>
      <c r="D452" s="62" t="s">
        <v>94</v>
      </c>
      <c r="E452" s="46">
        <v>8</v>
      </c>
      <c r="F452" s="46">
        <v>22492</v>
      </c>
      <c r="G452" s="46">
        <v>8</v>
      </c>
      <c r="H452" s="46">
        <v>15238</v>
      </c>
      <c r="I452" s="46">
        <v>8</v>
      </c>
      <c r="J452" s="46">
        <v>11162</v>
      </c>
    </row>
    <row r="453" spans="1:10" x14ac:dyDescent="0.2">
      <c r="A453" s="73" t="s">
        <v>209</v>
      </c>
      <c r="B453" s="73" t="s">
        <v>92</v>
      </c>
      <c r="C453" s="62" t="s">
        <v>10</v>
      </c>
      <c r="D453" s="62" t="s">
        <v>94</v>
      </c>
      <c r="E453" s="46">
        <v>8</v>
      </c>
      <c r="F453" s="46">
        <v>6881.7</v>
      </c>
      <c r="G453" s="46">
        <v>8</v>
      </c>
      <c r="H453" s="46">
        <v>7577.4350000000004</v>
      </c>
      <c r="I453" s="46">
        <v>8</v>
      </c>
      <c r="J453" s="46">
        <v>6037.576</v>
      </c>
    </row>
    <row r="454" spans="1:10" x14ac:dyDescent="0.2">
      <c r="A454" s="96" t="s">
        <v>210</v>
      </c>
      <c r="B454" s="62" t="s">
        <v>92</v>
      </c>
      <c r="C454" s="62" t="s">
        <v>345</v>
      </c>
      <c r="D454" s="62" t="s">
        <v>94</v>
      </c>
      <c r="E454" s="46">
        <v>13</v>
      </c>
      <c r="F454" s="46">
        <v>25765</v>
      </c>
      <c r="G454" s="46">
        <v>13</v>
      </c>
      <c r="H454" s="46">
        <v>28358</v>
      </c>
      <c r="I454" s="46">
        <v>13</v>
      </c>
      <c r="J454" s="46">
        <v>25915</v>
      </c>
    </row>
    <row r="455" spans="1:10" x14ac:dyDescent="0.2">
      <c r="A455" s="73" t="s">
        <v>210</v>
      </c>
      <c r="B455" s="62" t="s">
        <v>267</v>
      </c>
      <c r="C455" s="62" t="s">
        <v>345</v>
      </c>
      <c r="D455" s="62" t="s">
        <v>268</v>
      </c>
      <c r="E455" s="46">
        <v>67</v>
      </c>
      <c r="F455" s="46">
        <v>17254.473999999998</v>
      </c>
      <c r="G455" s="46">
        <v>68</v>
      </c>
      <c r="H455" s="46">
        <v>12584.436</v>
      </c>
      <c r="I455" s="46">
        <v>69</v>
      </c>
      <c r="J455" s="46">
        <v>14903.328000000001</v>
      </c>
    </row>
    <row r="456" spans="1:10" x14ac:dyDescent="0.2">
      <c r="A456" s="96" t="s">
        <v>210</v>
      </c>
      <c r="B456" s="96" t="s">
        <v>92</v>
      </c>
      <c r="C456" s="62" t="s">
        <v>10</v>
      </c>
      <c r="D456" s="62" t="s">
        <v>94</v>
      </c>
      <c r="E456" s="46">
        <v>23</v>
      </c>
      <c r="F456" s="46">
        <v>25196</v>
      </c>
      <c r="G456" s="46">
        <v>23</v>
      </c>
      <c r="H456" s="46">
        <v>29388</v>
      </c>
      <c r="I456" s="46">
        <v>23</v>
      </c>
      <c r="J456" s="46">
        <v>27164</v>
      </c>
    </row>
    <row r="457" spans="1:10" x14ac:dyDescent="0.2">
      <c r="A457" s="73" t="s">
        <v>210</v>
      </c>
      <c r="B457" s="73" t="s">
        <v>267</v>
      </c>
      <c r="C457" s="62" t="s">
        <v>10</v>
      </c>
      <c r="D457" s="62" t="s">
        <v>268</v>
      </c>
      <c r="E457" s="46">
        <v>1380</v>
      </c>
      <c r="F457" s="46">
        <v>25078.266</v>
      </c>
      <c r="G457" s="46">
        <v>1376</v>
      </c>
      <c r="H457" s="46">
        <v>21189.878000000001</v>
      </c>
      <c r="I457" s="46">
        <v>1375</v>
      </c>
      <c r="J457" s="46">
        <v>23808.156999999999</v>
      </c>
    </row>
    <row r="458" spans="1:10" x14ac:dyDescent="0.2">
      <c r="A458" s="96" t="s">
        <v>211</v>
      </c>
      <c r="B458" s="96" t="s">
        <v>92</v>
      </c>
      <c r="C458" s="62" t="s">
        <v>345</v>
      </c>
      <c r="D458" s="62" t="s">
        <v>94</v>
      </c>
      <c r="E458" s="46">
        <v>279</v>
      </c>
      <c r="F458" s="46">
        <v>208469.48800000001</v>
      </c>
      <c r="G458" s="46">
        <v>283</v>
      </c>
      <c r="H458" s="46">
        <v>214185.76300000001</v>
      </c>
      <c r="I458" s="46">
        <v>281</v>
      </c>
      <c r="J458" s="46">
        <v>194770.36</v>
      </c>
    </row>
    <row r="459" spans="1:10" x14ac:dyDescent="0.2">
      <c r="A459" s="73" t="s">
        <v>211</v>
      </c>
      <c r="B459" s="73" t="s">
        <v>92</v>
      </c>
      <c r="C459" s="62" t="s">
        <v>10</v>
      </c>
      <c r="D459" s="62" t="s">
        <v>94</v>
      </c>
      <c r="E459" s="46">
        <v>2012</v>
      </c>
      <c r="F459" s="46">
        <v>1977986.382</v>
      </c>
      <c r="G459" s="46">
        <v>2013</v>
      </c>
      <c r="H459" s="46">
        <v>2044670.5870000001</v>
      </c>
      <c r="I459" s="46">
        <v>2013</v>
      </c>
      <c r="J459" s="46">
        <v>1911930.72</v>
      </c>
    </row>
    <row r="460" spans="1:10" x14ac:dyDescent="0.2">
      <c r="A460" s="73" t="s">
        <v>212</v>
      </c>
      <c r="B460" s="96" t="s">
        <v>92</v>
      </c>
      <c r="C460" s="62" t="s">
        <v>345</v>
      </c>
      <c r="D460" s="62" t="s">
        <v>94</v>
      </c>
      <c r="E460" s="46">
        <v>470</v>
      </c>
      <c r="F460" s="46">
        <v>2690938.5079999999</v>
      </c>
      <c r="G460" s="46">
        <v>470</v>
      </c>
      <c r="H460" s="46">
        <v>2628484.6660000002</v>
      </c>
      <c r="I460" s="46">
        <v>468</v>
      </c>
      <c r="J460" s="46">
        <v>2748147.2139999997</v>
      </c>
    </row>
    <row r="461" spans="1:10" x14ac:dyDescent="0.2">
      <c r="A461" s="73" t="s">
        <v>212</v>
      </c>
      <c r="B461" s="73" t="s">
        <v>267</v>
      </c>
      <c r="C461" s="62" t="s">
        <v>345</v>
      </c>
      <c r="D461" s="62" t="s">
        <v>268</v>
      </c>
      <c r="E461" s="46">
        <v>102</v>
      </c>
      <c r="F461" s="46">
        <v>95037.503000000012</v>
      </c>
      <c r="G461" s="46">
        <v>103</v>
      </c>
      <c r="H461" s="46">
        <v>83254.229000000007</v>
      </c>
      <c r="I461" s="46">
        <v>103</v>
      </c>
      <c r="J461" s="46">
        <v>83171.294999999998</v>
      </c>
    </row>
    <row r="462" spans="1:10" x14ac:dyDescent="0.2">
      <c r="A462" s="96" t="s">
        <v>212</v>
      </c>
      <c r="B462" s="96" t="s">
        <v>92</v>
      </c>
      <c r="C462" s="62" t="s">
        <v>10</v>
      </c>
      <c r="D462" s="62" t="s">
        <v>94</v>
      </c>
      <c r="E462" s="46">
        <v>5245</v>
      </c>
      <c r="F462" s="46">
        <v>4774857.4589999998</v>
      </c>
      <c r="G462" s="46">
        <v>5249</v>
      </c>
      <c r="H462" s="46">
        <v>5831971.1869999999</v>
      </c>
      <c r="I462" s="46">
        <v>5252</v>
      </c>
      <c r="J462" s="46">
        <v>5649721.983</v>
      </c>
    </row>
    <row r="463" spans="1:10" x14ac:dyDescent="0.2">
      <c r="A463" s="73" t="s">
        <v>212</v>
      </c>
      <c r="B463" s="73" t="s">
        <v>267</v>
      </c>
      <c r="C463" s="62" t="s">
        <v>10</v>
      </c>
      <c r="D463" s="62" t="s">
        <v>268</v>
      </c>
      <c r="E463" s="46">
        <v>3476</v>
      </c>
      <c r="F463" s="46">
        <v>78327.153999999995</v>
      </c>
      <c r="G463" s="46">
        <v>3479</v>
      </c>
      <c r="H463" s="46">
        <v>57121.353999999999</v>
      </c>
      <c r="I463" s="46">
        <v>3477</v>
      </c>
      <c r="J463" s="46">
        <v>60601.993000000002</v>
      </c>
    </row>
    <row r="464" spans="1:10" x14ac:dyDescent="0.2">
      <c r="A464" s="96" t="s">
        <v>213</v>
      </c>
      <c r="B464" s="96" t="s">
        <v>92</v>
      </c>
      <c r="C464" s="62" t="s">
        <v>345</v>
      </c>
      <c r="D464" s="62" t="s">
        <v>94</v>
      </c>
      <c r="E464" s="46">
        <v>5</v>
      </c>
      <c r="F464" s="46">
        <v>7430</v>
      </c>
      <c r="G464" s="46">
        <v>5</v>
      </c>
      <c r="H464" s="46">
        <v>6983</v>
      </c>
      <c r="I464" s="46">
        <v>5</v>
      </c>
      <c r="J464" s="46">
        <v>7262</v>
      </c>
    </row>
    <row r="465" spans="1:10" x14ac:dyDescent="0.2">
      <c r="A465" s="73" t="s">
        <v>213</v>
      </c>
      <c r="B465" s="73" t="s">
        <v>92</v>
      </c>
      <c r="C465" s="62" t="s">
        <v>10</v>
      </c>
      <c r="D465" s="62" t="s">
        <v>94</v>
      </c>
      <c r="E465" s="46">
        <v>7</v>
      </c>
      <c r="F465" s="46">
        <v>5214</v>
      </c>
      <c r="G465" s="46">
        <v>7</v>
      </c>
      <c r="H465" s="46">
        <v>4387</v>
      </c>
      <c r="I465" s="46">
        <v>7</v>
      </c>
      <c r="J465" s="46">
        <v>4360</v>
      </c>
    </row>
    <row r="466" spans="1:10" x14ac:dyDescent="0.2">
      <c r="A466" s="73" t="s">
        <v>214</v>
      </c>
      <c r="B466" s="96" t="s">
        <v>92</v>
      </c>
      <c r="C466" s="62" t="s">
        <v>345</v>
      </c>
      <c r="D466" s="62" t="s">
        <v>94</v>
      </c>
      <c r="E466" s="46">
        <v>1622</v>
      </c>
      <c r="F466" s="46">
        <v>7287735.7549999999</v>
      </c>
      <c r="G466" s="46">
        <v>1621</v>
      </c>
      <c r="H466" s="46">
        <v>9203157.0099999998</v>
      </c>
      <c r="I466" s="46">
        <v>1624</v>
      </c>
      <c r="J466" s="46">
        <v>7217007.0180000002</v>
      </c>
    </row>
    <row r="467" spans="1:10" x14ac:dyDescent="0.2">
      <c r="A467" s="73" t="s">
        <v>214</v>
      </c>
      <c r="B467" s="73" t="s">
        <v>92</v>
      </c>
      <c r="C467" s="62" t="s">
        <v>10</v>
      </c>
      <c r="D467" s="62" t="s">
        <v>94</v>
      </c>
      <c r="E467" s="46">
        <v>14884</v>
      </c>
      <c r="F467" s="46">
        <v>11087621.536</v>
      </c>
      <c r="G467" s="46">
        <v>14882</v>
      </c>
      <c r="H467" s="46">
        <v>11857411.115</v>
      </c>
      <c r="I467" s="46">
        <v>14908</v>
      </c>
      <c r="J467" s="46">
        <v>10394309.901000001</v>
      </c>
    </row>
    <row r="468" spans="1:10" x14ac:dyDescent="0.2">
      <c r="A468" s="62" t="s">
        <v>215</v>
      </c>
      <c r="B468" s="62" t="s">
        <v>92</v>
      </c>
      <c r="C468" s="62" t="s">
        <v>345</v>
      </c>
      <c r="D468" s="62" t="s">
        <v>94</v>
      </c>
      <c r="E468" s="46">
        <v>1366</v>
      </c>
      <c r="F468" s="46">
        <v>2225792.4870000002</v>
      </c>
      <c r="G468" s="46">
        <v>1367</v>
      </c>
      <c r="H468" s="46">
        <v>2428166.585</v>
      </c>
      <c r="I468" s="46">
        <v>1374</v>
      </c>
      <c r="J468" s="46">
        <v>2399276.1460000002</v>
      </c>
    </row>
    <row r="469" spans="1:10" x14ac:dyDescent="0.2">
      <c r="A469" s="96" t="s">
        <v>215</v>
      </c>
      <c r="B469" s="96" t="s">
        <v>92</v>
      </c>
      <c r="C469" s="62" t="s">
        <v>10</v>
      </c>
      <c r="D469" s="62" t="s">
        <v>94</v>
      </c>
      <c r="E469" s="46">
        <v>12197</v>
      </c>
      <c r="F469" s="46">
        <v>11481882.949999999</v>
      </c>
      <c r="G469" s="46">
        <v>12232</v>
      </c>
      <c r="H469" s="46">
        <v>11245870.441</v>
      </c>
      <c r="I469" s="46">
        <v>12330</v>
      </c>
      <c r="J469" s="46">
        <v>11262073.278000001</v>
      </c>
    </row>
    <row r="470" spans="1:10" x14ac:dyDescent="0.2">
      <c r="A470" s="73" t="s">
        <v>216</v>
      </c>
      <c r="B470" s="73" t="s">
        <v>92</v>
      </c>
      <c r="C470" s="62" t="s">
        <v>345</v>
      </c>
      <c r="D470" s="62" t="s">
        <v>94</v>
      </c>
      <c r="E470" s="46">
        <v>2425</v>
      </c>
      <c r="F470" s="46">
        <v>7982995.7879999997</v>
      </c>
      <c r="G470" s="46">
        <v>2412</v>
      </c>
      <c r="H470" s="46">
        <v>8204435.358</v>
      </c>
      <c r="I470" s="46">
        <v>2411</v>
      </c>
      <c r="J470" s="46">
        <v>8122781.2920000004</v>
      </c>
    </row>
    <row r="471" spans="1:10" x14ac:dyDescent="0.2">
      <c r="A471" s="96" t="s">
        <v>216</v>
      </c>
      <c r="B471" s="96" t="s">
        <v>92</v>
      </c>
      <c r="C471" s="62" t="s">
        <v>10</v>
      </c>
      <c r="D471" s="62" t="s">
        <v>94</v>
      </c>
      <c r="E471" s="46">
        <v>13488</v>
      </c>
      <c r="F471" s="46">
        <v>11111334.516000001</v>
      </c>
      <c r="G471" s="46">
        <v>13488</v>
      </c>
      <c r="H471" s="46">
        <v>10441001.369999999</v>
      </c>
      <c r="I471" s="46">
        <v>13507</v>
      </c>
      <c r="J471" s="46">
        <v>11038461.308</v>
      </c>
    </row>
    <row r="472" spans="1:10" x14ac:dyDescent="0.2">
      <c r="A472" s="73" t="s">
        <v>217</v>
      </c>
      <c r="B472" s="73" t="s">
        <v>92</v>
      </c>
      <c r="C472" s="62" t="s">
        <v>345</v>
      </c>
      <c r="D472" s="62" t="s">
        <v>94</v>
      </c>
      <c r="E472" s="46">
        <v>1359</v>
      </c>
      <c r="F472" s="46">
        <v>7565620.4179999996</v>
      </c>
      <c r="G472" s="46">
        <v>1355</v>
      </c>
      <c r="H472" s="46">
        <v>7435041.2630000003</v>
      </c>
      <c r="I472" s="46">
        <v>1352</v>
      </c>
      <c r="J472" s="46">
        <v>8582792.0260000005</v>
      </c>
    </row>
    <row r="473" spans="1:10" x14ac:dyDescent="0.2">
      <c r="A473" s="96" t="s">
        <v>217</v>
      </c>
      <c r="B473" s="96" t="s">
        <v>267</v>
      </c>
      <c r="C473" s="62" t="s">
        <v>345</v>
      </c>
      <c r="D473" s="62" t="s">
        <v>268</v>
      </c>
      <c r="E473" s="46">
        <v>599</v>
      </c>
      <c r="F473" s="46">
        <v>101472.67899999999</v>
      </c>
      <c r="G473" s="46">
        <v>599</v>
      </c>
      <c r="H473" s="46">
        <v>70363</v>
      </c>
      <c r="I473" s="46">
        <v>609</v>
      </c>
      <c r="J473" s="46">
        <v>90193.070999999996</v>
      </c>
    </row>
    <row r="474" spans="1:10" x14ac:dyDescent="0.2">
      <c r="A474" s="73" t="s">
        <v>217</v>
      </c>
      <c r="B474" s="73" t="s">
        <v>92</v>
      </c>
      <c r="C474" s="62" t="s">
        <v>10</v>
      </c>
      <c r="D474" s="62" t="s">
        <v>94</v>
      </c>
      <c r="E474" s="46">
        <v>9846</v>
      </c>
      <c r="F474" s="46">
        <v>7074213.1310000001</v>
      </c>
      <c r="G474" s="46">
        <v>9848</v>
      </c>
      <c r="H474" s="46">
        <v>8698034.2699999996</v>
      </c>
      <c r="I474" s="46">
        <v>9854</v>
      </c>
      <c r="J474" s="46">
        <v>8351030.4670000002</v>
      </c>
    </row>
    <row r="475" spans="1:10" x14ac:dyDescent="0.2">
      <c r="A475" s="96" t="s">
        <v>217</v>
      </c>
      <c r="B475" s="96" t="s">
        <v>267</v>
      </c>
      <c r="C475" s="62" t="s">
        <v>10</v>
      </c>
      <c r="D475" s="62" t="s">
        <v>268</v>
      </c>
      <c r="E475" s="46">
        <v>6453</v>
      </c>
      <c r="F475" s="46">
        <v>103295.745</v>
      </c>
      <c r="G475" s="46">
        <v>6456</v>
      </c>
      <c r="H475" s="46">
        <v>84921.259000000005</v>
      </c>
      <c r="I475" s="46">
        <v>6461</v>
      </c>
      <c r="J475" s="46">
        <v>102765.497</v>
      </c>
    </row>
    <row r="476" spans="1:10" x14ac:dyDescent="0.2">
      <c r="A476" s="73" t="s">
        <v>218</v>
      </c>
      <c r="B476" s="73" t="s">
        <v>92</v>
      </c>
      <c r="C476" s="62" t="s">
        <v>345</v>
      </c>
      <c r="D476" s="62" t="s">
        <v>94</v>
      </c>
      <c r="E476" s="46">
        <v>1505</v>
      </c>
      <c r="F476" s="46">
        <v>5009107.4840000002</v>
      </c>
      <c r="G476" s="46">
        <v>1507</v>
      </c>
      <c r="H476" s="46">
        <v>7262860.449</v>
      </c>
      <c r="I476" s="46">
        <v>1516</v>
      </c>
      <c r="J476" s="46">
        <v>6390840.7239999995</v>
      </c>
    </row>
    <row r="477" spans="1:10" x14ac:dyDescent="0.2">
      <c r="A477" s="73" t="s">
        <v>218</v>
      </c>
      <c r="B477" s="96" t="s">
        <v>267</v>
      </c>
      <c r="C477" s="62" t="s">
        <v>345</v>
      </c>
      <c r="D477" s="62" t="s">
        <v>268</v>
      </c>
      <c r="E477" s="46">
        <v>442</v>
      </c>
      <c r="F477" s="46">
        <v>203949.14599999998</v>
      </c>
      <c r="G477" s="46">
        <v>443</v>
      </c>
      <c r="H477" s="46">
        <v>119746.13800000002</v>
      </c>
      <c r="I477" s="46">
        <v>441</v>
      </c>
      <c r="J477" s="46">
        <v>151462.61800000002</v>
      </c>
    </row>
    <row r="478" spans="1:10" x14ac:dyDescent="0.2">
      <c r="A478" s="73" t="s">
        <v>218</v>
      </c>
      <c r="B478" s="73" t="s">
        <v>92</v>
      </c>
      <c r="C478" s="62" t="s">
        <v>10</v>
      </c>
      <c r="D478" s="62" t="s">
        <v>94</v>
      </c>
      <c r="E478" s="46">
        <v>11171</v>
      </c>
      <c r="F478" s="46">
        <v>8079201.1320000002</v>
      </c>
      <c r="G478" s="46">
        <v>11181</v>
      </c>
      <c r="H478" s="46">
        <v>9951176.7880000006</v>
      </c>
      <c r="I478" s="46">
        <v>11196</v>
      </c>
      <c r="J478" s="46">
        <v>8822256.6779999994</v>
      </c>
    </row>
    <row r="479" spans="1:10" x14ac:dyDescent="0.2">
      <c r="A479" s="96" t="s">
        <v>218</v>
      </c>
      <c r="B479" s="96" t="s">
        <v>267</v>
      </c>
      <c r="C479" s="62" t="s">
        <v>10</v>
      </c>
      <c r="D479" s="62" t="s">
        <v>268</v>
      </c>
      <c r="E479" s="46">
        <v>5307</v>
      </c>
      <c r="F479" s="46">
        <v>92793.097999999998</v>
      </c>
      <c r="G479" s="46">
        <v>5315</v>
      </c>
      <c r="H479" s="46">
        <v>92103.209000000003</v>
      </c>
      <c r="I479" s="46">
        <v>5316</v>
      </c>
      <c r="J479" s="46">
        <v>87580.081000000006</v>
      </c>
    </row>
    <row r="480" spans="1:10" x14ac:dyDescent="0.2">
      <c r="A480" s="73" t="s">
        <v>219</v>
      </c>
      <c r="B480" s="73" t="s">
        <v>92</v>
      </c>
      <c r="C480" s="62" t="s">
        <v>345</v>
      </c>
      <c r="D480" s="62" t="s">
        <v>94</v>
      </c>
      <c r="E480" s="46">
        <v>1254</v>
      </c>
      <c r="F480" s="46">
        <v>5432083.4220000003</v>
      </c>
      <c r="G480" s="46">
        <v>1252</v>
      </c>
      <c r="H480" s="46">
        <v>6570472.2010000004</v>
      </c>
      <c r="I480" s="46">
        <v>1256</v>
      </c>
      <c r="J480" s="46">
        <v>5861516.6469999999</v>
      </c>
    </row>
    <row r="481" spans="1:10" x14ac:dyDescent="0.2">
      <c r="A481" s="73" t="s">
        <v>219</v>
      </c>
      <c r="B481" s="96" t="s">
        <v>267</v>
      </c>
      <c r="C481" s="62" t="s">
        <v>345</v>
      </c>
      <c r="D481" s="62" t="s">
        <v>268</v>
      </c>
      <c r="E481" s="46">
        <v>472</v>
      </c>
      <c r="F481" s="46">
        <v>86301.027000000002</v>
      </c>
      <c r="G481" s="46">
        <v>472</v>
      </c>
      <c r="H481" s="46">
        <v>83733.542000000001</v>
      </c>
      <c r="I481" s="46">
        <v>472</v>
      </c>
      <c r="J481" s="46">
        <v>70415.843000000008</v>
      </c>
    </row>
    <row r="482" spans="1:10" x14ac:dyDescent="0.2">
      <c r="A482" s="73" t="s">
        <v>219</v>
      </c>
      <c r="B482" s="73" t="s">
        <v>92</v>
      </c>
      <c r="C482" s="62" t="s">
        <v>10</v>
      </c>
      <c r="D482" s="62" t="s">
        <v>94</v>
      </c>
      <c r="E482" s="46">
        <v>7611</v>
      </c>
      <c r="F482" s="46">
        <v>5435545.9289999995</v>
      </c>
      <c r="G482" s="46">
        <v>7620</v>
      </c>
      <c r="H482" s="46">
        <v>6782028.7850000001</v>
      </c>
      <c r="I482" s="46">
        <v>7625</v>
      </c>
      <c r="J482" s="46">
        <v>6063683.892</v>
      </c>
    </row>
    <row r="483" spans="1:10" x14ac:dyDescent="0.2">
      <c r="A483" s="96" t="s">
        <v>219</v>
      </c>
      <c r="B483" s="96" t="s">
        <v>267</v>
      </c>
      <c r="C483" s="62" t="s">
        <v>10</v>
      </c>
      <c r="D483" s="62" t="s">
        <v>268</v>
      </c>
      <c r="E483" s="46">
        <v>5402</v>
      </c>
      <c r="F483" s="46">
        <v>120554.80499999999</v>
      </c>
      <c r="G483" s="46">
        <v>5409</v>
      </c>
      <c r="H483" s="46">
        <v>92278.053</v>
      </c>
      <c r="I483" s="46">
        <v>5413</v>
      </c>
      <c r="J483" s="46">
        <v>90744.982000000004</v>
      </c>
    </row>
    <row r="484" spans="1:10" x14ac:dyDescent="0.2">
      <c r="A484" s="73" t="s">
        <v>220</v>
      </c>
      <c r="B484" s="73" t="s">
        <v>92</v>
      </c>
      <c r="C484" s="62" t="s">
        <v>345</v>
      </c>
      <c r="D484" s="62" t="s">
        <v>94</v>
      </c>
      <c r="E484" s="46">
        <v>1344</v>
      </c>
      <c r="F484" s="46">
        <v>9541192.8029999994</v>
      </c>
      <c r="G484" s="46">
        <v>1312</v>
      </c>
      <c r="H484" s="46">
        <v>10940649.442</v>
      </c>
      <c r="I484" s="46">
        <v>1286</v>
      </c>
      <c r="J484" s="46">
        <v>10358744.314999999</v>
      </c>
    </row>
    <row r="485" spans="1:10" x14ac:dyDescent="0.2">
      <c r="A485" s="73" t="s">
        <v>220</v>
      </c>
      <c r="B485" s="96" t="s">
        <v>267</v>
      </c>
      <c r="C485" s="62" t="s">
        <v>345</v>
      </c>
      <c r="D485" s="62" t="s">
        <v>268</v>
      </c>
      <c r="E485" s="46">
        <v>299</v>
      </c>
      <c r="F485" s="46">
        <v>67217.255999999994</v>
      </c>
      <c r="G485" s="46">
        <v>299</v>
      </c>
      <c r="H485" s="46">
        <v>34207.199000000001</v>
      </c>
      <c r="I485" s="46">
        <v>298</v>
      </c>
      <c r="J485" s="46">
        <v>31681.449000000001</v>
      </c>
    </row>
    <row r="486" spans="1:10" x14ac:dyDescent="0.2">
      <c r="A486" s="73" t="s">
        <v>220</v>
      </c>
      <c r="B486" s="73" t="s">
        <v>92</v>
      </c>
      <c r="C486" s="62" t="s">
        <v>10</v>
      </c>
      <c r="D486" s="62" t="s">
        <v>94</v>
      </c>
      <c r="E486" s="46">
        <v>16154</v>
      </c>
      <c r="F486" s="46">
        <v>12438530.944</v>
      </c>
      <c r="G486" s="46">
        <v>16270</v>
      </c>
      <c r="H486" s="46">
        <v>16030284.659</v>
      </c>
      <c r="I486" s="46">
        <v>16339</v>
      </c>
      <c r="J486" s="46">
        <v>13868876.988</v>
      </c>
    </row>
    <row r="487" spans="1:10" x14ac:dyDescent="0.2">
      <c r="A487" s="96" t="s">
        <v>220</v>
      </c>
      <c r="B487" s="96" t="s">
        <v>267</v>
      </c>
      <c r="C487" s="62" t="s">
        <v>10</v>
      </c>
      <c r="D487" s="62" t="s">
        <v>268</v>
      </c>
      <c r="E487" s="46">
        <v>11188</v>
      </c>
      <c r="F487" s="46">
        <v>247896.01699999999</v>
      </c>
      <c r="G487" s="46">
        <v>11281</v>
      </c>
      <c r="H487" s="46">
        <v>191613.666</v>
      </c>
      <c r="I487" s="46">
        <v>11341</v>
      </c>
      <c r="J487" s="46">
        <v>183143.959</v>
      </c>
    </row>
    <row r="488" spans="1:10" x14ac:dyDescent="0.2">
      <c r="A488" s="73" t="s">
        <v>221</v>
      </c>
      <c r="B488" s="73" t="s">
        <v>92</v>
      </c>
      <c r="C488" s="62" t="s">
        <v>345</v>
      </c>
      <c r="D488" s="62" t="s">
        <v>94</v>
      </c>
      <c r="E488" s="46">
        <v>612</v>
      </c>
      <c r="F488" s="46">
        <v>11349593.541999999</v>
      </c>
      <c r="G488" s="46">
        <v>613</v>
      </c>
      <c r="H488" s="46">
        <v>11944470.592</v>
      </c>
      <c r="I488" s="46">
        <v>613</v>
      </c>
      <c r="J488" s="46">
        <v>11523303.162999999</v>
      </c>
    </row>
    <row r="489" spans="1:10" x14ac:dyDescent="0.2">
      <c r="A489" s="73" t="s">
        <v>221</v>
      </c>
      <c r="B489" s="96" t="s">
        <v>267</v>
      </c>
      <c r="C489" s="62" t="s">
        <v>345</v>
      </c>
      <c r="D489" s="62" t="s">
        <v>268</v>
      </c>
      <c r="E489" s="46">
        <v>294</v>
      </c>
      <c r="F489" s="46">
        <v>334828.723</v>
      </c>
      <c r="G489" s="46">
        <v>295</v>
      </c>
      <c r="H489" s="46">
        <v>258841.19500000001</v>
      </c>
      <c r="I489" s="46">
        <v>295</v>
      </c>
      <c r="J489" s="46">
        <v>258913.36799999999</v>
      </c>
    </row>
    <row r="490" spans="1:10" x14ac:dyDescent="0.2">
      <c r="A490" s="73" t="s">
        <v>221</v>
      </c>
      <c r="B490" s="73" t="s">
        <v>92</v>
      </c>
      <c r="C490" s="62" t="s">
        <v>10</v>
      </c>
      <c r="D490" s="62" t="s">
        <v>94</v>
      </c>
      <c r="E490" s="46">
        <v>6236</v>
      </c>
      <c r="F490" s="46">
        <v>4864923.8530000001</v>
      </c>
      <c r="G490" s="46">
        <v>6237</v>
      </c>
      <c r="H490" s="46">
        <v>6175501.0120000001</v>
      </c>
      <c r="I490" s="46">
        <v>6234</v>
      </c>
      <c r="J490" s="46">
        <v>5661813.2539999997</v>
      </c>
    </row>
    <row r="491" spans="1:10" x14ac:dyDescent="0.2">
      <c r="A491" s="96" t="s">
        <v>221</v>
      </c>
      <c r="B491" s="96" t="s">
        <v>267</v>
      </c>
      <c r="C491" s="62" t="s">
        <v>10</v>
      </c>
      <c r="D491" s="62" t="s">
        <v>268</v>
      </c>
      <c r="E491" s="46">
        <v>7530</v>
      </c>
      <c r="F491" s="46">
        <v>186786.76199999999</v>
      </c>
      <c r="G491" s="46">
        <v>7529</v>
      </c>
      <c r="H491" s="46">
        <v>136978.16099999999</v>
      </c>
      <c r="I491" s="46">
        <v>7533</v>
      </c>
      <c r="J491" s="46">
        <v>139708.93900000001</v>
      </c>
    </row>
    <row r="492" spans="1:10" x14ac:dyDescent="0.2">
      <c r="A492" s="73" t="s">
        <v>222</v>
      </c>
      <c r="B492" s="73" t="s">
        <v>92</v>
      </c>
      <c r="C492" s="62" t="s">
        <v>345</v>
      </c>
      <c r="D492" s="62" t="s">
        <v>94</v>
      </c>
      <c r="E492" s="46">
        <v>321</v>
      </c>
      <c r="F492" s="46">
        <v>231951.02299999999</v>
      </c>
      <c r="G492" s="46">
        <v>321</v>
      </c>
      <c r="H492" s="46">
        <v>262284.30099999998</v>
      </c>
      <c r="I492" s="46">
        <v>316</v>
      </c>
      <c r="J492" s="46">
        <v>218326.34700000001</v>
      </c>
    </row>
    <row r="493" spans="1:10" x14ac:dyDescent="0.2">
      <c r="A493" s="73" t="s">
        <v>222</v>
      </c>
      <c r="B493" s="96" t="s">
        <v>92</v>
      </c>
      <c r="C493" s="62" t="s">
        <v>10</v>
      </c>
      <c r="D493" s="62" t="s">
        <v>94</v>
      </c>
      <c r="E493" s="46">
        <v>2312</v>
      </c>
      <c r="F493" s="46">
        <v>1402867.801</v>
      </c>
      <c r="G493" s="46">
        <v>2314</v>
      </c>
      <c r="H493" s="46">
        <v>3054543.798</v>
      </c>
      <c r="I493" s="46">
        <v>2321</v>
      </c>
      <c r="J493" s="46">
        <v>1348403.301</v>
      </c>
    </row>
    <row r="494" spans="1:10" x14ac:dyDescent="0.2">
      <c r="A494" s="73" t="s">
        <v>223</v>
      </c>
      <c r="B494" s="73" t="s">
        <v>92</v>
      </c>
      <c r="C494" s="62" t="s">
        <v>345</v>
      </c>
      <c r="D494" s="62" t="s">
        <v>94</v>
      </c>
      <c r="E494" s="46">
        <v>1491</v>
      </c>
      <c r="F494" s="46">
        <v>4752557.9570000004</v>
      </c>
      <c r="G494" s="46">
        <v>1497</v>
      </c>
      <c r="H494" s="46">
        <v>15090783.863</v>
      </c>
      <c r="I494" s="46">
        <v>1490</v>
      </c>
      <c r="J494" s="46">
        <v>9712739.5050000008</v>
      </c>
    </row>
    <row r="495" spans="1:10" x14ac:dyDescent="0.2">
      <c r="A495" s="96" t="s">
        <v>223</v>
      </c>
      <c r="B495" s="96" t="s">
        <v>92</v>
      </c>
      <c r="C495" s="62" t="s">
        <v>10</v>
      </c>
      <c r="D495" s="62" t="s">
        <v>94</v>
      </c>
      <c r="E495" s="46">
        <v>8888</v>
      </c>
      <c r="F495" s="46">
        <v>5310033.0949999997</v>
      </c>
      <c r="G495" s="46">
        <v>8892</v>
      </c>
      <c r="H495" s="46">
        <v>6541709.6639999999</v>
      </c>
      <c r="I495" s="46">
        <v>8899</v>
      </c>
      <c r="J495" s="46">
        <v>6240749.3509999998</v>
      </c>
    </row>
    <row r="496" spans="1:10" x14ac:dyDescent="0.2">
      <c r="A496" s="73" t="s">
        <v>224</v>
      </c>
      <c r="B496" s="73" t="s">
        <v>92</v>
      </c>
      <c r="C496" s="62" t="s">
        <v>345</v>
      </c>
      <c r="D496" s="62" t="s">
        <v>94</v>
      </c>
      <c r="E496" s="46">
        <v>56</v>
      </c>
      <c r="F496" s="46">
        <v>151861.69</v>
      </c>
      <c r="G496" s="46">
        <v>56</v>
      </c>
      <c r="H496" s="46">
        <v>218473.30799999999</v>
      </c>
      <c r="I496" s="46">
        <v>56</v>
      </c>
      <c r="J496" s="46">
        <v>155063.20800000001</v>
      </c>
    </row>
    <row r="497" spans="1:10" x14ac:dyDescent="0.2">
      <c r="A497" s="96" t="s">
        <v>224</v>
      </c>
      <c r="B497" s="96" t="s">
        <v>92</v>
      </c>
      <c r="C497" s="62" t="s">
        <v>10</v>
      </c>
      <c r="D497" s="62" t="s">
        <v>94</v>
      </c>
      <c r="E497" s="46">
        <v>137</v>
      </c>
      <c r="F497" s="46">
        <v>136355</v>
      </c>
      <c r="G497" s="46">
        <v>137</v>
      </c>
      <c r="H497" s="46">
        <v>165809</v>
      </c>
      <c r="I497" s="46">
        <v>137</v>
      </c>
      <c r="J497" s="46">
        <v>140582</v>
      </c>
    </row>
    <row r="498" spans="1:10" x14ac:dyDescent="0.2">
      <c r="A498" s="73" t="s">
        <v>225</v>
      </c>
      <c r="B498" s="73" t="s">
        <v>92</v>
      </c>
      <c r="C498" s="62" t="s">
        <v>345</v>
      </c>
      <c r="D498" s="62" t="s">
        <v>94</v>
      </c>
      <c r="E498" s="46">
        <v>90</v>
      </c>
      <c r="F498" s="46">
        <v>96144.888000000006</v>
      </c>
      <c r="G498" s="46">
        <v>89</v>
      </c>
      <c r="H498" s="46">
        <v>122832.35400000001</v>
      </c>
      <c r="I498" s="46">
        <v>91</v>
      </c>
      <c r="J498" s="46">
        <v>111981.349</v>
      </c>
    </row>
    <row r="499" spans="1:10" x14ac:dyDescent="0.2">
      <c r="A499" s="96" t="s">
        <v>225</v>
      </c>
      <c r="B499" s="96" t="s">
        <v>267</v>
      </c>
      <c r="C499" s="62" t="s">
        <v>345</v>
      </c>
      <c r="D499" s="62" t="s">
        <v>268</v>
      </c>
      <c r="E499" s="46">
        <v>184</v>
      </c>
      <c r="F499" s="46">
        <v>72427.582999999999</v>
      </c>
      <c r="G499" s="46">
        <v>184</v>
      </c>
      <c r="H499" s="46">
        <v>55235.161999999997</v>
      </c>
      <c r="I499" s="46">
        <v>185</v>
      </c>
      <c r="J499" s="46">
        <v>61204.353999999999</v>
      </c>
    </row>
    <row r="500" spans="1:10" x14ac:dyDescent="0.2">
      <c r="A500" s="73" t="s">
        <v>225</v>
      </c>
      <c r="B500" s="73" t="s">
        <v>92</v>
      </c>
      <c r="C500" s="62" t="s">
        <v>10</v>
      </c>
      <c r="D500" s="62" t="s">
        <v>94</v>
      </c>
      <c r="E500" s="46">
        <v>1409</v>
      </c>
      <c r="F500" s="46">
        <v>1118770.3370000001</v>
      </c>
      <c r="G500" s="46">
        <v>1410</v>
      </c>
      <c r="H500" s="46">
        <v>1319009.1529999999</v>
      </c>
      <c r="I500" s="46">
        <v>1408</v>
      </c>
      <c r="J500" s="46">
        <v>1264750.7009999999</v>
      </c>
    </row>
    <row r="501" spans="1:10" x14ac:dyDescent="0.2">
      <c r="A501" s="96" t="s">
        <v>225</v>
      </c>
      <c r="B501" s="96" t="s">
        <v>267</v>
      </c>
      <c r="C501" s="62" t="s">
        <v>10</v>
      </c>
      <c r="D501" s="62" t="s">
        <v>268</v>
      </c>
      <c r="E501" s="46">
        <v>8055</v>
      </c>
      <c r="F501" s="46">
        <v>200271.43400000001</v>
      </c>
      <c r="G501" s="46">
        <v>8057</v>
      </c>
      <c r="H501" s="46">
        <v>149586.70600000001</v>
      </c>
      <c r="I501" s="46">
        <v>8066</v>
      </c>
      <c r="J501" s="46">
        <v>135022.73199999999</v>
      </c>
    </row>
    <row r="502" spans="1:10" x14ac:dyDescent="0.2">
      <c r="A502" s="73" t="s">
        <v>226</v>
      </c>
      <c r="B502" s="73" t="s">
        <v>92</v>
      </c>
      <c r="C502" s="62" t="s">
        <v>345</v>
      </c>
      <c r="D502" s="62" t="s">
        <v>94</v>
      </c>
      <c r="E502" s="46">
        <v>2</v>
      </c>
      <c r="F502" s="46">
        <v>146</v>
      </c>
      <c r="G502" s="46">
        <v>2</v>
      </c>
      <c r="H502" s="46">
        <v>158</v>
      </c>
      <c r="I502" s="46">
        <v>2</v>
      </c>
      <c r="J502" s="46">
        <v>158</v>
      </c>
    </row>
    <row r="503" spans="1:10" x14ac:dyDescent="0.2">
      <c r="A503" s="73" t="s">
        <v>226</v>
      </c>
      <c r="B503" s="96" t="s">
        <v>267</v>
      </c>
      <c r="C503" s="62" t="s">
        <v>345</v>
      </c>
      <c r="D503" s="62" t="s">
        <v>268</v>
      </c>
      <c r="E503" s="46">
        <v>25</v>
      </c>
      <c r="F503" s="46">
        <v>1437.8150000000001</v>
      </c>
      <c r="G503" s="46">
        <v>25</v>
      </c>
      <c r="H503" s="46">
        <v>6285.2950000000001</v>
      </c>
      <c r="I503" s="46">
        <v>25</v>
      </c>
      <c r="J503" s="46">
        <v>2494.5889999999999</v>
      </c>
    </row>
    <row r="504" spans="1:10" x14ac:dyDescent="0.2">
      <c r="A504" s="73" t="s">
        <v>226</v>
      </c>
      <c r="B504" s="73" t="s">
        <v>92</v>
      </c>
      <c r="C504" s="62" t="s">
        <v>10</v>
      </c>
      <c r="D504" s="62" t="s">
        <v>94</v>
      </c>
      <c r="E504" s="46">
        <v>62</v>
      </c>
      <c r="F504" s="46">
        <v>43511.233999999997</v>
      </c>
      <c r="G504" s="46">
        <v>62</v>
      </c>
      <c r="H504" s="46">
        <v>50403</v>
      </c>
      <c r="I504" s="46">
        <v>62</v>
      </c>
      <c r="J504" s="46">
        <v>41270</v>
      </c>
    </row>
    <row r="505" spans="1:10" x14ac:dyDescent="0.2">
      <c r="A505" s="96" t="s">
        <v>226</v>
      </c>
      <c r="B505" s="96" t="s">
        <v>267</v>
      </c>
      <c r="C505" s="62" t="s">
        <v>10</v>
      </c>
      <c r="D505" s="62" t="s">
        <v>268</v>
      </c>
      <c r="E505" s="46">
        <v>1631</v>
      </c>
      <c r="F505" s="46">
        <v>28521.343000000001</v>
      </c>
      <c r="G505" s="46">
        <v>1633</v>
      </c>
      <c r="H505" s="46">
        <v>24855.264999999999</v>
      </c>
      <c r="I505" s="46">
        <v>1635</v>
      </c>
      <c r="J505" s="46">
        <v>25850.043000000001</v>
      </c>
    </row>
    <row r="506" spans="1:10" x14ac:dyDescent="0.2">
      <c r="A506" s="73" t="s">
        <v>227</v>
      </c>
      <c r="B506" s="73" t="s">
        <v>92</v>
      </c>
      <c r="C506" s="62" t="s">
        <v>345</v>
      </c>
      <c r="D506" s="62" t="s">
        <v>94</v>
      </c>
      <c r="E506" s="46">
        <v>1365</v>
      </c>
      <c r="F506" s="46">
        <v>13146604.380000001</v>
      </c>
      <c r="G506" s="46">
        <v>1368</v>
      </c>
      <c r="H506" s="46">
        <v>15244479.464000002</v>
      </c>
      <c r="I506" s="46">
        <v>1373</v>
      </c>
      <c r="J506" s="46">
        <v>13758532.967</v>
      </c>
    </row>
    <row r="507" spans="1:10" x14ac:dyDescent="0.2">
      <c r="A507" s="73" t="s">
        <v>227</v>
      </c>
      <c r="B507" s="96" t="s">
        <v>267</v>
      </c>
      <c r="C507" s="62" t="s">
        <v>345</v>
      </c>
      <c r="D507" s="62" t="s">
        <v>268</v>
      </c>
      <c r="E507" s="46">
        <v>586</v>
      </c>
      <c r="F507" s="46">
        <v>501158.43199999997</v>
      </c>
      <c r="G507" s="46">
        <v>588</v>
      </c>
      <c r="H507" s="46">
        <v>464331.84600000002</v>
      </c>
      <c r="I507" s="46">
        <v>591</v>
      </c>
      <c r="J507" s="46">
        <v>461628.66199999995</v>
      </c>
    </row>
    <row r="508" spans="1:10" x14ac:dyDescent="0.2">
      <c r="A508" s="73" t="s">
        <v>227</v>
      </c>
      <c r="B508" s="73" t="s">
        <v>92</v>
      </c>
      <c r="C508" s="62" t="s">
        <v>10</v>
      </c>
      <c r="D508" s="62" t="s">
        <v>94</v>
      </c>
      <c r="E508" s="46">
        <v>4890</v>
      </c>
      <c r="F508" s="46">
        <v>3462191.8569999998</v>
      </c>
      <c r="G508" s="46">
        <v>4896</v>
      </c>
      <c r="H508" s="46">
        <v>4533900.159</v>
      </c>
      <c r="I508" s="46">
        <v>4890</v>
      </c>
      <c r="J508" s="46">
        <v>3518430.4989999998</v>
      </c>
    </row>
    <row r="509" spans="1:10" x14ac:dyDescent="0.2">
      <c r="A509" s="96" t="s">
        <v>227</v>
      </c>
      <c r="B509" s="96" t="s">
        <v>267</v>
      </c>
      <c r="C509" s="62" t="s">
        <v>10</v>
      </c>
      <c r="D509" s="62" t="s">
        <v>268</v>
      </c>
      <c r="E509" s="46">
        <v>2496</v>
      </c>
      <c r="F509" s="46">
        <v>39136.349000000002</v>
      </c>
      <c r="G509" s="46">
        <v>2500</v>
      </c>
      <c r="H509" s="46">
        <v>35118.152999999998</v>
      </c>
      <c r="I509" s="46">
        <v>2498</v>
      </c>
      <c r="J509" s="46">
        <v>37412.873</v>
      </c>
    </row>
    <row r="510" spans="1:10" x14ac:dyDescent="0.2">
      <c r="A510" s="73" t="s">
        <v>228</v>
      </c>
      <c r="B510" s="73" t="s">
        <v>92</v>
      </c>
      <c r="C510" s="62" t="s">
        <v>345</v>
      </c>
      <c r="D510" s="62" t="s">
        <v>94</v>
      </c>
      <c r="E510" s="46">
        <v>1690</v>
      </c>
      <c r="F510" s="46">
        <v>5721238.5920000002</v>
      </c>
      <c r="G510" s="46">
        <v>1644</v>
      </c>
      <c r="H510" s="46">
        <v>6127526.04</v>
      </c>
      <c r="I510" s="46">
        <v>1614</v>
      </c>
      <c r="J510" s="46">
        <v>7773184.2640000004</v>
      </c>
    </row>
    <row r="511" spans="1:10" x14ac:dyDescent="0.2">
      <c r="A511" s="73" t="s">
        <v>228</v>
      </c>
      <c r="B511" s="96" t="s">
        <v>267</v>
      </c>
      <c r="C511" s="62" t="s">
        <v>345</v>
      </c>
      <c r="D511" s="62" t="s">
        <v>268</v>
      </c>
      <c r="E511" s="46">
        <v>347</v>
      </c>
      <c r="F511" s="46">
        <v>52606.408000000003</v>
      </c>
      <c r="G511" s="46">
        <v>345</v>
      </c>
      <c r="H511" s="46">
        <v>49902.124000000003</v>
      </c>
      <c r="I511" s="46">
        <v>345</v>
      </c>
      <c r="J511" s="46">
        <v>61883.322999999997</v>
      </c>
    </row>
    <row r="512" spans="1:10" x14ac:dyDescent="0.2">
      <c r="A512" s="73" t="s">
        <v>228</v>
      </c>
      <c r="B512" s="73" t="s">
        <v>92</v>
      </c>
      <c r="C512" s="62" t="s">
        <v>10</v>
      </c>
      <c r="D512" s="62" t="s">
        <v>94</v>
      </c>
      <c r="E512" s="46">
        <v>21535</v>
      </c>
      <c r="F512" s="46">
        <v>18476275.125</v>
      </c>
      <c r="G512" s="46">
        <v>21598</v>
      </c>
      <c r="H512" s="46">
        <v>24096763.743000001</v>
      </c>
      <c r="I512" s="46">
        <v>21657</v>
      </c>
      <c r="J512" s="46">
        <v>19478413.598999999</v>
      </c>
    </row>
    <row r="513" spans="1:10" x14ac:dyDescent="0.2">
      <c r="A513" s="96" t="s">
        <v>228</v>
      </c>
      <c r="B513" s="96" t="s">
        <v>267</v>
      </c>
      <c r="C513" s="62" t="s">
        <v>10</v>
      </c>
      <c r="D513" s="62" t="s">
        <v>268</v>
      </c>
      <c r="E513" s="46">
        <v>14387</v>
      </c>
      <c r="F513" s="46">
        <v>291646.31699999998</v>
      </c>
      <c r="G513" s="46">
        <v>14444</v>
      </c>
      <c r="H513" s="46">
        <v>241643.14799999999</v>
      </c>
      <c r="I513" s="46">
        <v>14502</v>
      </c>
      <c r="J513" s="46">
        <v>241163.611</v>
      </c>
    </row>
    <row r="514" spans="1:10" x14ac:dyDescent="0.2">
      <c r="A514" s="73" t="s">
        <v>229</v>
      </c>
      <c r="B514" s="73" t="s">
        <v>92</v>
      </c>
      <c r="C514" s="62" t="s">
        <v>345</v>
      </c>
      <c r="D514" s="62" t="s">
        <v>94</v>
      </c>
      <c r="E514" s="46">
        <v>115</v>
      </c>
      <c r="F514" s="46">
        <v>600300</v>
      </c>
      <c r="G514" s="46">
        <v>115</v>
      </c>
      <c r="H514" s="46">
        <v>581360.61199999996</v>
      </c>
      <c r="I514" s="46">
        <v>115</v>
      </c>
      <c r="J514" s="46">
        <v>641703</v>
      </c>
    </row>
    <row r="515" spans="1:10" x14ac:dyDescent="0.2">
      <c r="A515" s="73" t="s">
        <v>229</v>
      </c>
      <c r="B515" s="96" t="s">
        <v>92</v>
      </c>
      <c r="C515" s="62" t="s">
        <v>10</v>
      </c>
      <c r="D515" s="62" t="s">
        <v>94</v>
      </c>
      <c r="E515" s="46">
        <v>1357</v>
      </c>
      <c r="F515" s="46">
        <v>1081855.192</v>
      </c>
      <c r="G515" s="46">
        <v>1355</v>
      </c>
      <c r="H515" s="46">
        <v>921873.48</v>
      </c>
      <c r="I515" s="46">
        <v>1358</v>
      </c>
      <c r="J515" s="46">
        <v>1098527.797</v>
      </c>
    </row>
    <row r="516" spans="1:10" x14ac:dyDescent="0.2">
      <c r="A516" s="73" t="s">
        <v>230</v>
      </c>
      <c r="B516" s="73" t="s">
        <v>92</v>
      </c>
      <c r="C516" s="62" t="s">
        <v>345</v>
      </c>
      <c r="D516" s="62" t="s">
        <v>94</v>
      </c>
      <c r="E516" s="46">
        <v>1</v>
      </c>
      <c r="F516" s="46">
        <v>9365</v>
      </c>
      <c r="G516" s="46">
        <v>1</v>
      </c>
      <c r="H516" s="46">
        <v>10485</v>
      </c>
      <c r="I516" s="46">
        <v>1</v>
      </c>
      <c r="J516" s="46">
        <v>10005</v>
      </c>
    </row>
    <row r="517" spans="1:10" x14ac:dyDescent="0.2">
      <c r="A517" s="96" t="s">
        <v>231</v>
      </c>
      <c r="B517" s="96" t="s">
        <v>92</v>
      </c>
      <c r="C517" s="62" t="s">
        <v>345</v>
      </c>
      <c r="D517" s="62" t="s">
        <v>94</v>
      </c>
      <c r="E517" s="46">
        <v>43</v>
      </c>
      <c r="F517" s="46">
        <v>63240.6</v>
      </c>
      <c r="G517" s="46">
        <v>44</v>
      </c>
      <c r="H517" s="46">
        <v>277802</v>
      </c>
      <c r="I517" s="46">
        <v>44</v>
      </c>
      <c r="J517" s="46">
        <v>157723.133</v>
      </c>
    </row>
    <row r="518" spans="1:10" x14ac:dyDescent="0.2">
      <c r="A518" s="73" t="s">
        <v>231</v>
      </c>
      <c r="B518" s="73" t="s">
        <v>92</v>
      </c>
      <c r="C518" s="62" t="s">
        <v>10</v>
      </c>
      <c r="D518" s="62" t="s">
        <v>94</v>
      </c>
      <c r="E518" s="46">
        <v>226</v>
      </c>
      <c r="F518" s="46">
        <v>33396.961000000003</v>
      </c>
      <c r="G518" s="46">
        <v>226</v>
      </c>
      <c r="H518" s="46">
        <v>392281.97499999998</v>
      </c>
      <c r="I518" s="46">
        <v>226</v>
      </c>
      <c r="J518" s="46">
        <v>29038.1</v>
      </c>
    </row>
    <row r="519" spans="1:10" x14ac:dyDescent="0.2">
      <c r="A519" s="62" t="s">
        <v>322</v>
      </c>
      <c r="B519" s="62" t="s">
        <v>267</v>
      </c>
      <c r="C519" s="62" t="s">
        <v>345</v>
      </c>
      <c r="D519" s="62" t="s">
        <v>268</v>
      </c>
      <c r="E519" s="46">
        <v>386</v>
      </c>
      <c r="F519" s="46">
        <v>139211.70200000002</v>
      </c>
      <c r="G519" s="46">
        <v>387</v>
      </c>
      <c r="H519" s="46">
        <v>97233.357000000004</v>
      </c>
      <c r="I519" s="46">
        <v>385</v>
      </c>
      <c r="J519" s="46">
        <v>115214.761</v>
      </c>
    </row>
    <row r="520" spans="1:10" x14ac:dyDescent="0.2">
      <c r="A520" s="96" t="s">
        <v>322</v>
      </c>
      <c r="B520" s="96" t="s">
        <v>267</v>
      </c>
      <c r="C520" s="62" t="s">
        <v>10</v>
      </c>
      <c r="D520" s="62" t="s">
        <v>268</v>
      </c>
      <c r="E520" s="46">
        <v>187</v>
      </c>
      <c r="F520" s="46">
        <v>2972.9549999999999</v>
      </c>
      <c r="G520" s="46">
        <v>187</v>
      </c>
      <c r="H520" s="46">
        <v>1849.327</v>
      </c>
      <c r="I520" s="46">
        <v>186</v>
      </c>
      <c r="J520" s="46">
        <v>1650.1579999999999</v>
      </c>
    </row>
    <row r="521" spans="1:10" x14ac:dyDescent="0.2">
      <c r="A521" s="73" t="s">
        <v>323</v>
      </c>
      <c r="B521" s="73" t="s">
        <v>267</v>
      </c>
      <c r="C521" s="62" t="s">
        <v>345</v>
      </c>
      <c r="D521" s="62" t="s">
        <v>268</v>
      </c>
      <c r="E521" s="46">
        <v>190</v>
      </c>
      <c r="F521" s="46">
        <v>49107.316999999995</v>
      </c>
      <c r="G521" s="46">
        <v>190</v>
      </c>
      <c r="H521" s="46">
        <v>29043.202000000001</v>
      </c>
      <c r="I521" s="46">
        <v>190</v>
      </c>
      <c r="J521" s="46">
        <v>30490.454999999998</v>
      </c>
    </row>
    <row r="522" spans="1:10" x14ac:dyDescent="0.2">
      <c r="A522" s="96" t="s">
        <v>323</v>
      </c>
      <c r="B522" s="96" t="s">
        <v>267</v>
      </c>
      <c r="C522" s="62" t="s">
        <v>10</v>
      </c>
      <c r="D522" s="62" t="s">
        <v>268</v>
      </c>
      <c r="E522" s="46">
        <v>1637</v>
      </c>
      <c r="F522" s="46">
        <v>38390.201000000001</v>
      </c>
      <c r="G522" s="46">
        <v>1636</v>
      </c>
      <c r="H522" s="46">
        <v>23874.75</v>
      </c>
      <c r="I522" s="46">
        <v>1642</v>
      </c>
      <c r="J522" s="46">
        <v>20825.473000000002</v>
      </c>
    </row>
    <row r="523" spans="1:10" x14ac:dyDescent="0.2">
      <c r="A523" s="73" t="s">
        <v>324</v>
      </c>
      <c r="B523" s="73" t="s">
        <v>267</v>
      </c>
      <c r="C523" s="62" t="s">
        <v>345</v>
      </c>
      <c r="D523" s="62" t="s">
        <v>268</v>
      </c>
      <c r="E523" s="46">
        <v>218</v>
      </c>
      <c r="F523" s="46">
        <v>60672.825000000004</v>
      </c>
      <c r="G523" s="46">
        <v>218</v>
      </c>
      <c r="H523" s="46">
        <v>42195.860999999997</v>
      </c>
      <c r="I523" s="46">
        <v>217</v>
      </c>
      <c r="J523" s="46">
        <v>42894.250999999997</v>
      </c>
    </row>
    <row r="524" spans="1:10" x14ac:dyDescent="0.2">
      <c r="A524" s="96" t="s">
        <v>324</v>
      </c>
      <c r="B524" s="96" t="s">
        <v>267</v>
      </c>
      <c r="C524" s="62" t="s">
        <v>10</v>
      </c>
      <c r="D524" s="62" t="s">
        <v>268</v>
      </c>
      <c r="E524" s="46">
        <v>3828</v>
      </c>
      <c r="F524" s="46">
        <v>74316.422999999995</v>
      </c>
      <c r="G524" s="46">
        <v>3822</v>
      </c>
      <c r="H524" s="46">
        <v>48388.925000000003</v>
      </c>
      <c r="I524" s="46">
        <v>3827</v>
      </c>
      <c r="J524" s="46">
        <v>43167.260999999999</v>
      </c>
    </row>
    <row r="525" spans="1:10" x14ac:dyDescent="0.2">
      <c r="A525" s="73" t="s">
        <v>325</v>
      </c>
      <c r="B525" s="73" t="s">
        <v>267</v>
      </c>
      <c r="C525" s="62" t="s">
        <v>345</v>
      </c>
      <c r="D525" s="62" t="s">
        <v>268</v>
      </c>
      <c r="E525" s="46">
        <v>379</v>
      </c>
      <c r="F525" s="46">
        <v>269781.99900000001</v>
      </c>
      <c r="G525" s="46">
        <v>379</v>
      </c>
      <c r="H525" s="46">
        <v>242547.647</v>
      </c>
      <c r="I525" s="46">
        <v>382</v>
      </c>
      <c r="J525" s="46">
        <v>233471.209</v>
      </c>
    </row>
    <row r="526" spans="1:10" x14ac:dyDescent="0.2">
      <c r="A526" s="96" t="s">
        <v>325</v>
      </c>
      <c r="B526" s="96" t="s">
        <v>267</v>
      </c>
      <c r="C526" s="62" t="s">
        <v>10</v>
      </c>
      <c r="D526" s="62" t="s">
        <v>268</v>
      </c>
      <c r="E526" s="46">
        <v>4264</v>
      </c>
      <c r="F526" s="46">
        <v>73675.937999999995</v>
      </c>
      <c r="G526" s="46">
        <v>4262</v>
      </c>
      <c r="H526" s="46">
        <v>40937.548000000003</v>
      </c>
      <c r="I526" s="46">
        <v>4256</v>
      </c>
      <c r="J526" s="46">
        <v>43021.082999999999</v>
      </c>
    </row>
    <row r="527" spans="1:10" x14ac:dyDescent="0.2">
      <c r="A527" s="73" t="s">
        <v>326</v>
      </c>
      <c r="B527" s="73" t="s">
        <v>267</v>
      </c>
      <c r="C527" s="62" t="s">
        <v>345</v>
      </c>
      <c r="D527" s="62" t="s">
        <v>268</v>
      </c>
      <c r="E527" s="46">
        <v>288</v>
      </c>
      <c r="F527" s="46">
        <v>66942.907000000007</v>
      </c>
      <c r="G527" s="46">
        <v>287</v>
      </c>
      <c r="H527" s="46">
        <v>38573.303999999996</v>
      </c>
      <c r="I527" s="46">
        <v>283</v>
      </c>
      <c r="J527" s="46">
        <v>46654.544999999998</v>
      </c>
    </row>
    <row r="528" spans="1:10" x14ac:dyDescent="0.2">
      <c r="A528" s="96" t="s">
        <v>326</v>
      </c>
      <c r="B528" s="96" t="s">
        <v>267</v>
      </c>
      <c r="C528" s="62" t="s">
        <v>10</v>
      </c>
      <c r="D528" s="62" t="s">
        <v>268</v>
      </c>
      <c r="E528" s="46">
        <v>5020</v>
      </c>
      <c r="F528" s="46">
        <v>107168.264</v>
      </c>
      <c r="G528" s="46">
        <v>5013</v>
      </c>
      <c r="H528" s="46">
        <v>56902.889000000003</v>
      </c>
      <c r="I528" s="46">
        <v>5014</v>
      </c>
      <c r="J528" s="46">
        <v>69794.832999999999</v>
      </c>
    </row>
    <row r="529" spans="1:10" x14ac:dyDescent="0.2">
      <c r="A529" s="73" t="s">
        <v>327</v>
      </c>
      <c r="B529" s="73" t="s">
        <v>267</v>
      </c>
      <c r="C529" s="62" t="s">
        <v>345</v>
      </c>
      <c r="D529" s="62" t="s">
        <v>268</v>
      </c>
      <c r="E529" s="46">
        <v>165</v>
      </c>
      <c r="F529" s="46">
        <v>60729.903999999995</v>
      </c>
      <c r="G529" s="46">
        <v>166</v>
      </c>
      <c r="H529" s="46">
        <v>42131.131999999998</v>
      </c>
      <c r="I529" s="46">
        <v>166</v>
      </c>
      <c r="J529" s="46">
        <v>44541.989000000001</v>
      </c>
    </row>
    <row r="530" spans="1:10" x14ac:dyDescent="0.2">
      <c r="A530" s="96" t="s">
        <v>327</v>
      </c>
      <c r="B530" s="96" t="s">
        <v>267</v>
      </c>
      <c r="C530" s="62" t="s">
        <v>10</v>
      </c>
      <c r="D530" s="62" t="s">
        <v>268</v>
      </c>
      <c r="E530" s="46">
        <v>5125</v>
      </c>
      <c r="F530" s="46">
        <v>105739.91499999999</v>
      </c>
      <c r="G530" s="46">
        <v>5121</v>
      </c>
      <c r="H530" s="46">
        <v>73153.255999999994</v>
      </c>
      <c r="I530" s="46">
        <v>5118</v>
      </c>
      <c r="J530" s="46">
        <v>64660.186000000002</v>
      </c>
    </row>
    <row r="531" spans="1:10" x14ac:dyDescent="0.2">
      <c r="A531" s="73" t="s">
        <v>328</v>
      </c>
      <c r="B531" s="73" t="s">
        <v>267</v>
      </c>
      <c r="C531" s="62" t="s">
        <v>345</v>
      </c>
      <c r="D531" s="62" t="s">
        <v>268</v>
      </c>
      <c r="E531" s="46">
        <v>199</v>
      </c>
      <c r="F531" s="46">
        <v>56546.829999999994</v>
      </c>
      <c r="G531" s="46">
        <v>199</v>
      </c>
      <c r="H531" s="46">
        <v>39251.928</v>
      </c>
      <c r="I531" s="46">
        <v>199</v>
      </c>
      <c r="J531" s="46">
        <v>39889.572999999997</v>
      </c>
    </row>
    <row r="532" spans="1:10" x14ac:dyDescent="0.2">
      <c r="A532" s="96" t="s">
        <v>328</v>
      </c>
      <c r="B532" s="96" t="s">
        <v>267</v>
      </c>
      <c r="C532" s="62" t="s">
        <v>10</v>
      </c>
      <c r="D532" s="62" t="s">
        <v>268</v>
      </c>
      <c r="E532" s="46">
        <v>3616</v>
      </c>
      <c r="F532" s="46">
        <v>68234.540999999997</v>
      </c>
      <c r="G532" s="46">
        <v>3606</v>
      </c>
      <c r="H532" s="46">
        <v>36952.421999999999</v>
      </c>
      <c r="I532" s="46">
        <v>3602</v>
      </c>
      <c r="J532" s="46">
        <v>36062.815000000002</v>
      </c>
    </row>
    <row r="533" spans="1:10" x14ac:dyDescent="0.2">
      <c r="A533" s="73" t="s">
        <v>329</v>
      </c>
      <c r="B533" s="73" t="s">
        <v>267</v>
      </c>
      <c r="C533" s="62" t="s">
        <v>345</v>
      </c>
      <c r="D533" s="62" t="s">
        <v>268</v>
      </c>
      <c r="E533" s="46">
        <v>857</v>
      </c>
      <c r="F533" s="46">
        <v>297884.39</v>
      </c>
      <c r="G533" s="46">
        <v>853</v>
      </c>
      <c r="H533" s="46">
        <v>263074.13099999999</v>
      </c>
      <c r="I533" s="46">
        <v>856</v>
      </c>
      <c r="J533" s="46">
        <v>271178.527</v>
      </c>
    </row>
    <row r="534" spans="1:10" x14ac:dyDescent="0.2">
      <c r="A534" s="96" t="s">
        <v>329</v>
      </c>
      <c r="B534" s="96" t="s">
        <v>267</v>
      </c>
      <c r="C534" s="62" t="s">
        <v>10</v>
      </c>
      <c r="D534" s="62" t="s">
        <v>268</v>
      </c>
      <c r="E534" s="46">
        <v>3004</v>
      </c>
      <c r="F534" s="46">
        <v>37883.54</v>
      </c>
      <c r="G534" s="46">
        <v>2999</v>
      </c>
      <c r="H534" s="46">
        <v>29547.258000000002</v>
      </c>
      <c r="I534" s="46">
        <v>2994</v>
      </c>
      <c r="J534" s="46">
        <v>34462.925000000003</v>
      </c>
    </row>
    <row r="535" spans="1:10" x14ac:dyDescent="0.2">
      <c r="A535" s="73" t="s">
        <v>330</v>
      </c>
      <c r="B535" s="73" t="s">
        <v>267</v>
      </c>
      <c r="C535" s="62" t="s">
        <v>345</v>
      </c>
      <c r="D535" s="62" t="s">
        <v>268</v>
      </c>
      <c r="E535" s="46">
        <v>1</v>
      </c>
      <c r="F535" s="46">
        <v>1487.7809999999999</v>
      </c>
      <c r="G535" s="46">
        <v>1</v>
      </c>
      <c r="H535" s="46">
        <v>1269.069</v>
      </c>
      <c r="I535" s="46">
        <v>1</v>
      </c>
      <c r="J535" s="46">
        <v>447.12299999999999</v>
      </c>
    </row>
    <row r="536" spans="1:10" x14ac:dyDescent="0.2">
      <c r="A536" s="96" t="s">
        <v>331</v>
      </c>
      <c r="B536" s="96" t="s">
        <v>267</v>
      </c>
      <c r="C536" s="62" t="s">
        <v>345</v>
      </c>
      <c r="D536" s="62" t="s">
        <v>268</v>
      </c>
      <c r="E536" s="46">
        <v>18</v>
      </c>
      <c r="F536" s="46">
        <v>10996.335999999999</v>
      </c>
      <c r="G536" s="46">
        <v>18</v>
      </c>
      <c r="H536" s="46">
        <v>1935.7750000000001</v>
      </c>
      <c r="I536" s="46">
        <v>18</v>
      </c>
      <c r="J536" s="46">
        <v>2347.422</v>
      </c>
    </row>
    <row r="537" spans="1:10" x14ac:dyDescent="0.2">
      <c r="A537" s="73" t="s">
        <v>332</v>
      </c>
      <c r="B537" s="73" t="s">
        <v>267</v>
      </c>
      <c r="C537" s="62" t="s">
        <v>345</v>
      </c>
      <c r="D537" s="62" t="s">
        <v>268</v>
      </c>
      <c r="E537" s="46">
        <v>130</v>
      </c>
      <c r="F537" s="46">
        <v>13139.308000000001</v>
      </c>
      <c r="G537" s="46">
        <v>129</v>
      </c>
      <c r="H537" s="46">
        <v>15095.493</v>
      </c>
      <c r="I537" s="46">
        <v>126</v>
      </c>
      <c r="J537" s="46">
        <v>12841.031000000001</v>
      </c>
    </row>
    <row r="538" spans="1:10" x14ac:dyDescent="0.2">
      <c r="A538" s="62" t="s">
        <v>332</v>
      </c>
      <c r="B538" s="62" t="s">
        <v>267</v>
      </c>
      <c r="C538" s="62" t="s">
        <v>10</v>
      </c>
      <c r="D538" s="62" t="s">
        <v>268</v>
      </c>
      <c r="E538" s="46">
        <v>1948</v>
      </c>
      <c r="F538" s="46">
        <v>31939.572</v>
      </c>
      <c r="G538" s="46">
        <v>1946</v>
      </c>
      <c r="H538" s="46">
        <v>20408.133000000002</v>
      </c>
      <c r="I538" s="46">
        <v>1945</v>
      </c>
      <c r="J538" s="46">
        <v>16584.912</v>
      </c>
    </row>
    <row r="539" spans="1:10" x14ac:dyDescent="0.2">
      <c r="A539" s="62" t="s">
        <v>333</v>
      </c>
      <c r="B539" s="62" t="s">
        <v>267</v>
      </c>
      <c r="C539" s="62" t="s">
        <v>345</v>
      </c>
      <c r="D539" s="62" t="s">
        <v>268</v>
      </c>
      <c r="E539" s="46">
        <v>268</v>
      </c>
      <c r="F539" s="46">
        <v>4003264.0150000001</v>
      </c>
      <c r="G539" s="46">
        <v>268</v>
      </c>
      <c r="H539" s="46">
        <v>3379615.5160000003</v>
      </c>
      <c r="I539" s="46">
        <v>268</v>
      </c>
      <c r="J539" s="46">
        <v>3430655.1920000003</v>
      </c>
    </row>
    <row r="540" spans="1:10" x14ac:dyDescent="0.2">
      <c r="A540" s="96" t="s">
        <v>333</v>
      </c>
      <c r="B540" s="96" t="s">
        <v>267</v>
      </c>
      <c r="C540" s="62" t="s">
        <v>10</v>
      </c>
      <c r="D540" s="62" t="s">
        <v>268</v>
      </c>
      <c r="E540" s="46">
        <v>5</v>
      </c>
      <c r="F540" s="46">
        <v>34.313000000000002</v>
      </c>
      <c r="G540" s="46">
        <v>5</v>
      </c>
      <c r="H540" s="46">
        <v>20.795000000000002</v>
      </c>
      <c r="I540" s="46">
        <v>5</v>
      </c>
      <c r="J540" s="46">
        <v>13.07</v>
      </c>
    </row>
    <row r="541" spans="1:10" x14ac:dyDescent="0.2">
      <c r="A541" s="73" t="s">
        <v>334</v>
      </c>
      <c r="B541" s="73" t="s">
        <v>267</v>
      </c>
      <c r="C541" s="62" t="s">
        <v>345</v>
      </c>
      <c r="D541" s="62" t="s">
        <v>268</v>
      </c>
      <c r="E541" s="46">
        <v>56</v>
      </c>
      <c r="F541" s="46">
        <v>149983.13799999998</v>
      </c>
      <c r="G541" s="46">
        <v>56</v>
      </c>
      <c r="H541" s="46">
        <v>106445.76000000001</v>
      </c>
      <c r="I541" s="46">
        <v>57</v>
      </c>
      <c r="J541" s="46">
        <v>124477.72899999999</v>
      </c>
    </row>
    <row r="542" spans="1:10" x14ac:dyDescent="0.2">
      <c r="A542" s="96" t="s">
        <v>334</v>
      </c>
      <c r="B542" s="96" t="s">
        <v>92</v>
      </c>
      <c r="C542" s="62" t="s">
        <v>10</v>
      </c>
      <c r="D542" s="62" t="s">
        <v>94</v>
      </c>
      <c r="E542" s="46">
        <v>12</v>
      </c>
      <c r="F542" s="46">
        <v>9639</v>
      </c>
      <c r="G542" s="46">
        <v>12</v>
      </c>
      <c r="H542" s="46">
        <v>10786</v>
      </c>
      <c r="I542" s="46">
        <v>12</v>
      </c>
      <c r="J542" s="46">
        <v>10496</v>
      </c>
    </row>
    <row r="543" spans="1:10" x14ac:dyDescent="0.2">
      <c r="A543" s="73" t="s">
        <v>334</v>
      </c>
      <c r="B543" s="73" t="s">
        <v>267</v>
      </c>
      <c r="C543" s="62" t="s">
        <v>10</v>
      </c>
      <c r="D543" s="62" t="s">
        <v>268</v>
      </c>
      <c r="E543" s="46">
        <v>4876</v>
      </c>
      <c r="F543" s="46">
        <v>117774.792</v>
      </c>
      <c r="G543" s="46">
        <v>4880</v>
      </c>
      <c r="H543" s="46">
        <v>85194.837</v>
      </c>
      <c r="I543" s="46">
        <v>4873</v>
      </c>
      <c r="J543" s="46">
        <v>86793.881999999998</v>
      </c>
    </row>
    <row r="544" spans="1:10" x14ac:dyDescent="0.2">
      <c r="A544" s="96" t="s">
        <v>232</v>
      </c>
      <c r="B544" s="62" t="s">
        <v>92</v>
      </c>
      <c r="C544" s="62" t="s">
        <v>345</v>
      </c>
      <c r="D544" s="62" t="s">
        <v>94</v>
      </c>
      <c r="E544" s="46">
        <v>97</v>
      </c>
      <c r="F544" s="46">
        <v>1094599</v>
      </c>
      <c r="G544" s="46">
        <v>97</v>
      </c>
      <c r="H544" s="46">
        <v>2579632</v>
      </c>
      <c r="I544" s="46">
        <v>97</v>
      </c>
      <c r="J544" s="46">
        <v>1228220</v>
      </c>
    </row>
    <row r="545" spans="1:10" x14ac:dyDescent="0.2">
      <c r="A545" s="73" t="s">
        <v>232</v>
      </c>
      <c r="B545" s="96" t="s">
        <v>267</v>
      </c>
      <c r="C545" s="62" t="s">
        <v>345</v>
      </c>
      <c r="D545" s="62" t="s">
        <v>268</v>
      </c>
      <c r="E545" s="46">
        <v>506</v>
      </c>
      <c r="F545" s="46">
        <v>180682.52599999998</v>
      </c>
      <c r="G545" s="46">
        <v>507</v>
      </c>
      <c r="H545" s="46">
        <v>131634.66399999999</v>
      </c>
      <c r="I545" s="46">
        <v>509</v>
      </c>
      <c r="J545" s="46">
        <v>140256.02899999998</v>
      </c>
    </row>
    <row r="546" spans="1:10" x14ac:dyDescent="0.2">
      <c r="A546" s="73" t="s">
        <v>232</v>
      </c>
      <c r="B546" s="73" t="s">
        <v>92</v>
      </c>
      <c r="C546" s="62" t="s">
        <v>10</v>
      </c>
      <c r="D546" s="62" t="s">
        <v>94</v>
      </c>
      <c r="E546" s="46">
        <v>106</v>
      </c>
      <c r="F546" s="46">
        <v>83737</v>
      </c>
      <c r="G546" s="46">
        <v>106</v>
      </c>
      <c r="H546" s="46">
        <v>93640.1</v>
      </c>
      <c r="I546" s="46">
        <v>106</v>
      </c>
      <c r="J546" s="46">
        <v>88779</v>
      </c>
    </row>
    <row r="547" spans="1:10" x14ac:dyDescent="0.2">
      <c r="A547" s="96" t="s">
        <v>232</v>
      </c>
      <c r="B547" s="96" t="s">
        <v>267</v>
      </c>
      <c r="C547" s="62" t="s">
        <v>10</v>
      </c>
      <c r="D547" s="62" t="s">
        <v>268</v>
      </c>
      <c r="E547" s="46">
        <v>1513</v>
      </c>
      <c r="F547" s="46">
        <v>26092.111000000001</v>
      </c>
      <c r="G547" s="46">
        <v>1507</v>
      </c>
      <c r="H547" s="46">
        <v>21922.002</v>
      </c>
      <c r="I547" s="46">
        <v>1515</v>
      </c>
      <c r="J547" s="46">
        <v>22936.616999999998</v>
      </c>
    </row>
    <row r="548" spans="1:10" x14ac:dyDescent="0.2">
      <c r="A548" s="73" t="s">
        <v>233</v>
      </c>
      <c r="B548" s="73" t="s">
        <v>92</v>
      </c>
      <c r="C548" s="62" t="s">
        <v>345</v>
      </c>
      <c r="D548" s="62" t="s">
        <v>94</v>
      </c>
      <c r="E548" s="46">
        <v>72</v>
      </c>
      <c r="F548" s="46">
        <v>503849.51199999999</v>
      </c>
      <c r="G548" s="46">
        <v>72</v>
      </c>
      <c r="H548" s="46">
        <v>565795.38899999997</v>
      </c>
      <c r="I548" s="46">
        <v>72</v>
      </c>
      <c r="J548" s="46">
        <v>577919.10900000005</v>
      </c>
    </row>
    <row r="549" spans="1:10" x14ac:dyDescent="0.2">
      <c r="A549" s="73" t="s">
        <v>233</v>
      </c>
      <c r="B549" s="96" t="s">
        <v>267</v>
      </c>
      <c r="C549" s="62" t="s">
        <v>345</v>
      </c>
      <c r="D549" s="62" t="s">
        <v>268</v>
      </c>
      <c r="E549" s="46">
        <v>48</v>
      </c>
      <c r="F549" s="46">
        <v>3081.22</v>
      </c>
      <c r="G549" s="46">
        <v>48</v>
      </c>
      <c r="H549" s="46">
        <v>2255.076</v>
      </c>
      <c r="I549" s="46">
        <v>48</v>
      </c>
      <c r="J549" s="46">
        <v>678.96699999999998</v>
      </c>
    </row>
    <row r="550" spans="1:10" x14ac:dyDescent="0.2">
      <c r="A550" s="73" t="s">
        <v>234</v>
      </c>
      <c r="B550" s="73" t="s">
        <v>92</v>
      </c>
      <c r="C550" s="62" t="s">
        <v>345</v>
      </c>
      <c r="D550" s="62" t="s">
        <v>94</v>
      </c>
      <c r="E550" s="46">
        <v>4</v>
      </c>
      <c r="F550" s="46">
        <v>5627</v>
      </c>
      <c r="G550" s="46">
        <v>4</v>
      </c>
      <c r="H550" s="46">
        <v>5989</v>
      </c>
      <c r="I550" s="46">
        <v>4</v>
      </c>
      <c r="J550" s="46">
        <v>6190</v>
      </c>
    </row>
    <row r="551" spans="1:10" x14ac:dyDescent="0.2">
      <c r="A551" s="96" t="s">
        <v>234</v>
      </c>
      <c r="B551" s="62" t="s">
        <v>267</v>
      </c>
      <c r="C551" s="62" t="s">
        <v>345</v>
      </c>
      <c r="D551" s="62" t="s">
        <v>268</v>
      </c>
      <c r="E551" s="46">
        <v>634</v>
      </c>
      <c r="F551" s="46">
        <v>1642480.97</v>
      </c>
      <c r="G551" s="46">
        <v>634</v>
      </c>
      <c r="H551" s="46">
        <v>275485.55099999998</v>
      </c>
      <c r="I551" s="46">
        <v>634</v>
      </c>
      <c r="J551" s="46">
        <v>221705.269</v>
      </c>
    </row>
    <row r="552" spans="1:10" x14ac:dyDescent="0.2">
      <c r="A552" s="73" t="s">
        <v>234</v>
      </c>
      <c r="B552" s="62" t="s">
        <v>267</v>
      </c>
      <c r="C552" s="62" t="s">
        <v>10</v>
      </c>
      <c r="D552" s="62" t="s">
        <v>268</v>
      </c>
      <c r="E552" s="46">
        <v>4093</v>
      </c>
      <c r="F552" s="46">
        <v>57672.055999999997</v>
      </c>
      <c r="G552" s="46">
        <v>4093</v>
      </c>
      <c r="H552" s="46">
        <v>35247.449000000001</v>
      </c>
      <c r="I552" s="46">
        <v>4093</v>
      </c>
      <c r="J552" s="46">
        <v>37037.546999999999</v>
      </c>
    </row>
    <row r="553" spans="1:10" x14ac:dyDescent="0.2">
      <c r="A553" s="96" t="s">
        <v>335</v>
      </c>
      <c r="B553" s="62" t="s">
        <v>267</v>
      </c>
      <c r="C553" s="62" t="s">
        <v>345</v>
      </c>
      <c r="D553" s="62" t="s">
        <v>268</v>
      </c>
      <c r="E553" s="46">
        <v>45</v>
      </c>
      <c r="F553" s="46">
        <v>97095.996000000014</v>
      </c>
      <c r="G553" s="46">
        <v>45</v>
      </c>
      <c r="H553" s="46">
        <v>110786.88499999999</v>
      </c>
      <c r="I553" s="46">
        <v>45</v>
      </c>
      <c r="J553" s="46">
        <v>89056.567999999999</v>
      </c>
    </row>
    <row r="554" spans="1:10" x14ac:dyDescent="0.2">
      <c r="A554" s="73" t="s">
        <v>335</v>
      </c>
      <c r="B554" s="96" t="s">
        <v>267</v>
      </c>
      <c r="C554" s="62" t="s">
        <v>10</v>
      </c>
      <c r="D554" s="62" t="s">
        <v>268</v>
      </c>
      <c r="E554" s="46">
        <v>1</v>
      </c>
      <c r="F554" s="46">
        <v>351.65</v>
      </c>
      <c r="G554" s="46">
        <v>1</v>
      </c>
      <c r="H554" s="46">
        <v>197.50399999999999</v>
      </c>
      <c r="I554" s="46">
        <v>1</v>
      </c>
      <c r="J554" s="46">
        <v>165.30099999999999</v>
      </c>
    </row>
    <row r="555" spans="1:10" x14ac:dyDescent="0.2">
      <c r="A555" s="73" t="s">
        <v>235</v>
      </c>
      <c r="B555" s="73" t="s">
        <v>92</v>
      </c>
      <c r="C555" s="62" t="s">
        <v>345</v>
      </c>
      <c r="D555" s="62" t="s">
        <v>94</v>
      </c>
      <c r="E555" s="46">
        <v>115</v>
      </c>
      <c r="F555" s="46">
        <v>200039.66200000001</v>
      </c>
      <c r="G555" s="46">
        <v>113</v>
      </c>
      <c r="H555" s="46">
        <v>560944.43999999994</v>
      </c>
      <c r="I555" s="46">
        <v>113</v>
      </c>
      <c r="J555" s="46">
        <v>388787.63299999997</v>
      </c>
    </row>
    <row r="556" spans="1:10" x14ac:dyDescent="0.2">
      <c r="A556" s="96" t="s">
        <v>235</v>
      </c>
      <c r="B556" s="96" t="s">
        <v>267</v>
      </c>
      <c r="C556" s="62" t="s">
        <v>345</v>
      </c>
      <c r="D556" s="62" t="s">
        <v>268</v>
      </c>
      <c r="E556" s="46">
        <v>13</v>
      </c>
      <c r="F556" s="46">
        <v>4530.1109999999999</v>
      </c>
      <c r="G556" s="46">
        <v>13</v>
      </c>
      <c r="H556" s="46">
        <v>2887.0740000000001</v>
      </c>
      <c r="I556" s="46">
        <v>13</v>
      </c>
      <c r="J556" s="46">
        <v>3419.2260000000001</v>
      </c>
    </row>
    <row r="557" spans="1:10" x14ac:dyDescent="0.2">
      <c r="A557" s="73" t="s">
        <v>235</v>
      </c>
      <c r="B557" s="73" t="s">
        <v>92</v>
      </c>
      <c r="C557" s="62" t="s">
        <v>10</v>
      </c>
      <c r="D557" s="62" t="s">
        <v>94</v>
      </c>
      <c r="E557" s="46">
        <v>1045</v>
      </c>
      <c r="F557" s="46">
        <v>548897.11699999997</v>
      </c>
      <c r="G557" s="46">
        <v>1043</v>
      </c>
      <c r="H557" s="46">
        <v>565887.67200000002</v>
      </c>
      <c r="I557" s="46">
        <v>1039</v>
      </c>
      <c r="J557" s="46">
        <v>629416.32400000002</v>
      </c>
    </row>
    <row r="558" spans="1:10" x14ac:dyDescent="0.2">
      <c r="A558" s="96" t="s">
        <v>235</v>
      </c>
      <c r="B558" s="96" t="s">
        <v>267</v>
      </c>
      <c r="C558" s="62" t="s">
        <v>10</v>
      </c>
      <c r="D558" s="62" t="s">
        <v>268</v>
      </c>
      <c r="E558" s="46">
        <v>100</v>
      </c>
      <c r="F558" s="46">
        <v>4034.0970000000002</v>
      </c>
      <c r="G558" s="46">
        <v>100</v>
      </c>
      <c r="H558" s="46">
        <v>2126.373</v>
      </c>
      <c r="I558" s="46">
        <v>100</v>
      </c>
      <c r="J558" s="46">
        <v>1802.9939999999999</v>
      </c>
    </row>
    <row r="559" spans="1:10" x14ac:dyDescent="0.2">
      <c r="A559" s="73" t="s">
        <v>336</v>
      </c>
      <c r="B559" s="73" t="s">
        <v>267</v>
      </c>
      <c r="C559" s="62" t="s">
        <v>345</v>
      </c>
      <c r="D559" s="62" t="s">
        <v>268</v>
      </c>
      <c r="E559" s="46">
        <v>10</v>
      </c>
      <c r="F559" s="46">
        <v>-528.928</v>
      </c>
      <c r="G559" s="46">
        <v>10</v>
      </c>
      <c r="H559" s="46">
        <v>1005.54</v>
      </c>
      <c r="I559" s="46">
        <v>10</v>
      </c>
      <c r="J559" s="46">
        <v>1262.9659999999999</v>
      </c>
    </row>
    <row r="560" spans="1:10" x14ac:dyDescent="0.2">
      <c r="A560" s="73" t="s">
        <v>336</v>
      </c>
      <c r="B560" s="96" t="s">
        <v>267</v>
      </c>
      <c r="C560" s="62" t="s">
        <v>10</v>
      </c>
      <c r="D560" s="62" t="s">
        <v>268</v>
      </c>
      <c r="E560" s="46">
        <v>500</v>
      </c>
      <c r="F560" s="46">
        <v>11677.290999999999</v>
      </c>
      <c r="G560" s="46">
        <v>500</v>
      </c>
      <c r="H560" s="46">
        <v>9130.7099999999991</v>
      </c>
      <c r="I560" s="46">
        <v>501</v>
      </c>
      <c r="J560" s="46">
        <v>10646.791999999999</v>
      </c>
    </row>
    <row r="561" spans="1:10" x14ac:dyDescent="0.2">
      <c r="A561" s="73" t="s">
        <v>337</v>
      </c>
      <c r="B561" s="73" t="s">
        <v>267</v>
      </c>
      <c r="C561" s="62" t="s">
        <v>345</v>
      </c>
      <c r="D561" s="62" t="s">
        <v>268</v>
      </c>
      <c r="E561" s="46">
        <v>459</v>
      </c>
      <c r="F561" s="46">
        <v>81263.062999999995</v>
      </c>
      <c r="G561" s="46">
        <v>455</v>
      </c>
      <c r="H561" s="46">
        <v>58876.79</v>
      </c>
      <c r="I561" s="46">
        <v>456</v>
      </c>
      <c r="J561" s="46">
        <v>62518.542999999998</v>
      </c>
    </row>
    <row r="562" spans="1:10" x14ac:dyDescent="0.2">
      <c r="A562" s="96" t="s">
        <v>337</v>
      </c>
      <c r="B562" s="96" t="s">
        <v>267</v>
      </c>
      <c r="C562" s="62" t="s">
        <v>10</v>
      </c>
      <c r="D562" s="62" t="s">
        <v>268</v>
      </c>
      <c r="E562" s="46">
        <v>2809</v>
      </c>
      <c r="F562" s="46">
        <v>56633.353999999999</v>
      </c>
      <c r="G562" s="46">
        <v>2809</v>
      </c>
      <c r="H562" s="46">
        <v>35758.737999999998</v>
      </c>
      <c r="I562" s="46">
        <v>2808</v>
      </c>
      <c r="J562" s="46">
        <v>39302.584000000003</v>
      </c>
    </row>
    <row r="563" spans="1:10" x14ac:dyDescent="0.2">
      <c r="A563" s="73" t="s">
        <v>236</v>
      </c>
      <c r="B563" s="73" t="s">
        <v>92</v>
      </c>
      <c r="C563" s="62" t="s">
        <v>345</v>
      </c>
      <c r="D563" s="62" t="s">
        <v>94</v>
      </c>
      <c r="E563" s="46">
        <v>5</v>
      </c>
      <c r="F563" s="46">
        <v>15129</v>
      </c>
      <c r="G563" s="46">
        <v>5</v>
      </c>
      <c r="H563" s="46">
        <v>19075</v>
      </c>
      <c r="I563" s="46">
        <v>5</v>
      </c>
      <c r="J563" s="46">
        <v>21210</v>
      </c>
    </row>
    <row r="564" spans="1:10" x14ac:dyDescent="0.2">
      <c r="A564" s="96" t="s">
        <v>236</v>
      </c>
      <c r="B564" s="96" t="s">
        <v>267</v>
      </c>
      <c r="C564" s="62" t="s">
        <v>345</v>
      </c>
      <c r="D564" s="62" t="s">
        <v>268</v>
      </c>
      <c r="E564" s="46">
        <v>119</v>
      </c>
      <c r="F564" s="46">
        <v>11264.807999999999</v>
      </c>
      <c r="G564" s="46">
        <v>119</v>
      </c>
      <c r="H564" s="46">
        <v>6364.384</v>
      </c>
      <c r="I564" s="46">
        <v>119</v>
      </c>
      <c r="J564" s="46">
        <v>7631.1790000000001</v>
      </c>
    </row>
    <row r="565" spans="1:10" x14ac:dyDescent="0.2">
      <c r="A565" s="73" t="s">
        <v>236</v>
      </c>
      <c r="B565" s="73" t="s">
        <v>92</v>
      </c>
      <c r="C565" s="62" t="s">
        <v>10</v>
      </c>
      <c r="D565" s="62" t="s">
        <v>94</v>
      </c>
      <c r="E565" s="46">
        <v>96</v>
      </c>
      <c r="F565" s="46">
        <v>88712</v>
      </c>
      <c r="G565" s="46">
        <v>96</v>
      </c>
      <c r="H565" s="46">
        <v>103325</v>
      </c>
      <c r="I565" s="46">
        <v>96</v>
      </c>
      <c r="J565" s="46">
        <v>102323</v>
      </c>
    </row>
    <row r="566" spans="1:10" x14ac:dyDescent="0.2">
      <c r="A566" s="96" t="s">
        <v>236</v>
      </c>
      <c r="B566" s="96" t="s">
        <v>267</v>
      </c>
      <c r="C566" s="62" t="s">
        <v>10</v>
      </c>
      <c r="D566" s="62" t="s">
        <v>268</v>
      </c>
      <c r="E566" s="46">
        <v>4607</v>
      </c>
      <c r="F566" s="46">
        <v>111730.96400000001</v>
      </c>
      <c r="G566" s="46">
        <v>4608</v>
      </c>
      <c r="H566" s="46">
        <v>73475.948000000004</v>
      </c>
      <c r="I566" s="46">
        <v>4610</v>
      </c>
      <c r="J566" s="46">
        <v>79216.486000000004</v>
      </c>
    </row>
    <row r="567" spans="1:10" x14ac:dyDescent="0.2">
      <c r="A567" s="73" t="s">
        <v>237</v>
      </c>
      <c r="B567" s="73" t="s">
        <v>92</v>
      </c>
      <c r="C567" s="62" t="s">
        <v>345</v>
      </c>
      <c r="D567" s="62" t="s">
        <v>94</v>
      </c>
      <c r="E567" s="46">
        <v>127</v>
      </c>
      <c r="F567" s="46">
        <v>132838.39999999999</v>
      </c>
      <c r="G567" s="46">
        <v>126</v>
      </c>
      <c r="H567" s="46">
        <v>303658.19900000002</v>
      </c>
      <c r="I567" s="46">
        <v>127</v>
      </c>
      <c r="J567" s="46">
        <v>837880.42</v>
      </c>
    </row>
    <row r="568" spans="1:10" x14ac:dyDescent="0.2">
      <c r="A568" s="73" t="s">
        <v>237</v>
      </c>
      <c r="B568" s="96" t="s">
        <v>267</v>
      </c>
      <c r="C568" s="62" t="s">
        <v>345</v>
      </c>
      <c r="D568" s="62" t="s">
        <v>268</v>
      </c>
      <c r="E568" s="46">
        <v>61</v>
      </c>
      <c r="F568" s="46">
        <v>402501.12600000005</v>
      </c>
      <c r="G568" s="46">
        <v>61</v>
      </c>
      <c r="H568" s="46">
        <v>332876.49099999998</v>
      </c>
      <c r="I568" s="46">
        <v>61</v>
      </c>
      <c r="J568" s="46">
        <v>439484.66800000006</v>
      </c>
    </row>
    <row r="569" spans="1:10" x14ac:dyDescent="0.2">
      <c r="A569" s="73" t="s">
        <v>237</v>
      </c>
      <c r="B569" s="73" t="s">
        <v>92</v>
      </c>
      <c r="C569" s="62" t="s">
        <v>10</v>
      </c>
      <c r="D569" s="62" t="s">
        <v>94</v>
      </c>
      <c r="E569" s="46">
        <v>1070</v>
      </c>
      <c r="F569" s="46">
        <v>795069.91500000004</v>
      </c>
      <c r="G569" s="46">
        <v>1078</v>
      </c>
      <c r="H569" s="46">
        <v>872979.45600000001</v>
      </c>
      <c r="I569" s="46">
        <v>1078</v>
      </c>
      <c r="J569" s="46">
        <v>895464.41099999996</v>
      </c>
    </row>
    <row r="570" spans="1:10" x14ac:dyDescent="0.2">
      <c r="A570" s="96" t="s">
        <v>237</v>
      </c>
      <c r="B570" s="96" t="s">
        <v>267</v>
      </c>
      <c r="C570" s="62" t="s">
        <v>10</v>
      </c>
      <c r="D570" s="62" t="s">
        <v>268</v>
      </c>
      <c r="E570" s="46">
        <v>814</v>
      </c>
      <c r="F570" s="46">
        <v>20171.678</v>
      </c>
      <c r="G570" s="46">
        <v>814</v>
      </c>
      <c r="H570" s="46">
        <v>16663.993999999999</v>
      </c>
      <c r="I570" s="46">
        <v>814</v>
      </c>
      <c r="J570" s="46">
        <v>15512.046</v>
      </c>
    </row>
    <row r="571" spans="1:10" x14ac:dyDescent="0.2">
      <c r="A571" s="73" t="s">
        <v>338</v>
      </c>
      <c r="B571" s="73" t="s">
        <v>267</v>
      </c>
      <c r="C571" s="62" t="s">
        <v>345</v>
      </c>
      <c r="D571" s="62" t="s">
        <v>268</v>
      </c>
      <c r="E571" s="46">
        <v>15</v>
      </c>
      <c r="F571" s="46">
        <v>45741.105000000003</v>
      </c>
      <c r="G571" s="46">
        <v>15</v>
      </c>
      <c r="H571" s="46">
        <v>9953.4410000000007</v>
      </c>
      <c r="I571" s="46">
        <v>15</v>
      </c>
      <c r="J571" s="46">
        <v>5826.2120000000004</v>
      </c>
    </row>
    <row r="572" spans="1:10" x14ac:dyDescent="0.2">
      <c r="A572" s="73" t="s">
        <v>339</v>
      </c>
      <c r="B572" s="96" t="s">
        <v>267</v>
      </c>
      <c r="C572" s="62" t="s">
        <v>345</v>
      </c>
      <c r="D572" s="62" t="s">
        <v>268</v>
      </c>
      <c r="E572" s="46">
        <v>55</v>
      </c>
      <c r="F572" s="46">
        <v>11358.357</v>
      </c>
      <c r="G572" s="46">
        <v>56</v>
      </c>
      <c r="H572" s="46">
        <v>11454.574000000001</v>
      </c>
      <c r="I572" s="46">
        <v>56</v>
      </c>
      <c r="J572" s="46">
        <v>13274.011</v>
      </c>
    </row>
    <row r="573" spans="1:10" x14ac:dyDescent="0.2">
      <c r="A573" s="73" t="s">
        <v>339</v>
      </c>
      <c r="B573" s="73" t="s">
        <v>267</v>
      </c>
      <c r="C573" s="62" t="s">
        <v>10</v>
      </c>
      <c r="D573" s="62" t="s">
        <v>268</v>
      </c>
      <c r="E573" s="46">
        <v>1020</v>
      </c>
      <c r="F573" s="46">
        <v>23639.100999999999</v>
      </c>
      <c r="G573" s="46">
        <v>1019</v>
      </c>
      <c r="H573" s="46">
        <v>16841.404999999999</v>
      </c>
      <c r="I573" s="46">
        <v>1016</v>
      </c>
      <c r="J573" s="46">
        <v>16180.691000000001</v>
      </c>
    </row>
    <row r="574" spans="1:10" x14ac:dyDescent="0.2">
      <c r="A574" s="62" t="s">
        <v>340</v>
      </c>
      <c r="B574" s="62" t="s">
        <v>267</v>
      </c>
      <c r="C574" s="62" t="s">
        <v>345</v>
      </c>
      <c r="D574" s="62" t="s">
        <v>268</v>
      </c>
      <c r="E574" s="46">
        <v>315</v>
      </c>
      <c r="F574" s="46">
        <v>34375.502</v>
      </c>
      <c r="G574" s="46">
        <v>314</v>
      </c>
      <c r="H574" s="46">
        <v>31784.48</v>
      </c>
      <c r="I574" s="46">
        <v>314</v>
      </c>
      <c r="J574" s="46">
        <v>39314.194000000003</v>
      </c>
    </row>
    <row r="575" spans="1:10" x14ac:dyDescent="0.2">
      <c r="A575" s="96" t="s">
        <v>340</v>
      </c>
      <c r="B575" s="96" t="s">
        <v>267</v>
      </c>
      <c r="C575" s="62" t="s">
        <v>10</v>
      </c>
      <c r="D575" s="62" t="s">
        <v>268</v>
      </c>
      <c r="E575" s="46">
        <v>5291</v>
      </c>
      <c r="F575" s="46">
        <v>97297.922000000006</v>
      </c>
      <c r="G575" s="46">
        <v>5283</v>
      </c>
      <c r="H575" s="46">
        <v>77074.551000000007</v>
      </c>
      <c r="I575" s="46">
        <v>5285</v>
      </c>
      <c r="J575" s="46">
        <v>92305.106</v>
      </c>
    </row>
    <row r="576" spans="1:10" x14ac:dyDescent="0.2">
      <c r="A576" s="73" t="s">
        <v>341</v>
      </c>
      <c r="B576" s="73" t="s">
        <v>267</v>
      </c>
      <c r="C576" s="62" t="s">
        <v>345</v>
      </c>
      <c r="D576" s="62" t="s">
        <v>268</v>
      </c>
      <c r="E576" s="46">
        <v>60</v>
      </c>
      <c r="F576" s="46">
        <v>95312.524999999994</v>
      </c>
      <c r="G576" s="46">
        <v>60</v>
      </c>
      <c r="H576" s="46">
        <v>23412</v>
      </c>
      <c r="I576" s="46">
        <v>60</v>
      </c>
      <c r="J576" s="46">
        <v>22058.518</v>
      </c>
    </row>
    <row r="577" spans="1:10" x14ac:dyDescent="0.2">
      <c r="A577" s="96" t="s">
        <v>341</v>
      </c>
      <c r="B577" s="96" t="s">
        <v>267</v>
      </c>
      <c r="C577" s="62" t="s">
        <v>10</v>
      </c>
      <c r="D577" s="62" t="s">
        <v>268</v>
      </c>
      <c r="E577" s="46">
        <v>3102</v>
      </c>
      <c r="F577" s="46">
        <v>64396.455000000002</v>
      </c>
      <c r="G577" s="46">
        <v>3098</v>
      </c>
      <c r="H577" s="46">
        <v>50345.101000000002</v>
      </c>
      <c r="I577" s="46">
        <v>3099</v>
      </c>
      <c r="J577" s="46">
        <v>61528.747000000003</v>
      </c>
    </row>
    <row r="578" spans="1:10" x14ac:dyDescent="0.2">
      <c r="A578" s="73" t="s">
        <v>238</v>
      </c>
      <c r="B578" s="73" t="s">
        <v>92</v>
      </c>
      <c r="C578" s="62" t="s">
        <v>345</v>
      </c>
      <c r="D578" s="62" t="s">
        <v>94</v>
      </c>
      <c r="E578" s="46">
        <v>2</v>
      </c>
      <c r="F578" s="46">
        <v>2633</v>
      </c>
      <c r="G578" s="46">
        <v>2</v>
      </c>
      <c r="H578" s="46">
        <v>2779</v>
      </c>
      <c r="I578" s="46">
        <v>2</v>
      </c>
      <c r="J578" s="46">
        <v>3334</v>
      </c>
    </row>
    <row r="579" spans="1:10" x14ac:dyDescent="0.2">
      <c r="A579" s="96" t="s">
        <v>239</v>
      </c>
      <c r="B579" s="96" t="s">
        <v>92</v>
      </c>
      <c r="C579" s="62" t="s">
        <v>345</v>
      </c>
      <c r="D579" s="62" t="s">
        <v>94</v>
      </c>
      <c r="E579" s="46">
        <v>1</v>
      </c>
      <c r="F579" s="46">
        <v>27</v>
      </c>
      <c r="G579" s="46">
        <v>1</v>
      </c>
      <c r="H579" s="46">
        <v>31</v>
      </c>
      <c r="I579" s="46">
        <v>1</v>
      </c>
      <c r="J579" s="46">
        <v>37</v>
      </c>
    </row>
    <row r="580" spans="1:10" x14ac:dyDescent="0.2">
      <c r="A580" s="73" t="s">
        <v>240</v>
      </c>
      <c r="B580" s="73" t="s">
        <v>92</v>
      </c>
      <c r="C580" s="62" t="s">
        <v>345</v>
      </c>
      <c r="D580" s="62" t="s">
        <v>94</v>
      </c>
      <c r="E580" s="46">
        <v>535</v>
      </c>
      <c r="F580" s="46">
        <v>1089996.368</v>
      </c>
      <c r="G580" s="46">
        <v>536</v>
      </c>
      <c r="H580" s="46">
        <v>1267255.372</v>
      </c>
      <c r="I580" s="46">
        <v>536</v>
      </c>
      <c r="J580" s="46">
        <v>1333995.2549999999</v>
      </c>
    </row>
    <row r="581" spans="1:10" x14ac:dyDescent="0.2">
      <c r="A581" s="62" t="s">
        <v>240</v>
      </c>
      <c r="B581" s="62" t="s">
        <v>267</v>
      </c>
      <c r="C581" s="62" t="s">
        <v>345</v>
      </c>
      <c r="D581" s="62" t="s">
        <v>268</v>
      </c>
      <c r="E581" s="46">
        <v>223</v>
      </c>
      <c r="F581" s="46">
        <v>164423.554</v>
      </c>
      <c r="G581" s="46">
        <v>221</v>
      </c>
      <c r="H581" s="46">
        <v>123229.292</v>
      </c>
      <c r="I581" s="46">
        <v>222</v>
      </c>
      <c r="J581" s="46">
        <v>142903.883</v>
      </c>
    </row>
    <row r="582" spans="1:10" x14ac:dyDescent="0.2">
      <c r="A582" s="62" t="s">
        <v>240</v>
      </c>
      <c r="B582" s="62" t="s">
        <v>92</v>
      </c>
      <c r="C582" s="62" t="s">
        <v>10</v>
      </c>
      <c r="D582" s="62" t="s">
        <v>94</v>
      </c>
      <c r="E582" s="46">
        <v>7775</v>
      </c>
      <c r="F582" s="46">
        <v>5202308.1569999997</v>
      </c>
      <c r="G582" s="46">
        <v>7778</v>
      </c>
      <c r="H582" s="46">
        <v>5978974.2470000004</v>
      </c>
      <c r="I582" s="46">
        <v>7786</v>
      </c>
      <c r="J582" s="46">
        <v>6170868.8169999998</v>
      </c>
    </row>
    <row r="583" spans="1:10" x14ac:dyDescent="0.2">
      <c r="A583" s="96" t="s">
        <v>240</v>
      </c>
      <c r="B583" s="96" t="s">
        <v>267</v>
      </c>
      <c r="C583" s="62" t="s">
        <v>10</v>
      </c>
      <c r="D583" s="62" t="s">
        <v>268</v>
      </c>
      <c r="E583" s="46">
        <v>7330</v>
      </c>
      <c r="F583" s="46">
        <v>153782.75</v>
      </c>
      <c r="G583" s="46">
        <v>7341</v>
      </c>
      <c r="H583" s="46">
        <v>118097.576</v>
      </c>
      <c r="I583" s="46">
        <v>7345</v>
      </c>
      <c r="J583" s="46">
        <v>123177.171</v>
      </c>
    </row>
    <row r="584" spans="1:10" x14ac:dyDescent="0.2">
      <c r="A584" s="73" t="s">
        <v>241</v>
      </c>
      <c r="B584" s="73" t="s">
        <v>92</v>
      </c>
      <c r="C584" s="62" t="s">
        <v>345</v>
      </c>
      <c r="D584" s="62" t="s">
        <v>94</v>
      </c>
      <c r="E584" s="46">
        <v>85</v>
      </c>
      <c r="F584" s="46">
        <v>193223.66200000001</v>
      </c>
      <c r="G584" s="46">
        <v>84</v>
      </c>
      <c r="H584" s="46">
        <v>223436.845</v>
      </c>
      <c r="I584" s="46">
        <v>84</v>
      </c>
      <c r="J584" s="46">
        <v>425488.38799999998</v>
      </c>
    </row>
    <row r="585" spans="1:10" x14ac:dyDescent="0.2">
      <c r="A585" s="73" t="s">
        <v>241</v>
      </c>
      <c r="B585" s="96" t="s">
        <v>267</v>
      </c>
      <c r="C585" s="62" t="s">
        <v>345</v>
      </c>
      <c r="D585" s="62" t="s">
        <v>268</v>
      </c>
      <c r="E585" s="46">
        <v>1064</v>
      </c>
      <c r="F585" s="46">
        <v>534566.98699999996</v>
      </c>
      <c r="G585" s="46">
        <v>1064</v>
      </c>
      <c r="H585" s="46">
        <v>500830.83700000006</v>
      </c>
      <c r="I585" s="46">
        <v>1058</v>
      </c>
      <c r="J585" s="46">
        <v>569386.62300000002</v>
      </c>
    </row>
    <row r="586" spans="1:10" x14ac:dyDescent="0.2">
      <c r="A586" s="73" t="s">
        <v>241</v>
      </c>
      <c r="B586" s="73" t="s">
        <v>92</v>
      </c>
      <c r="C586" s="62" t="s">
        <v>10</v>
      </c>
      <c r="D586" s="62" t="s">
        <v>94</v>
      </c>
      <c r="E586" s="46">
        <v>617</v>
      </c>
      <c r="F586" s="46">
        <v>608373.321</v>
      </c>
      <c r="G586" s="46">
        <v>617</v>
      </c>
      <c r="H586" s="46">
        <v>660431.52</v>
      </c>
      <c r="I586" s="46">
        <v>617</v>
      </c>
      <c r="J586" s="46">
        <v>663528.65899999999</v>
      </c>
    </row>
    <row r="587" spans="1:10" x14ac:dyDescent="0.2">
      <c r="A587" s="96" t="s">
        <v>241</v>
      </c>
      <c r="B587" s="96" t="s">
        <v>267</v>
      </c>
      <c r="C587" s="62" t="s">
        <v>10</v>
      </c>
      <c r="D587" s="62" t="s">
        <v>268</v>
      </c>
      <c r="E587" s="46">
        <v>3890</v>
      </c>
      <c r="F587" s="46">
        <v>80505.736000000004</v>
      </c>
      <c r="G587" s="46">
        <v>3886</v>
      </c>
      <c r="H587" s="46">
        <v>59378.031999999999</v>
      </c>
      <c r="I587" s="46">
        <v>3888</v>
      </c>
      <c r="J587" s="46">
        <v>62567.620999999999</v>
      </c>
    </row>
    <row r="588" spans="1:10" x14ac:dyDescent="0.2">
      <c r="A588" s="73" t="s">
        <v>242</v>
      </c>
      <c r="B588" s="73" t="s">
        <v>92</v>
      </c>
      <c r="C588" s="62" t="s">
        <v>345</v>
      </c>
      <c r="D588" s="62" t="s">
        <v>94</v>
      </c>
      <c r="E588" s="46">
        <v>3078</v>
      </c>
      <c r="F588" s="46">
        <v>25342247.280000001</v>
      </c>
      <c r="G588" s="46">
        <v>3082</v>
      </c>
      <c r="H588" s="46">
        <v>23468637.002</v>
      </c>
      <c r="I588" s="46">
        <v>3081</v>
      </c>
      <c r="J588" s="46">
        <v>26368261.434</v>
      </c>
    </row>
    <row r="589" spans="1:10" x14ac:dyDescent="0.2">
      <c r="A589" s="73" t="s">
        <v>242</v>
      </c>
      <c r="B589" s="96" t="s">
        <v>267</v>
      </c>
      <c r="C589" s="62" t="s">
        <v>345</v>
      </c>
      <c r="D589" s="62" t="s">
        <v>268</v>
      </c>
      <c r="E589" s="46">
        <v>1065</v>
      </c>
      <c r="F589" s="46">
        <v>444080.071</v>
      </c>
      <c r="G589" s="46">
        <v>1064</v>
      </c>
      <c r="H589" s="46">
        <v>383803.48499999999</v>
      </c>
      <c r="I589" s="46">
        <v>1064</v>
      </c>
      <c r="J589" s="46">
        <v>374164.174</v>
      </c>
    </row>
    <row r="590" spans="1:10" x14ac:dyDescent="0.2">
      <c r="A590" s="73" t="s">
        <v>242</v>
      </c>
      <c r="B590" s="73" t="s">
        <v>92</v>
      </c>
      <c r="C590" s="62" t="s">
        <v>10</v>
      </c>
      <c r="D590" s="62" t="s">
        <v>94</v>
      </c>
      <c r="E590" s="46">
        <v>20246</v>
      </c>
      <c r="F590" s="46">
        <v>12789954.566</v>
      </c>
      <c r="G590" s="46">
        <v>20269</v>
      </c>
      <c r="H590" s="46">
        <v>13912642.534</v>
      </c>
      <c r="I590" s="46">
        <v>20293</v>
      </c>
      <c r="J590" s="46">
        <v>14345699.802999999</v>
      </c>
    </row>
    <row r="591" spans="1:10" x14ac:dyDescent="0.2">
      <c r="A591" s="96" t="s">
        <v>242</v>
      </c>
      <c r="B591" s="96" t="s">
        <v>267</v>
      </c>
      <c r="C591" s="62" t="s">
        <v>10</v>
      </c>
      <c r="D591" s="62" t="s">
        <v>268</v>
      </c>
      <c r="E591" s="46">
        <v>11282</v>
      </c>
      <c r="F591" s="46">
        <v>277051.33399999997</v>
      </c>
      <c r="G591" s="46">
        <v>11295</v>
      </c>
      <c r="H591" s="46">
        <v>168935.139</v>
      </c>
      <c r="I591" s="46">
        <v>11303</v>
      </c>
      <c r="J591" s="46">
        <v>165109.75899999999</v>
      </c>
    </row>
    <row r="592" spans="1:10" x14ac:dyDescent="0.2">
      <c r="A592" s="73" t="s">
        <v>243</v>
      </c>
      <c r="B592" s="73" t="s">
        <v>92</v>
      </c>
      <c r="C592" s="62" t="s">
        <v>345</v>
      </c>
      <c r="D592" s="62" t="s">
        <v>94</v>
      </c>
      <c r="E592" s="46">
        <v>2205</v>
      </c>
      <c r="F592" s="46">
        <v>7291810.7379999999</v>
      </c>
      <c r="G592" s="46">
        <v>2210</v>
      </c>
      <c r="H592" s="46">
        <v>9771974.2829999998</v>
      </c>
      <c r="I592" s="46">
        <v>2205</v>
      </c>
      <c r="J592" s="46">
        <v>7638666.3150000004</v>
      </c>
    </row>
    <row r="593" spans="1:10" x14ac:dyDescent="0.2">
      <c r="A593" s="73" t="s">
        <v>243</v>
      </c>
      <c r="B593" s="96" t="s">
        <v>267</v>
      </c>
      <c r="C593" s="62" t="s">
        <v>345</v>
      </c>
      <c r="D593" s="62" t="s">
        <v>268</v>
      </c>
      <c r="E593" s="46">
        <v>485</v>
      </c>
      <c r="F593" s="46">
        <v>85953.214000000007</v>
      </c>
      <c r="G593" s="46">
        <v>490</v>
      </c>
      <c r="H593" s="46">
        <v>80644.859999999986</v>
      </c>
      <c r="I593" s="46">
        <v>490</v>
      </c>
      <c r="J593" s="46">
        <v>75197.306000000011</v>
      </c>
    </row>
    <row r="594" spans="1:10" x14ac:dyDescent="0.2">
      <c r="A594" s="73" t="s">
        <v>243</v>
      </c>
      <c r="B594" s="73" t="s">
        <v>92</v>
      </c>
      <c r="C594" s="62" t="s">
        <v>10</v>
      </c>
      <c r="D594" s="62" t="s">
        <v>94</v>
      </c>
      <c r="E594" s="46">
        <v>15810</v>
      </c>
      <c r="F594" s="46">
        <v>10574789.198999999</v>
      </c>
      <c r="G594" s="46">
        <v>15806</v>
      </c>
      <c r="H594" s="46">
        <v>11917036.1</v>
      </c>
      <c r="I594" s="46">
        <v>15804</v>
      </c>
      <c r="J594" s="46">
        <v>9904226.9049999993</v>
      </c>
    </row>
    <row r="595" spans="1:10" x14ac:dyDescent="0.2">
      <c r="A595" s="96" t="s">
        <v>243</v>
      </c>
      <c r="B595" s="96" t="s">
        <v>267</v>
      </c>
      <c r="C595" s="62" t="s">
        <v>10</v>
      </c>
      <c r="D595" s="62" t="s">
        <v>268</v>
      </c>
      <c r="E595" s="46">
        <v>5725</v>
      </c>
      <c r="F595" s="46">
        <v>98502.296000000002</v>
      </c>
      <c r="G595" s="46">
        <v>5726</v>
      </c>
      <c r="H595" s="46">
        <v>90289.444000000003</v>
      </c>
      <c r="I595" s="46">
        <v>5727</v>
      </c>
      <c r="J595" s="46">
        <v>98769.513999999996</v>
      </c>
    </row>
    <row r="596" spans="1:10" x14ac:dyDescent="0.2">
      <c r="A596" s="73" t="s">
        <v>244</v>
      </c>
      <c r="B596" s="73" t="s">
        <v>92</v>
      </c>
      <c r="C596" s="62" t="s">
        <v>345</v>
      </c>
      <c r="D596" s="62" t="s">
        <v>94</v>
      </c>
      <c r="E596" s="46">
        <v>1637</v>
      </c>
      <c r="F596" s="46">
        <v>9421423.3059999999</v>
      </c>
      <c r="G596" s="46">
        <v>1637</v>
      </c>
      <c r="H596" s="46">
        <v>9147386.3809999991</v>
      </c>
      <c r="I596" s="46">
        <v>1639</v>
      </c>
      <c r="J596" s="46">
        <v>9131695.9450000003</v>
      </c>
    </row>
    <row r="597" spans="1:10" x14ac:dyDescent="0.2">
      <c r="A597" s="73" t="s">
        <v>244</v>
      </c>
      <c r="B597" s="96" t="s">
        <v>267</v>
      </c>
      <c r="C597" s="62" t="s">
        <v>345</v>
      </c>
      <c r="D597" s="62" t="s">
        <v>268</v>
      </c>
      <c r="E597" s="46">
        <v>602</v>
      </c>
      <c r="F597" s="46">
        <v>111896.45299999999</v>
      </c>
      <c r="G597" s="46">
        <v>602</v>
      </c>
      <c r="H597" s="46">
        <v>75386.387000000002</v>
      </c>
      <c r="I597" s="46">
        <v>603</v>
      </c>
      <c r="J597" s="46">
        <v>76132.166999999987</v>
      </c>
    </row>
    <row r="598" spans="1:10" x14ac:dyDescent="0.2">
      <c r="A598" s="73" t="s">
        <v>244</v>
      </c>
      <c r="B598" s="73" t="s">
        <v>92</v>
      </c>
      <c r="C598" s="62" t="s">
        <v>10</v>
      </c>
      <c r="D598" s="62" t="s">
        <v>94</v>
      </c>
      <c r="E598" s="46">
        <v>15972</v>
      </c>
      <c r="F598" s="46">
        <v>9794818.8330000006</v>
      </c>
      <c r="G598" s="46">
        <v>15964</v>
      </c>
      <c r="H598" s="46">
        <v>12211259.414999999</v>
      </c>
      <c r="I598" s="46">
        <v>16056</v>
      </c>
      <c r="J598" s="46">
        <v>11625375.050000001</v>
      </c>
    </row>
    <row r="599" spans="1:10" x14ac:dyDescent="0.2">
      <c r="A599" s="96" t="s">
        <v>244</v>
      </c>
      <c r="B599" s="96" t="s">
        <v>267</v>
      </c>
      <c r="C599" s="62" t="s">
        <v>10</v>
      </c>
      <c r="D599" s="62" t="s">
        <v>268</v>
      </c>
      <c r="E599" s="46">
        <v>9432</v>
      </c>
      <c r="F599" s="46">
        <v>203082.359</v>
      </c>
      <c r="G599" s="46">
        <v>9439</v>
      </c>
      <c r="H599" s="46">
        <v>142393.742</v>
      </c>
      <c r="I599" s="46">
        <v>9446</v>
      </c>
      <c r="J599" s="46">
        <v>125314.363</v>
      </c>
    </row>
    <row r="600" spans="1:10" x14ac:dyDescent="0.2">
      <c r="A600" s="73" t="s">
        <v>245</v>
      </c>
      <c r="B600" s="73" t="s">
        <v>92</v>
      </c>
      <c r="C600" s="62" t="s">
        <v>345</v>
      </c>
      <c r="D600" s="62" t="s">
        <v>94</v>
      </c>
      <c r="E600" s="46">
        <v>3</v>
      </c>
      <c r="F600" s="46">
        <v>998915</v>
      </c>
      <c r="G600" s="46">
        <v>3</v>
      </c>
      <c r="H600" s="46">
        <v>961835</v>
      </c>
      <c r="I600" s="46">
        <v>3</v>
      </c>
      <c r="J600" s="46">
        <v>1970955</v>
      </c>
    </row>
    <row r="601" spans="1:10" x14ac:dyDescent="0.2">
      <c r="A601" s="73" t="s">
        <v>245</v>
      </c>
      <c r="B601" s="96" t="s">
        <v>267</v>
      </c>
      <c r="C601" s="62" t="s">
        <v>345</v>
      </c>
      <c r="D601" s="62" t="s">
        <v>268</v>
      </c>
      <c r="E601" s="46">
        <v>1</v>
      </c>
      <c r="F601" s="46">
        <v>35821.324000000001</v>
      </c>
      <c r="G601" s="46">
        <v>1</v>
      </c>
      <c r="H601" s="46">
        <v>26014.225999999999</v>
      </c>
      <c r="I601" s="46">
        <v>1</v>
      </c>
      <c r="J601" s="46">
        <v>22628.275000000001</v>
      </c>
    </row>
    <row r="602" spans="1:10" x14ac:dyDescent="0.2">
      <c r="A602" s="73" t="s">
        <v>246</v>
      </c>
      <c r="B602" s="73" t="s">
        <v>92</v>
      </c>
      <c r="C602" s="62" t="s">
        <v>345</v>
      </c>
      <c r="D602" s="62" t="s">
        <v>94</v>
      </c>
      <c r="E602" s="46">
        <v>1185</v>
      </c>
      <c r="F602" s="46">
        <v>3065406.1069999998</v>
      </c>
      <c r="G602" s="46">
        <v>1187</v>
      </c>
      <c r="H602" s="46">
        <v>8477818.9360000007</v>
      </c>
      <c r="I602" s="46">
        <v>1187</v>
      </c>
      <c r="J602" s="46">
        <v>5615150.4299999997</v>
      </c>
    </row>
    <row r="603" spans="1:10" x14ac:dyDescent="0.2">
      <c r="A603" s="96" t="s">
        <v>246</v>
      </c>
      <c r="B603" s="62" t="s">
        <v>267</v>
      </c>
      <c r="C603" s="62" t="s">
        <v>345</v>
      </c>
      <c r="D603" s="62" t="s">
        <v>268</v>
      </c>
      <c r="E603" s="46">
        <v>335</v>
      </c>
      <c r="F603" s="46">
        <v>103494.791</v>
      </c>
      <c r="G603" s="46">
        <v>335</v>
      </c>
      <c r="H603" s="46">
        <v>87723.981</v>
      </c>
      <c r="I603" s="46">
        <v>335</v>
      </c>
      <c r="J603" s="46">
        <v>79383.02900000001</v>
      </c>
    </row>
    <row r="604" spans="1:10" x14ac:dyDescent="0.2">
      <c r="A604" s="73" t="s">
        <v>246</v>
      </c>
      <c r="B604" s="62" t="s">
        <v>92</v>
      </c>
      <c r="C604" s="62" t="s">
        <v>10</v>
      </c>
      <c r="D604" s="62" t="s">
        <v>94</v>
      </c>
      <c r="E604" s="46">
        <v>8503</v>
      </c>
      <c r="F604" s="46">
        <v>5480702.4560000002</v>
      </c>
      <c r="G604" s="46">
        <v>8504</v>
      </c>
      <c r="H604" s="46">
        <v>5756369.4819999998</v>
      </c>
      <c r="I604" s="46">
        <v>8507</v>
      </c>
      <c r="J604" s="46">
        <v>6455893.1390000004</v>
      </c>
    </row>
    <row r="605" spans="1:10" x14ac:dyDescent="0.2">
      <c r="A605" s="96" t="s">
        <v>246</v>
      </c>
      <c r="B605" s="96" t="s">
        <v>267</v>
      </c>
      <c r="C605" s="62" t="s">
        <v>10</v>
      </c>
      <c r="D605" s="62" t="s">
        <v>268</v>
      </c>
      <c r="E605" s="46">
        <v>3245</v>
      </c>
      <c r="F605" s="46">
        <v>64438.696000000004</v>
      </c>
      <c r="G605" s="46">
        <v>3248</v>
      </c>
      <c r="H605" s="46">
        <v>44140.173999999999</v>
      </c>
      <c r="I605" s="46">
        <v>3244</v>
      </c>
      <c r="J605" s="46">
        <v>41554.233</v>
      </c>
    </row>
    <row r="606" spans="1:10" x14ac:dyDescent="0.2">
      <c r="A606" s="73" t="s">
        <v>247</v>
      </c>
      <c r="B606" s="73" t="s">
        <v>92</v>
      </c>
      <c r="C606" s="62" t="s">
        <v>345</v>
      </c>
      <c r="D606" s="62" t="s">
        <v>94</v>
      </c>
      <c r="E606" s="46">
        <v>1963</v>
      </c>
      <c r="F606" s="46">
        <v>14027387.894000001</v>
      </c>
      <c r="G606" s="46">
        <v>1969</v>
      </c>
      <c r="H606" s="46">
        <v>19247666.773000002</v>
      </c>
      <c r="I606" s="46">
        <v>1967</v>
      </c>
      <c r="J606" s="46">
        <v>12347063.08</v>
      </c>
    </row>
    <row r="607" spans="1:10" x14ac:dyDescent="0.2">
      <c r="A607" s="73" t="s">
        <v>247</v>
      </c>
      <c r="B607" s="96" t="s">
        <v>267</v>
      </c>
      <c r="C607" s="62" t="s">
        <v>345</v>
      </c>
      <c r="D607" s="62" t="s">
        <v>268</v>
      </c>
      <c r="E607" s="46">
        <v>397</v>
      </c>
      <c r="F607" s="46">
        <v>183111.53200000001</v>
      </c>
      <c r="G607" s="46">
        <v>396</v>
      </c>
      <c r="H607" s="46">
        <v>208019.45399999997</v>
      </c>
      <c r="I607" s="46">
        <v>397</v>
      </c>
      <c r="J607" s="46">
        <v>189521.68100000001</v>
      </c>
    </row>
    <row r="608" spans="1:10" x14ac:dyDescent="0.2">
      <c r="A608" s="73" t="s">
        <v>247</v>
      </c>
      <c r="B608" s="73" t="s">
        <v>92</v>
      </c>
      <c r="C608" s="62" t="s">
        <v>10</v>
      </c>
      <c r="D608" s="62" t="s">
        <v>94</v>
      </c>
      <c r="E608" s="46">
        <v>13165</v>
      </c>
      <c r="F608" s="46">
        <v>11035369.149</v>
      </c>
      <c r="G608" s="46">
        <v>13228</v>
      </c>
      <c r="H608" s="46">
        <v>11189993.814999999</v>
      </c>
      <c r="I608" s="46">
        <v>13244</v>
      </c>
      <c r="J608" s="46">
        <v>10645764.562999999</v>
      </c>
    </row>
    <row r="609" spans="1:10" x14ac:dyDescent="0.2">
      <c r="A609" s="96" t="s">
        <v>247</v>
      </c>
      <c r="B609" s="96" t="s">
        <v>267</v>
      </c>
      <c r="C609" s="62" t="s">
        <v>10</v>
      </c>
      <c r="D609" s="62" t="s">
        <v>268</v>
      </c>
      <c r="E609" s="46">
        <v>4972</v>
      </c>
      <c r="F609" s="46">
        <v>95964.481</v>
      </c>
      <c r="G609" s="46">
        <v>4973</v>
      </c>
      <c r="H609" s="46">
        <v>75257.486000000004</v>
      </c>
      <c r="I609" s="46">
        <v>4984</v>
      </c>
      <c r="J609" s="46">
        <v>89957.247000000003</v>
      </c>
    </row>
    <row r="610" spans="1:10" x14ac:dyDescent="0.2">
      <c r="A610" s="73" t="s">
        <v>248</v>
      </c>
      <c r="B610" s="73" t="s">
        <v>92</v>
      </c>
      <c r="C610" s="62" t="s">
        <v>345</v>
      </c>
      <c r="D610" s="62" t="s">
        <v>94</v>
      </c>
      <c r="E610" s="46">
        <v>930</v>
      </c>
      <c r="F610" s="46">
        <v>2488357.5070000002</v>
      </c>
      <c r="G610" s="46">
        <v>935</v>
      </c>
      <c r="H610" s="46">
        <v>2802787.6009999998</v>
      </c>
      <c r="I610" s="46">
        <v>942</v>
      </c>
      <c r="J610" s="46">
        <v>5631459.1720000003</v>
      </c>
    </row>
    <row r="611" spans="1:10" x14ac:dyDescent="0.2">
      <c r="A611" s="73" t="s">
        <v>248</v>
      </c>
      <c r="B611" s="96" t="s">
        <v>267</v>
      </c>
      <c r="C611" s="62" t="s">
        <v>345</v>
      </c>
      <c r="D611" s="62" t="s">
        <v>268</v>
      </c>
      <c r="E611" s="46">
        <v>60</v>
      </c>
      <c r="F611" s="46">
        <v>44536.972999999998</v>
      </c>
      <c r="G611" s="46">
        <v>60</v>
      </c>
      <c r="H611" s="46">
        <v>42807.63</v>
      </c>
      <c r="I611" s="46">
        <v>60</v>
      </c>
      <c r="J611" s="46">
        <v>33164.86</v>
      </c>
    </row>
    <row r="612" spans="1:10" x14ac:dyDescent="0.2">
      <c r="A612" s="73" t="s">
        <v>248</v>
      </c>
      <c r="B612" s="73" t="s">
        <v>92</v>
      </c>
      <c r="C612" s="62" t="s">
        <v>10</v>
      </c>
      <c r="D612" s="62" t="s">
        <v>94</v>
      </c>
      <c r="E612" s="46">
        <v>13926</v>
      </c>
      <c r="F612" s="46">
        <v>10101219.918</v>
      </c>
      <c r="G612" s="46">
        <v>13933</v>
      </c>
      <c r="H612" s="46">
        <v>12415765.827</v>
      </c>
      <c r="I612" s="46">
        <v>13942</v>
      </c>
      <c r="J612" s="46">
        <v>11972957.142999999</v>
      </c>
    </row>
    <row r="613" spans="1:10" x14ac:dyDescent="0.2">
      <c r="A613" s="96" t="s">
        <v>248</v>
      </c>
      <c r="B613" s="96" t="s">
        <v>267</v>
      </c>
      <c r="C613" s="62" t="s">
        <v>10</v>
      </c>
      <c r="D613" s="62" t="s">
        <v>268</v>
      </c>
      <c r="E613" s="46">
        <v>7423</v>
      </c>
      <c r="F613" s="46">
        <v>171669.34099999999</v>
      </c>
      <c r="G613" s="46">
        <v>7431</v>
      </c>
      <c r="H613" s="46">
        <v>133126.76199999999</v>
      </c>
      <c r="I613" s="46">
        <v>7435</v>
      </c>
      <c r="J613" s="46">
        <v>116322.677</v>
      </c>
    </row>
    <row r="614" spans="1:10" x14ac:dyDescent="0.2">
      <c r="A614" s="73" t="s">
        <v>249</v>
      </c>
      <c r="B614" s="73" t="s">
        <v>92</v>
      </c>
      <c r="C614" s="62" t="s">
        <v>345</v>
      </c>
      <c r="D614" s="62" t="s">
        <v>94</v>
      </c>
      <c r="E614" s="46">
        <v>1851</v>
      </c>
      <c r="F614" s="46">
        <v>12334934.492000001</v>
      </c>
      <c r="G614" s="46">
        <v>1846</v>
      </c>
      <c r="H614" s="46">
        <v>13425174.768999999</v>
      </c>
      <c r="I614" s="46">
        <v>1845</v>
      </c>
      <c r="J614" s="46">
        <v>14187011.903000001</v>
      </c>
    </row>
    <row r="615" spans="1:10" x14ac:dyDescent="0.2">
      <c r="A615" s="73" t="s">
        <v>249</v>
      </c>
      <c r="B615" s="96" t="s">
        <v>267</v>
      </c>
      <c r="C615" s="62" t="s">
        <v>345</v>
      </c>
      <c r="D615" s="62" t="s">
        <v>268</v>
      </c>
      <c r="E615" s="46">
        <v>669</v>
      </c>
      <c r="F615" s="46">
        <v>111040.12500000001</v>
      </c>
      <c r="G615" s="46">
        <v>668</v>
      </c>
      <c r="H615" s="46">
        <v>80828.591</v>
      </c>
      <c r="I615" s="46">
        <v>672</v>
      </c>
      <c r="J615" s="46">
        <v>75250.781000000003</v>
      </c>
    </row>
    <row r="616" spans="1:10" x14ac:dyDescent="0.2">
      <c r="A616" s="73" t="s">
        <v>249</v>
      </c>
      <c r="B616" s="73" t="s">
        <v>92</v>
      </c>
      <c r="C616" s="62" t="s">
        <v>10</v>
      </c>
      <c r="D616" s="62" t="s">
        <v>94</v>
      </c>
      <c r="E616" s="46">
        <v>12540</v>
      </c>
      <c r="F616" s="46">
        <v>7714826.352</v>
      </c>
      <c r="G616" s="46">
        <v>12540</v>
      </c>
      <c r="H616" s="46">
        <v>9854688.5690000001</v>
      </c>
      <c r="I616" s="46">
        <v>12558</v>
      </c>
      <c r="J616" s="46">
        <v>9381414.8619999997</v>
      </c>
    </row>
    <row r="617" spans="1:10" x14ac:dyDescent="0.2">
      <c r="A617" s="96" t="s">
        <v>249</v>
      </c>
      <c r="B617" s="96" t="s">
        <v>267</v>
      </c>
      <c r="C617" s="62" t="s">
        <v>10</v>
      </c>
      <c r="D617" s="62" t="s">
        <v>268</v>
      </c>
      <c r="E617" s="46">
        <v>7378</v>
      </c>
      <c r="F617" s="46">
        <v>159310.22099999999</v>
      </c>
      <c r="G617" s="46">
        <v>7387</v>
      </c>
      <c r="H617" s="46">
        <v>113617.145</v>
      </c>
      <c r="I617" s="46">
        <v>7400</v>
      </c>
      <c r="J617" s="46">
        <v>100829.841</v>
      </c>
    </row>
    <row r="618" spans="1:10" x14ac:dyDescent="0.2">
      <c r="A618" s="73" t="s">
        <v>250</v>
      </c>
      <c r="B618" s="73" t="s">
        <v>92</v>
      </c>
      <c r="C618" s="62" t="s">
        <v>345</v>
      </c>
      <c r="D618" s="62" t="s">
        <v>94</v>
      </c>
      <c r="E618" s="46">
        <v>32</v>
      </c>
      <c r="F618" s="46">
        <v>2844</v>
      </c>
      <c r="G618" s="46">
        <v>32</v>
      </c>
      <c r="H618" s="46">
        <v>79485</v>
      </c>
      <c r="I618" s="46">
        <v>32</v>
      </c>
      <c r="J618" s="46">
        <v>5832</v>
      </c>
    </row>
    <row r="619" spans="1:10" x14ac:dyDescent="0.2">
      <c r="A619" s="73" t="s">
        <v>250</v>
      </c>
      <c r="B619" s="96" t="s">
        <v>92</v>
      </c>
      <c r="C619" s="62" t="s">
        <v>10</v>
      </c>
      <c r="D619" s="62" t="s">
        <v>94</v>
      </c>
      <c r="E619" s="46">
        <v>261</v>
      </c>
      <c r="F619" s="46">
        <v>7126</v>
      </c>
      <c r="G619" s="46">
        <v>263</v>
      </c>
      <c r="H619" s="46">
        <v>442966.712</v>
      </c>
      <c r="I619" s="46">
        <v>262</v>
      </c>
      <c r="J619" s="46">
        <v>1713</v>
      </c>
    </row>
    <row r="620" spans="1:10" x14ac:dyDescent="0.2">
      <c r="A620" s="73" t="s">
        <v>251</v>
      </c>
      <c r="B620" s="73" t="s">
        <v>92</v>
      </c>
      <c r="C620" s="62" t="s">
        <v>345</v>
      </c>
      <c r="D620" s="62" t="s">
        <v>94</v>
      </c>
      <c r="E620" s="46">
        <v>130</v>
      </c>
      <c r="F620" s="46">
        <v>1175146.665</v>
      </c>
      <c r="G620" s="46">
        <v>131</v>
      </c>
      <c r="H620" s="46">
        <v>2144858.9449999998</v>
      </c>
      <c r="I620" s="46">
        <v>129</v>
      </c>
      <c r="J620" s="46">
        <v>1441637.237</v>
      </c>
    </row>
    <row r="621" spans="1:10" x14ac:dyDescent="0.2">
      <c r="A621" s="96" t="s">
        <v>251</v>
      </c>
      <c r="B621" s="96" t="s">
        <v>267</v>
      </c>
      <c r="C621" s="62" t="s">
        <v>345</v>
      </c>
      <c r="D621" s="62" t="s">
        <v>268</v>
      </c>
      <c r="E621" s="46">
        <v>469</v>
      </c>
      <c r="F621" s="46">
        <v>241592.54300000001</v>
      </c>
      <c r="G621" s="46">
        <v>469</v>
      </c>
      <c r="H621" s="46">
        <v>195832.63099999999</v>
      </c>
      <c r="I621" s="46">
        <v>469</v>
      </c>
      <c r="J621" s="46">
        <v>200470.003</v>
      </c>
    </row>
    <row r="622" spans="1:10" x14ac:dyDescent="0.2">
      <c r="A622" s="73" t="s">
        <v>251</v>
      </c>
      <c r="B622" s="73" t="s">
        <v>92</v>
      </c>
      <c r="C622" s="62" t="s">
        <v>10</v>
      </c>
      <c r="D622" s="62" t="s">
        <v>94</v>
      </c>
      <c r="E622" s="46">
        <v>747</v>
      </c>
      <c r="F622" s="46">
        <v>551603.38699999999</v>
      </c>
      <c r="G622" s="46">
        <v>751</v>
      </c>
      <c r="H622" s="46">
        <v>912659.01100000006</v>
      </c>
      <c r="I622" s="46">
        <v>761</v>
      </c>
      <c r="J622" s="46">
        <v>596084.53300000005</v>
      </c>
    </row>
    <row r="623" spans="1:10" x14ac:dyDescent="0.2">
      <c r="A623" s="96" t="s">
        <v>251</v>
      </c>
      <c r="B623" s="96" t="s">
        <v>267</v>
      </c>
      <c r="C623" s="62" t="s">
        <v>10</v>
      </c>
      <c r="D623" s="62" t="s">
        <v>268</v>
      </c>
      <c r="E623" s="46">
        <v>2057</v>
      </c>
      <c r="F623" s="46">
        <v>27979.895</v>
      </c>
      <c r="G623" s="46">
        <v>2045</v>
      </c>
      <c r="H623" s="46">
        <v>23038.824000000001</v>
      </c>
      <c r="I623" s="46">
        <v>2049</v>
      </c>
      <c r="J623" s="46">
        <v>28129.761999999999</v>
      </c>
    </row>
    <row r="624" spans="1:10" x14ac:dyDescent="0.2">
      <c r="A624" s="73" t="s">
        <v>342</v>
      </c>
      <c r="B624" s="73" t="s">
        <v>267</v>
      </c>
      <c r="C624" s="62" t="s">
        <v>345</v>
      </c>
      <c r="D624" s="62" t="s">
        <v>268</v>
      </c>
      <c r="E624" s="46">
        <v>314</v>
      </c>
      <c r="F624" s="46">
        <v>422566.826</v>
      </c>
      <c r="G624" s="46">
        <v>314</v>
      </c>
      <c r="H624" s="46">
        <v>414502.70499999996</v>
      </c>
      <c r="I624" s="46">
        <v>314</v>
      </c>
      <c r="J624" s="46">
        <v>511285.41699999996</v>
      </c>
    </row>
    <row r="625" spans="1:10" x14ac:dyDescent="0.2">
      <c r="A625" s="73" t="s">
        <v>342</v>
      </c>
      <c r="B625" s="96" t="s">
        <v>267</v>
      </c>
      <c r="C625" s="62" t="s">
        <v>10</v>
      </c>
      <c r="D625" s="62" t="s">
        <v>268</v>
      </c>
      <c r="E625" s="46">
        <v>1166</v>
      </c>
      <c r="F625" s="46">
        <v>20812.374</v>
      </c>
      <c r="G625" s="46">
        <v>1163</v>
      </c>
      <c r="H625" s="46">
        <v>13841.409</v>
      </c>
      <c r="I625" s="46">
        <v>1161</v>
      </c>
      <c r="J625" s="46">
        <v>15699.976000000001</v>
      </c>
    </row>
    <row r="626" spans="1:10" x14ac:dyDescent="0.2">
      <c r="A626" s="73" t="s">
        <v>252</v>
      </c>
      <c r="B626" s="73" t="s">
        <v>92</v>
      </c>
      <c r="C626" s="62" t="s">
        <v>345</v>
      </c>
      <c r="D626" s="62" t="s">
        <v>94</v>
      </c>
      <c r="E626" s="46">
        <v>32</v>
      </c>
      <c r="F626" s="46">
        <v>77469</v>
      </c>
      <c r="G626" s="46">
        <v>32</v>
      </c>
      <c r="H626" s="46">
        <v>81639</v>
      </c>
      <c r="I626" s="46">
        <v>32</v>
      </c>
      <c r="J626" s="46">
        <v>77527</v>
      </c>
    </row>
    <row r="627" spans="1:10" x14ac:dyDescent="0.2">
      <c r="A627" s="96" t="s">
        <v>252</v>
      </c>
      <c r="B627" s="96" t="s">
        <v>92</v>
      </c>
      <c r="C627" s="62" t="s">
        <v>10</v>
      </c>
      <c r="D627" s="62" t="s">
        <v>94</v>
      </c>
      <c r="E627" s="46">
        <v>105</v>
      </c>
      <c r="F627" s="46">
        <v>96231</v>
      </c>
      <c r="G627" s="46">
        <v>105</v>
      </c>
      <c r="H627" s="46">
        <v>104505</v>
      </c>
      <c r="I627" s="46">
        <v>105</v>
      </c>
      <c r="J627" s="46">
        <v>98342</v>
      </c>
    </row>
    <row r="628" spans="1:10" x14ac:dyDescent="0.2">
      <c r="A628" s="73" t="s">
        <v>253</v>
      </c>
      <c r="B628" s="73" t="s">
        <v>92</v>
      </c>
      <c r="C628" s="62" t="s">
        <v>345</v>
      </c>
      <c r="D628" s="62" t="s">
        <v>94</v>
      </c>
      <c r="E628" s="46">
        <v>6</v>
      </c>
      <c r="F628" s="46">
        <v>15931.226000000001</v>
      </c>
      <c r="G628" s="46">
        <v>6</v>
      </c>
      <c r="H628" s="46">
        <v>19796</v>
      </c>
      <c r="I628" s="46">
        <v>6</v>
      </c>
      <c r="J628" s="46">
        <v>14805</v>
      </c>
    </row>
    <row r="629" spans="1:10" x14ac:dyDescent="0.2">
      <c r="A629" s="96" t="s">
        <v>253</v>
      </c>
      <c r="B629" s="96" t="s">
        <v>92</v>
      </c>
      <c r="C629" s="62" t="s">
        <v>10</v>
      </c>
      <c r="D629" s="62" t="s">
        <v>94</v>
      </c>
      <c r="E629" s="46">
        <v>7</v>
      </c>
      <c r="F629" s="46"/>
      <c r="G629" s="46">
        <v>7</v>
      </c>
      <c r="H629" s="46">
        <v>17423.808000000001</v>
      </c>
      <c r="I629" s="46">
        <v>8</v>
      </c>
      <c r="J629" s="46"/>
    </row>
    <row r="630" spans="1:10" x14ac:dyDescent="0.2">
      <c r="A630" s="73" t="s">
        <v>254</v>
      </c>
      <c r="B630" s="73" t="s">
        <v>92</v>
      </c>
      <c r="C630" s="62" t="s">
        <v>345</v>
      </c>
      <c r="D630" s="62" t="s">
        <v>94</v>
      </c>
      <c r="E630" s="46">
        <v>298</v>
      </c>
      <c r="F630" s="46">
        <v>1391742.567</v>
      </c>
      <c r="G630" s="46">
        <v>303</v>
      </c>
      <c r="H630" s="46">
        <v>1987958.8670000001</v>
      </c>
      <c r="I630" s="46">
        <v>302</v>
      </c>
      <c r="J630" s="46">
        <v>1784966.38</v>
      </c>
    </row>
    <row r="631" spans="1:10" x14ac:dyDescent="0.2">
      <c r="A631" s="96" t="s">
        <v>254</v>
      </c>
      <c r="B631" s="96" t="s">
        <v>267</v>
      </c>
      <c r="C631" s="62" t="s">
        <v>345</v>
      </c>
      <c r="D631" s="62" t="s">
        <v>268</v>
      </c>
      <c r="E631" s="46">
        <v>31</v>
      </c>
      <c r="F631" s="46">
        <v>1846.95</v>
      </c>
      <c r="G631" s="46">
        <v>31</v>
      </c>
      <c r="H631" s="46">
        <v>993.875</v>
      </c>
      <c r="I631" s="46">
        <v>31</v>
      </c>
      <c r="J631" s="46">
        <v>1176.3800000000001</v>
      </c>
    </row>
    <row r="632" spans="1:10" x14ac:dyDescent="0.2">
      <c r="A632" s="73" t="s">
        <v>254</v>
      </c>
      <c r="B632" s="73" t="s">
        <v>92</v>
      </c>
      <c r="C632" s="62" t="s">
        <v>10</v>
      </c>
      <c r="D632" s="62" t="s">
        <v>94</v>
      </c>
      <c r="E632" s="46">
        <v>2178</v>
      </c>
      <c r="F632" s="46">
        <v>2045785.4669999999</v>
      </c>
      <c r="G632" s="46">
        <v>2178</v>
      </c>
      <c r="H632" s="46">
        <v>2119120.88</v>
      </c>
      <c r="I632" s="46">
        <v>2186</v>
      </c>
      <c r="J632" s="46">
        <v>2446719.219</v>
      </c>
    </row>
    <row r="633" spans="1:10" x14ac:dyDescent="0.2">
      <c r="A633" s="96" t="s">
        <v>254</v>
      </c>
      <c r="B633" s="96" t="s">
        <v>267</v>
      </c>
      <c r="C633" s="62" t="s">
        <v>10</v>
      </c>
      <c r="D633" s="62" t="s">
        <v>268</v>
      </c>
      <c r="E633" s="46">
        <v>256</v>
      </c>
      <c r="F633" s="46">
        <v>5231.7740000000003</v>
      </c>
      <c r="G633" s="46">
        <v>256</v>
      </c>
      <c r="H633" s="46">
        <v>3504.277</v>
      </c>
      <c r="I633" s="46">
        <v>257</v>
      </c>
      <c r="J633" s="46">
        <v>3770.2550000000001</v>
      </c>
    </row>
    <row r="634" spans="1:10" x14ac:dyDescent="0.2">
      <c r="A634" s="73" t="s">
        <v>255</v>
      </c>
      <c r="B634" s="73" t="s">
        <v>92</v>
      </c>
      <c r="C634" s="62" t="s">
        <v>345</v>
      </c>
      <c r="D634" s="62" t="s">
        <v>94</v>
      </c>
      <c r="E634" s="46">
        <v>721</v>
      </c>
      <c r="F634" s="46">
        <v>2924215.1189999999</v>
      </c>
      <c r="G634" s="46">
        <v>720</v>
      </c>
      <c r="H634" s="46">
        <v>6252959.5389999999</v>
      </c>
      <c r="I634" s="46">
        <v>719</v>
      </c>
      <c r="J634" s="46">
        <v>3032799.08</v>
      </c>
    </row>
    <row r="635" spans="1:10" x14ac:dyDescent="0.2">
      <c r="A635" s="73" t="s">
        <v>255</v>
      </c>
      <c r="B635" s="96" t="s">
        <v>267</v>
      </c>
      <c r="C635" s="62" t="s">
        <v>345</v>
      </c>
      <c r="D635" s="62" t="s">
        <v>268</v>
      </c>
      <c r="E635" s="46">
        <v>5</v>
      </c>
      <c r="F635" s="46">
        <v>486.185</v>
      </c>
      <c r="G635" s="46">
        <v>5</v>
      </c>
      <c r="H635" s="46">
        <v>386.95499999999998</v>
      </c>
      <c r="I635" s="46">
        <v>5</v>
      </c>
      <c r="J635" s="46">
        <v>519.81899999999996</v>
      </c>
    </row>
    <row r="636" spans="1:10" x14ac:dyDescent="0.2">
      <c r="A636" s="73" t="s">
        <v>255</v>
      </c>
      <c r="B636" s="73" t="s">
        <v>92</v>
      </c>
      <c r="C636" s="62" t="s">
        <v>10</v>
      </c>
      <c r="D636" s="62" t="s">
        <v>94</v>
      </c>
      <c r="E636" s="46">
        <v>4909</v>
      </c>
      <c r="F636" s="46">
        <v>4698249.5259999996</v>
      </c>
      <c r="G636" s="46">
        <v>4910</v>
      </c>
      <c r="H636" s="46">
        <v>5959035.2529999996</v>
      </c>
      <c r="I636" s="46">
        <v>4907</v>
      </c>
      <c r="J636" s="46">
        <v>4747786.7259999998</v>
      </c>
    </row>
    <row r="637" spans="1:10" x14ac:dyDescent="0.2">
      <c r="A637" s="96" t="s">
        <v>255</v>
      </c>
      <c r="B637" s="96" t="s">
        <v>267</v>
      </c>
      <c r="C637" s="62" t="s">
        <v>10</v>
      </c>
      <c r="D637" s="62" t="s">
        <v>268</v>
      </c>
      <c r="E637" s="46">
        <v>2</v>
      </c>
      <c r="F637" s="46">
        <v>44.015000000000001</v>
      </c>
      <c r="G637" s="46">
        <v>2</v>
      </c>
      <c r="H637" s="46">
        <v>43.633000000000003</v>
      </c>
      <c r="I637" s="46">
        <v>2</v>
      </c>
      <c r="J637" s="46">
        <v>46.387</v>
      </c>
    </row>
    <row r="638" spans="1:10" x14ac:dyDescent="0.2">
      <c r="A638" s="73" t="s">
        <v>256</v>
      </c>
      <c r="B638" s="73" t="s">
        <v>92</v>
      </c>
      <c r="C638" s="62" t="s">
        <v>345</v>
      </c>
      <c r="D638" s="62" t="s">
        <v>94</v>
      </c>
      <c r="E638" s="46">
        <v>334</v>
      </c>
      <c r="F638" s="46">
        <v>1200787.9000000001</v>
      </c>
      <c r="G638" s="46">
        <v>336</v>
      </c>
      <c r="H638" s="46">
        <v>1292280.6679999998</v>
      </c>
      <c r="I638" s="46">
        <v>336</v>
      </c>
      <c r="J638" s="46">
        <v>1296906.0660000001</v>
      </c>
    </row>
    <row r="639" spans="1:10" x14ac:dyDescent="0.2">
      <c r="A639" s="73" t="s">
        <v>256</v>
      </c>
      <c r="B639" s="96" t="s">
        <v>92</v>
      </c>
      <c r="C639" s="62" t="s">
        <v>10</v>
      </c>
      <c r="D639" s="62" t="s">
        <v>94</v>
      </c>
      <c r="E639" s="46">
        <v>2232</v>
      </c>
      <c r="F639" s="46">
        <v>2426658.977</v>
      </c>
      <c r="G639" s="46">
        <v>2232</v>
      </c>
      <c r="H639" s="46">
        <v>2632500.7680000002</v>
      </c>
      <c r="I639" s="46">
        <v>2229</v>
      </c>
      <c r="J639" s="46">
        <v>2529622.892</v>
      </c>
    </row>
    <row r="640" spans="1:10" x14ac:dyDescent="0.2">
      <c r="A640" s="73" t="s">
        <v>257</v>
      </c>
      <c r="B640" s="73" t="s">
        <v>92</v>
      </c>
      <c r="C640" s="62" t="s">
        <v>345</v>
      </c>
      <c r="D640" s="62" t="s">
        <v>94</v>
      </c>
      <c r="E640" s="46">
        <v>574</v>
      </c>
      <c r="F640" s="46">
        <v>1028343.502</v>
      </c>
      <c r="G640" s="46">
        <v>579</v>
      </c>
      <c r="H640" s="46">
        <v>1219067.7949999999</v>
      </c>
      <c r="I640" s="46">
        <v>577</v>
      </c>
      <c r="J640" s="46">
        <v>1073537.1000000001</v>
      </c>
    </row>
    <row r="641" spans="1:10" x14ac:dyDescent="0.2">
      <c r="A641" s="96" t="s">
        <v>257</v>
      </c>
      <c r="B641" s="96" t="s">
        <v>92</v>
      </c>
      <c r="C641" s="62" t="s">
        <v>10</v>
      </c>
      <c r="D641" s="62" t="s">
        <v>94</v>
      </c>
      <c r="E641" s="46">
        <v>3326</v>
      </c>
      <c r="F641" s="46">
        <v>3356348.1609999998</v>
      </c>
      <c r="G641" s="46">
        <v>3326</v>
      </c>
      <c r="H641" s="46">
        <v>3322451.5649999999</v>
      </c>
      <c r="I641" s="46">
        <v>3328</v>
      </c>
      <c r="J641" s="46">
        <v>3528778.4339999999</v>
      </c>
    </row>
    <row r="642" spans="1:10" x14ac:dyDescent="0.2">
      <c r="A642" s="73" t="s">
        <v>343</v>
      </c>
      <c r="B642" s="73" t="s">
        <v>267</v>
      </c>
      <c r="C642" s="62" t="s">
        <v>345</v>
      </c>
      <c r="D642" s="62" t="s">
        <v>268</v>
      </c>
      <c r="E642" s="46">
        <v>24</v>
      </c>
      <c r="F642" s="46">
        <v>2623.422</v>
      </c>
      <c r="G642" s="46">
        <v>24</v>
      </c>
      <c r="H642" s="46">
        <v>1243.6690000000001</v>
      </c>
      <c r="I642" s="46">
        <v>24</v>
      </c>
      <c r="J642" s="46">
        <v>920.56600000000003</v>
      </c>
    </row>
    <row r="643" spans="1:10" x14ac:dyDescent="0.2">
      <c r="A643" s="96" t="s">
        <v>343</v>
      </c>
      <c r="B643" s="96" t="s">
        <v>267</v>
      </c>
      <c r="C643" s="62" t="s">
        <v>10</v>
      </c>
      <c r="D643" s="62" t="s">
        <v>268</v>
      </c>
      <c r="E643" s="46">
        <v>83</v>
      </c>
      <c r="F643" s="46">
        <v>1375.0340000000001</v>
      </c>
      <c r="G643" s="46">
        <v>83</v>
      </c>
      <c r="H643" s="46">
        <v>861.28599999999994</v>
      </c>
      <c r="I643" s="46">
        <v>83</v>
      </c>
      <c r="J643" s="46">
        <v>826.101</v>
      </c>
    </row>
    <row r="644" spans="1:10" x14ac:dyDescent="0.2">
      <c r="A644" s="73" t="s">
        <v>344</v>
      </c>
      <c r="B644" s="73" t="s">
        <v>267</v>
      </c>
      <c r="C644" s="62" t="s">
        <v>345</v>
      </c>
      <c r="D644" s="62" t="s">
        <v>268</v>
      </c>
      <c r="E644" s="46">
        <v>31</v>
      </c>
      <c r="F644" s="46">
        <v>4933.6730000000007</v>
      </c>
      <c r="G644" s="46">
        <v>31</v>
      </c>
      <c r="H644" s="46">
        <v>1758.788</v>
      </c>
      <c r="I644" s="46">
        <v>31</v>
      </c>
      <c r="J644" s="46">
        <v>1597.825</v>
      </c>
    </row>
    <row r="645" spans="1:10" x14ac:dyDescent="0.2">
      <c r="A645" s="96" t="s">
        <v>344</v>
      </c>
      <c r="B645" s="96" t="s">
        <v>267</v>
      </c>
      <c r="C645" s="62" t="s">
        <v>10</v>
      </c>
      <c r="D645" s="62" t="s">
        <v>268</v>
      </c>
      <c r="E645" s="46">
        <v>124</v>
      </c>
      <c r="F645" s="46">
        <v>1787.269</v>
      </c>
      <c r="G645" s="46">
        <v>123</v>
      </c>
      <c r="H645" s="46">
        <v>1176.3030000000001</v>
      </c>
      <c r="I645" s="46">
        <v>124</v>
      </c>
      <c r="J645" s="46">
        <v>1232.6220000000001</v>
      </c>
    </row>
    <row r="646" spans="1:10" x14ac:dyDescent="0.2">
      <c r="A646" s="73" t="s">
        <v>258</v>
      </c>
      <c r="B646" s="73" t="s">
        <v>92</v>
      </c>
      <c r="C646" s="62" t="s">
        <v>345</v>
      </c>
      <c r="D646" s="62" t="s">
        <v>94</v>
      </c>
      <c r="E646" s="46">
        <v>1311</v>
      </c>
      <c r="F646" s="46">
        <v>3385662.1430000002</v>
      </c>
      <c r="G646" s="46">
        <v>1310</v>
      </c>
      <c r="H646" s="46">
        <v>3674132.7209999999</v>
      </c>
      <c r="I646" s="46">
        <v>1307</v>
      </c>
      <c r="J646" s="46">
        <v>3940023.2230000002</v>
      </c>
    </row>
    <row r="647" spans="1:10" x14ac:dyDescent="0.2">
      <c r="A647" s="96" t="s">
        <v>258</v>
      </c>
      <c r="B647" s="96" t="s">
        <v>267</v>
      </c>
      <c r="C647" s="62" t="s">
        <v>345</v>
      </c>
      <c r="D647" s="62" t="s">
        <v>268</v>
      </c>
      <c r="E647" s="46">
        <v>229</v>
      </c>
      <c r="F647" s="46">
        <v>51241.036999999997</v>
      </c>
      <c r="G647" s="46">
        <v>229</v>
      </c>
      <c r="H647" s="46">
        <v>36857.555</v>
      </c>
      <c r="I647" s="46">
        <v>230</v>
      </c>
      <c r="J647" s="46">
        <v>44069.369000000006</v>
      </c>
    </row>
    <row r="648" spans="1:10" x14ac:dyDescent="0.2">
      <c r="A648" s="73" t="s">
        <v>258</v>
      </c>
      <c r="B648" s="73" t="s">
        <v>92</v>
      </c>
      <c r="C648" s="62" t="s">
        <v>10</v>
      </c>
      <c r="D648" s="62" t="s">
        <v>94</v>
      </c>
      <c r="E648" s="46">
        <v>9824</v>
      </c>
      <c r="F648" s="46">
        <v>8243357.1919999998</v>
      </c>
      <c r="G648" s="46">
        <v>9836</v>
      </c>
      <c r="H648" s="46">
        <v>9611467.8530000001</v>
      </c>
      <c r="I648" s="46">
        <v>9851</v>
      </c>
      <c r="J648" s="46">
        <v>9959705.216</v>
      </c>
    </row>
    <row r="649" spans="1:10" x14ac:dyDescent="0.2">
      <c r="A649" s="96" t="s">
        <v>258</v>
      </c>
      <c r="B649" s="96" t="s">
        <v>267</v>
      </c>
      <c r="C649" s="62" t="s">
        <v>10</v>
      </c>
      <c r="D649" s="62" t="s">
        <v>268</v>
      </c>
      <c r="E649" s="46">
        <v>2400</v>
      </c>
      <c r="F649" s="46">
        <v>50907.714999999997</v>
      </c>
      <c r="G649" s="46">
        <v>2403</v>
      </c>
      <c r="H649" s="46">
        <v>34873.478999999999</v>
      </c>
      <c r="I649" s="46">
        <v>2405</v>
      </c>
      <c r="J649" s="46">
        <v>38539.010999999999</v>
      </c>
    </row>
    <row r="650" spans="1:10" x14ac:dyDescent="0.2">
      <c r="A650" s="73" t="s">
        <v>259</v>
      </c>
      <c r="B650" s="73" t="s">
        <v>92</v>
      </c>
      <c r="C650" s="62" t="s">
        <v>345</v>
      </c>
      <c r="D650" s="62" t="s">
        <v>94</v>
      </c>
      <c r="E650" s="46">
        <v>1138</v>
      </c>
      <c r="F650" s="46">
        <v>2680857.2429999998</v>
      </c>
      <c r="G650" s="46">
        <v>1143</v>
      </c>
      <c r="H650" s="46">
        <v>3046129.2540000002</v>
      </c>
      <c r="I650" s="46">
        <v>1141</v>
      </c>
      <c r="J650" s="46">
        <v>3435095.46</v>
      </c>
    </row>
    <row r="651" spans="1:10" x14ac:dyDescent="0.2">
      <c r="A651" s="73" t="s">
        <v>259</v>
      </c>
      <c r="B651" s="96" t="s">
        <v>267</v>
      </c>
      <c r="C651" s="62" t="s">
        <v>345</v>
      </c>
      <c r="D651" s="62" t="s">
        <v>268</v>
      </c>
      <c r="E651" s="46">
        <v>127</v>
      </c>
      <c r="F651" s="46">
        <v>28700.842000000001</v>
      </c>
      <c r="G651" s="46">
        <v>126</v>
      </c>
      <c r="H651" s="46">
        <v>73701.45</v>
      </c>
      <c r="I651" s="46">
        <v>126</v>
      </c>
      <c r="J651" s="46">
        <v>27866.415000000001</v>
      </c>
    </row>
    <row r="652" spans="1:10" x14ac:dyDescent="0.2">
      <c r="A652" s="73" t="s">
        <v>259</v>
      </c>
      <c r="B652" s="73" t="s">
        <v>92</v>
      </c>
      <c r="C652" s="62" t="s">
        <v>10</v>
      </c>
      <c r="D652" s="62" t="s">
        <v>94</v>
      </c>
      <c r="E652" s="46">
        <v>4782</v>
      </c>
      <c r="F652" s="46">
        <v>4396923.37</v>
      </c>
      <c r="G652" s="46">
        <v>4795</v>
      </c>
      <c r="H652" s="46">
        <v>3396531.412</v>
      </c>
      <c r="I652" s="46">
        <v>4829</v>
      </c>
      <c r="J652" s="46">
        <v>4728541.1619999995</v>
      </c>
    </row>
    <row r="653" spans="1:10" x14ac:dyDescent="0.2">
      <c r="A653" s="96" t="s">
        <v>259</v>
      </c>
      <c r="B653" s="96" t="s">
        <v>267</v>
      </c>
      <c r="C653" s="62" t="s">
        <v>10</v>
      </c>
      <c r="D653" s="62" t="s">
        <v>268</v>
      </c>
      <c r="E653" s="46">
        <v>1211</v>
      </c>
      <c r="F653" s="46">
        <v>53159.936000000002</v>
      </c>
      <c r="G653" s="46">
        <v>1232</v>
      </c>
      <c r="H653" s="46">
        <v>32503.34</v>
      </c>
      <c r="I653" s="46">
        <v>1252</v>
      </c>
      <c r="J653" s="46">
        <v>31434.286</v>
      </c>
    </row>
    <row r="654" spans="1:10" x14ac:dyDescent="0.2">
      <c r="A654" s="73" t="s">
        <v>260</v>
      </c>
      <c r="B654" s="73" t="s">
        <v>92</v>
      </c>
      <c r="C654" s="62" t="s">
        <v>345</v>
      </c>
      <c r="D654" s="62" t="s">
        <v>94</v>
      </c>
      <c r="E654" s="46">
        <v>178</v>
      </c>
      <c r="F654" s="46">
        <v>221575.10699999999</v>
      </c>
      <c r="G654" s="46">
        <v>179</v>
      </c>
      <c r="H654" s="46">
        <v>265746.80499999999</v>
      </c>
      <c r="I654" s="46">
        <v>178</v>
      </c>
      <c r="J654" s="46">
        <v>248707.337</v>
      </c>
    </row>
    <row r="655" spans="1:10" x14ac:dyDescent="0.2">
      <c r="A655" s="73" t="s">
        <v>260</v>
      </c>
      <c r="B655" s="96" t="s">
        <v>92</v>
      </c>
      <c r="C655" s="62" t="s">
        <v>10</v>
      </c>
      <c r="D655" s="62" t="s">
        <v>94</v>
      </c>
      <c r="E655" s="46">
        <v>757</v>
      </c>
      <c r="F655" s="46">
        <v>467588.08799999999</v>
      </c>
      <c r="G655" s="46">
        <v>755</v>
      </c>
      <c r="H655" s="46">
        <v>435078.478</v>
      </c>
      <c r="I655" s="46">
        <v>756</v>
      </c>
      <c r="J655" s="46">
        <v>432103.228</v>
      </c>
    </row>
    <row r="656" spans="1:10" x14ac:dyDescent="0.2">
      <c r="A656" s="73" t="s">
        <v>261</v>
      </c>
      <c r="B656" s="73" t="s">
        <v>92</v>
      </c>
      <c r="C656" s="62" t="s">
        <v>345</v>
      </c>
      <c r="D656" s="62" t="s">
        <v>94</v>
      </c>
      <c r="E656" s="46">
        <v>1015</v>
      </c>
      <c r="F656" s="46">
        <v>2353216.0790000004</v>
      </c>
      <c r="G656" s="46">
        <v>1011</v>
      </c>
      <c r="H656" s="46">
        <v>4165355.4</v>
      </c>
      <c r="I656" s="46">
        <v>1007</v>
      </c>
      <c r="J656" s="46">
        <v>3240724.5300000003</v>
      </c>
    </row>
    <row r="657" spans="1:10" x14ac:dyDescent="0.2">
      <c r="A657" s="96" t="s">
        <v>261</v>
      </c>
      <c r="B657" s="96" t="s">
        <v>267</v>
      </c>
      <c r="C657" s="62" t="s">
        <v>345</v>
      </c>
      <c r="D657" s="62" t="s">
        <v>268</v>
      </c>
      <c r="E657" s="46">
        <v>21</v>
      </c>
      <c r="F657" s="46">
        <v>2068.96</v>
      </c>
      <c r="G657" s="46">
        <v>21</v>
      </c>
      <c r="H657" s="46">
        <v>769.346</v>
      </c>
      <c r="I657" s="46">
        <v>21</v>
      </c>
      <c r="J657" s="46">
        <v>1021.269</v>
      </c>
    </row>
    <row r="658" spans="1:10" x14ac:dyDescent="0.2">
      <c r="A658" s="73" t="s">
        <v>261</v>
      </c>
      <c r="B658" s="73" t="s">
        <v>92</v>
      </c>
      <c r="C658" s="62" t="s">
        <v>10</v>
      </c>
      <c r="D658" s="62" t="s">
        <v>94</v>
      </c>
      <c r="E658" s="46">
        <v>3153</v>
      </c>
      <c r="F658" s="46">
        <v>2633048.0419999999</v>
      </c>
      <c r="G658" s="46">
        <v>3165</v>
      </c>
      <c r="H658" s="46">
        <v>4002090.1189999999</v>
      </c>
      <c r="I658" s="46">
        <v>3172</v>
      </c>
      <c r="J658" s="46">
        <v>3125562.1970000002</v>
      </c>
    </row>
    <row r="659" spans="1:10" x14ac:dyDescent="0.2">
      <c r="A659" s="96" t="s">
        <v>261</v>
      </c>
      <c r="B659" s="96" t="s">
        <v>267</v>
      </c>
      <c r="C659" s="62" t="s">
        <v>10</v>
      </c>
      <c r="D659" s="62" t="s">
        <v>268</v>
      </c>
      <c r="E659" s="46">
        <v>591</v>
      </c>
      <c r="F659" s="46">
        <v>9956.2240000000002</v>
      </c>
      <c r="G659" s="46">
        <v>591</v>
      </c>
      <c r="H659" s="46">
        <v>8154.1530000000002</v>
      </c>
      <c r="I659" s="46">
        <v>592</v>
      </c>
      <c r="J659" s="46">
        <v>7931.1180000000004</v>
      </c>
    </row>
    <row r="660" spans="1:10" x14ac:dyDescent="0.2">
      <c r="A660" s="73" t="s">
        <v>262</v>
      </c>
      <c r="B660" s="73" t="s">
        <v>92</v>
      </c>
      <c r="C660" s="62" t="s">
        <v>345</v>
      </c>
      <c r="D660" s="62" t="s">
        <v>94</v>
      </c>
      <c r="E660" s="46">
        <v>87</v>
      </c>
      <c r="F660" s="46">
        <v>266943.929</v>
      </c>
      <c r="G660" s="46">
        <v>87</v>
      </c>
      <c r="H660" s="46">
        <v>215732.223</v>
      </c>
      <c r="I660" s="46">
        <v>88</v>
      </c>
      <c r="J660" s="46">
        <v>231053.432</v>
      </c>
    </row>
    <row r="661" spans="1:10" x14ac:dyDescent="0.2">
      <c r="A661" s="73" t="s">
        <v>262</v>
      </c>
      <c r="B661" s="96" t="s">
        <v>267</v>
      </c>
      <c r="C661" s="62" t="s">
        <v>345</v>
      </c>
      <c r="D661" s="62" t="s">
        <v>268</v>
      </c>
      <c r="E661" s="46">
        <v>29</v>
      </c>
      <c r="F661" s="46">
        <v>1034.223</v>
      </c>
      <c r="G661" s="46">
        <v>28</v>
      </c>
      <c r="H661" s="46">
        <v>708.58299999999997</v>
      </c>
      <c r="I661" s="46">
        <v>28</v>
      </c>
      <c r="J661" s="46">
        <v>836.72199999999998</v>
      </c>
    </row>
    <row r="662" spans="1:10" x14ac:dyDescent="0.2">
      <c r="A662" s="73" t="s">
        <v>262</v>
      </c>
      <c r="B662" s="73" t="s">
        <v>92</v>
      </c>
      <c r="C662" s="62" t="s">
        <v>10</v>
      </c>
      <c r="D662" s="62" t="s">
        <v>94</v>
      </c>
      <c r="E662" s="46">
        <v>459</v>
      </c>
      <c r="F662" s="46">
        <v>276557.19099999999</v>
      </c>
      <c r="G662" s="46">
        <v>459</v>
      </c>
      <c r="H662" s="46">
        <v>362859.15299999999</v>
      </c>
      <c r="I662" s="46">
        <v>463</v>
      </c>
      <c r="J662" s="46">
        <v>398964.17099999997</v>
      </c>
    </row>
    <row r="663" spans="1:10" x14ac:dyDescent="0.2">
      <c r="A663" s="96" t="s">
        <v>262</v>
      </c>
      <c r="B663" s="96" t="s">
        <v>267</v>
      </c>
      <c r="C663" s="62" t="s">
        <v>10</v>
      </c>
      <c r="D663" s="62" t="s">
        <v>268</v>
      </c>
      <c r="E663" s="46">
        <v>179</v>
      </c>
      <c r="F663" s="46">
        <v>1976.885</v>
      </c>
      <c r="G663" s="46">
        <v>178</v>
      </c>
      <c r="H663" s="46">
        <v>950.36599999999999</v>
      </c>
      <c r="I663" s="46">
        <v>179</v>
      </c>
      <c r="J663" s="46">
        <v>1128.489</v>
      </c>
    </row>
    <row r="664" spans="1:10" x14ac:dyDescent="0.2">
      <c r="A664" s="73" t="s">
        <v>263</v>
      </c>
      <c r="B664" s="73" t="s">
        <v>92</v>
      </c>
      <c r="C664" s="62" t="s">
        <v>345</v>
      </c>
      <c r="D664" s="62" t="s">
        <v>94</v>
      </c>
      <c r="E664" s="46">
        <v>184</v>
      </c>
      <c r="F664" s="46">
        <v>116998.476</v>
      </c>
      <c r="G664" s="46">
        <v>187</v>
      </c>
      <c r="H664" s="46">
        <v>116485.40399999999</v>
      </c>
      <c r="I664" s="46">
        <v>190</v>
      </c>
      <c r="J664" s="46">
        <v>138931</v>
      </c>
    </row>
    <row r="665" spans="1:10" x14ac:dyDescent="0.2">
      <c r="A665" s="73" t="s">
        <v>263</v>
      </c>
      <c r="B665" s="96" t="s">
        <v>92</v>
      </c>
      <c r="C665" s="62" t="s">
        <v>10</v>
      </c>
      <c r="D665" s="62" t="s">
        <v>94</v>
      </c>
      <c r="E665" s="46">
        <v>1286</v>
      </c>
      <c r="F665" s="46">
        <v>840572.01100000006</v>
      </c>
      <c r="G665" s="46">
        <v>1288</v>
      </c>
      <c r="H665" s="46">
        <v>822842.10100000002</v>
      </c>
      <c r="I665" s="46">
        <v>1287</v>
      </c>
      <c r="J665" s="46">
        <v>883314.86899999995</v>
      </c>
    </row>
    <row r="666" spans="1:10" x14ac:dyDescent="0.2">
      <c r="A666" s="73" t="s">
        <v>264</v>
      </c>
      <c r="B666" s="73" t="s">
        <v>92</v>
      </c>
      <c r="C666" s="62" t="s">
        <v>345</v>
      </c>
      <c r="D666" s="62" t="s">
        <v>94</v>
      </c>
      <c r="E666" s="46">
        <v>146</v>
      </c>
      <c r="F666" s="46">
        <v>283143.46500000003</v>
      </c>
      <c r="G666" s="46">
        <v>146</v>
      </c>
      <c r="H666" s="46">
        <v>257379</v>
      </c>
      <c r="I666" s="46">
        <v>143</v>
      </c>
      <c r="J666" s="46">
        <v>296574</v>
      </c>
    </row>
    <row r="667" spans="1:10" x14ac:dyDescent="0.2">
      <c r="A667" s="96" t="s">
        <v>264</v>
      </c>
      <c r="B667" s="96" t="s">
        <v>267</v>
      </c>
      <c r="C667" s="62" t="s">
        <v>345</v>
      </c>
      <c r="D667" s="62" t="s">
        <v>268</v>
      </c>
      <c r="E667" s="46">
        <v>2</v>
      </c>
      <c r="F667" s="46">
        <v>19414.268</v>
      </c>
      <c r="G667" s="46">
        <v>2</v>
      </c>
      <c r="H667" s="46">
        <v>5210.5889999999999</v>
      </c>
      <c r="I667" s="46">
        <v>2</v>
      </c>
      <c r="J667" s="46">
        <v>4787.085</v>
      </c>
    </row>
    <row r="668" spans="1:10" x14ac:dyDescent="0.2">
      <c r="A668" s="73" t="s">
        <v>264</v>
      </c>
      <c r="B668" s="73" t="s">
        <v>92</v>
      </c>
      <c r="C668" s="62" t="s">
        <v>10</v>
      </c>
      <c r="D668" s="62" t="s">
        <v>94</v>
      </c>
      <c r="E668" s="46">
        <v>696</v>
      </c>
      <c r="F668" s="46">
        <v>436829.304</v>
      </c>
      <c r="G668" s="46">
        <v>696</v>
      </c>
      <c r="H668" s="46">
        <v>442788.99800000002</v>
      </c>
      <c r="I668" s="46">
        <v>696</v>
      </c>
      <c r="J668" s="46">
        <v>425571.06</v>
      </c>
    </row>
    <row r="669" spans="1:10" x14ac:dyDescent="0.2">
      <c r="A669" s="96" t="s">
        <v>265</v>
      </c>
      <c r="B669" s="96" t="s">
        <v>92</v>
      </c>
      <c r="C669" s="62" t="s">
        <v>345</v>
      </c>
      <c r="D669" s="62" t="s">
        <v>94</v>
      </c>
      <c r="E669" s="46">
        <v>27</v>
      </c>
      <c r="F669" s="46">
        <v>17482</v>
      </c>
      <c r="G669" s="46">
        <v>28</v>
      </c>
      <c r="H669" s="46">
        <v>22642.967000000001</v>
      </c>
      <c r="I669" s="46">
        <v>28</v>
      </c>
      <c r="J669" s="46">
        <v>24526.967000000001</v>
      </c>
    </row>
    <row r="670" spans="1:10" x14ac:dyDescent="0.2">
      <c r="A670" s="73" t="s">
        <v>265</v>
      </c>
      <c r="B670" s="73" t="s">
        <v>92</v>
      </c>
      <c r="C670" s="62" t="s">
        <v>10</v>
      </c>
      <c r="D670" s="62" t="s">
        <v>94</v>
      </c>
      <c r="E670" s="46">
        <v>292</v>
      </c>
      <c r="F670" s="46">
        <v>208358</v>
      </c>
      <c r="G670" s="46">
        <v>292</v>
      </c>
      <c r="H670" s="46">
        <v>245556.927</v>
      </c>
      <c r="I670" s="46">
        <v>292</v>
      </c>
      <c r="J670" s="46">
        <v>277611.451</v>
      </c>
    </row>
    <row r="671" spans="1:10" x14ac:dyDescent="0.2">
      <c r="A671" s="73" t="s">
        <v>266</v>
      </c>
      <c r="B671" s="62" t="s">
        <v>92</v>
      </c>
      <c r="C671" s="62" t="s">
        <v>345</v>
      </c>
      <c r="D671" s="62" t="s">
        <v>94</v>
      </c>
      <c r="E671" s="46">
        <v>109</v>
      </c>
      <c r="F671" s="46">
        <v>247327.87100000001</v>
      </c>
      <c r="G671" s="46">
        <v>108</v>
      </c>
      <c r="H671" s="46">
        <v>320846.63</v>
      </c>
      <c r="I671" s="46">
        <v>113</v>
      </c>
      <c r="J671" s="46">
        <v>330260.69</v>
      </c>
    </row>
    <row r="672" spans="1:10" x14ac:dyDescent="0.2">
      <c r="A672" s="96" t="s">
        <v>266</v>
      </c>
      <c r="B672" s="96" t="s">
        <v>267</v>
      </c>
      <c r="C672" s="62" t="s">
        <v>345</v>
      </c>
      <c r="D672" s="62" t="s">
        <v>268</v>
      </c>
      <c r="E672" s="46">
        <v>5</v>
      </c>
      <c r="F672" s="46">
        <v>688.56200000000001</v>
      </c>
      <c r="G672" s="46">
        <v>5</v>
      </c>
      <c r="H672" s="46">
        <v>130.351</v>
      </c>
      <c r="I672" s="46">
        <v>5</v>
      </c>
      <c r="J672" s="46">
        <v>89.289000000000001</v>
      </c>
    </row>
    <row r="673" spans="1:10" x14ac:dyDescent="0.2">
      <c r="A673" s="73" t="s">
        <v>266</v>
      </c>
      <c r="B673" s="73" t="s">
        <v>92</v>
      </c>
      <c r="C673" s="62" t="s">
        <v>10</v>
      </c>
      <c r="D673" s="62" t="s">
        <v>94</v>
      </c>
      <c r="E673" s="46">
        <v>227</v>
      </c>
      <c r="F673" s="46">
        <v>185747.41099999999</v>
      </c>
      <c r="G673" s="46">
        <v>226</v>
      </c>
      <c r="H673" s="46">
        <v>226478.041</v>
      </c>
      <c r="I673" s="46">
        <v>227</v>
      </c>
      <c r="J673" s="46">
        <v>246830.71799999999</v>
      </c>
    </row>
    <row r="674" spans="1:10" ht="16" thickBot="1" x14ac:dyDescent="0.25">
      <c r="A674" s="98" t="s">
        <v>266</v>
      </c>
      <c r="B674" s="98" t="s">
        <v>267</v>
      </c>
      <c r="C674" s="48" t="s">
        <v>10</v>
      </c>
      <c r="D674" s="48" t="s">
        <v>268</v>
      </c>
      <c r="E674" s="47">
        <v>55</v>
      </c>
      <c r="F674" s="47">
        <v>745.92100000000005</v>
      </c>
      <c r="G674" s="47">
        <v>55</v>
      </c>
      <c r="H674" s="47">
        <v>380.79</v>
      </c>
      <c r="I674" s="47">
        <v>55</v>
      </c>
      <c r="J674" s="47">
        <v>285.10300000000001</v>
      </c>
    </row>
  </sheetData>
  <mergeCells count="5">
    <mergeCell ref="A9:D9"/>
    <mergeCell ref="E9:F9"/>
    <mergeCell ref="G9:H9"/>
    <mergeCell ref="I9:J9"/>
    <mergeCell ref="A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3"/>
  <sheetViews>
    <sheetView topLeftCell="B1" zoomScale="125" workbookViewId="0">
      <selection activeCell="C83" sqref="C83:E83"/>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40" t="s">
        <v>0</v>
      </c>
      <c r="B1" s="141"/>
      <c r="C1" s="141"/>
      <c r="D1" s="141"/>
      <c r="E1" s="141"/>
      <c r="F1" s="141"/>
      <c r="G1" s="141"/>
      <c r="H1" s="141"/>
      <c r="I1" s="141"/>
      <c r="J1" s="141"/>
      <c r="K1" s="142"/>
      <c r="L1" s="27"/>
      <c r="M1" s="28"/>
      <c r="N1" s="28"/>
      <c r="O1" s="28"/>
      <c r="P1" s="28"/>
      <c r="Q1" s="28"/>
      <c r="R1" s="32"/>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81</v>
      </c>
      <c r="C4" s="3"/>
      <c r="D4" s="3"/>
      <c r="E4" s="3"/>
      <c r="F4" s="4"/>
      <c r="G4" s="3"/>
      <c r="H4" s="3"/>
      <c r="I4" s="3"/>
      <c r="J4" s="3"/>
      <c r="K4" s="3"/>
      <c r="L4" s="4"/>
      <c r="M4" s="3"/>
      <c r="N4" s="3"/>
      <c r="O4" s="3"/>
      <c r="P4" s="3"/>
      <c r="Q4" s="3"/>
      <c r="R4" s="4"/>
    </row>
    <row r="5" spans="1:23" x14ac:dyDescent="0.2">
      <c r="A5" s="5">
        <v>4</v>
      </c>
      <c r="B5" s="2" t="s">
        <v>31</v>
      </c>
      <c r="C5" s="2"/>
      <c r="D5" s="2"/>
      <c r="E5" s="3"/>
      <c r="F5" s="30"/>
      <c r="G5" s="3"/>
      <c r="H5" s="3"/>
      <c r="I5" s="3"/>
      <c r="J5" s="3"/>
      <c r="K5" s="3"/>
      <c r="L5" s="4"/>
      <c r="M5" s="3"/>
      <c r="N5" s="3"/>
      <c r="O5" s="3"/>
      <c r="P5" s="3"/>
      <c r="Q5" s="3"/>
      <c r="R5" s="4"/>
    </row>
    <row r="6" spans="1:23" x14ac:dyDescent="0.2">
      <c r="A6" s="3">
        <v>5</v>
      </c>
      <c r="B6" s="29" t="s">
        <v>5</v>
      </c>
      <c r="C6" s="2"/>
      <c r="D6" s="2"/>
      <c r="E6" s="3"/>
      <c r="F6" s="30"/>
      <c r="G6" s="3"/>
      <c r="H6" s="3"/>
      <c r="I6" s="3"/>
      <c r="J6" s="3"/>
      <c r="K6" s="3"/>
      <c r="L6" s="4"/>
      <c r="M6" s="3"/>
      <c r="N6" s="3"/>
      <c r="O6" s="3"/>
      <c r="P6" s="3"/>
      <c r="Q6" s="3"/>
      <c r="R6" s="4"/>
    </row>
    <row r="7" spans="1:23" x14ac:dyDescent="0.2">
      <c r="A7" s="3">
        <v>6</v>
      </c>
      <c r="B7" s="23" t="s">
        <v>78</v>
      </c>
      <c r="C7" s="2"/>
      <c r="D7" s="2"/>
      <c r="E7" s="3"/>
      <c r="F7" s="30"/>
      <c r="G7" s="3"/>
      <c r="H7" s="3"/>
      <c r="I7" s="3"/>
      <c r="J7" s="3"/>
      <c r="K7" s="3"/>
      <c r="L7" s="4"/>
      <c r="M7" s="3"/>
      <c r="N7" s="3"/>
      <c r="O7" s="3"/>
      <c r="P7" s="3"/>
      <c r="Q7" s="3"/>
      <c r="R7" s="4"/>
    </row>
    <row r="8" spans="1:23" ht="16" thickBot="1" x14ac:dyDescent="0.25"/>
    <row r="9" spans="1:23" ht="90" customHeight="1" thickBot="1" x14ac:dyDescent="0.25">
      <c r="A9" s="146" t="s">
        <v>84</v>
      </c>
      <c r="B9" s="146"/>
      <c r="C9" s="143" t="s">
        <v>32</v>
      </c>
      <c r="D9" s="144"/>
      <c r="E9" s="145"/>
      <c r="F9" s="31"/>
      <c r="G9" s="147" t="s">
        <v>353</v>
      </c>
      <c r="H9" s="148"/>
      <c r="I9" s="148"/>
      <c r="J9" s="148"/>
      <c r="K9" s="149"/>
      <c r="M9" s="143" t="s">
        <v>79</v>
      </c>
      <c r="N9" s="144"/>
      <c r="O9" s="144"/>
      <c r="P9" s="144"/>
      <c r="Q9" s="145"/>
      <c r="S9" s="143" t="s">
        <v>80</v>
      </c>
      <c r="T9" s="144"/>
      <c r="U9" s="144"/>
      <c r="V9" s="144"/>
      <c r="W9" s="145"/>
    </row>
    <row r="10" spans="1:23" ht="16" thickBot="1" x14ac:dyDescent="0.25">
      <c r="A10" s="7" t="s">
        <v>8</v>
      </c>
      <c r="B10" s="7" t="s">
        <v>9</v>
      </c>
      <c r="C10" s="76">
        <v>44743</v>
      </c>
      <c r="D10" s="76">
        <v>44774</v>
      </c>
      <c r="E10" s="76">
        <v>44805</v>
      </c>
      <c r="G10" s="7" t="s">
        <v>8</v>
      </c>
      <c r="H10" s="7" t="s">
        <v>9</v>
      </c>
      <c r="I10" s="76">
        <v>44743</v>
      </c>
      <c r="J10" s="76">
        <v>44774</v>
      </c>
      <c r="K10" s="76">
        <v>44805</v>
      </c>
      <c r="M10" s="7" t="s">
        <v>8</v>
      </c>
      <c r="N10" s="7" t="s">
        <v>9</v>
      </c>
      <c r="O10" s="76">
        <v>44743</v>
      </c>
      <c r="P10" s="76">
        <v>44774</v>
      </c>
      <c r="Q10" s="76">
        <v>44805</v>
      </c>
      <c r="S10" s="7" t="s">
        <v>8</v>
      </c>
      <c r="T10" s="7" t="s">
        <v>9</v>
      </c>
      <c r="U10" s="76">
        <v>44743</v>
      </c>
      <c r="V10" s="76">
        <v>44774</v>
      </c>
      <c r="W10" s="76">
        <v>44805</v>
      </c>
    </row>
    <row r="11" spans="1:23" ht="15" customHeight="1" x14ac:dyDescent="0.2">
      <c r="A11" s="13">
        <v>98001</v>
      </c>
      <c r="B11" s="13" t="s">
        <v>345</v>
      </c>
      <c r="C11" s="14"/>
      <c r="D11" s="14"/>
      <c r="E11" s="14">
        <v>1</v>
      </c>
      <c r="G11" s="95">
        <v>98031</v>
      </c>
      <c r="H11" s="95" t="s">
        <v>345</v>
      </c>
      <c r="I11" s="100"/>
      <c r="J11" s="100"/>
      <c r="K11" s="100">
        <v>1</v>
      </c>
      <c r="M11" s="13">
        <v>98001</v>
      </c>
      <c r="N11" s="13" t="s">
        <v>345</v>
      </c>
      <c r="O11" s="14">
        <v>34</v>
      </c>
      <c r="P11" s="14">
        <v>25</v>
      </c>
      <c r="Q11" s="14">
        <v>16</v>
      </c>
      <c r="S11" s="13">
        <v>98001</v>
      </c>
      <c r="T11" s="13" t="s">
        <v>345</v>
      </c>
      <c r="U11" s="14">
        <v>23</v>
      </c>
      <c r="V11" s="14">
        <v>13</v>
      </c>
      <c r="W11" s="14">
        <v>11</v>
      </c>
    </row>
    <row r="12" spans="1:23" x14ac:dyDescent="0.2">
      <c r="A12" s="15">
        <v>98002</v>
      </c>
      <c r="B12" s="15" t="s">
        <v>10</v>
      </c>
      <c r="C12" s="16"/>
      <c r="D12" s="16"/>
      <c r="E12" s="16">
        <v>1</v>
      </c>
      <c r="G12" s="73">
        <v>98032</v>
      </c>
      <c r="H12" s="96" t="s">
        <v>345</v>
      </c>
      <c r="I12" s="101"/>
      <c r="J12" s="101"/>
      <c r="K12" s="101">
        <v>4</v>
      </c>
      <c r="M12" s="15">
        <v>98001</v>
      </c>
      <c r="N12" s="15" t="s">
        <v>10</v>
      </c>
      <c r="O12" s="16">
        <v>239</v>
      </c>
      <c r="P12" s="16">
        <v>197</v>
      </c>
      <c r="Q12" s="16">
        <v>157</v>
      </c>
      <c r="S12" s="15">
        <v>98001</v>
      </c>
      <c r="T12" s="15" t="s">
        <v>10</v>
      </c>
      <c r="U12" s="16">
        <v>150</v>
      </c>
      <c r="V12" s="16">
        <v>174</v>
      </c>
      <c r="W12" s="16">
        <v>138</v>
      </c>
    </row>
    <row r="13" spans="1:23" x14ac:dyDescent="0.2">
      <c r="A13" s="15">
        <v>98003</v>
      </c>
      <c r="B13" s="15" t="s">
        <v>10</v>
      </c>
      <c r="C13" s="16"/>
      <c r="D13" s="16"/>
      <c r="E13" s="16">
        <v>1</v>
      </c>
      <c r="G13" s="73">
        <v>98106</v>
      </c>
      <c r="H13" s="96" t="s">
        <v>10</v>
      </c>
      <c r="I13" s="101"/>
      <c r="J13" s="101">
        <v>13</v>
      </c>
      <c r="K13" s="101"/>
      <c r="M13" s="15">
        <v>98002</v>
      </c>
      <c r="N13" s="15" t="s">
        <v>345</v>
      </c>
      <c r="O13" s="16">
        <v>28</v>
      </c>
      <c r="P13" s="16">
        <v>32</v>
      </c>
      <c r="Q13" s="16">
        <v>26</v>
      </c>
      <c r="S13" s="15">
        <v>98002</v>
      </c>
      <c r="T13" s="15" t="s">
        <v>345</v>
      </c>
      <c r="U13" s="16">
        <v>12</v>
      </c>
      <c r="V13" s="16">
        <v>21</v>
      </c>
      <c r="W13" s="16">
        <v>17</v>
      </c>
    </row>
    <row r="14" spans="1:23" x14ac:dyDescent="0.2">
      <c r="A14" s="15">
        <v>98023</v>
      </c>
      <c r="B14" s="15" t="s">
        <v>10</v>
      </c>
      <c r="C14" s="16"/>
      <c r="D14" s="16"/>
      <c r="E14" s="16">
        <v>1</v>
      </c>
      <c r="G14" s="73">
        <v>98168</v>
      </c>
      <c r="H14" s="96" t="s">
        <v>10</v>
      </c>
      <c r="I14" s="101"/>
      <c r="J14" s="101">
        <v>1</v>
      </c>
      <c r="K14" s="101">
        <v>0</v>
      </c>
      <c r="M14" s="15">
        <v>98002</v>
      </c>
      <c r="N14" s="15" t="s">
        <v>10</v>
      </c>
      <c r="O14" s="16">
        <v>444</v>
      </c>
      <c r="P14" s="16">
        <v>338</v>
      </c>
      <c r="Q14" s="16">
        <v>309</v>
      </c>
      <c r="S14" s="15">
        <v>98002</v>
      </c>
      <c r="T14" s="15" t="s">
        <v>10</v>
      </c>
      <c r="U14" s="16">
        <v>352</v>
      </c>
      <c r="V14" s="16">
        <v>318</v>
      </c>
      <c r="W14" s="16">
        <v>279</v>
      </c>
    </row>
    <row r="15" spans="1:23" x14ac:dyDescent="0.2">
      <c r="A15" s="15">
        <v>98026</v>
      </c>
      <c r="B15" s="15" t="s">
        <v>10</v>
      </c>
      <c r="C15" s="16"/>
      <c r="D15" s="16">
        <v>1</v>
      </c>
      <c r="E15" s="16"/>
      <c r="G15" s="73">
        <v>98178</v>
      </c>
      <c r="H15" s="96" t="s">
        <v>10</v>
      </c>
      <c r="I15" s="101"/>
      <c r="J15" s="101">
        <v>0</v>
      </c>
      <c r="K15" s="101"/>
      <c r="M15" s="15">
        <v>98003</v>
      </c>
      <c r="N15" s="15" t="s">
        <v>345</v>
      </c>
      <c r="O15" s="16">
        <v>28</v>
      </c>
      <c r="P15" s="16">
        <v>29</v>
      </c>
      <c r="Q15" s="16">
        <v>24</v>
      </c>
      <c r="S15" s="15">
        <v>98003</v>
      </c>
      <c r="T15" s="15" t="s">
        <v>345</v>
      </c>
      <c r="U15" s="16">
        <v>12</v>
      </c>
      <c r="V15" s="16">
        <v>29</v>
      </c>
      <c r="W15" s="16">
        <v>26</v>
      </c>
    </row>
    <row r="16" spans="1:23" x14ac:dyDescent="0.2">
      <c r="A16" s="15">
        <v>98030</v>
      </c>
      <c r="B16" s="15" t="s">
        <v>10</v>
      </c>
      <c r="C16" s="16"/>
      <c r="D16" s="16">
        <v>1</v>
      </c>
      <c r="E16" s="16"/>
      <c r="G16" s="73">
        <v>98225</v>
      </c>
      <c r="H16" s="96" t="s">
        <v>345</v>
      </c>
      <c r="I16" s="101"/>
      <c r="J16" s="101">
        <v>6</v>
      </c>
      <c r="K16" s="101"/>
      <c r="M16" s="15">
        <v>98003</v>
      </c>
      <c r="N16" s="15" t="s">
        <v>10</v>
      </c>
      <c r="O16" s="16">
        <v>593</v>
      </c>
      <c r="P16" s="16">
        <v>491</v>
      </c>
      <c r="Q16" s="16">
        <v>391</v>
      </c>
      <c r="S16" s="15">
        <v>98003</v>
      </c>
      <c r="T16" s="15" t="s">
        <v>10</v>
      </c>
      <c r="U16" s="16">
        <v>455</v>
      </c>
      <c r="V16" s="16">
        <v>418</v>
      </c>
      <c r="W16" s="16">
        <v>402</v>
      </c>
    </row>
    <row r="17" spans="1:23" x14ac:dyDescent="0.2">
      <c r="A17" s="15">
        <v>98031</v>
      </c>
      <c r="B17" s="15" t="s">
        <v>345</v>
      </c>
      <c r="C17" s="16"/>
      <c r="D17" s="16"/>
      <c r="E17" s="16">
        <v>1</v>
      </c>
      <c r="G17" s="73">
        <v>98225</v>
      </c>
      <c r="H17" s="96" t="s">
        <v>10</v>
      </c>
      <c r="I17" s="101">
        <v>67.5</v>
      </c>
      <c r="J17" s="101">
        <v>8</v>
      </c>
      <c r="K17" s="101"/>
      <c r="M17" s="15">
        <v>98004</v>
      </c>
      <c r="N17" s="15" t="s">
        <v>345</v>
      </c>
      <c r="O17" s="16">
        <v>17</v>
      </c>
      <c r="P17" s="16">
        <v>32</v>
      </c>
      <c r="Q17" s="16">
        <v>14</v>
      </c>
      <c r="S17" s="15">
        <v>98004</v>
      </c>
      <c r="T17" s="15" t="s">
        <v>345</v>
      </c>
      <c r="U17" s="16">
        <v>4</v>
      </c>
      <c r="V17" s="16">
        <v>4</v>
      </c>
      <c r="W17" s="16">
        <v>8</v>
      </c>
    </row>
    <row r="18" spans="1:23" x14ac:dyDescent="0.2">
      <c r="A18" s="15">
        <v>98032</v>
      </c>
      <c r="B18" s="15" t="s">
        <v>345</v>
      </c>
      <c r="C18" s="16">
        <v>1</v>
      </c>
      <c r="D18" s="16"/>
      <c r="E18" s="16">
        <v>1</v>
      </c>
      <c r="G18" s="73">
        <v>98226</v>
      </c>
      <c r="H18" s="96" t="s">
        <v>10</v>
      </c>
      <c r="I18" s="101"/>
      <c r="J18" s="101">
        <v>1</v>
      </c>
      <c r="K18" s="101"/>
      <c r="M18" s="15">
        <v>98004</v>
      </c>
      <c r="N18" s="15" t="s">
        <v>10</v>
      </c>
      <c r="O18" s="16">
        <v>126</v>
      </c>
      <c r="P18" s="16">
        <v>174</v>
      </c>
      <c r="Q18" s="16">
        <v>114</v>
      </c>
      <c r="S18" s="15">
        <v>98004</v>
      </c>
      <c r="T18" s="15" t="s">
        <v>10</v>
      </c>
      <c r="U18" s="16">
        <v>98</v>
      </c>
      <c r="V18" s="16">
        <v>142</v>
      </c>
      <c r="W18" s="16">
        <v>95</v>
      </c>
    </row>
    <row r="19" spans="1:23" x14ac:dyDescent="0.2">
      <c r="A19" s="15">
        <v>98032</v>
      </c>
      <c r="B19" s="15" t="s">
        <v>10</v>
      </c>
      <c r="C19" s="16"/>
      <c r="D19" s="16"/>
      <c r="E19" s="16">
        <v>1</v>
      </c>
      <c r="G19" s="73">
        <v>98229</v>
      </c>
      <c r="H19" s="96" t="s">
        <v>10</v>
      </c>
      <c r="I19" s="101"/>
      <c r="J19" s="101">
        <v>27</v>
      </c>
      <c r="K19" s="101"/>
      <c r="M19" s="15">
        <v>98005</v>
      </c>
      <c r="N19" s="15" t="s">
        <v>345</v>
      </c>
      <c r="O19" s="16">
        <v>14</v>
      </c>
      <c r="P19" s="16">
        <v>11</v>
      </c>
      <c r="Q19" s="16">
        <v>14</v>
      </c>
      <c r="S19" s="15">
        <v>98005</v>
      </c>
      <c r="T19" s="15" t="s">
        <v>345</v>
      </c>
      <c r="U19" s="16">
        <v>7</v>
      </c>
      <c r="V19" s="16">
        <v>3</v>
      </c>
      <c r="W19" s="16">
        <v>9</v>
      </c>
    </row>
    <row r="20" spans="1:23" x14ac:dyDescent="0.2">
      <c r="A20" s="15">
        <v>98052</v>
      </c>
      <c r="B20" s="15" t="s">
        <v>345</v>
      </c>
      <c r="C20" s="16">
        <v>2</v>
      </c>
      <c r="D20" s="16"/>
      <c r="E20" s="16"/>
      <c r="G20" s="73">
        <v>98312</v>
      </c>
      <c r="H20" s="96" t="s">
        <v>345</v>
      </c>
      <c r="I20" s="101"/>
      <c r="J20" s="101">
        <v>0</v>
      </c>
      <c r="K20" s="101">
        <v>0</v>
      </c>
      <c r="M20" s="15">
        <v>98005</v>
      </c>
      <c r="N20" s="15" t="s">
        <v>10</v>
      </c>
      <c r="O20" s="16">
        <v>75</v>
      </c>
      <c r="P20" s="16">
        <v>62</v>
      </c>
      <c r="Q20" s="16">
        <v>51</v>
      </c>
      <c r="S20" s="15">
        <v>98005</v>
      </c>
      <c r="T20" s="15" t="s">
        <v>10</v>
      </c>
      <c r="U20" s="16">
        <v>47</v>
      </c>
      <c r="V20" s="16">
        <v>60</v>
      </c>
      <c r="W20" s="16">
        <v>42</v>
      </c>
    </row>
    <row r="21" spans="1:23" x14ac:dyDescent="0.2">
      <c r="A21" s="15">
        <v>98102</v>
      </c>
      <c r="B21" s="15" t="s">
        <v>10</v>
      </c>
      <c r="C21" s="16">
        <v>1</v>
      </c>
      <c r="D21" s="16"/>
      <c r="E21" s="16"/>
      <c r="G21" s="73">
        <v>98312</v>
      </c>
      <c r="H21" s="96" t="s">
        <v>10</v>
      </c>
      <c r="I21" s="101"/>
      <c r="J21" s="101"/>
      <c r="K21" s="101">
        <v>1</v>
      </c>
      <c r="M21" s="15">
        <v>98006</v>
      </c>
      <c r="N21" s="15" t="s">
        <v>345</v>
      </c>
      <c r="O21" s="16">
        <v>8</v>
      </c>
      <c r="P21" s="16">
        <v>2</v>
      </c>
      <c r="Q21" s="16">
        <v>4</v>
      </c>
      <c r="S21" s="15">
        <v>98006</v>
      </c>
      <c r="T21" s="15" t="s">
        <v>345</v>
      </c>
      <c r="U21" s="16">
        <v>3</v>
      </c>
      <c r="V21" s="16"/>
      <c r="W21" s="16">
        <v>5</v>
      </c>
    </row>
    <row r="22" spans="1:23" x14ac:dyDescent="0.2">
      <c r="A22" s="15">
        <v>98103</v>
      </c>
      <c r="B22" s="15" t="s">
        <v>10</v>
      </c>
      <c r="C22" s="16">
        <v>1</v>
      </c>
      <c r="D22" s="16"/>
      <c r="E22" s="16"/>
      <c r="G22" s="73">
        <v>98346</v>
      </c>
      <c r="H22" s="96" t="s">
        <v>10</v>
      </c>
      <c r="I22" s="101"/>
      <c r="J22" s="101">
        <v>0</v>
      </c>
      <c r="K22" s="101"/>
      <c r="M22" s="15">
        <v>98006</v>
      </c>
      <c r="N22" s="15" t="s">
        <v>10</v>
      </c>
      <c r="O22" s="16">
        <v>89</v>
      </c>
      <c r="P22" s="16">
        <v>76</v>
      </c>
      <c r="Q22" s="16">
        <v>60</v>
      </c>
      <c r="S22" s="15">
        <v>98006</v>
      </c>
      <c r="T22" s="15" t="s">
        <v>10</v>
      </c>
      <c r="U22" s="16">
        <v>62</v>
      </c>
      <c r="V22" s="16">
        <v>52</v>
      </c>
      <c r="W22" s="16">
        <v>54</v>
      </c>
    </row>
    <row r="23" spans="1:23" x14ac:dyDescent="0.2">
      <c r="A23" s="15">
        <v>98106</v>
      </c>
      <c r="B23" s="15" t="s">
        <v>345</v>
      </c>
      <c r="C23" s="16"/>
      <c r="D23" s="16">
        <v>1</v>
      </c>
      <c r="E23" s="16"/>
      <c r="G23" s="73">
        <v>98367</v>
      </c>
      <c r="H23" s="96" t="s">
        <v>345</v>
      </c>
      <c r="I23" s="101"/>
      <c r="J23" s="101">
        <v>1</v>
      </c>
      <c r="K23" s="101"/>
      <c r="M23" s="15">
        <v>98007</v>
      </c>
      <c r="N23" s="15" t="s">
        <v>345</v>
      </c>
      <c r="O23" s="16">
        <v>6</v>
      </c>
      <c r="P23" s="16">
        <v>9</v>
      </c>
      <c r="Q23" s="16">
        <v>7</v>
      </c>
      <c r="S23" s="15">
        <v>98007</v>
      </c>
      <c r="T23" s="15" t="s">
        <v>345</v>
      </c>
      <c r="U23" s="16">
        <v>2</v>
      </c>
      <c r="V23" s="16">
        <v>4</v>
      </c>
      <c r="W23" s="16">
        <v>4</v>
      </c>
    </row>
    <row r="24" spans="1:23" x14ac:dyDescent="0.2">
      <c r="A24" s="15">
        <v>98106</v>
      </c>
      <c r="B24" s="15" t="s">
        <v>10</v>
      </c>
      <c r="C24" s="16"/>
      <c r="D24" s="16">
        <v>2</v>
      </c>
      <c r="E24" s="16"/>
      <c r="G24" s="73">
        <v>98367</v>
      </c>
      <c r="H24" s="96" t="s">
        <v>10</v>
      </c>
      <c r="I24" s="101"/>
      <c r="J24" s="101">
        <v>12</v>
      </c>
      <c r="K24" s="101">
        <v>4</v>
      </c>
      <c r="M24" s="15">
        <v>98007</v>
      </c>
      <c r="N24" s="15" t="s">
        <v>10</v>
      </c>
      <c r="O24" s="16">
        <v>140</v>
      </c>
      <c r="P24" s="16">
        <v>113</v>
      </c>
      <c r="Q24" s="16">
        <v>105</v>
      </c>
      <c r="S24" s="15">
        <v>98007</v>
      </c>
      <c r="T24" s="15" t="s">
        <v>10</v>
      </c>
      <c r="U24" s="16">
        <v>113</v>
      </c>
      <c r="V24" s="16">
        <v>88</v>
      </c>
      <c r="W24" s="16">
        <v>88</v>
      </c>
    </row>
    <row r="25" spans="1:23" x14ac:dyDescent="0.2">
      <c r="A25" s="15">
        <v>98108</v>
      </c>
      <c r="B25" s="15" t="s">
        <v>345</v>
      </c>
      <c r="C25" s="16"/>
      <c r="D25" s="16">
        <v>1</v>
      </c>
      <c r="E25" s="16"/>
      <c r="G25" s="73">
        <v>98370</v>
      </c>
      <c r="H25" s="96" t="s">
        <v>10</v>
      </c>
      <c r="I25" s="101"/>
      <c r="J25" s="101">
        <v>0</v>
      </c>
      <c r="K25" s="101">
        <v>16.5</v>
      </c>
      <c r="M25" s="15">
        <v>98008</v>
      </c>
      <c r="N25" s="15" t="s">
        <v>345</v>
      </c>
      <c r="O25" s="16">
        <v>5</v>
      </c>
      <c r="P25" s="16">
        <v>3</v>
      </c>
      <c r="Q25" s="16">
        <v>5</v>
      </c>
      <c r="S25" s="15">
        <v>98008</v>
      </c>
      <c r="T25" s="15" t="s">
        <v>345</v>
      </c>
      <c r="U25" s="16">
        <v>3</v>
      </c>
      <c r="V25" s="16">
        <v>2</v>
      </c>
      <c r="W25" s="16">
        <v>3</v>
      </c>
    </row>
    <row r="26" spans="1:23" x14ac:dyDescent="0.2">
      <c r="A26" s="15">
        <v>98117</v>
      </c>
      <c r="B26" s="15" t="s">
        <v>10</v>
      </c>
      <c r="C26" s="16">
        <v>4</v>
      </c>
      <c r="D26" s="16"/>
      <c r="E26" s="16"/>
      <c r="G26" s="73">
        <v>98371</v>
      </c>
      <c r="H26" s="96" t="s">
        <v>10</v>
      </c>
      <c r="I26" s="101"/>
      <c r="J26" s="101">
        <v>0</v>
      </c>
      <c r="K26" s="101"/>
      <c r="M26" s="15">
        <v>98008</v>
      </c>
      <c r="N26" s="15" t="s">
        <v>10</v>
      </c>
      <c r="O26" s="16">
        <v>48</v>
      </c>
      <c r="P26" s="16">
        <v>37</v>
      </c>
      <c r="Q26" s="16">
        <v>35</v>
      </c>
      <c r="S26" s="15">
        <v>98008</v>
      </c>
      <c r="T26" s="15" t="s">
        <v>10</v>
      </c>
      <c r="U26" s="16">
        <v>36</v>
      </c>
      <c r="V26" s="16">
        <v>27</v>
      </c>
      <c r="W26" s="16">
        <v>28</v>
      </c>
    </row>
    <row r="27" spans="1:23" x14ac:dyDescent="0.2">
      <c r="A27" s="15">
        <v>98118</v>
      </c>
      <c r="B27" s="15" t="s">
        <v>345</v>
      </c>
      <c r="C27" s="16"/>
      <c r="D27" s="16">
        <v>1</v>
      </c>
      <c r="E27" s="16"/>
      <c r="G27" s="73">
        <v>98372</v>
      </c>
      <c r="H27" s="96" t="s">
        <v>345</v>
      </c>
      <c r="I27" s="101"/>
      <c r="J27" s="101">
        <v>1</v>
      </c>
      <c r="K27" s="101"/>
      <c r="M27" s="15">
        <v>98010</v>
      </c>
      <c r="N27" s="15" t="s">
        <v>345</v>
      </c>
      <c r="O27" s="16"/>
      <c r="P27" s="16">
        <v>1</v>
      </c>
      <c r="Q27" s="16">
        <v>2</v>
      </c>
      <c r="S27" s="15">
        <v>98010</v>
      </c>
      <c r="T27" s="15" t="s">
        <v>345</v>
      </c>
      <c r="U27" s="16"/>
      <c r="V27" s="16"/>
      <c r="W27" s="16">
        <v>1</v>
      </c>
    </row>
    <row r="28" spans="1:23" x14ac:dyDescent="0.2">
      <c r="A28" s="15">
        <v>98118</v>
      </c>
      <c r="B28" s="15" t="s">
        <v>10</v>
      </c>
      <c r="C28" s="16">
        <v>1</v>
      </c>
      <c r="D28" s="16"/>
      <c r="E28" s="16"/>
      <c r="G28" s="73">
        <v>98373</v>
      </c>
      <c r="H28" s="96" t="s">
        <v>10</v>
      </c>
      <c r="I28" s="101">
        <v>3</v>
      </c>
      <c r="J28" s="101"/>
      <c r="K28" s="101"/>
      <c r="M28" s="15">
        <v>98010</v>
      </c>
      <c r="N28" s="15" t="s">
        <v>10</v>
      </c>
      <c r="O28" s="16">
        <v>37</v>
      </c>
      <c r="P28" s="16">
        <v>26</v>
      </c>
      <c r="Q28" s="16">
        <v>25</v>
      </c>
      <c r="S28" s="15">
        <v>98010</v>
      </c>
      <c r="T28" s="15" t="s">
        <v>10</v>
      </c>
      <c r="U28" s="16">
        <v>24</v>
      </c>
      <c r="V28" s="16">
        <v>15</v>
      </c>
      <c r="W28" s="16">
        <v>25</v>
      </c>
    </row>
    <row r="29" spans="1:23" x14ac:dyDescent="0.2">
      <c r="A29" s="15">
        <v>98126</v>
      </c>
      <c r="B29" s="15" t="s">
        <v>10</v>
      </c>
      <c r="C29" s="16">
        <v>1</v>
      </c>
      <c r="D29" s="16"/>
      <c r="E29" s="16"/>
      <c r="G29" s="73">
        <v>98375</v>
      </c>
      <c r="H29" s="96" t="s">
        <v>10</v>
      </c>
      <c r="I29" s="101"/>
      <c r="J29" s="101"/>
      <c r="K29" s="101">
        <v>1.5</v>
      </c>
      <c r="M29" s="15">
        <v>98011</v>
      </c>
      <c r="N29" s="15" t="s">
        <v>345</v>
      </c>
      <c r="O29" s="16">
        <v>8</v>
      </c>
      <c r="P29" s="16">
        <v>10</v>
      </c>
      <c r="Q29" s="16">
        <v>5</v>
      </c>
      <c r="S29" s="15">
        <v>98011</v>
      </c>
      <c r="T29" s="15" t="s">
        <v>345</v>
      </c>
      <c r="U29" s="16">
        <v>4</v>
      </c>
      <c r="V29" s="16">
        <v>5</v>
      </c>
      <c r="W29" s="16">
        <v>3</v>
      </c>
    </row>
    <row r="30" spans="1:23" x14ac:dyDescent="0.2">
      <c r="A30" s="15">
        <v>98146</v>
      </c>
      <c r="B30" s="15" t="s">
        <v>10</v>
      </c>
      <c r="C30" s="16">
        <v>1</v>
      </c>
      <c r="D30" s="16">
        <v>1</v>
      </c>
      <c r="E30" s="16">
        <v>1</v>
      </c>
      <c r="G30" s="73">
        <v>98387</v>
      </c>
      <c r="H30" s="96" t="s">
        <v>10</v>
      </c>
      <c r="I30" s="101">
        <v>1</v>
      </c>
      <c r="J30" s="101"/>
      <c r="K30" s="101">
        <v>3.5</v>
      </c>
      <c r="M30" s="15">
        <v>98011</v>
      </c>
      <c r="N30" s="15" t="s">
        <v>10</v>
      </c>
      <c r="O30" s="16">
        <v>107</v>
      </c>
      <c r="P30" s="16">
        <v>100</v>
      </c>
      <c r="Q30" s="16">
        <v>69</v>
      </c>
      <c r="S30" s="15">
        <v>98011</v>
      </c>
      <c r="T30" s="15" t="s">
        <v>10</v>
      </c>
      <c r="U30" s="16">
        <v>83</v>
      </c>
      <c r="V30" s="16">
        <v>86</v>
      </c>
      <c r="W30" s="16">
        <v>71</v>
      </c>
    </row>
    <row r="31" spans="1:23" x14ac:dyDescent="0.2">
      <c r="A31" s="15">
        <v>98166</v>
      </c>
      <c r="B31" s="15" t="s">
        <v>345</v>
      </c>
      <c r="C31" s="16">
        <v>1</v>
      </c>
      <c r="D31" s="16">
        <v>1</v>
      </c>
      <c r="E31" s="16"/>
      <c r="G31" s="73">
        <v>98388</v>
      </c>
      <c r="H31" s="96" t="s">
        <v>10</v>
      </c>
      <c r="I31" s="101"/>
      <c r="J31" s="101"/>
      <c r="K31" s="101">
        <v>1</v>
      </c>
      <c r="M31" s="15">
        <v>98012</v>
      </c>
      <c r="N31" s="15" t="s">
        <v>345</v>
      </c>
      <c r="O31" s="16">
        <v>2</v>
      </c>
      <c r="P31" s="16">
        <v>1</v>
      </c>
      <c r="Q31" s="16">
        <v>1</v>
      </c>
      <c r="S31" s="15">
        <v>98012</v>
      </c>
      <c r="T31" s="15" t="s">
        <v>345</v>
      </c>
      <c r="U31" s="16">
        <v>1</v>
      </c>
      <c r="V31" s="16"/>
      <c r="W31" s="16">
        <v>1</v>
      </c>
    </row>
    <row r="32" spans="1:23" x14ac:dyDescent="0.2">
      <c r="A32" s="15">
        <v>98166</v>
      </c>
      <c r="B32" s="15" t="s">
        <v>10</v>
      </c>
      <c r="C32" s="16">
        <v>1</v>
      </c>
      <c r="D32" s="16"/>
      <c r="E32" s="16"/>
      <c r="G32" s="73">
        <v>98404</v>
      </c>
      <c r="H32" s="96" t="s">
        <v>10</v>
      </c>
      <c r="I32" s="101"/>
      <c r="J32" s="101">
        <v>1</v>
      </c>
      <c r="K32" s="101"/>
      <c r="M32" s="15">
        <v>98012</v>
      </c>
      <c r="N32" s="15" t="s">
        <v>10</v>
      </c>
      <c r="O32" s="16">
        <v>44</v>
      </c>
      <c r="P32" s="16">
        <v>57</v>
      </c>
      <c r="Q32" s="16">
        <v>54</v>
      </c>
      <c r="S32" s="15">
        <v>98012</v>
      </c>
      <c r="T32" s="15" t="s">
        <v>10</v>
      </c>
      <c r="U32" s="16">
        <v>37</v>
      </c>
      <c r="V32" s="16">
        <v>44</v>
      </c>
      <c r="W32" s="16">
        <v>47</v>
      </c>
    </row>
    <row r="33" spans="1:23" x14ac:dyDescent="0.2">
      <c r="A33" s="15">
        <v>98168</v>
      </c>
      <c r="B33" s="15" t="s">
        <v>10</v>
      </c>
      <c r="C33" s="16"/>
      <c r="D33" s="16">
        <v>2</v>
      </c>
      <c r="E33" s="16">
        <v>1</v>
      </c>
      <c r="G33" s="73">
        <v>98405</v>
      </c>
      <c r="H33" s="96" t="s">
        <v>10</v>
      </c>
      <c r="I33" s="101"/>
      <c r="J33" s="101"/>
      <c r="K33" s="101">
        <v>6</v>
      </c>
      <c r="M33" s="15">
        <v>98014</v>
      </c>
      <c r="N33" s="15" t="s">
        <v>345</v>
      </c>
      <c r="O33" s="16">
        <v>4</v>
      </c>
      <c r="P33" s="16">
        <v>3</v>
      </c>
      <c r="Q33" s="16">
        <v>2</v>
      </c>
      <c r="S33" s="15">
        <v>98014</v>
      </c>
      <c r="T33" s="15" t="s">
        <v>345</v>
      </c>
      <c r="U33" s="16">
        <v>2</v>
      </c>
      <c r="V33" s="16">
        <v>2</v>
      </c>
      <c r="W33" s="16">
        <v>2</v>
      </c>
    </row>
    <row r="34" spans="1:23" x14ac:dyDescent="0.2">
      <c r="A34" s="15">
        <v>98178</v>
      </c>
      <c r="B34" s="15" t="s">
        <v>10</v>
      </c>
      <c r="C34" s="16"/>
      <c r="D34" s="16">
        <v>2</v>
      </c>
      <c r="E34" s="16"/>
      <c r="G34" s="73">
        <v>98406</v>
      </c>
      <c r="H34" s="96" t="s">
        <v>345</v>
      </c>
      <c r="I34" s="101"/>
      <c r="J34" s="101">
        <v>51</v>
      </c>
      <c r="K34" s="101"/>
      <c r="M34" s="15">
        <v>98014</v>
      </c>
      <c r="N34" s="15" t="s">
        <v>10</v>
      </c>
      <c r="O34" s="16">
        <v>21</v>
      </c>
      <c r="P34" s="16">
        <v>21</v>
      </c>
      <c r="Q34" s="16">
        <v>12</v>
      </c>
      <c r="S34" s="15">
        <v>98014</v>
      </c>
      <c r="T34" s="15" t="s">
        <v>10</v>
      </c>
      <c r="U34" s="16">
        <v>11</v>
      </c>
      <c r="V34" s="16">
        <v>14</v>
      </c>
      <c r="W34" s="16">
        <v>15</v>
      </c>
    </row>
    <row r="35" spans="1:23" x14ac:dyDescent="0.2">
      <c r="A35" s="15">
        <v>98225</v>
      </c>
      <c r="B35" s="15" t="s">
        <v>345</v>
      </c>
      <c r="C35" s="16"/>
      <c r="D35" s="16">
        <v>1</v>
      </c>
      <c r="E35" s="16"/>
      <c r="G35" s="73">
        <v>98499</v>
      </c>
      <c r="H35" s="96" t="s">
        <v>10</v>
      </c>
      <c r="I35" s="101"/>
      <c r="J35" s="101"/>
      <c r="K35" s="101">
        <v>7</v>
      </c>
      <c r="M35" s="15">
        <v>98019</v>
      </c>
      <c r="N35" s="15" t="s">
        <v>345</v>
      </c>
      <c r="O35" s="16">
        <v>2</v>
      </c>
      <c r="P35" s="16">
        <v>2</v>
      </c>
      <c r="Q35" s="16">
        <v>2</v>
      </c>
      <c r="S35" s="15">
        <v>98019</v>
      </c>
      <c r="T35" s="15" t="s">
        <v>345</v>
      </c>
      <c r="U35" s="16">
        <v>2</v>
      </c>
      <c r="V35" s="16">
        <v>1</v>
      </c>
      <c r="W35" s="16">
        <v>1</v>
      </c>
    </row>
    <row r="36" spans="1:23" x14ac:dyDescent="0.2">
      <c r="A36" s="15">
        <v>98225</v>
      </c>
      <c r="B36" s="15" t="s">
        <v>10</v>
      </c>
      <c r="C36" s="16">
        <v>2</v>
      </c>
      <c r="D36" s="16">
        <v>5</v>
      </c>
      <c r="E36" s="16"/>
      <c r="G36" s="73">
        <v>98501</v>
      </c>
      <c r="H36" s="96" t="s">
        <v>345</v>
      </c>
      <c r="I36" s="101"/>
      <c r="J36" s="101"/>
      <c r="K36" s="101">
        <v>1</v>
      </c>
      <c r="M36" s="15">
        <v>98019</v>
      </c>
      <c r="N36" s="15" t="s">
        <v>10</v>
      </c>
      <c r="O36" s="16">
        <v>41</v>
      </c>
      <c r="P36" s="16">
        <v>29</v>
      </c>
      <c r="Q36" s="16">
        <v>20</v>
      </c>
      <c r="S36" s="15">
        <v>98019</v>
      </c>
      <c r="T36" s="15" t="s">
        <v>10</v>
      </c>
      <c r="U36" s="16">
        <v>25</v>
      </c>
      <c r="V36" s="16">
        <v>28</v>
      </c>
      <c r="W36" s="16">
        <v>26</v>
      </c>
    </row>
    <row r="37" spans="1:23" x14ac:dyDescent="0.2">
      <c r="A37" s="15">
        <v>98226</v>
      </c>
      <c r="B37" s="15" t="s">
        <v>10</v>
      </c>
      <c r="C37" s="16"/>
      <c r="D37" s="16">
        <v>1</v>
      </c>
      <c r="E37" s="16"/>
      <c r="G37" s="73">
        <v>98502</v>
      </c>
      <c r="H37" s="96" t="s">
        <v>10</v>
      </c>
      <c r="I37" s="101"/>
      <c r="J37" s="101">
        <v>1</v>
      </c>
      <c r="K37" s="101"/>
      <c r="M37" s="15">
        <v>98020</v>
      </c>
      <c r="N37" s="15" t="s">
        <v>345</v>
      </c>
      <c r="O37" s="16">
        <v>2</v>
      </c>
      <c r="P37" s="16">
        <v>1</v>
      </c>
      <c r="Q37" s="16"/>
      <c r="S37" s="15">
        <v>98020</v>
      </c>
      <c r="T37" s="15" t="s">
        <v>345</v>
      </c>
      <c r="U37" s="16">
        <v>1</v>
      </c>
      <c r="V37" s="16">
        <v>1</v>
      </c>
      <c r="W37" s="16"/>
    </row>
    <row r="38" spans="1:23" ht="16" thickBot="1" x14ac:dyDescent="0.25">
      <c r="A38" s="15">
        <v>98229</v>
      </c>
      <c r="B38" s="15" t="s">
        <v>10</v>
      </c>
      <c r="C38" s="16"/>
      <c r="D38" s="16">
        <v>2</v>
      </c>
      <c r="E38" s="16"/>
      <c r="G38" s="106">
        <v>98513</v>
      </c>
      <c r="H38" s="104" t="s">
        <v>345</v>
      </c>
      <c r="I38" s="107">
        <v>8</v>
      </c>
      <c r="J38" s="107"/>
      <c r="K38" s="107"/>
      <c r="M38" s="15">
        <v>98020</v>
      </c>
      <c r="N38" s="15" t="s">
        <v>10</v>
      </c>
      <c r="O38" s="16">
        <v>11</v>
      </c>
      <c r="P38" s="16">
        <v>9</v>
      </c>
      <c r="Q38" s="16">
        <v>6</v>
      </c>
      <c r="S38" s="15">
        <v>98020</v>
      </c>
      <c r="T38" s="15" t="s">
        <v>10</v>
      </c>
      <c r="U38" s="16">
        <v>7</v>
      </c>
      <c r="V38" s="16">
        <v>5</v>
      </c>
      <c r="W38" s="16">
        <v>7</v>
      </c>
    </row>
    <row r="39" spans="1:23" x14ac:dyDescent="0.2">
      <c r="A39" s="15">
        <v>98294</v>
      </c>
      <c r="B39" s="15" t="s">
        <v>10</v>
      </c>
      <c r="C39" s="16"/>
      <c r="D39" s="16">
        <v>1</v>
      </c>
      <c r="E39" s="16"/>
      <c r="G39" s="108"/>
      <c r="H39" s="109"/>
      <c r="I39" s="110"/>
      <c r="J39" s="110"/>
      <c r="K39" s="110"/>
      <c r="M39" s="15">
        <v>98021</v>
      </c>
      <c r="N39" s="15" t="s">
        <v>345</v>
      </c>
      <c r="O39" s="16">
        <v>2</v>
      </c>
      <c r="P39" s="16">
        <v>2</v>
      </c>
      <c r="Q39" s="16">
        <v>5</v>
      </c>
      <c r="S39" s="15">
        <v>98021</v>
      </c>
      <c r="T39" s="15" t="s">
        <v>345</v>
      </c>
      <c r="U39" s="16">
        <v>2</v>
      </c>
      <c r="V39" s="16">
        <v>1</v>
      </c>
      <c r="W39" s="16">
        <v>2</v>
      </c>
    </row>
    <row r="40" spans="1:23" x14ac:dyDescent="0.2">
      <c r="A40" s="15">
        <v>98312</v>
      </c>
      <c r="B40" s="15" t="s">
        <v>345</v>
      </c>
      <c r="C40" s="16"/>
      <c r="D40" s="16">
        <v>1</v>
      </c>
      <c r="E40" s="16">
        <v>1</v>
      </c>
      <c r="G40" s="41"/>
      <c r="H40" s="38"/>
      <c r="I40" s="111"/>
      <c r="J40" s="111"/>
      <c r="K40" s="111"/>
      <c r="M40" s="15">
        <v>98021</v>
      </c>
      <c r="N40" s="15" t="s">
        <v>10</v>
      </c>
      <c r="O40" s="16">
        <v>32</v>
      </c>
      <c r="P40" s="16">
        <v>26</v>
      </c>
      <c r="Q40" s="16">
        <v>19</v>
      </c>
      <c r="S40" s="15">
        <v>98021</v>
      </c>
      <c r="T40" s="15" t="s">
        <v>10</v>
      </c>
      <c r="U40" s="16">
        <v>20</v>
      </c>
      <c r="V40" s="16">
        <v>19</v>
      </c>
      <c r="W40" s="16">
        <v>22</v>
      </c>
    </row>
    <row r="41" spans="1:23" x14ac:dyDescent="0.2">
      <c r="A41" s="15">
        <v>98312</v>
      </c>
      <c r="B41" s="15" t="s">
        <v>10</v>
      </c>
      <c r="C41" s="16">
        <v>1</v>
      </c>
      <c r="D41" s="16"/>
      <c r="E41" s="16">
        <v>1</v>
      </c>
      <c r="G41" s="41"/>
      <c r="H41" s="38"/>
      <c r="I41" s="111"/>
      <c r="J41" s="111"/>
      <c r="K41" s="111"/>
      <c r="M41" s="15">
        <v>98022</v>
      </c>
      <c r="N41" s="15" t="s">
        <v>345</v>
      </c>
      <c r="O41" s="16">
        <v>11</v>
      </c>
      <c r="P41" s="16">
        <v>12</v>
      </c>
      <c r="Q41" s="16">
        <v>11</v>
      </c>
      <c r="S41" s="15">
        <v>98022</v>
      </c>
      <c r="T41" s="15" t="s">
        <v>345</v>
      </c>
      <c r="U41" s="16">
        <v>6</v>
      </c>
      <c r="V41" s="16">
        <v>10</v>
      </c>
      <c r="W41" s="16">
        <v>7</v>
      </c>
    </row>
    <row r="42" spans="1:23" x14ac:dyDescent="0.2">
      <c r="A42" s="15">
        <v>98337</v>
      </c>
      <c r="B42" s="15" t="s">
        <v>10</v>
      </c>
      <c r="C42" s="16">
        <v>1</v>
      </c>
      <c r="D42" s="16"/>
      <c r="E42" s="16"/>
      <c r="M42" s="15">
        <v>98022</v>
      </c>
      <c r="N42" s="15" t="s">
        <v>10</v>
      </c>
      <c r="O42" s="16">
        <v>119</v>
      </c>
      <c r="P42" s="16">
        <v>63</v>
      </c>
      <c r="Q42" s="16">
        <v>78</v>
      </c>
      <c r="S42" s="15">
        <v>98022</v>
      </c>
      <c r="T42" s="15" t="s">
        <v>10</v>
      </c>
      <c r="U42" s="16">
        <v>79</v>
      </c>
      <c r="V42" s="16">
        <v>69</v>
      </c>
      <c r="W42" s="16">
        <v>64</v>
      </c>
    </row>
    <row r="43" spans="1:23" x14ac:dyDescent="0.2">
      <c r="A43" s="15">
        <v>98346</v>
      </c>
      <c r="B43" s="15" t="s">
        <v>10</v>
      </c>
      <c r="C43" s="16"/>
      <c r="D43" s="16">
        <v>1</v>
      </c>
      <c r="E43" s="16"/>
      <c r="M43" s="15">
        <v>98023</v>
      </c>
      <c r="N43" s="15" t="s">
        <v>345</v>
      </c>
      <c r="O43" s="16">
        <v>4</v>
      </c>
      <c r="P43" s="16">
        <v>7</v>
      </c>
      <c r="Q43" s="16">
        <v>3</v>
      </c>
      <c r="S43" s="15">
        <v>98023</v>
      </c>
      <c r="T43" s="15" t="s">
        <v>345</v>
      </c>
      <c r="U43" s="16">
        <v>1</v>
      </c>
      <c r="V43" s="16">
        <v>5</v>
      </c>
      <c r="W43" s="16">
        <v>5</v>
      </c>
    </row>
    <row r="44" spans="1:23" x14ac:dyDescent="0.2">
      <c r="A44" s="15">
        <v>98359</v>
      </c>
      <c r="B44" s="15" t="s">
        <v>10</v>
      </c>
      <c r="C44" s="16">
        <v>1</v>
      </c>
      <c r="D44" s="16"/>
      <c r="E44" s="16"/>
      <c r="M44" s="15">
        <v>98023</v>
      </c>
      <c r="N44" s="15" t="s">
        <v>10</v>
      </c>
      <c r="O44" s="16">
        <v>403</v>
      </c>
      <c r="P44" s="16">
        <v>449</v>
      </c>
      <c r="Q44" s="16">
        <v>319</v>
      </c>
      <c r="S44" s="15">
        <v>98023</v>
      </c>
      <c r="T44" s="15" t="s">
        <v>10</v>
      </c>
      <c r="U44" s="16">
        <v>340</v>
      </c>
      <c r="V44" s="16">
        <v>336</v>
      </c>
      <c r="W44" s="16">
        <v>259</v>
      </c>
    </row>
    <row r="45" spans="1:23" x14ac:dyDescent="0.2">
      <c r="A45" s="15">
        <v>98366</v>
      </c>
      <c r="B45" s="15" t="s">
        <v>10</v>
      </c>
      <c r="C45" s="16">
        <v>1</v>
      </c>
      <c r="D45" s="16"/>
      <c r="E45" s="16"/>
      <c r="M45" s="15">
        <v>98024</v>
      </c>
      <c r="N45" s="15" t="s">
        <v>345</v>
      </c>
      <c r="O45" s="16">
        <v>1</v>
      </c>
      <c r="P45" s="16"/>
      <c r="Q45" s="16">
        <v>1</v>
      </c>
      <c r="S45" s="15">
        <v>98024</v>
      </c>
      <c r="T45" s="15" t="s">
        <v>345</v>
      </c>
      <c r="U45" s="16">
        <v>1</v>
      </c>
      <c r="V45" s="16"/>
      <c r="W45" s="16">
        <v>1</v>
      </c>
    </row>
    <row r="46" spans="1:23" x14ac:dyDescent="0.2">
      <c r="A46" s="15">
        <v>98367</v>
      </c>
      <c r="B46" s="15" t="s">
        <v>345</v>
      </c>
      <c r="C46" s="16"/>
      <c r="D46" s="16">
        <v>1</v>
      </c>
      <c r="E46" s="16">
        <v>1</v>
      </c>
      <c r="M46" s="15">
        <v>98024</v>
      </c>
      <c r="N46" s="15" t="s">
        <v>10</v>
      </c>
      <c r="O46" s="16">
        <v>23</v>
      </c>
      <c r="P46" s="16">
        <v>15</v>
      </c>
      <c r="Q46" s="16">
        <v>12</v>
      </c>
      <c r="S46" s="15">
        <v>98024</v>
      </c>
      <c r="T46" s="15" t="s">
        <v>10</v>
      </c>
      <c r="U46" s="16">
        <v>14</v>
      </c>
      <c r="V46" s="16">
        <v>11</v>
      </c>
      <c r="W46" s="16">
        <v>13</v>
      </c>
    </row>
    <row r="47" spans="1:23" x14ac:dyDescent="0.2">
      <c r="A47" s="15">
        <v>98367</v>
      </c>
      <c r="B47" s="15" t="s">
        <v>10</v>
      </c>
      <c r="C47" s="16">
        <v>1</v>
      </c>
      <c r="D47" s="16">
        <v>1</v>
      </c>
      <c r="E47" s="16">
        <v>1</v>
      </c>
      <c r="M47" s="15">
        <v>98026</v>
      </c>
      <c r="N47" s="15" t="s">
        <v>10</v>
      </c>
      <c r="O47" s="16">
        <v>38</v>
      </c>
      <c r="P47" s="16">
        <v>30</v>
      </c>
      <c r="Q47" s="16">
        <v>20</v>
      </c>
      <c r="S47" s="15">
        <v>98026</v>
      </c>
      <c r="T47" s="15" t="s">
        <v>10</v>
      </c>
      <c r="U47" s="16">
        <v>24</v>
      </c>
      <c r="V47" s="16">
        <v>30</v>
      </c>
      <c r="W47" s="16">
        <v>19</v>
      </c>
    </row>
    <row r="48" spans="1:23" x14ac:dyDescent="0.2">
      <c r="A48" s="15">
        <v>98370</v>
      </c>
      <c r="B48" s="15" t="s">
        <v>10</v>
      </c>
      <c r="C48" s="16"/>
      <c r="D48" s="16">
        <v>1</v>
      </c>
      <c r="E48" s="16">
        <v>2</v>
      </c>
      <c r="M48" s="15">
        <v>98027</v>
      </c>
      <c r="N48" s="15" t="s">
        <v>345</v>
      </c>
      <c r="O48" s="16">
        <v>7</v>
      </c>
      <c r="P48" s="16">
        <v>9</v>
      </c>
      <c r="Q48" s="16">
        <v>4</v>
      </c>
      <c r="S48" s="15">
        <v>98027</v>
      </c>
      <c r="T48" s="15" t="s">
        <v>345</v>
      </c>
      <c r="U48" s="16">
        <v>6</v>
      </c>
      <c r="V48" s="16">
        <v>7</v>
      </c>
      <c r="W48" s="16">
        <v>2</v>
      </c>
    </row>
    <row r="49" spans="1:23" x14ac:dyDescent="0.2">
      <c r="A49" s="15">
        <v>98371</v>
      </c>
      <c r="B49" s="15" t="s">
        <v>345</v>
      </c>
      <c r="C49" s="16">
        <v>2</v>
      </c>
      <c r="D49" s="16"/>
      <c r="E49" s="16">
        <v>1</v>
      </c>
      <c r="M49" s="15">
        <v>98027</v>
      </c>
      <c r="N49" s="15" t="s">
        <v>10</v>
      </c>
      <c r="O49" s="16">
        <v>119</v>
      </c>
      <c r="P49" s="16">
        <v>96</v>
      </c>
      <c r="Q49" s="16">
        <v>70</v>
      </c>
      <c r="S49" s="15">
        <v>98027</v>
      </c>
      <c r="T49" s="15" t="s">
        <v>10</v>
      </c>
      <c r="U49" s="16">
        <v>79</v>
      </c>
      <c r="V49" s="16">
        <v>70</v>
      </c>
      <c r="W49" s="16">
        <v>66</v>
      </c>
    </row>
    <row r="50" spans="1:23" x14ac:dyDescent="0.2">
      <c r="A50" s="15">
        <v>98371</v>
      </c>
      <c r="B50" s="15" t="s">
        <v>10</v>
      </c>
      <c r="C50" s="16">
        <v>1</v>
      </c>
      <c r="D50" s="16">
        <v>1</v>
      </c>
      <c r="E50" s="16"/>
      <c r="M50" s="15">
        <v>98028</v>
      </c>
      <c r="N50" s="15" t="s">
        <v>345</v>
      </c>
      <c r="O50" s="16">
        <v>2</v>
      </c>
      <c r="P50" s="16">
        <v>1</v>
      </c>
      <c r="Q50" s="16">
        <v>3</v>
      </c>
      <c r="S50" s="15">
        <v>98028</v>
      </c>
      <c r="T50" s="15" t="s">
        <v>345</v>
      </c>
      <c r="U50" s="16">
        <v>1</v>
      </c>
      <c r="V50" s="16">
        <v>1</v>
      </c>
      <c r="W50" s="16">
        <v>1</v>
      </c>
    </row>
    <row r="51" spans="1:23" x14ac:dyDescent="0.2">
      <c r="A51" s="15">
        <v>98372</v>
      </c>
      <c r="B51" s="15" t="s">
        <v>345</v>
      </c>
      <c r="C51" s="16"/>
      <c r="D51" s="16">
        <v>2</v>
      </c>
      <c r="E51" s="16"/>
      <c r="M51" s="15">
        <v>98028</v>
      </c>
      <c r="N51" s="15" t="s">
        <v>10</v>
      </c>
      <c r="O51" s="16">
        <v>85</v>
      </c>
      <c r="P51" s="16">
        <v>72</v>
      </c>
      <c r="Q51" s="16">
        <v>54</v>
      </c>
      <c r="S51" s="15">
        <v>98028</v>
      </c>
      <c r="T51" s="15" t="s">
        <v>10</v>
      </c>
      <c r="U51" s="16">
        <v>65</v>
      </c>
      <c r="V51" s="16">
        <v>63</v>
      </c>
      <c r="W51" s="16">
        <v>46</v>
      </c>
    </row>
    <row r="52" spans="1:23" x14ac:dyDescent="0.2">
      <c r="A52" s="15">
        <v>98373</v>
      </c>
      <c r="B52" s="15" t="s">
        <v>10</v>
      </c>
      <c r="C52" s="16">
        <v>2</v>
      </c>
      <c r="D52" s="16"/>
      <c r="E52" s="16">
        <v>2</v>
      </c>
      <c r="M52" s="15">
        <v>98029</v>
      </c>
      <c r="N52" s="15" t="s">
        <v>345</v>
      </c>
      <c r="O52" s="16">
        <v>2</v>
      </c>
      <c r="P52" s="16">
        <v>2</v>
      </c>
      <c r="Q52" s="16">
        <v>4</v>
      </c>
      <c r="S52" s="15">
        <v>98029</v>
      </c>
      <c r="T52" s="15" t="s">
        <v>345</v>
      </c>
      <c r="U52" s="16">
        <v>2</v>
      </c>
      <c r="V52" s="16">
        <v>2</v>
      </c>
      <c r="W52" s="16">
        <v>3</v>
      </c>
    </row>
    <row r="53" spans="1:23" x14ac:dyDescent="0.2">
      <c r="A53" s="15">
        <v>98374</v>
      </c>
      <c r="B53" s="15" t="s">
        <v>345</v>
      </c>
      <c r="C53" s="16"/>
      <c r="D53" s="16"/>
      <c r="E53" s="16">
        <v>1</v>
      </c>
      <c r="M53" s="15">
        <v>98029</v>
      </c>
      <c r="N53" s="15" t="s">
        <v>10</v>
      </c>
      <c r="O53" s="16">
        <v>79</v>
      </c>
      <c r="P53" s="16">
        <v>74</v>
      </c>
      <c r="Q53" s="16">
        <v>56</v>
      </c>
      <c r="S53" s="15">
        <v>98029</v>
      </c>
      <c r="T53" s="15" t="s">
        <v>10</v>
      </c>
      <c r="U53" s="16">
        <v>68</v>
      </c>
      <c r="V53" s="16">
        <v>54</v>
      </c>
      <c r="W53" s="16">
        <v>48</v>
      </c>
    </row>
    <row r="54" spans="1:23" x14ac:dyDescent="0.2">
      <c r="A54" s="15">
        <v>98375</v>
      </c>
      <c r="B54" s="15" t="s">
        <v>345</v>
      </c>
      <c r="C54" s="16">
        <v>1</v>
      </c>
      <c r="D54" s="16"/>
      <c r="E54" s="16"/>
      <c r="M54" s="15">
        <v>98030</v>
      </c>
      <c r="N54" s="15" t="s">
        <v>345</v>
      </c>
      <c r="O54" s="16">
        <v>8</v>
      </c>
      <c r="P54" s="16">
        <v>30</v>
      </c>
      <c r="Q54" s="16">
        <v>9</v>
      </c>
      <c r="S54" s="15">
        <v>98030</v>
      </c>
      <c r="T54" s="15" t="s">
        <v>345</v>
      </c>
      <c r="U54" s="16">
        <v>6</v>
      </c>
      <c r="V54" s="16">
        <v>9</v>
      </c>
      <c r="W54" s="16">
        <v>23</v>
      </c>
    </row>
    <row r="55" spans="1:23" x14ac:dyDescent="0.2">
      <c r="A55" s="15">
        <v>98375</v>
      </c>
      <c r="B55" s="15" t="s">
        <v>10</v>
      </c>
      <c r="C55" s="16"/>
      <c r="D55" s="16"/>
      <c r="E55" s="16">
        <v>3</v>
      </c>
      <c r="M55" s="15">
        <v>98030</v>
      </c>
      <c r="N55" s="15" t="s">
        <v>10</v>
      </c>
      <c r="O55" s="16">
        <v>357</v>
      </c>
      <c r="P55" s="16">
        <v>274</v>
      </c>
      <c r="Q55" s="16">
        <v>238</v>
      </c>
      <c r="S55" s="15">
        <v>98030</v>
      </c>
      <c r="T55" s="15" t="s">
        <v>10</v>
      </c>
      <c r="U55" s="16">
        <v>264</v>
      </c>
      <c r="V55" s="16">
        <v>250</v>
      </c>
      <c r="W55" s="16">
        <v>220</v>
      </c>
    </row>
    <row r="56" spans="1:23" x14ac:dyDescent="0.2">
      <c r="A56" s="15">
        <v>98383</v>
      </c>
      <c r="B56" s="15" t="s">
        <v>10</v>
      </c>
      <c r="C56" s="16">
        <v>1</v>
      </c>
      <c r="D56" s="16">
        <v>1</v>
      </c>
      <c r="E56" s="16"/>
      <c r="M56" s="15">
        <v>98031</v>
      </c>
      <c r="N56" s="15" t="s">
        <v>345</v>
      </c>
      <c r="O56" s="16">
        <v>19</v>
      </c>
      <c r="P56" s="16">
        <v>11</v>
      </c>
      <c r="Q56" s="16">
        <v>11</v>
      </c>
      <c r="S56" s="15">
        <v>98031</v>
      </c>
      <c r="T56" s="15" t="s">
        <v>345</v>
      </c>
      <c r="U56" s="16">
        <v>7</v>
      </c>
      <c r="V56" s="16">
        <v>8</v>
      </c>
      <c r="W56" s="16">
        <v>7</v>
      </c>
    </row>
    <row r="57" spans="1:23" x14ac:dyDescent="0.2">
      <c r="A57" s="15">
        <v>98387</v>
      </c>
      <c r="B57" s="15" t="s">
        <v>10</v>
      </c>
      <c r="C57" s="16">
        <v>2</v>
      </c>
      <c r="D57" s="16"/>
      <c r="E57" s="16">
        <v>3</v>
      </c>
      <c r="M57" s="15">
        <v>98031</v>
      </c>
      <c r="N57" s="15" t="s">
        <v>10</v>
      </c>
      <c r="O57" s="16">
        <v>308</v>
      </c>
      <c r="P57" s="16">
        <v>254</v>
      </c>
      <c r="Q57" s="16">
        <v>172</v>
      </c>
      <c r="S57" s="15">
        <v>98031</v>
      </c>
      <c r="T57" s="15" t="s">
        <v>10</v>
      </c>
      <c r="U57" s="16">
        <v>221</v>
      </c>
      <c r="V57" s="16">
        <v>209</v>
      </c>
      <c r="W57" s="16">
        <v>171</v>
      </c>
    </row>
    <row r="58" spans="1:23" x14ac:dyDescent="0.2">
      <c r="A58" s="15">
        <v>98388</v>
      </c>
      <c r="B58" s="15" t="s">
        <v>10</v>
      </c>
      <c r="C58" s="16"/>
      <c r="D58" s="16"/>
      <c r="E58" s="16">
        <v>1</v>
      </c>
      <c r="M58" s="15">
        <v>98032</v>
      </c>
      <c r="N58" s="15" t="s">
        <v>345</v>
      </c>
      <c r="O58" s="16">
        <v>57</v>
      </c>
      <c r="P58" s="16">
        <v>45</v>
      </c>
      <c r="Q58" s="16">
        <v>33</v>
      </c>
      <c r="S58" s="15">
        <v>98032</v>
      </c>
      <c r="T58" s="15" t="s">
        <v>345</v>
      </c>
      <c r="U58" s="16">
        <v>32</v>
      </c>
      <c r="V58" s="16">
        <v>31</v>
      </c>
      <c r="W58" s="16">
        <v>29</v>
      </c>
    </row>
    <row r="59" spans="1:23" x14ac:dyDescent="0.2">
      <c r="A59" s="15">
        <v>98403</v>
      </c>
      <c r="B59" s="15" t="s">
        <v>345</v>
      </c>
      <c r="C59" s="16"/>
      <c r="D59" s="16"/>
      <c r="E59" s="16">
        <v>1</v>
      </c>
      <c r="M59" s="15">
        <v>98032</v>
      </c>
      <c r="N59" s="15" t="s">
        <v>10</v>
      </c>
      <c r="O59" s="16">
        <v>442</v>
      </c>
      <c r="P59" s="16">
        <v>400</v>
      </c>
      <c r="Q59" s="16">
        <v>337</v>
      </c>
      <c r="S59" s="15">
        <v>98032</v>
      </c>
      <c r="T59" s="15" t="s">
        <v>10</v>
      </c>
      <c r="U59" s="16">
        <v>361</v>
      </c>
      <c r="V59" s="16">
        <v>322</v>
      </c>
      <c r="W59" s="16">
        <v>301</v>
      </c>
    </row>
    <row r="60" spans="1:23" x14ac:dyDescent="0.2">
      <c r="A60" s="15">
        <v>98403</v>
      </c>
      <c r="B60" s="15" t="s">
        <v>10</v>
      </c>
      <c r="C60" s="16"/>
      <c r="D60" s="16">
        <v>1</v>
      </c>
      <c r="E60" s="16"/>
      <c r="M60" s="15">
        <v>98033</v>
      </c>
      <c r="N60" s="15" t="s">
        <v>345</v>
      </c>
      <c r="O60" s="16">
        <v>18</v>
      </c>
      <c r="P60" s="16">
        <v>15</v>
      </c>
      <c r="Q60" s="16">
        <v>13</v>
      </c>
      <c r="S60" s="15">
        <v>98033</v>
      </c>
      <c r="T60" s="15" t="s">
        <v>345</v>
      </c>
      <c r="U60" s="16">
        <v>8</v>
      </c>
      <c r="V60" s="16">
        <v>11</v>
      </c>
      <c r="W60" s="16">
        <v>11</v>
      </c>
    </row>
    <row r="61" spans="1:23" x14ac:dyDescent="0.2">
      <c r="A61" s="15">
        <v>98404</v>
      </c>
      <c r="B61" s="15" t="s">
        <v>10</v>
      </c>
      <c r="C61" s="16"/>
      <c r="D61" s="16">
        <v>1</v>
      </c>
      <c r="E61" s="16"/>
      <c r="M61" s="15">
        <v>98033</v>
      </c>
      <c r="N61" s="15" t="s">
        <v>10</v>
      </c>
      <c r="O61" s="16">
        <v>92</v>
      </c>
      <c r="P61" s="16">
        <v>101</v>
      </c>
      <c r="Q61" s="16">
        <v>67</v>
      </c>
      <c r="S61" s="15">
        <v>98033</v>
      </c>
      <c r="T61" s="15" t="s">
        <v>10</v>
      </c>
      <c r="U61" s="16">
        <v>62</v>
      </c>
      <c r="V61" s="16">
        <v>78</v>
      </c>
      <c r="W61" s="16">
        <v>60</v>
      </c>
    </row>
    <row r="62" spans="1:23" x14ac:dyDescent="0.2">
      <c r="A62" s="15">
        <v>98405</v>
      </c>
      <c r="B62" s="15" t="s">
        <v>10</v>
      </c>
      <c r="C62" s="16">
        <v>1</v>
      </c>
      <c r="D62" s="16"/>
      <c r="E62" s="16">
        <v>1</v>
      </c>
      <c r="M62" s="15">
        <v>98034</v>
      </c>
      <c r="N62" s="15" t="s">
        <v>345</v>
      </c>
      <c r="O62" s="16">
        <v>23</v>
      </c>
      <c r="P62" s="16">
        <v>21</v>
      </c>
      <c r="Q62" s="16">
        <v>19</v>
      </c>
      <c r="S62" s="15">
        <v>98034</v>
      </c>
      <c r="T62" s="15" t="s">
        <v>345</v>
      </c>
      <c r="U62" s="16">
        <v>13</v>
      </c>
      <c r="V62" s="16">
        <v>16</v>
      </c>
      <c r="W62" s="16">
        <v>9</v>
      </c>
    </row>
    <row r="63" spans="1:23" x14ac:dyDescent="0.2">
      <c r="A63" s="15">
        <v>98406</v>
      </c>
      <c r="B63" s="15" t="s">
        <v>345</v>
      </c>
      <c r="C63" s="16"/>
      <c r="D63" s="16">
        <v>1</v>
      </c>
      <c r="E63" s="16"/>
      <c r="M63" s="15">
        <v>98034</v>
      </c>
      <c r="N63" s="15" t="s">
        <v>10</v>
      </c>
      <c r="O63" s="16">
        <v>207</v>
      </c>
      <c r="P63" s="16">
        <v>195</v>
      </c>
      <c r="Q63" s="16">
        <v>169</v>
      </c>
      <c r="S63" s="15">
        <v>98034</v>
      </c>
      <c r="T63" s="15" t="s">
        <v>10</v>
      </c>
      <c r="U63" s="16">
        <v>159</v>
      </c>
      <c r="V63" s="16">
        <v>165</v>
      </c>
      <c r="W63" s="16">
        <v>153</v>
      </c>
    </row>
    <row r="64" spans="1:23" x14ac:dyDescent="0.2">
      <c r="A64" s="15">
        <v>98406</v>
      </c>
      <c r="B64" s="15" t="s">
        <v>10</v>
      </c>
      <c r="C64" s="16"/>
      <c r="D64" s="16">
        <v>1</v>
      </c>
      <c r="E64" s="16">
        <v>1</v>
      </c>
      <c r="M64" s="15">
        <v>98036</v>
      </c>
      <c r="N64" s="15" t="s">
        <v>345</v>
      </c>
      <c r="O64" s="16">
        <v>8</v>
      </c>
      <c r="P64" s="16">
        <v>10</v>
      </c>
      <c r="Q64" s="16">
        <v>5</v>
      </c>
      <c r="S64" s="15">
        <v>98036</v>
      </c>
      <c r="T64" s="15" t="s">
        <v>345</v>
      </c>
      <c r="U64" s="16">
        <v>5</v>
      </c>
      <c r="V64" s="16">
        <v>5</v>
      </c>
      <c r="W64" s="16">
        <v>5</v>
      </c>
    </row>
    <row r="65" spans="1:23" x14ac:dyDescent="0.2">
      <c r="A65" s="15">
        <v>98408</v>
      </c>
      <c r="B65" s="15" t="s">
        <v>10</v>
      </c>
      <c r="C65" s="16"/>
      <c r="D65" s="16"/>
      <c r="E65" s="16">
        <v>1</v>
      </c>
      <c r="M65" s="15">
        <v>98036</v>
      </c>
      <c r="N65" s="15" t="s">
        <v>10</v>
      </c>
      <c r="O65" s="16">
        <v>38</v>
      </c>
      <c r="P65" s="16">
        <v>31</v>
      </c>
      <c r="Q65" s="16">
        <v>27</v>
      </c>
      <c r="S65" s="15">
        <v>98036</v>
      </c>
      <c r="T65" s="15" t="s">
        <v>10</v>
      </c>
      <c r="U65" s="16">
        <v>29</v>
      </c>
      <c r="V65" s="16">
        <v>22</v>
      </c>
      <c r="W65" s="16">
        <v>26</v>
      </c>
    </row>
    <row r="66" spans="1:23" x14ac:dyDescent="0.2">
      <c r="A66" s="15">
        <v>98409</v>
      </c>
      <c r="B66" s="15" t="s">
        <v>10</v>
      </c>
      <c r="C66" s="16">
        <v>1</v>
      </c>
      <c r="D66" s="16">
        <v>1</v>
      </c>
      <c r="E66" s="16">
        <v>1</v>
      </c>
      <c r="M66" s="15">
        <v>98037</v>
      </c>
      <c r="N66" s="15" t="s">
        <v>345</v>
      </c>
      <c r="O66" s="16">
        <v>5</v>
      </c>
      <c r="P66" s="16"/>
      <c r="Q66" s="16"/>
      <c r="S66" s="15">
        <v>98037</v>
      </c>
      <c r="T66" s="15" t="s">
        <v>345</v>
      </c>
      <c r="U66" s="16">
        <v>2</v>
      </c>
      <c r="V66" s="16">
        <v>1</v>
      </c>
      <c r="W66" s="16"/>
    </row>
    <row r="67" spans="1:23" x14ac:dyDescent="0.2">
      <c r="A67" s="15">
        <v>98418</v>
      </c>
      <c r="B67" s="15" t="s">
        <v>345</v>
      </c>
      <c r="C67" s="16"/>
      <c r="D67" s="16">
        <v>1</v>
      </c>
      <c r="E67" s="16"/>
      <c r="M67" s="15">
        <v>98037</v>
      </c>
      <c r="N67" s="15" t="s">
        <v>10</v>
      </c>
      <c r="O67" s="16">
        <v>38</v>
      </c>
      <c r="P67" s="16">
        <v>30</v>
      </c>
      <c r="Q67" s="16">
        <v>15</v>
      </c>
      <c r="S67" s="15">
        <v>98037</v>
      </c>
      <c r="T67" s="15" t="s">
        <v>10</v>
      </c>
      <c r="U67" s="16">
        <v>26</v>
      </c>
      <c r="V67" s="16">
        <v>14</v>
      </c>
      <c r="W67" s="16">
        <v>19</v>
      </c>
    </row>
    <row r="68" spans="1:23" x14ac:dyDescent="0.2">
      <c r="A68" s="15">
        <v>98424</v>
      </c>
      <c r="B68" s="15" t="s">
        <v>345</v>
      </c>
      <c r="C68" s="16"/>
      <c r="D68" s="16"/>
      <c r="E68" s="16">
        <v>1</v>
      </c>
      <c r="M68" s="15">
        <v>98038</v>
      </c>
      <c r="N68" s="15" t="s">
        <v>345</v>
      </c>
      <c r="O68" s="16">
        <v>10</v>
      </c>
      <c r="P68" s="16">
        <v>5</v>
      </c>
      <c r="Q68" s="16">
        <v>5</v>
      </c>
      <c r="S68" s="15">
        <v>98038</v>
      </c>
      <c r="T68" s="15" t="s">
        <v>345</v>
      </c>
      <c r="U68" s="16">
        <v>8</v>
      </c>
      <c r="V68" s="16">
        <v>4</v>
      </c>
      <c r="W68" s="16">
        <v>5</v>
      </c>
    </row>
    <row r="69" spans="1:23" x14ac:dyDescent="0.2">
      <c r="A69" s="15">
        <v>98444</v>
      </c>
      <c r="B69" s="15" t="s">
        <v>10</v>
      </c>
      <c r="C69" s="16"/>
      <c r="D69" s="16"/>
      <c r="E69" s="16">
        <v>1</v>
      </c>
      <c r="M69" s="15">
        <v>98038</v>
      </c>
      <c r="N69" s="15" t="s">
        <v>10</v>
      </c>
      <c r="O69" s="16">
        <v>132</v>
      </c>
      <c r="P69" s="16">
        <v>116</v>
      </c>
      <c r="Q69" s="16">
        <v>80</v>
      </c>
      <c r="S69" s="15">
        <v>98038</v>
      </c>
      <c r="T69" s="15" t="s">
        <v>10</v>
      </c>
      <c r="U69" s="16">
        <v>87</v>
      </c>
      <c r="V69" s="16">
        <v>89</v>
      </c>
      <c r="W69" s="16">
        <v>73</v>
      </c>
    </row>
    <row r="70" spans="1:23" x14ac:dyDescent="0.2">
      <c r="A70" s="15">
        <v>98466</v>
      </c>
      <c r="B70" s="15" t="s">
        <v>10</v>
      </c>
      <c r="C70" s="16"/>
      <c r="D70" s="16"/>
      <c r="E70" s="16">
        <v>2</v>
      </c>
      <c r="M70" s="15">
        <v>98039</v>
      </c>
      <c r="N70" s="15" t="s">
        <v>10</v>
      </c>
      <c r="O70" s="16">
        <v>5</v>
      </c>
      <c r="P70" s="16">
        <v>5</v>
      </c>
      <c r="Q70" s="16">
        <v>1</v>
      </c>
      <c r="S70" s="15">
        <v>98039</v>
      </c>
      <c r="T70" s="15" t="s">
        <v>10</v>
      </c>
      <c r="U70" s="16">
        <v>4</v>
      </c>
      <c r="V70" s="16">
        <v>3</v>
      </c>
      <c r="W70" s="16">
        <v>2</v>
      </c>
    </row>
    <row r="71" spans="1:23" x14ac:dyDescent="0.2">
      <c r="A71" s="15">
        <v>98467</v>
      </c>
      <c r="B71" s="15" t="s">
        <v>10</v>
      </c>
      <c r="C71" s="16"/>
      <c r="D71" s="16"/>
      <c r="E71" s="16">
        <v>1</v>
      </c>
      <c r="M71" s="15">
        <v>98040</v>
      </c>
      <c r="N71" s="15" t="s">
        <v>345</v>
      </c>
      <c r="O71" s="16">
        <v>4</v>
      </c>
      <c r="P71" s="16">
        <v>2</v>
      </c>
      <c r="Q71" s="16">
        <v>1</v>
      </c>
      <c r="S71" s="15">
        <v>98040</v>
      </c>
      <c r="T71" s="15" t="s">
        <v>345</v>
      </c>
      <c r="U71" s="16">
        <v>3</v>
      </c>
      <c r="V71" s="16">
        <v>1</v>
      </c>
      <c r="W71" s="16">
        <v>1</v>
      </c>
    </row>
    <row r="72" spans="1:23" x14ac:dyDescent="0.2">
      <c r="A72" s="15">
        <v>98499</v>
      </c>
      <c r="B72" s="15" t="s">
        <v>345</v>
      </c>
      <c r="C72" s="16"/>
      <c r="D72" s="16"/>
      <c r="E72" s="16">
        <v>2</v>
      </c>
      <c r="M72" s="15">
        <v>98040</v>
      </c>
      <c r="N72" s="15" t="s">
        <v>10</v>
      </c>
      <c r="O72" s="16">
        <v>42</v>
      </c>
      <c r="P72" s="16">
        <v>25</v>
      </c>
      <c r="Q72" s="16">
        <v>25</v>
      </c>
      <c r="S72" s="15">
        <v>98040</v>
      </c>
      <c r="T72" s="15" t="s">
        <v>10</v>
      </c>
      <c r="U72" s="16">
        <v>20</v>
      </c>
      <c r="V72" s="16">
        <v>24</v>
      </c>
      <c r="W72" s="16">
        <v>27</v>
      </c>
    </row>
    <row r="73" spans="1:23" x14ac:dyDescent="0.2">
      <c r="A73" s="15">
        <v>98499</v>
      </c>
      <c r="B73" s="15" t="s">
        <v>10</v>
      </c>
      <c r="C73" s="16">
        <v>1</v>
      </c>
      <c r="D73" s="16"/>
      <c r="E73" s="16">
        <v>3</v>
      </c>
      <c r="M73" s="15">
        <v>98042</v>
      </c>
      <c r="N73" s="15" t="s">
        <v>345</v>
      </c>
      <c r="O73" s="16">
        <v>10</v>
      </c>
      <c r="P73" s="16">
        <v>10</v>
      </c>
      <c r="Q73" s="16">
        <v>6</v>
      </c>
      <c r="S73" s="15">
        <v>98042</v>
      </c>
      <c r="T73" s="15" t="s">
        <v>345</v>
      </c>
      <c r="U73" s="16">
        <v>4</v>
      </c>
      <c r="V73" s="16">
        <v>8</v>
      </c>
      <c r="W73" s="16">
        <v>6</v>
      </c>
    </row>
    <row r="74" spans="1:23" x14ac:dyDescent="0.2">
      <c r="A74" s="15">
        <v>98501</v>
      </c>
      <c r="B74" s="15" t="s">
        <v>345</v>
      </c>
      <c r="C74" s="16"/>
      <c r="D74" s="16"/>
      <c r="E74" s="16">
        <v>1</v>
      </c>
      <c r="M74" s="15">
        <v>98042</v>
      </c>
      <c r="N74" s="15" t="s">
        <v>10</v>
      </c>
      <c r="O74" s="16">
        <v>280</v>
      </c>
      <c r="P74" s="16">
        <v>242</v>
      </c>
      <c r="Q74" s="16">
        <v>178</v>
      </c>
      <c r="S74" s="15">
        <v>98042</v>
      </c>
      <c r="T74" s="15" t="s">
        <v>10</v>
      </c>
      <c r="U74" s="16">
        <v>189</v>
      </c>
      <c r="V74" s="16">
        <v>186</v>
      </c>
      <c r="W74" s="16">
        <v>136</v>
      </c>
    </row>
    <row r="75" spans="1:23" x14ac:dyDescent="0.2">
      <c r="A75" s="15">
        <v>98501</v>
      </c>
      <c r="B75" s="15" t="s">
        <v>10</v>
      </c>
      <c r="C75" s="16"/>
      <c r="D75" s="16"/>
      <c r="E75" s="16">
        <v>1</v>
      </c>
      <c r="M75" s="15">
        <v>98043</v>
      </c>
      <c r="N75" s="15" t="s">
        <v>345</v>
      </c>
      <c r="O75" s="16">
        <v>2</v>
      </c>
      <c r="P75" s="16"/>
      <c r="Q75" s="16">
        <v>1</v>
      </c>
      <c r="S75" s="15">
        <v>98043</v>
      </c>
      <c r="T75" s="15" t="s">
        <v>10</v>
      </c>
      <c r="U75" s="16">
        <v>17</v>
      </c>
      <c r="V75" s="16">
        <v>17</v>
      </c>
      <c r="W75" s="16">
        <v>17</v>
      </c>
    </row>
    <row r="76" spans="1:23" x14ac:dyDescent="0.2">
      <c r="A76" s="15">
        <v>98502</v>
      </c>
      <c r="B76" s="15" t="s">
        <v>345</v>
      </c>
      <c r="C76" s="16"/>
      <c r="D76" s="16"/>
      <c r="E76" s="16">
        <v>1</v>
      </c>
      <c r="M76" s="15">
        <v>98043</v>
      </c>
      <c r="N76" s="15" t="s">
        <v>10</v>
      </c>
      <c r="O76" s="16">
        <v>27</v>
      </c>
      <c r="P76" s="16">
        <v>26</v>
      </c>
      <c r="Q76" s="16">
        <v>13</v>
      </c>
      <c r="S76" s="15">
        <v>98045</v>
      </c>
      <c r="T76" s="15" t="s">
        <v>345</v>
      </c>
      <c r="U76" s="16">
        <v>1</v>
      </c>
      <c r="V76" s="16">
        <v>2</v>
      </c>
      <c r="W76" s="16">
        <v>2</v>
      </c>
    </row>
    <row r="77" spans="1:23" x14ac:dyDescent="0.2">
      <c r="A77" s="15">
        <v>98502</v>
      </c>
      <c r="B77" s="15" t="s">
        <v>10</v>
      </c>
      <c r="C77" s="16"/>
      <c r="D77" s="16">
        <v>1</v>
      </c>
      <c r="E77" s="16"/>
      <c r="M77" s="15">
        <v>98045</v>
      </c>
      <c r="N77" s="15" t="s">
        <v>345</v>
      </c>
      <c r="O77" s="16">
        <v>2</v>
      </c>
      <c r="P77" s="16">
        <v>3</v>
      </c>
      <c r="Q77" s="16">
        <v>1</v>
      </c>
      <c r="S77" s="15">
        <v>98045</v>
      </c>
      <c r="T77" s="15" t="s">
        <v>10</v>
      </c>
      <c r="U77" s="16">
        <v>29</v>
      </c>
      <c r="V77" s="16">
        <v>34</v>
      </c>
      <c r="W77" s="16">
        <v>28</v>
      </c>
    </row>
    <row r="78" spans="1:23" x14ac:dyDescent="0.2">
      <c r="A78" s="15">
        <v>98513</v>
      </c>
      <c r="B78" s="15" t="s">
        <v>345</v>
      </c>
      <c r="C78" s="16">
        <v>1</v>
      </c>
      <c r="D78" s="16"/>
      <c r="E78" s="16"/>
      <c r="M78" s="15">
        <v>98045</v>
      </c>
      <c r="N78" s="15" t="s">
        <v>10</v>
      </c>
      <c r="O78" s="16">
        <v>60</v>
      </c>
      <c r="P78" s="16">
        <v>44</v>
      </c>
      <c r="Q78" s="16">
        <v>24</v>
      </c>
      <c r="S78" s="15">
        <v>98047</v>
      </c>
      <c r="T78" s="15" t="s">
        <v>345</v>
      </c>
      <c r="U78" s="16">
        <v>5</v>
      </c>
      <c r="V78" s="16">
        <v>2</v>
      </c>
      <c r="W78" s="16">
        <v>1</v>
      </c>
    </row>
    <row r="79" spans="1:23" x14ac:dyDescent="0.2">
      <c r="A79" s="15">
        <v>98516</v>
      </c>
      <c r="B79" s="15" t="s">
        <v>345</v>
      </c>
      <c r="C79" s="16">
        <v>1</v>
      </c>
      <c r="D79" s="16"/>
      <c r="E79" s="16"/>
      <c r="M79" s="15">
        <v>98047</v>
      </c>
      <c r="N79" s="15" t="s">
        <v>345</v>
      </c>
      <c r="O79" s="16">
        <v>7</v>
      </c>
      <c r="P79" s="16">
        <v>4</v>
      </c>
      <c r="Q79" s="16">
        <v>7</v>
      </c>
      <c r="S79" s="15">
        <v>98047</v>
      </c>
      <c r="T79" s="15" t="s">
        <v>10</v>
      </c>
      <c r="U79" s="16">
        <v>27</v>
      </c>
      <c r="V79" s="16">
        <v>64</v>
      </c>
      <c r="W79" s="16">
        <v>45</v>
      </c>
    </row>
    <row r="80" spans="1:23" x14ac:dyDescent="0.2">
      <c r="A80" s="15">
        <v>98531</v>
      </c>
      <c r="B80" s="15" t="s">
        <v>345</v>
      </c>
      <c r="C80" s="16">
        <v>1</v>
      </c>
      <c r="D80" s="16"/>
      <c r="E80" s="16"/>
      <c r="M80" s="15">
        <v>98047</v>
      </c>
      <c r="N80" s="15" t="s">
        <v>10</v>
      </c>
      <c r="O80" s="16">
        <v>70</v>
      </c>
      <c r="P80" s="16">
        <v>59</v>
      </c>
      <c r="Q80" s="16">
        <v>60</v>
      </c>
      <c r="S80" s="15">
        <v>98050</v>
      </c>
      <c r="T80" s="15" t="s">
        <v>10</v>
      </c>
      <c r="U80" s="16"/>
      <c r="V80" s="16">
        <v>2</v>
      </c>
      <c r="W80" s="16">
        <v>1</v>
      </c>
    </row>
    <row r="81" spans="1:23" x14ac:dyDescent="0.2">
      <c r="A81" s="15">
        <v>98531</v>
      </c>
      <c r="B81" s="15" t="s">
        <v>10</v>
      </c>
      <c r="C81" s="16">
        <v>3</v>
      </c>
      <c r="D81" s="16"/>
      <c r="E81" s="16"/>
      <c r="M81" s="15">
        <v>98050</v>
      </c>
      <c r="N81" s="15" t="s">
        <v>10</v>
      </c>
      <c r="O81" s="16">
        <v>2</v>
      </c>
      <c r="P81" s="16">
        <v>1</v>
      </c>
      <c r="Q81" s="16">
        <v>2</v>
      </c>
      <c r="S81" s="15">
        <v>98051</v>
      </c>
      <c r="T81" s="15" t="s">
        <v>10</v>
      </c>
      <c r="U81" s="16">
        <v>14</v>
      </c>
      <c r="V81" s="16">
        <v>10</v>
      </c>
      <c r="W81" s="16">
        <v>11</v>
      </c>
    </row>
    <row r="82" spans="1:23" ht="16" thickBot="1" x14ac:dyDescent="0.25">
      <c r="A82" s="17">
        <v>98579</v>
      </c>
      <c r="B82" s="17" t="s">
        <v>10</v>
      </c>
      <c r="C82" s="105"/>
      <c r="D82" s="105"/>
      <c r="E82" s="105">
        <v>1</v>
      </c>
      <c r="M82" s="15">
        <v>98051</v>
      </c>
      <c r="N82" s="15" t="s">
        <v>10</v>
      </c>
      <c r="O82" s="16">
        <v>25</v>
      </c>
      <c r="P82" s="16">
        <v>17</v>
      </c>
      <c r="Q82" s="16">
        <v>16</v>
      </c>
      <c r="S82" s="15">
        <v>98052</v>
      </c>
      <c r="T82" s="15" t="s">
        <v>345</v>
      </c>
      <c r="U82" s="16">
        <v>19</v>
      </c>
      <c r="V82" s="16">
        <v>24</v>
      </c>
      <c r="W82" s="16">
        <v>18</v>
      </c>
    </row>
    <row r="83" spans="1:23" ht="16" thickBot="1" x14ac:dyDescent="0.25">
      <c r="A83" s="184"/>
      <c r="B83" s="185"/>
      <c r="C83" s="185">
        <f>SUMIF($B$11:B$82,$B$12,C11:C82)</f>
        <v>29</v>
      </c>
      <c r="D83" s="185">
        <f ca="1">SUMIF($B$11:C$82,$B$12,D11:D82)</f>
        <v>28</v>
      </c>
      <c r="E83" s="185">
        <f ca="1">SUMIF($B$11:D$82,$B$12,E11:E82)</f>
        <v>32</v>
      </c>
      <c r="M83" s="15">
        <v>98052</v>
      </c>
      <c r="N83" s="15" t="s">
        <v>345</v>
      </c>
      <c r="O83" s="16">
        <v>45</v>
      </c>
      <c r="P83" s="16">
        <v>39</v>
      </c>
      <c r="Q83" s="16">
        <v>35</v>
      </c>
      <c r="S83" s="15">
        <v>98052</v>
      </c>
      <c r="T83" s="15" t="s">
        <v>10</v>
      </c>
      <c r="U83" s="16">
        <v>141</v>
      </c>
      <c r="V83" s="16">
        <v>137</v>
      </c>
      <c r="W83" s="16">
        <v>134</v>
      </c>
    </row>
    <row r="84" spans="1:23" x14ac:dyDescent="0.2">
      <c r="M84" s="15">
        <v>98052</v>
      </c>
      <c r="N84" s="15" t="s">
        <v>10</v>
      </c>
      <c r="O84" s="16">
        <v>170</v>
      </c>
      <c r="P84" s="16">
        <v>195</v>
      </c>
      <c r="Q84" s="16">
        <v>147</v>
      </c>
      <c r="S84" s="15">
        <v>98053</v>
      </c>
      <c r="T84" s="15" t="s">
        <v>345</v>
      </c>
      <c r="U84" s="16">
        <v>1</v>
      </c>
      <c r="V84" s="16">
        <v>3</v>
      </c>
      <c r="W84" s="16"/>
    </row>
    <row r="85" spans="1:23" x14ac:dyDescent="0.2">
      <c r="M85" s="15">
        <v>98053</v>
      </c>
      <c r="N85" s="15" t="s">
        <v>345</v>
      </c>
      <c r="O85" s="16">
        <v>5</v>
      </c>
      <c r="P85" s="16">
        <v>2</v>
      </c>
      <c r="Q85" s="16">
        <v>3</v>
      </c>
      <c r="S85" s="15">
        <v>98053</v>
      </c>
      <c r="T85" s="15" t="s">
        <v>10</v>
      </c>
      <c r="U85" s="16">
        <v>13</v>
      </c>
      <c r="V85" s="16">
        <v>25</v>
      </c>
      <c r="W85" s="16">
        <v>26</v>
      </c>
    </row>
    <row r="86" spans="1:23" x14ac:dyDescent="0.2">
      <c r="M86" s="15">
        <v>98053</v>
      </c>
      <c r="N86" s="15" t="s">
        <v>10</v>
      </c>
      <c r="O86" s="16">
        <v>29</v>
      </c>
      <c r="P86" s="16">
        <v>31</v>
      </c>
      <c r="Q86" s="16">
        <v>15</v>
      </c>
      <c r="S86" s="15">
        <v>98055</v>
      </c>
      <c r="T86" s="15" t="s">
        <v>345</v>
      </c>
      <c r="U86" s="16">
        <v>3</v>
      </c>
      <c r="V86" s="16">
        <v>1</v>
      </c>
      <c r="W86" s="16">
        <v>4</v>
      </c>
    </row>
    <row r="87" spans="1:23" x14ac:dyDescent="0.2">
      <c r="M87" s="15">
        <v>98055</v>
      </c>
      <c r="N87" s="15" t="s">
        <v>345</v>
      </c>
      <c r="O87" s="16">
        <v>2</v>
      </c>
      <c r="P87" s="16">
        <v>5</v>
      </c>
      <c r="Q87" s="16">
        <v>5</v>
      </c>
      <c r="S87" s="15">
        <v>98055</v>
      </c>
      <c r="T87" s="15" t="s">
        <v>10</v>
      </c>
      <c r="U87" s="16">
        <v>168</v>
      </c>
      <c r="V87" s="16">
        <v>168</v>
      </c>
      <c r="W87" s="16">
        <v>119</v>
      </c>
    </row>
    <row r="88" spans="1:23" x14ac:dyDescent="0.2">
      <c r="M88" s="15">
        <v>98055</v>
      </c>
      <c r="N88" s="15" t="s">
        <v>10</v>
      </c>
      <c r="O88" s="16">
        <v>227</v>
      </c>
      <c r="P88" s="16">
        <v>180</v>
      </c>
      <c r="Q88" s="16">
        <v>168</v>
      </c>
      <c r="S88" s="15">
        <v>98056</v>
      </c>
      <c r="T88" s="15" t="s">
        <v>345</v>
      </c>
      <c r="U88" s="16">
        <v>1</v>
      </c>
      <c r="V88" s="16">
        <v>6</v>
      </c>
      <c r="W88" s="16">
        <v>5</v>
      </c>
    </row>
    <row r="89" spans="1:23" x14ac:dyDescent="0.2">
      <c r="M89" s="15">
        <v>98056</v>
      </c>
      <c r="N89" s="15" t="s">
        <v>345</v>
      </c>
      <c r="O89" s="16">
        <v>5</v>
      </c>
      <c r="P89" s="16">
        <v>9</v>
      </c>
      <c r="Q89" s="16">
        <v>7</v>
      </c>
      <c r="S89" s="15">
        <v>98056</v>
      </c>
      <c r="T89" s="15" t="s">
        <v>10</v>
      </c>
      <c r="U89" s="16">
        <v>147</v>
      </c>
      <c r="V89" s="16">
        <v>146</v>
      </c>
      <c r="W89" s="16">
        <v>146</v>
      </c>
    </row>
    <row r="90" spans="1:23" x14ac:dyDescent="0.2">
      <c r="M90" s="15">
        <v>98056</v>
      </c>
      <c r="N90" s="15" t="s">
        <v>10</v>
      </c>
      <c r="O90" s="16">
        <v>217</v>
      </c>
      <c r="P90" s="16">
        <v>203</v>
      </c>
      <c r="Q90" s="16">
        <v>145</v>
      </c>
      <c r="S90" s="15">
        <v>98057</v>
      </c>
      <c r="T90" s="15" t="s">
        <v>345</v>
      </c>
      <c r="U90" s="16">
        <v>17</v>
      </c>
      <c r="V90" s="16">
        <v>23</v>
      </c>
      <c r="W90" s="16">
        <v>21</v>
      </c>
    </row>
    <row r="91" spans="1:23" x14ac:dyDescent="0.2">
      <c r="M91" s="15">
        <v>98057</v>
      </c>
      <c r="N91" s="15" t="s">
        <v>345</v>
      </c>
      <c r="O91" s="16">
        <v>36</v>
      </c>
      <c r="P91" s="16">
        <v>35</v>
      </c>
      <c r="Q91" s="16">
        <v>32</v>
      </c>
      <c r="S91" s="15">
        <v>98057</v>
      </c>
      <c r="T91" s="15" t="s">
        <v>10</v>
      </c>
      <c r="U91" s="16">
        <v>122</v>
      </c>
      <c r="V91" s="16">
        <v>92</v>
      </c>
      <c r="W91" s="16">
        <v>89</v>
      </c>
    </row>
    <row r="92" spans="1:23" x14ac:dyDescent="0.2">
      <c r="M92" s="15">
        <v>98057</v>
      </c>
      <c r="N92" s="15" t="s">
        <v>10</v>
      </c>
      <c r="O92" s="16">
        <v>148</v>
      </c>
      <c r="P92" s="16">
        <v>115</v>
      </c>
      <c r="Q92" s="16">
        <v>91</v>
      </c>
      <c r="S92" s="15">
        <v>98058</v>
      </c>
      <c r="T92" s="15" t="s">
        <v>345</v>
      </c>
      <c r="U92" s="16">
        <v>3</v>
      </c>
      <c r="V92" s="16">
        <v>5</v>
      </c>
      <c r="W92" s="16">
        <v>7</v>
      </c>
    </row>
    <row r="93" spans="1:23" x14ac:dyDescent="0.2">
      <c r="M93" s="15">
        <v>98058</v>
      </c>
      <c r="N93" s="15" t="s">
        <v>345</v>
      </c>
      <c r="O93" s="16">
        <v>6</v>
      </c>
      <c r="P93" s="16">
        <v>9</v>
      </c>
      <c r="Q93" s="16">
        <v>5</v>
      </c>
      <c r="S93" s="15">
        <v>98058</v>
      </c>
      <c r="T93" s="15" t="s">
        <v>10</v>
      </c>
      <c r="U93" s="16">
        <v>157</v>
      </c>
      <c r="V93" s="16">
        <v>186</v>
      </c>
      <c r="W93" s="16">
        <v>146</v>
      </c>
    </row>
    <row r="94" spans="1:23" x14ac:dyDescent="0.2">
      <c r="M94" s="15">
        <v>98058</v>
      </c>
      <c r="N94" s="15" t="s">
        <v>10</v>
      </c>
      <c r="O94" s="16">
        <v>248</v>
      </c>
      <c r="P94" s="16">
        <v>224</v>
      </c>
      <c r="Q94" s="16">
        <v>174</v>
      </c>
      <c r="S94" s="15">
        <v>98059</v>
      </c>
      <c r="T94" s="15" t="s">
        <v>345</v>
      </c>
      <c r="U94" s="16">
        <v>4</v>
      </c>
      <c r="V94" s="16"/>
      <c r="W94" s="16">
        <v>2</v>
      </c>
    </row>
    <row r="95" spans="1:23" x14ac:dyDescent="0.2">
      <c r="M95" s="15">
        <v>98059</v>
      </c>
      <c r="N95" s="15" t="s">
        <v>345</v>
      </c>
      <c r="O95" s="16">
        <v>4</v>
      </c>
      <c r="P95" s="16">
        <v>3</v>
      </c>
      <c r="Q95" s="16">
        <v>4</v>
      </c>
      <c r="S95" s="15">
        <v>98059</v>
      </c>
      <c r="T95" s="15" t="s">
        <v>10</v>
      </c>
      <c r="U95" s="16">
        <v>111</v>
      </c>
      <c r="V95" s="16">
        <v>115</v>
      </c>
      <c r="W95" s="16">
        <v>85</v>
      </c>
    </row>
    <row r="96" spans="1:23" x14ac:dyDescent="0.2">
      <c r="M96" s="15">
        <v>98059</v>
      </c>
      <c r="N96" s="15" t="s">
        <v>10</v>
      </c>
      <c r="O96" s="16">
        <v>155</v>
      </c>
      <c r="P96" s="16">
        <v>151</v>
      </c>
      <c r="Q96" s="16">
        <v>102</v>
      </c>
      <c r="S96" s="15">
        <v>98065</v>
      </c>
      <c r="T96" s="15" t="s">
        <v>345</v>
      </c>
      <c r="U96" s="16">
        <v>2</v>
      </c>
      <c r="V96" s="16">
        <v>6</v>
      </c>
      <c r="W96" s="16">
        <v>1</v>
      </c>
    </row>
    <row r="97" spans="13:23" x14ac:dyDescent="0.2">
      <c r="M97" s="15">
        <v>98065</v>
      </c>
      <c r="N97" s="15" t="s">
        <v>345</v>
      </c>
      <c r="O97" s="16">
        <v>4</v>
      </c>
      <c r="P97" s="16">
        <v>9</v>
      </c>
      <c r="Q97" s="16">
        <v>1</v>
      </c>
      <c r="S97" s="15">
        <v>98065</v>
      </c>
      <c r="T97" s="15" t="s">
        <v>10</v>
      </c>
      <c r="U97" s="16">
        <v>41</v>
      </c>
      <c r="V97" s="16">
        <v>33</v>
      </c>
      <c r="W97" s="16">
        <v>20</v>
      </c>
    </row>
    <row r="98" spans="13:23" x14ac:dyDescent="0.2">
      <c r="M98" s="15">
        <v>98065</v>
      </c>
      <c r="N98" s="15" t="s">
        <v>10</v>
      </c>
      <c r="O98" s="16">
        <v>47</v>
      </c>
      <c r="P98" s="16">
        <v>40</v>
      </c>
      <c r="Q98" s="16">
        <v>22</v>
      </c>
      <c r="S98" s="15">
        <v>98068</v>
      </c>
      <c r="T98" s="15" t="s">
        <v>345</v>
      </c>
      <c r="U98" s="16"/>
      <c r="V98" s="16">
        <v>2</v>
      </c>
      <c r="W98" s="16">
        <v>2</v>
      </c>
    </row>
    <row r="99" spans="13:23" x14ac:dyDescent="0.2">
      <c r="M99" s="15">
        <v>98068</v>
      </c>
      <c r="N99" s="15" t="s">
        <v>345</v>
      </c>
      <c r="O99" s="16"/>
      <c r="P99" s="16">
        <v>3</v>
      </c>
      <c r="Q99" s="16">
        <v>2</v>
      </c>
      <c r="S99" s="15">
        <v>98068</v>
      </c>
      <c r="T99" s="15" t="s">
        <v>10</v>
      </c>
      <c r="U99" s="16"/>
      <c r="V99" s="16">
        <v>4</v>
      </c>
      <c r="W99" s="16">
        <v>1</v>
      </c>
    </row>
    <row r="100" spans="13:23" x14ac:dyDescent="0.2">
      <c r="M100" s="15">
        <v>98068</v>
      </c>
      <c r="N100" s="15" t="s">
        <v>10</v>
      </c>
      <c r="O100" s="16">
        <v>2</v>
      </c>
      <c r="P100" s="16">
        <v>2</v>
      </c>
      <c r="Q100" s="16">
        <v>1</v>
      </c>
      <c r="S100" s="15">
        <v>98070</v>
      </c>
      <c r="T100" s="15" t="s">
        <v>345</v>
      </c>
      <c r="U100" s="16">
        <v>1</v>
      </c>
      <c r="V100" s="16">
        <v>8</v>
      </c>
      <c r="W100" s="16">
        <v>2</v>
      </c>
    </row>
    <row r="101" spans="13:23" x14ac:dyDescent="0.2">
      <c r="M101" s="15">
        <v>98070</v>
      </c>
      <c r="N101" s="15" t="s">
        <v>345</v>
      </c>
      <c r="O101" s="16">
        <v>2</v>
      </c>
      <c r="P101" s="16">
        <v>11</v>
      </c>
      <c r="Q101" s="16">
        <v>4</v>
      </c>
      <c r="S101" s="15">
        <v>98070</v>
      </c>
      <c r="T101" s="15" t="s">
        <v>10</v>
      </c>
      <c r="U101" s="16">
        <v>30</v>
      </c>
      <c r="V101" s="16">
        <v>32</v>
      </c>
      <c r="W101" s="16">
        <v>30</v>
      </c>
    </row>
    <row r="102" spans="13:23" x14ac:dyDescent="0.2">
      <c r="M102" s="15">
        <v>98070</v>
      </c>
      <c r="N102" s="15" t="s">
        <v>10</v>
      </c>
      <c r="O102" s="16">
        <v>42</v>
      </c>
      <c r="P102" s="16">
        <v>44</v>
      </c>
      <c r="Q102" s="16">
        <v>32</v>
      </c>
      <c r="S102" s="15">
        <v>98072</v>
      </c>
      <c r="T102" s="15" t="s">
        <v>345</v>
      </c>
      <c r="U102" s="16">
        <v>6</v>
      </c>
      <c r="V102" s="16">
        <v>12</v>
      </c>
      <c r="W102" s="16">
        <v>13</v>
      </c>
    </row>
    <row r="103" spans="13:23" x14ac:dyDescent="0.2">
      <c r="M103" s="15">
        <v>98072</v>
      </c>
      <c r="N103" s="15" t="s">
        <v>345</v>
      </c>
      <c r="O103" s="16">
        <v>20</v>
      </c>
      <c r="P103" s="16">
        <v>14</v>
      </c>
      <c r="Q103" s="16">
        <v>16</v>
      </c>
      <c r="S103" s="15">
        <v>98072</v>
      </c>
      <c r="T103" s="15" t="s">
        <v>10</v>
      </c>
      <c r="U103" s="16">
        <v>46</v>
      </c>
      <c r="V103" s="16">
        <v>43</v>
      </c>
      <c r="W103" s="16">
        <v>49</v>
      </c>
    </row>
    <row r="104" spans="13:23" x14ac:dyDescent="0.2">
      <c r="M104" s="15">
        <v>98072</v>
      </c>
      <c r="N104" s="15" t="s">
        <v>10</v>
      </c>
      <c r="O104" s="16">
        <v>51</v>
      </c>
      <c r="P104" s="16">
        <v>53</v>
      </c>
      <c r="Q104" s="16">
        <v>45</v>
      </c>
      <c r="S104" s="15">
        <v>98074</v>
      </c>
      <c r="T104" s="15" t="s">
        <v>345</v>
      </c>
      <c r="U104" s="16">
        <v>3</v>
      </c>
      <c r="V104" s="16">
        <v>3</v>
      </c>
      <c r="W104" s="16">
        <v>5</v>
      </c>
    </row>
    <row r="105" spans="13:23" x14ac:dyDescent="0.2">
      <c r="M105" s="15">
        <v>98074</v>
      </c>
      <c r="N105" s="15" t="s">
        <v>345</v>
      </c>
      <c r="O105" s="16">
        <v>4</v>
      </c>
      <c r="P105" s="16">
        <v>6</v>
      </c>
      <c r="Q105" s="16">
        <v>3</v>
      </c>
      <c r="S105" s="15">
        <v>98074</v>
      </c>
      <c r="T105" s="15" t="s">
        <v>10</v>
      </c>
      <c r="U105" s="16">
        <v>25</v>
      </c>
      <c r="V105" s="16">
        <v>23</v>
      </c>
      <c r="W105" s="16">
        <v>16</v>
      </c>
    </row>
    <row r="106" spans="13:23" x14ac:dyDescent="0.2">
      <c r="M106" s="15">
        <v>98074</v>
      </c>
      <c r="N106" s="15" t="s">
        <v>10</v>
      </c>
      <c r="O106" s="16">
        <v>39</v>
      </c>
      <c r="P106" s="16">
        <v>26</v>
      </c>
      <c r="Q106" s="16">
        <v>22</v>
      </c>
      <c r="S106" s="15">
        <v>98075</v>
      </c>
      <c r="T106" s="15" t="s">
        <v>345</v>
      </c>
      <c r="U106" s="16"/>
      <c r="V106" s="16">
        <v>4</v>
      </c>
      <c r="W106" s="16">
        <v>1</v>
      </c>
    </row>
    <row r="107" spans="13:23" x14ac:dyDescent="0.2">
      <c r="M107" s="15">
        <v>98075</v>
      </c>
      <c r="N107" s="15" t="s">
        <v>345</v>
      </c>
      <c r="O107" s="16">
        <v>2</v>
      </c>
      <c r="P107" s="16">
        <v>3</v>
      </c>
      <c r="Q107" s="16">
        <v>1</v>
      </c>
      <c r="S107" s="15">
        <v>98075</v>
      </c>
      <c r="T107" s="15" t="s">
        <v>10</v>
      </c>
      <c r="U107" s="16">
        <v>16</v>
      </c>
      <c r="V107" s="16">
        <v>17</v>
      </c>
      <c r="W107" s="16">
        <v>27</v>
      </c>
    </row>
    <row r="108" spans="13:23" x14ac:dyDescent="0.2">
      <c r="M108" s="15">
        <v>98075</v>
      </c>
      <c r="N108" s="15" t="s">
        <v>10</v>
      </c>
      <c r="O108" s="16">
        <v>26</v>
      </c>
      <c r="P108" s="16">
        <v>29</v>
      </c>
      <c r="Q108" s="16">
        <v>28</v>
      </c>
      <c r="S108" s="15">
        <v>98077</v>
      </c>
      <c r="T108" s="15" t="s">
        <v>345</v>
      </c>
      <c r="U108" s="16">
        <v>2</v>
      </c>
      <c r="V108" s="16">
        <v>1</v>
      </c>
      <c r="W108" s="16"/>
    </row>
    <row r="109" spans="13:23" x14ac:dyDescent="0.2">
      <c r="M109" s="15">
        <v>98077</v>
      </c>
      <c r="N109" s="15" t="s">
        <v>345</v>
      </c>
      <c r="O109" s="16">
        <v>1</v>
      </c>
      <c r="P109" s="16">
        <v>1</v>
      </c>
      <c r="Q109" s="16"/>
      <c r="S109" s="15">
        <v>98077</v>
      </c>
      <c r="T109" s="15" t="s">
        <v>10</v>
      </c>
      <c r="U109" s="16">
        <v>11</v>
      </c>
      <c r="V109" s="16">
        <v>12</v>
      </c>
      <c r="W109" s="16">
        <v>10</v>
      </c>
    </row>
    <row r="110" spans="13:23" x14ac:dyDescent="0.2">
      <c r="M110" s="15">
        <v>98077</v>
      </c>
      <c r="N110" s="15" t="s">
        <v>10</v>
      </c>
      <c r="O110" s="16">
        <v>16</v>
      </c>
      <c r="P110" s="16">
        <v>18</v>
      </c>
      <c r="Q110" s="16">
        <v>10</v>
      </c>
      <c r="S110" s="15">
        <v>98087</v>
      </c>
      <c r="T110" s="15" t="s">
        <v>345</v>
      </c>
      <c r="U110" s="16"/>
      <c r="V110" s="16">
        <v>1</v>
      </c>
      <c r="W110" s="16">
        <v>1</v>
      </c>
    </row>
    <row r="111" spans="13:23" x14ac:dyDescent="0.2">
      <c r="M111" s="15">
        <v>98087</v>
      </c>
      <c r="N111" s="15" t="s">
        <v>345</v>
      </c>
      <c r="O111" s="16">
        <v>2</v>
      </c>
      <c r="P111" s="16">
        <v>1</v>
      </c>
      <c r="Q111" s="16">
        <v>2</v>
      </c>
      <c r="S111" s="15">
        <v>98087</v>
      </c>
      <c r="T111" s="15" t="s">
        <v>10</v>
      </c>
      <c r="U111" s="16">
        <v>20</v>
      </c>
      <c r="V111" s="16">
        <v>34</v>
      </c>
      <c r="W111" s="16">
        <v>23</v>
      </c>
    </row>
    <row r="112" spans="13:23" x14ac:dyDescent="0.2">
      <c r="M112" s="15">
        <v>98087</v>
      </c>
      <c r="N112" s="15" t="s">
        <v>10</v>
      </c>
      <c r="O112" s="16">
        <v>30</v>
      </c>
      <c r="P112" s="16">
        <v>42</v>
      </c>
      <c r="Q112" s="16">
        <v>20</v>
      </c>
      <c r="S112" s="15">
        <v>98092</v>
      </c>
      <c r="T112" s="15" t="s">
        <v>345</v>
      </c>
      <c r="U112" s="16">
        <v>4</v>
      </c>
      <c r="V112" s="16">
        <v>5</v>
      </c>
      <c r="W112" s="16">
        <v>4</v>
      </c>
    </row>
    <row r="113" spans="13:23" x14ac:dyDescent="0.2">
      <c r="M113" s="15">
        <v>98092</v>
      </c>
      <c r="N113" s="15" t="s">
        <v>345</v>
      </c>
      <c r="O113" s="16">
        <v>8</v>
      </c>
      <c r="P113" s="16">
        <v>11</v>
      </c>
      <c r="Q113" s="16">
        <v>7</v>
      </c>
      <c r="S113" s="15">
        <v>98092</v>
      </c>
      <c r="T113" s="15" t="s">
        <v>10</v>
      </c>
      <c r="U113" s="16">
        <v>230</v>
      </c>
      <c r="V113" s="16">
        <v>247</v>
      </c>
      <c r="W113" s="16">
        <v>221</v>
      </c>
    </row>
    <row r="114" spans="13:23" x14ac:dyDescent="0.2">
      <c r="M114" s="15">
        <v>98092</v>
      </c>
      <c r="N114" s="15" t="s">
        <v>10</v>
      </c>
      <c r="O114" s="16">
        <v>339</v>
      </c>
      <c r="P114" s="16">
        <v>311</v>
      </c>
      <c r="Q114" s="16">
        <v>224</v>
      </c>
      <c r="S114" s="15">
        <v>98101</v>
      </c>
      <c r="T114" s="15" t="s">
        <v>345</v>
      </c>
      <c r="U114" s="16">
        <v>4</v>
      </c>
      <c r="V114" s="16">
        <v>4</v>
      </c>
      <c r="W114" s="16">
        <v>3</v>
      </c>
    </row>
    <row r="115" spans="13:23" x14ac:dyDescent="0.2">
      <c r="M115" s="15">
        <v>98101</v>
      </c>
      <c r="N115" s="15" t="s">
        <v>345</v>
      </c>
      <c r="O115" s="16">
        <v>8</v>
      </c>
      <c r="P115" s="16">
        <v>6</v>
      </c>
      <c r="Q115" s="16">
        <v>3</v>
      </c>
      <c r="S115" s="15">
        <v>98101</v>
      </c>
      <c r="T115" s="15" t="s">
        <v>10</v>
      </c>
      <c r="U115" s="16"/>
      <c r="V115" s="16"/>
      <c r="W115" s="16">
        <v>2</v>
      </c>
    </row>
    <row r="116" spans="13:23" x14ac:dyDescent="0.2">
      <c r="M116" s="15">
        <v>98101</v>
      </c>
      <c r="N116" s="15" t="s">
        <v>10</v>
      </c>
      <c r="O116" s="16"/>
      <c r="P116" s="16"/>
      <c r="Q116" s="16">
        <v>3</v>
      </c>
      <c r="S116" s="15">
        <v>98102</v>
      </c>
      <c r="T116" s="15" t="s">
        <v>345</v>
      </c>
      <c r="U116" s="16">
        <v>7</v>
      </c>
      <c r="V116" s="16">
        <v>4</v>
      </c>
      <c r="W116" s="16">
        <v>4</v>
      </c>
    </row>
    <row r="117" spans="13:23" x14ac:dyDescent="0.2">
      <c r="M117" s="15">
        <v>98102</v>
      </c>
      <c r="N117" s="15" t="s">
        <v>345</v>
      </c>
      <c r="O117" s="16">
        <v>10</v>
      </c>
      <c r="P117" s="16">
        <v>4</v>
      </c>
      <c r="Q117" s="16">
        <v>8</v>
      </c>
      <c r="S117" s="15">
        <v>98102</v>
      </c>
      <c r="T117" s="15" t="s">
        <v>10</v>
      </c>
      <c r="U117" s="16">
        <v>14</v>
      </c>
      <c r="V117" s="16">
        <v>8</v>
      </c>
      <c r="W117" s="16">
        <v>13</v>
      </c>
    </row>
    <row r="118" spans="13:23" x14ac:dyDescent="0.2">
      <c r="M118" s="15">
        <v>98102</v>
      </c>
      <c r="N118" s="15" t="s">
        <v>10</v>
      </c>
      <c r="O118" s="16">
        <v>18</v>
      </c>
      <c r="P118" s="16">
        <v>8</v>
      </c>
      <c r="Q118" s="16">
        <v>14</v>
      </c>
      <c r="S118" s="15">
        <v>98103</v>
      </c>
      <c r="T118" s="15" t="s">
        <v>345</v>
      </c>
      <c r="U118" s="16">
        <v>7</v>
      </c>
      <c r="V118" s="16">
        <v>7</v>
      </c>
      <c r="W118" s="16">
        <v>5</v>
      </c>
    </row>
    <row r="119" spans="13:23" x14ac:dyDescent="0.2">
      <c r="M119" s="15">
        <v>98103</v>
      </c>
      <c r="N119" s="15" t="s">
        <v>345</v>
      </c>
      <c r="O119" s="16">
        <v>10</v>
      </c>
      <c r="P119" s="16">
        <v>9</v>
      </c>
      <c r="Q119" s="16">
        <v>8</v>
      </c>
      <c r="S119" s="15">
        <v>98103</v>
      </c>
      <c r="T119" s="15" t="s">
        <v>10</v>
      </c>
      <c r="U119" s="16">
        <v>25</v>
      </c>
      <c r="V119" s="16">
        <v>25</v>
      </c>
      <c r="W119" s="16">
        <v>31</v>
      </c>
    </row>
    <row r="120" spans="13:23" x14ac:dyDescent="0.2">
      <c r="M120" s="15">
        <v>98103</v>
      </c>
      <c r="N120" s="15" t="s">
        <v>10</v>
      </c>
      <c r="O120" s="16">
        <v>30</v>
      </c>
      <c r="P120" s="16">
        <v>43</v>
      </c>
      <c r="Q120" s="16">
        <v>30</v>
      </c>
      <c r="S120" s="15">
        <v>98104</v>
      </c>
      <c r="T120" s="15" t="s">
        <v>345</v>
      </c>
      <c r="U120" s="16">
        <v>6</v>
      </c>
      <c r="V120" s="16">
        <v>8</v>
      </c>
      <c r="W120" s="16">
        <v>4</v>
      </c>
    </row>
    <row r="121" spans="13:23" x14ac:dyDescent="0.2">
      <c r="M121" s="15">
        <v>98104</v>
      </c>
      <c r="N121" s="15" t="s">
        <v>345</v>
      </c>
      <c r="O121" s="16">
        <v>9</v>
      </c>
      <c r="P121" s="16">
        <v>13</v>
      </c>
      <c r="Q121" s="16">
        <v>6</v>
      </c>
      <c r="S121" s="15">
        <v>98104</v>
      </c>
      <c r="T121" s="15" t="s">
        <v>10</v>
      </c>
      <c r="U121" s="16">
        <v>4</v>
      </c>
      <c r="V121" s="16">
        <v>2</v>
      </c>
      <c r="W121" s="16">
        <v>3</v>
      </c>
    </row>
    <row r="122" spans="13:23" x14ac:dyDescent="0.2">
      <c r="M122" s="15">
        <v>98104</v>
      </c>
      <c r="N122" s="15" t="s">
        <v>10</v>
      </c>
      <c r="O122" s="16">
        <v>3</v>
      </c>
      <c r="P122" s="16">
        <v>3</v>
      </c>
      <c r="Q122" s="16">
        <v>3</v>
      </c>
      <c r="S122" s="15">
        <v>98105</v>
      </c>
      <c r="T122" s="15" t="s">
        <v>345</v>
      </c>
      <c r="U122" s="16">
        <v>3</v>
      </c>
      <c r="V122" s="16">
        <v>7</v>
      </c>
      <c r="W122" s="16">
        <v>6</v>
      </c>
    </row>
    <row r="123" spans="13:23" x14ac:dyDescent="0.2">
      <c r="M123" s="15">
        <v>98105</v>
      </c>
      <c r="N123" s="15" t="s">
        <v>345</v>
      </c>
      <c r="O123" s="16">
        <v>15</v>
      </c>
      <c r="P123" s="16">
        <v>11</v>
      </c>
      <c r="Q123" s="16">
        <v>5</v>
      </c>
      <c r="S123" s="15">
        <v>98105</v>
      </c>
      <c r="T123" s="15" t="s">
        <v>10</v>
      </c>
      <c r="U123" s="16">
        <v>15</v>
      </c>
      <c r="V123" s="16">
        <v>35</v>
      </c>
      <c r="W123" s="16">
        <v>22</v>
      </c>
    </row>
    <row r="124" spans="13:23" x14ac:dyDescent="0.2">
      <c r="M124" s="15">
        <v>98105</v>
      </c>
      <c r="N124" s="15" t="s">
        <v>10</v>
      </c>
      <c r="O124" s="16">
        <v>31</v>
      </c>
      <c r="P124" s="16">
        <v>34</v>
      </c>
      <c r="Q124" s="16">
        <v>21</v>
      </c>
      <c r="S124" s="15">
        <v>98106</v>
      </c>
      <c r="T124" s="15" t="s">
        <v>345</v>
      </c>
      <c r="U124" s="16">
        <v>5</v>
      </c>
      <c r="V124" s="16">
        <v>2</v>
      </c>
      <c r="W124" s="16">
        <v>1</v>
      </c>
    </row>
    <row r="125" spans="13:23" x14ac:dyDescent="0.2">
      <c r="M125" s="15">
        <v>98106</v>
      </c>
      <c r="N125" s="15" t="s">
        <v>345</v>
      </c>
      <c r="O125" s="16">
        <v>6</v>
      </c>
      <c r="P125" s="16">
        <v>1</v>
      </c>
      <c r="Q125" s="16">
        <v>2</v>
      </c>
      <c r="S125" s="15">
        <v>98106</v>
      </c>
      <c r="T125" s="15" t="s">
        <v>10</v>
      </c>
      <c r="U125" s="16">
        <v>18</v>
      </c>
      <c r="V125" s="16">
        <v>34</v>
      </c>
      <c r="W125" s="16">
        <v>15</v>
      </c>
    </row>
    <row r="126" spans="13:23" x14ac:dyDescent="0.2">
      <c r="M126" s="15">
        <v>98106</v>
      </c>
      <c r="N126" s="15" t="s">
        <v>10</v>
      </c>
      <c r="O126" s="16">
        <v>28</v>
      </c>
      <c r="P126" s="16">
        <v>32</v>
      </c>
      <c r="Q126" s="16">
        <v>17</v>
      </c>
      <c r="S126" s="15">
        <v>98107</v>
      </c>
      <c r="T126" s="15" t="s">
        <v>345</v>
      </c>
      <c r="U126" s="16">
        <v>6</v>
      </c>
      <c r="V126" s="16">
        <v>5</v>
      </c>
      <c r="W126" s="16">
        <v>6</v>
      </c>
    </row>
    <row r="127" spans="13:23" x14ac:dyDescent="0.2">
      <c r="M127" s="15">
        <v>98107</v>
      </c>
      <c r="N127" s="15" t="s">
        <v>345</v>
      </c>
      <c r="O127" s="16">
        <v>8</v>
      </c>
      <c r="P127" s="16">
        <v>7</v>
      </c>
      <c r="Q127" s="16">
        <v>6</v>
      </c>
      <c r="S127" s="15">
        <v>98107</v>
      </c>
      <c r="T127" s="15" t="s">
        <v>10</v>
      </c>
      <c r="U127" s="16">
        <v>12</v>
      </c>
      <c r="V127" s="16">
        <v>10</v>
      </c>
      <c r="W127" s="16">
        <v>7</v>
      </c>
    </row>
    <row r="128" spans="13:23" x14ac:dyDescent="0.2">
      <c r="M128" s="15">
        <v>98107</v>
      </c>
      <c r="N128" s="15" t="s">
        <v>10</v>
      </c>
      <c r="O128" s="16">
        <v>16</v>
      </c>
      <c r="P128" s="16">
        <v>10</v>
      </c>
      <c r="Q128" s="16">
        <v>9</v>
      </c>
      <c r="S128" s="15">
        <v>98108</v>
      </c>
      <c r="T128" s="15" t="s">
        <v>345</v>
      </c>
      <c r="U128" s="16">
        <v>9</v>
      </c>
      <c r="V128" s="16">
        <v>10</v>
      </c>
      <c r="W128" s="16">
        <v>8</v>
      </c>
    </row>
    <row r="129" spans="13:23" x14ac:dyDescent="0.2">
      <c r="M129" s="15">
        <v>98108</v>
      </c>
      <c r="N129" s="15" t="s">
        <v>345</v>
      </c>
      <c r="O129" s="16">
        <v>20</v>
      </c>
      <c r="P129" s="16">
        <v>11</v>
      </c>
      <c r="Q129" s="16">
        <v>8</v>
      </c>
      <c r="S129" s="15">
        <v>98108</v>
      </c>
      <c r="T129" s="15" t="s">
        <v>10</v>
      </c>
      <c r="U129" s="16">
        <v>40</v>
      </c>
      <c r="V129" s="16">
        <v>33</v>
      </c>
      <c r="W129" s="16">
        <v>21</v>
      </c>
    </row>
    <row r="130" spans="13:23" x14ac:dyDescent="0.2">
      <c r="M130" s="15">
        <v>98108</v>
      </c>
      <c r="N130" s="15" t="s">
        <v>10</v>
      </c>
      <c r="O130" s="16">
        <v>54</v>
      </c>
      <c r="P130" s="16">
        <v>33</v>
      </c>
      <c r="Q130" s="16">
        <v>25</v>
      </c>
      <c r="S130" s="15">
        <v>98109</v>
      </c>
      <c r="T130" s="15" t="s">
        <v>345</v>
      </c>
      <c r="U130" s="16">
        <v>4</v>
      </c>
      <c r="V130" s="16">
        <v>2</v>
      </c>
      <c r="W130" s="16">
        <v>1</v>
      </c>
    </row>
    <row r="131" spans="13:23" x14ac:dyDescent="0.2">
      <c r="M131" s="15">
        <v>98109</v>
      </c>
      <c r="N131" s="15" t="s">
        <v>345</v>
      </c>
      <c r="O131" s="16">
        <v>11</v>
      </c>
      <c r="P131" s="16">
        <v>6</v>
      </c>
      <c r="Q131" s="16">
        <v>8</v>
      </c>
      <c r="S131" s="15">
        <v>98109</v>
      </c>
      <c r="T131" s="15" t="s">
        <v>10</v>
      </c>
      <c r="U131" s="16">
        <v>7</v>
      </c>
      <c r="V131" s="16">
        <v>6</v>
      </c>
      <c r="W131" s="16">
        <v>10</v>
      </c>
    </row>
    <row r="132" spans="13:23" x14ac:dyDescent="0.2">
      <c r="M132" s="15">
        <v>98109</v>
      </c>
      <c r="N132" s="15" t="s">
        <v>10</v>
      </c>
      <c r="O132" s="16">
        <v>8</v>
      </c>
      <c r="P132" s="16">
        <v>9</v>
      </c>
      <c r="Q132" s="16">
        <v>11</v>
      </c>
      <c r="S132" s="15">
        <v>98110</v>
      </c>
      <c r="T132" s="15" t="s">
        <v>345</v>
      </c>
      <c r="U132" s="16">
        <v>4</v>
      </c>
      <c r="V132" s="16">
        <v>1</v>
      </c>
      <c r="W132" s="16">
        <v>1</v>
      </c>
    </row>
    <row r="133" spans="13:23" x14ac:dyDescent="0.2">
      <c r="M133" s="15">
        <v>98110</v>
      </c>
      <c r="N133" s="15" t="s">
        <v>345</v>
      </c>
      <c r="O133" s="16">
        <v>4</v>
      </c>
      <c r="P133" s="16">
        <v>2</v>
      </c>
      <c r="Q133" s="16"/>
      <c r="S133" s="15">
        <v>98110</v>
      </c>
      <c r="T133" s="15" t="s">
        <v>10</v>
      </c>
      <c r="U133" s="16">
        <v>30</v>
      </c>
      <c r="V133" s="16">
        <v>15</v>
      </c>
      <c r="W133" s="16">
        <v>33</v>
      </c>
    </row>
    <row r="134" spans="13:23" x14ac:dyDescent="0.2">
      <c r="M134" s="15">
        <v>98110</v>
      </c>
      <c r="N134" s="15" t="s">
        <v>10</v>
      </c>
      <c r="O134" s="16">
        <v>39</v>
      </c>
      <c r="P134" s="16">
        <v>27</v>
      </c>
      <c r="Q134" s="16">
        <v>30</v>
      </c>
      <c r="S134" s="15">
        <v>98112</v>
      </c>
      <c r="T134" s="15" t="s">
        <v>345</v>
      </c>
      <c r="U134" s="16">
        <v>1</v>
      </c>
      <c r="V134" s="16">
        <v>1</v>
      </c>
      <c r="W134" s="16">
        <v>1</v>
      </c>
    </row>
    <row r="135" spans="13:23" x14ac:dyDescent="0.2">
      <c r="M135" s="15">
        <v>98112</v>
      </c>
      <c r="N135" s="15" t="s">
        <v>345</v>
      </c>
      <c r="O135" s="16">
        <v>2</v>
      </c>
      <c r="P135" s="16">
        <v>2</v>
      </c>
      <c r="Q135" s="16">
        <v>1</v>
      </c>
      <c r="S135" s="15">
        <v>98112</v>
      </c>
      <c r="T135" s="15" t="s">
        <v>10</v>
      </c>
      <c r="U135" s="16">
        <v>19</v>
      </c>
      <c r="V135" s="16">
        <v>18</v>
      </c>
      <c r="W135" s="16">
        <v>7</v>
      </c>
    </row>
    <row r="136" spans="13:23" x14ac:dyDescent="0.2">
      <c r="M136" s="15">
        <v>98112</v>
      </c>
      <c r="N136" s="15" t="s">
        <v>10</v>
      </c>
      <c r="O136" s="16">
        <v>22</v>
      </c>
      <c r="P136" s="16">
        <v>21</v>
      </c>
      <c r="Q136" s="16">
        <v>13</v>
      </c>
      <c r="S136" s="15">
        <v>98115</v>
      </c>
      <c r="T136" s="15" t="s">
        <v>345</v>
      </c>
      <c r="U136" s="16">
        <v>3</v>
      </c>
      <c r="V136" s="16">
        <v>10</v>
      </c>
      <c r="W136" s="16">
        <v>7</v>
      </c>
    </row>
    <row r="137" spans="13:23" x14ac:dyDescent="0.2">
      <c r="M137" s="15">
        <v>98115</v>
      </c>
      <c r="N137" s="15" t="s">
        <v>345</v>
      </c>
      <c r="O137" s="16">
        <v>10</v>
      </c>
      <c r="P137" s="16">
        <v>10</v>
      </c>
      <c r="Q137" s="16">
        <v>9</v>
      </c>
      <c r="S137" s="15">
        <v>98115</v>
      </c>
      <c r="T137" s="15" t="s">
        <v>10</v>
      </c>
      <c r="U137" s="16">
        <v>27</v>
      </c>
      <c r="V137" s="16">
        <v>36</v>
      </c>
      <c r="W137" s="16">
        <v>26</v>
      </c>
    </row>
    <row r="138" spans="13:23" x14ac:dyDescent="0.2">
      <c r="M138" s="15">
        <v>98115</v>
      </c>
      <c r="N138" s="15" t="s">
        <v>10</v>
      </c>
      <c r="O138" s="16">
        <v>39</v>
      </c>
      <c r="P138" s="16">
        <v>38</v>
      </c>
      <c r="Q138" s="16">
        <v>32</v>
      </c>
      <c r="S138" s="15">
        <v>98116</v>
      </c>
      <c r="T138" s="15" t="s">
        <v>345</v>
      </c>
      <c r="U138" s="16">
        <v>2</v>
      </c>
      <c r="V138" s="16">
        <v>4</v>
      </c>
      <c r="W138" s="16">
        <v>2</v>
      </c>
    </row>
    <row r="139" spans="13:23" x14ac:dyDescent="0.2">
      <c r="M139" s="15">
        <v>98116</v>
      </c>
      <c r="N139" s="15" t="s">
        <v>345</v>
      </c>
      <c r="O139" s="16">
        <v>6</v>
      </c>
      <c r="P139" s="16">
        <v>5</v>
      </c>
      <c r="Q139" s="16">
        <v>2</v>
      </c>
      <c r="S139" s="15">
        <v>98116</v>
      </c>
      <c r="T139" s="15" t="s">
        <v>10</v>
      </c>
      <c r="U139" s="16">
        <v>12</v>
      </c>
      <c r="V139" s="16">
        <v>15</v>
      </c>
      <c r="W139" s="16">
        <v>7</v>
      </c>
    </row>
    <row r="140" spans="13:23" x14ac:dyDescent="0.2">
      <c r="M140" s="15">
        <v>98116</v>
      </c>
      <c r="N140" s="15" t="s">
        <v>10</v>
      </c>
      <c r="O140" s="16">
        <v>22</v>
      </c>
      <c r="P140" s="16">
        <v>16</v>
      </c>
      <c r="Q140" s="16">
        <v>8</v>
      </c>
      <c r="S140" s="15">
        <v>98117</v>
      </c>
      <c r="T140" s="15" t="s">
        <v>345</v>
      </c>
      <c r="U140" s="16">
        <v>1</v>
      </c>
      <c r="V140" s="16">
        <v>2</v>
      </c>
      <c r="W140" s="16">
        <v>1</v>
      </c>
    </row>
    <row r="141" spans="13:23" x14ac:dyDescent="0.2">
      <c r="M141" s="15">
        <v>98117</v>
      </c>
      <c r="N141" s="15" t="s">
        <v>345</v>
      </c>
      <c r="O141" s="16">
        <v>3</v>
      </c>
      <c r="P141" s="16">
        <v>2</v>
      </c>
      <c r="Q141" s="16"/>
      <c r="S141" s="15">
        <v>98117</v>
      </c>
      <c r="T141" s="15" t="s">
        <v>10</v>
      </c>
      <c r="U141" s="16">
        <v>19</v>
      </c>
      <c r="V141" s="16">
        <v>19</v>
      </c>
      <c r="W141" s="16">
        <v>14</v>
      </c>
    </row>
    <row r="142" spans="13:23" x14ac:dyDescent="0.2">
      <c r="M142" s="15">
        <v>98117</v>
      </c>
      <c r="N142" s="15" t="s">
        <v>10</v>
      </c>
      <c r="O142" s="16">
        <v>21</v>
      </c>
      <c r="P142" s="16">
        <v>23</v>
      </c>
      <c r="Q142" s="16">
        <v>19</v>
      </c>
      <c r="S142" s="15">
        <v>98118</v>
      </c>
      <c r="T142" s="15" t="s">
        <v>345</v>
      </c>
      <c r="U142" s="16">
        <v>10</v>
      </c>
      <c r="V142" s="16">
        <v>6</v>
      </c>
      <c r="W142" s="16">
        <v>10</v>
      </c>
    </row>
    <row r="143" spans="13:23" x14ac:dyDescent="0.2">
      <c r="M143" s="15">
        <v>98118</v>
      </c>
      <c r="N143" s="15" t="s">
        <v>345</v>
      </c>
      <c r="O143" s="16">
        <v>20</v>
      </c>
      <c r="P143" s="16">
        <v>12</v>
      </c>
      <c r="Q143" s="16">
        <v>9</v>
      </c>
      <c r="S143" s="15">
        <v>98118</v>
      </c>
      <c r="T143" s="15" t="s">
        <v>10</v>
      </c>
      <c r="U143" s="16">
        <v>70</v>
      </c>
      <c r="V143" s="16">
        <v>55</v>
      </c>
      <c r="W143" s="16">
        <v>36</v>
      </c>
    </row>
    <row r="144" spans="13:23" x14ac:dyDescent="0.2">
      <c r="M144" s="15">
        <v>98118</v>
      </c>
      <c r="N144" s="15" t="s">
        <v>10</v>
      </c>
      <c r="O144" s="16">
        <v>84</v>
      </c>
      <c r="P144" s="16">
        <v>75</v>
      </c>
      <c r="Q144" s="16">
        <v>40</v>
      </c>
      <c r="S144" s="15">
        <v>98119</v>
      </c>
      <c r="T144" s="15" t="s">
        <v>345</v>
      </c>
      <c r="U144" s="16">
        <v>1</v>
      </c>
      <c r="V144" s="16">
        <v>2</v>
      </c>
      <c r="W144" s="16">
        <v>2</v>
      </c>
    </row>
    <row r="145" spans="13:23" x14ac:dyDescent="0.2">
      <c r="M145" s="15">
        <v>98119</v>
      </c>
      <c r="N145" s="15" t="s">
        <v>345</v>
      </c>
      <c r="O145" s="16">
        <v>4</v>
      </c>
      <c r="P145" s="16">
        <v>3</v>
      </c>
      <c r="Q145" s="16">
        <v>4</v>
      </c>
      <c r="S145" s="15">
        <v>98119</v>
      </c>
      <c r="T145" s="15" t="s">
        <v>10</v>
      </c>
      <c r="U145" s="16">
        <v>8</v>
      </c>
      <c r="V145" s="16">
        <v>10</v>
      </c>
      <c r="W145" s="16">
        <v>8</v>
      </c>
    </row>
    <row r="146" spans="13:23" x14ac:dyDescent="0.2">
      <c r="M146" s="15">
        <v>98119</v>
      </c>
      <c r="N146" s="15" t="s">
        <v>10</v>
      </c>
      <c r="O146" s="16">
        <v>16</v>
      </c>
      <c r="P146" s="16">
        <v>9</v>
      </c>
      <c r="Q146" s="16">
        <v>12</v>
      </c>
      <c r="S146" s="15">
        <v>98121</v>
      </c>
      <c r="T146" s="15" t="s">
        <v>345</v>
      </c>
      <c r="U146" s="16">
        <v>5</v>
      </c>
      <c r="V146" s="16">
        <v>9</v>
      </c>
      <c r="W146" s="16">
        <v>4</v>
      </c>
    </row>
    <row r="147" spans="13:23" x14ac:dyDescent="0.2">
      <c r="M147" s="15">
        <v>98121</v>
      </c>
      <c r="N147" s="15" t="s">
        <v>345</v>
      </c>
      <c r="O147" s="16">
        <v>7</v>
      </c>
      <c r="P147" s="16">
        <v>13</v>
      </c>
      <c r="Q147" s="16">
        <v>8</v>
      </c>
      <c r="S147" s="15">
        <v>98121</v>
      </c>
      <c r="T147" s="15" t="s">
        <v>10</v>
      </c>
      <c r="U147" s="16">
        <v>3</v>
      </c>
      <c r="V147" s="16">
        <v>5</v>
      </c>
      <c r="W147" s="16">
        <v>6</v>
      </c>
    </row>
    <row r="148" spans="13:23" x14ac:dyDescent="0.2">
      <c r="M148" s="15">
        <v>98121</v>
      </c>
      <c r="N148" s="15" t="s">
        <v>10</v>
      </c>
      <c r="O148" s="16">
        <v>6</v>
      </c>
      <c r="P148" s="16">
        <v>7</v>
      </c>
      <c r="Q148" s="16">
        <v>4</v>
      </c>
      <c r="S148" s="15">
        <v>98122</v>
      </c>
      <c r="T148" s="15" t="s">
        <v>345</v>
      </c>
      <c r="U148" s="16">
        <v>3</v>
      </c>
      <c r="V148" s="16">
        <v>5</v>
      </c>
      <c r="W148" s="16">
        <v>4</v>
      </c>
    </row>
    <row r="149" spans="13:23" x14ac:dyDescent="0.2">
      <c r="M149" s="15">
        <v>98122</v>
      </c>
      <c r="N149" s="15" t="s">
        <v>345</v>
      </c>
      <c r="O149" s="16">
        <v>9</v>
      </c>
      <c r="P149" s="16">
        <v>7</v>
      </c>
      <c r="Q149" s="16">
        <v>5</v>
      </c>
      <c r="S149" s="15">
        <v>98122</v>
      </c>
      <c r="T149" s="15" t="s">
        <v>10</v>
      </c>
      <c r="U149" s="16">
        <v>34</v>
      </c>
      <c r="V149" s="16">
        <v>25</v>
      </c>
      <c r="W149" s="16">
        <v>25</v>
      </c>
    </row>
    <row r="150" spans="13:23" x14ac:dyDescent="0.2">
      <c r="M150" s="15">
        <v>98122</v>
      </c>
      <c r="N150" s="15" t="s">
        <v>10</v>
      </c>
      <c r="O150" s="16">
        <v>48</v>
      </c>
      <c r="P150" s="16">
        <v>37</v>
      </c>
      <c r="Q150" s="16">
        <v>29</v>
      </c>
      <c r="S150" s="15">
        <v>98125</v>
      </c>
      <c r="T150" s="15" t="s">
        <v>345</v>
      </c>
      <c r="U150" s="16">
        <v>5</v>
      </c>
      <c r="V150" s="16">
        <v>1</v>
      </c>
      <c r="W150" s="16">
        <v>3</v>
      </c>
    </row>
    <row r="151" spans="13:23" x14ac:dyDescent="0.2">
      <c r="M151" s="15">
        <v>98125</v>
      </c>
      <c r="N151" s="15" t="s">
        <v>345</v>
      </c>
      <c r="O151" s="16">
        <v>5</v>
      </c>
      <c r="P151" s="16">
        <v>3</v>
      </c>
      <c r="Q151" s="16">
        <v>2</v>
      </c>
      <c r="S151" s="15">
        <v>98125</v>
      </c>
      <c r="T151" s="15" t="s">
        <v>10</v>
      </c>
      <c r="U151" s="16">
        <v>18</v>
      </c>
      <c r="V151" s="16">
        <v>17</v>
      </c>
      <c r="W151" s="16">
        <v>17</v>
      </c>
    </row>
    <row r="152" spans="13:23" x14ac:dyDescent="0.2">
      <c r="M152" s="15">
        <v>98125</v>
      </c>
      <c r="N152" s="15" t="s">
        <v>10</v>
      </c>
      <c r="O152" s="16">
        <v>21</v>
      </c>
      <c r="P152" s="16">
        <v>18</v>
      </c>
      <c r="Q152" s="16">
        <v>21</v>
      </c>
      <c r="S152" s="15">
        <v>98126</v>
      </c>
      <c r="T152" s="15" t="s">
        <v>345</v>
      </c>
      <c r="U152" s="16">
        <v>3</v>
      </c>
      <c r="V152" s="16">
        <v>5</v>
      </c>
      <c r="W152" s="16">
        <v>3</v>
      </c>
    </row>
    <row r="153" spans="13:23" x14ac:dyDescent="0.2">
      <c r="M153" s="15">
        <v>98126</v>
      </c>
      <c r="N153" s="15" t="s">
        <v>345</v>
      </c>
      <c r="O153" s="16">
        <v>5</v>
      </c>
      <c r="P153" s="16">
        <v>4</v>
      </c>
      <c r="Q153" s="16">
        <v>5</v>
      </c>
      <c r="S153" s="15">
        <v>98126</v>
      </c>
      <c r="T153" s="15" t="s">
        <v>10</v>
      </c>
      <c r="U153" s="16">
        <v>32</v>
      </c>
      <c r="V153" s="16">
        <v>37</v>
      </c>
      <c r="W153" s="16">
        <v>20</v>
      </c>
    </row>
    <row r="154" spans="13:23" x14ac:dyDescent="0.2">
      <c r="M154" s="15">
        <v>98126</v>
      </c>
      <c r="N154" s="15" t="s">
        <v>10</v>
      </c>
      <c r="O154" s="16">
        <v>31</v>
      </c>
      <c r="P154" s="16">
        <v>35</v>
      </c>
      <c r="Q154" s="16">
        <v>16</v>
      </c>
      <c r="S154" s="15">
        <v>98133</v>
      </c>
      <c r="T154" s="15" t="s">
        <v>345</v>
      </c>
      <c r="U154" s="16">
        <v>4</v>
      </c>
      <c r="V154" s="16">
        <v>2</v>
      </c>
      <c r="W154" s="16">
        <v>5</v>
      </c>
    </row>
    <row r="155" spans="13:23" x14ac:dyDescent="0.2">
      <c r="M155" s="15">
        <v>98133</v>
      </c>
      <c r="N155" s="15" t="s">
        <v>345</v>
      </c>
      <c r="O155" s="16">
        <v>9</v>
      </c>
      <c r="P155" s="16">
        <v>5</v>
      </c>
      <c r="Q155" s="16">
        <v>3</v>
      </c>
      <c r="S155" s="15">
        <v>98133</v>
      </c>
      <c r="T155" s="15" t="s">
        <v>10</v>
      </c>
      <c r="U155" s="16">
        <v>38</v>
      </c>
      <c r="V155" s="16">
        <v>32</v>
      </c>
      <c r="W155" s="16">
        <v>37</v>
      </c>
    </row>
    <row r="156" spans="13:23" x14ac:dyDescent="0.2">
      <c r="M156" s="15">
        <v>98133</v>
      </c>
      <c r="N156" s="15" t="s">
        <v>10</v>
      </c>
      <c r="O156" s="16">
        <v>41</v>
      </c>
      <c r="P156" s="16">
        <v>42</v>
      </c>
      <c r="Q156" s="16">
        <v>30</v>
      </c>
      <c r="S156" s="15">
        <v>98134</v>
      </c>
      <c r="T156" s="15" t="s">
        <v>345</v>
      </c>
      <c r="U156" s="16">
        <v>4</v>
      </c>
      <c r="V156" s="16">
        <v>5</v>
      </c>
      <c r="W156" s="16">
        <v>4</v>
      </c>
    </row>
    <row r="157" spans="13:23" x14ac:dyDescent="0.2">
      <c r="M157" s="15">
        <v>98134</v>
      </c>
      <c r="N157" s="15" t="s">
        <v>345</v>
      </c>
      <c r="O157" s="16">
        <v>6</v>
      </c>
      <c r="P157" s="16">
        <v>8</v>
      </c>
      <c r="Q157" s="16">
        <v>4</v>
      </c>
      <c r="S157" s="15">
        <v>98134</v>
      </c>
      <c r="T157" s="15" t="s">
        <v>10</v>
      </c>
      <c r="U157" s="16"/>
      <c r="V157" s="16">
        <v>1</v>
      </c>
      <c r="W157" s="16">
        <v>1</v>
      </c>
    </row>
    <row r="158" spans="13:23" x14ac:dyDescent="0.2">
      <c r="M158" s="15">
        <v>98134</v>
      </c>
      <c r="N158" s="15" t="s">
        <v>10</v>
      </c>
      <c r="O158" s="16"/>
      <c r="P158" s="16">
        <v>1</v>
      </c>
      <c r="Q158" s="16">
        <v>1</v>
      </c>
      <c r="S158" s="15">
        <v>98136</v>
      </c>
      <c r="T158" s="15" t="s">
        <v>345</v>
      </c>
      <c r="U158" s="16">
        <v>1</v>
      </c>
      <c r="V158" s="16">
        <v>1</v>
      </c>
      <c r="W158" s="16">
        <v>1</v>
      </c>
    </row>
    <row r="159" spans="13:23" x14ac:dyDescent="0.2">
      <c r="M159" s="15">
        <v>98136</v>
      </c>
      <c r="N159" s="15" t="s">
        <v>345</v>
      </c>
      <c r="O159" s="16">
        <v>1</v>
      </c>
      <c r="P159" s="16">
        <v>1</v>
      </c>
      <c r="Q159" s="16">
        <v>1</v>
      </c>
      <c r="S159" s="15">
        <v>98136</v>
      </c>
      <c r="T159" s="15" t="s">
        <v>10</v>
      </c>
      <c r="U159" s="16">
        <v>11</v>
      </c>
      <c r="V159" s="16">
        <v>6</v>
      </c>
      <c r="W159" s="16">
        <v>8</v>
      </c>
    </row>
    <row r="160" spans="13:23" x14ac:dyDescent="0.2">
      <c r="M160" s="15">
        <v>98136</v>
      </c>
      <c r="N160" s="15" t="s">
        <v>10</v>
      </c>
      <c r="O160" s="16">
        <v>13</v>
      </c>
      <c r="P160" s="16">
        <v>8</v>
      </c>
      <c r="Q160" s="16">
        <v>10</v>
      </c>
      <c r="S160" s="15">
        <v>98144</v>
      </c>
      <c r="T160" s="15" t="s">
        <v>345</v>
      </c>
      <c r="U160" s="16">
        <v>5</v>
      </c>
      <c r="V160" s="16">
        <v>11</v>
      </c>
      <c r="W160" s="16">
        <v>5</v>
      </c>
    </row>
    <row r="161" spans="13:23" x14ac:dyDescent="0.2">
      <c r="M161" s="15">
        <v>98144</v>
      </c>
      <c r="N161" s="15" t="s">
        <v>345</v>
      </c>
      <c r="O161" s="16">
        <v>12</v>
      </c>
      <c r="P161" s="16">
        <v>11</v>
      </c>
      <c r="Q161" s="16">
        <v>5</v>
      </c>
      <c r="S161" s="15">
        <v>98144</v>
      </c>
      <c r="T161" s="15" t="s">
        <v>10</v>
      </c>
      <c r="U161" s="16">
        <v>33</v>
      </c>
      <c r="V161" s="16">
        <v>19</v>
      </c>
      <c r="W161" s="16">
        <v>32</v>
      </c>
    </row>
    <row r="162" spans="13:23" x14ac:dyDescent="0.2">
      <c r="M162" s="15">
        <v>98144</v>
      </c>
      <c r="N162" s="15" t="s">
        <v>10</v>
      </c>
      <c r="O162" s="16">
        <v>36</v>
      </c>
      <c r="P162" s="16">
        <v>30</v>
      </c>
      <c r="Q162" s="16">
        <v>34</v>
      </c>
      <c r="S162" s="15">
        <v>98146</v>
      </c>
      <c r="T162" s="15" t="s">
        <v>345</v>
      </c>
      <c r="U162" s="16">
        <v>1</v>
      </c>
      <c r="V162" s="16"/>
      <c r="W162" s="16">
        <v>1</v>
      </c>
    </row>
    <row r="163" spans="13:23" x14ac:dyDescent="0.2">
      <c r="M163" s="15">
        <v>98146</v>
      </c>
      <c r="N163" s="15" t="s">
        <v>345</v>
      </c>
      <c r="O163" s="16">
        <v>2</v>
      </c>
      <c r="P163" s="16">
        <v>2</v>
      </c>
      <c r="Q163" s="16"/>
      <c r="S163" s="15">
        <v>98146</v>
      </c>
      <c r="T163" s="15" t="s">
        <v>10</v>
      </c>
      <c r="U163" s="16">
        <v>34</v>
      </c>
      <c r="V163" s="16">
        <v>22</v>
      </c>
      <c r="W163" s="16">
        <v>18</v>
      </c>
    </row>
    <row r="164" spans="13:23" x14ac:dyDescent="0.2">
      <c r="M164" s="15">
        <v>98146</v>
      </c>
      <c r="N164" s="15" t="s">
        <v>10</v>
      </c>
      <c r="O164" s="16">
        <v>43</v>
      </c>
      <c r="P164" s="16">
        <v>31</v>
      </c>
      <c r="Q164" s="16">
        <v>18</v>
      </c>
      <c r="S164" s="15">
        <v>98148</v>
      </c>
      <c r="T164" s="15" t="s">
        <v>345</v>
      </c>
      <c r="U164" s="16">
        <v>3</v>
      </c>
      <c r="V164" s="16">
        <v>5</v>
      </c>
      <c r="W164" s="16">
        <v>1</v>
      </c>
    </row>
    <row r="165" spans="13:23" x14ac:dyDescent="0.2">
      <c r="M165" s="15">
        <v>98148</v>
      </c>
      <c r="N165" s="15" t="s">
        <v>345</v>
      </c>
      <c r="O165" s="16">
        <v>4</v>
      </c>
      <c r="P165" s="16">
        <v>7</v>
      </c>
      <c r="Q165" s="16">
        <v>4</v>
      </c>
      <c r="S165" s="15">
        <v>98148</v>
      </c>
      <c r="T165" s="15" t="s">
        <v>10</v>
      </c>
      <c r="U165" s="16">
        <v>54</v>
      </c>
      <c r="V165" s="16">
        <v>42</v>
      </c>
      <c r="W165" s="16">
        <v>46</v>
      </c>
    </row>
    <row r="166" spans="13:23" x14ac:dyDescent="0.2">
      <c r="M166" s="15">
        <v>98148</v>
      </c>
      <c r="N166" s="15" t="s">
        <v>10</v>
      </c>
      <c r="O166" s="16">
        <v>68</v>
      </c>
      <c r="P166" s="16">
        <v>66</v>
      </c>
      <c r="Q166" s="16">
        <v>44</v>
      </c>
      <c r="S166" s="15">
        <v>98155</v>
      </c>
      <c r="T166" s="15" t="s">
        <v>345</v>
      </c>
      <c r="U166" s="16">
        <v>1</v>
      </c>
      <c r="V166" s="16">
        <v>2</v>
      </c>
      <c r="W166" s="16">
        <v>1</v>
      </c>
    </row>
    <row r="167" spans="13:23" x14ac:dyDescent="0.2">
      <c r="M167" s="15">
        <v>98155</v>
      </c>
      <c r="N167" s="15" t="s">
        <v>345</v>
      </c>
      <c r="O167" s="16"/>
      <c r="P167" s="16">
        <v>2</v>
      </c>
      <c r="Q167" s="16">
        <v>1</v>
      </c>
      <c r="S167" s="15">
        <v>98155</v>
      </c>
      <c r="T167" s="15" t="s">
        <v>10</v>
      </c>
      <c r="U167" s="16">
        <v>17</v>
      </c>
      <c r="V167" s="16">
        <v>25</v>
      </c>
      <c r="W167" s="16">
        <v>31</v>
      </c>
    </row>
    <row r="168" spans="13:23" x14ac:dyDescent="0.2">
      <c r="M168" s="15">
        <v>98155</v>
      </c>
      <c r="N168" s="15" t="s">
        <v>10</v>
      </c>
      <c r="O168" s="16">
        <v>35</v>
      </c>
      <c r="P168" s="16">
        <v>23</v>
      </c>
      <c r="Q168" s="16">
        <v>26</v>
      </c>
      <c r="S168" s="15">
        <v>98158</v>
      </c>
      <c r="T168" s="15" t="s">
        <v>10</v>
      </c>
      <c r="U168" s="16"/>
      <c r="V168" s="16">
        <v>1</v>
      </c>
      <c r="W168" s="16"/>
    </row>
    <row r="169" spans="13:23" x14ac:dyDescent="0.2">
      <c r="M169" s="15">
        <v>98158</v>
      </c>
      <c r="N169" s="15" t="s">
        <v>345</v>
      </c>
      <c r="O169" s="16">
        <v>1</v>
      </c>
      <c r="P169" s="16"/>
      <c r="Q169" s="16"/>
      <c r="S169" s="15">
        <v>98166</v>
      </c>
      <c r="T169" s="15" t="s">
        <v>345</v>
      </c>
      <c r="U169" s="16">
        <v>3</v>
      </c>
      <c r="V169" s="16">
        <v>4</v>
      </c>
      <c r="W169" s="16">
        <v>5</v>
      </c>
    </row>
    <row r="170" spans="13:23" x14ac:dyDescent="0.2">
      <c r="M170" s="15">
        <v>98158</v>
      </c>
      <c r="N170" s="15" t="s">
        <v>10</v>
      </c>
      <c r="O170" s="16">
        <v>1</v>
      </c>
      <c r="P170" s="16">
        <v>1</v>
      </c>
      <c r="Q170" s="16"/>
      <c r="S170" s="15">
        <v>98166</v>
      </c>
      <c r="T170" s="15" t="s">
        <v>10</v>
      </c>
      <c r="U170" s="16">
        <v>39</v>
      </c>
      <c r="V170" s="16">
        <v>36</v>
      </c>
      <c r="W170" s="16">
        <v>32</v>
      </c>
    </row>
    <row r="171" spans="13:23" x14ac:dyDescent="0.2">
      <c r="M171" s="15">
        <v>98166</v>
      </c>
      <c r="N171" s="15" t="s">
        <v>345</v>
      </c>
      <c r="O171" s="16">
        <v>5</v>
      </c>
      <c r="P171" s="16">
        <v>4</v>
      </c>
      <c r="Q171" s="16">
        <v>6</v>
      </c>
      <c r="S171" s="15">
        <v>98168</v>
      </c>
      <c r="T171" s="15" t="s">
        <v>345</v>
      </c>
      <c r="U171" s="16">
        <v>3</v>
      </c>
      <c r="V171" s="16">
        <v>2</v>
      </c>
      <c r="W171" s="16">
        <v>4</v>
      </c>
    </row>
    <row r="172" spans="13:23" x14ac:dyDescent="0.2">
      <c r="M172" s="15">
        <v>98166</v>
      </c>
      <c r="N172" s="15" t="s">
        <v>10</v>
      </c>
      <c r="O172" s="16">
        <v>42</v>
      </c>
      <c r="P172" s="16">
        <v>53</v>
      </c>
      <c r="Q172" s="16">
        <v>42</v>
      </c>
      <c r="S172" s="15">
        <v>98168</v>
      </c>
      <c r="T172" s="15" t="s">
        <v>10</v>
      </c>
      <c r="U172" s="16">
        <v>48</v>
      </c>
      <c r="V172" s="16">
        <v>51</v>
      </c>
      <c r="W172" s="16">
        <v>35</v>
      </c>
    </row>
    <row r="173" spans="13:23" x14ac:dyDescent="0.2">
      <c r="M173" s="15">
        <v>98168</v>
      </c>
      <c r="N173" s="15" t="s">
        <v>345</v>
      </c>
      <c r="O173" s="16">
        <v>5</v>
      </c>
      <c r="P173" s="16">
        <v>5</v>
      </c>
      <c r="Q173" s="16">
        <v>3</v>
      </c>
      <c r="S173" s="15">
        <v>98177</v>
      </c>
      <c r="T173" s="15" t="s">
        <v>10</v>
      </c>
      <c r="U173" s="16">
        <v>17</v>
      </c>
      <c r="V173" s="16">
        <v>21</v>
      </c>
      <c r="W173" s="16">
        <v>20</v>
      </c>
    </row>
    <row r="174" spans="13:23" x14ac:dyDescent="0.2">
      <c r="M174" s="15">
        <v>98168</v>
      </c>
      <c r="N174" s="15" t="s">
        <v>10</v>
      </c>
      <c r="O174" s="16">
        <v>68</v>
      </c>
      <c r="P174" s="16">
        <v>63</v>
      </c>
      <c r="Q174" s="16">
        <v>32</v>
      </c>
      <c r="S174" s="15">
        <v>98178</v>
      </c>
      <c r="T174" s="15" t="s">
        <v>345</v>
      </c>
      <c r="U174" s="16">
        <v>1</v>
      </c>
      <c r="V174" s="16">
        <v>2</v>
      </c>
      <c r="W174" s="16">
        <v>1</v>
      </c>
    </row>
    <row r="175" spans="13:23" x14ac:dyDescent="0.2">
      <c r="M175" s="15">
        <v>98177</v>
      </c>
      <c r="N175" s="15" t="s">
        <v>345</v>
      </c>
      <c r="O175" s="16">
        <v>1</v>
      </c>
      <c r="P175" s="16"/>
      <c r="Q175" s="16"/>
      <c r="S175" s="15">
        <v>98178</v>
      </c>
      <c r="T175" s="15" t="s">
        <v>10</v>
      </c>
      <c r="U175" s="16">
        <v>28</v>
      </c>
      <c r="V175" s="16">
        <v>26</v>
      </c>
      <c r="W175" s="16">
        <v>22</v>
      </c>
    </row>
    <row r="176" spans="13:23" x14ac:dyDescent="0.2">
      <c r="M176" s="15">
        <v>98177</v>
      </c>
      <c r="N176" s="15" t="s">
        <v>10</v>
      </c>
      <c r="O176" s="16">
        <v>24</v>
      </c>
      <c r="P176" s="16">
        <v>27</v>
      </c>
      <c r="Q176" s="16">
        <v>19</v>
      </c>
      <c r="S176" s="15">
        <v>98188</v>
      </c>
      <c r="T176" s="15" t="s">
        <v>345</v>
      </c>
      <c r="U176" s="16">
        <v>12</v>
      </c>
      <c r="V176" s="16">
        <v>11</v>
      </c>
      <c r="W176" s="16">
        <v>10</v>
      </c>
    </row>
    <row r="177" spans="13:23" x14ac:dyDescent="0.2">
      <c r="M177" s="15">
        <v>98178</v>
      </c>
      <c r="N177" s="15" t="s">
        <v>345</v>
      </c>
      <c r="O177" s="16">
        <v>1</v>
      </c>
      <c r="P177" s="16">
        <v>2</v>
      </c>
      <c r="Q177" s="16">
        <v>3</v>
      </c>
      <c r="S177" s="15">
        <v>98188</v>
      </c>
      <c r="T177" s="15" t="s">
        <v>10</v>
      </c>
      <c r="U177" s="16">
        <v>154</v>
      </c>
      <c r="V177" s="16">
        <v>148</v>
      </c>
      <c r="W177" s="16">
        <v>112</v>
      </c>
    </row>
    <row r="178" spans="13:23" x14ac:dyDescent="0.2">
      <c r="M178" s="15">
        <v>98178</v>
      </c>
      <c r="N178" s="15" t="s">
        <v>10</v>
      </c>
      <c r="O178" s="16">
        <v>43</v>
      </c>
      <c r="P178" s="16">
        <v>32</v>
      </c>
      <c r="Q178" s="16">
        <v>18</v>
      </c>
      <c r="S178" s="15">
        <v>98198</v>
      </c>
      <c r="T178" s="15" t="s">
        <v>345</v>
      </c>
      <c r="U178" s="16">
        <v>6</v>
      </c>
      <c r="V178" s="16">
        <v>8</v>
      </c>
      <c r="W178" s="16">
        <v>8</v>
      </c>
    </row>
    <row r="179" spans="13:23" x14ac:dyDescent="0.2">
      <c r="M179" s="15">
        <v>98188</v>
      </c>
      <c r="N179" s="15" t="s">
        <v>345</v>
      </c>
      <c r="O179" s="16">
        <v>21</v>
      </c>
      <c r="P179" s="16">
        <v>20</v>
      </c>
      <c r="Q179" s="16">
        <v>16</v>
      </c>
      <c r="S179" s="15">
        <v>98198</v>
      </c>
      <c r="T179" s="15" t="s">
        <v>10</v>
      </c>
      <c r="U179" s="16">
        <v>271</v>
      </c>
      <c r="V179" s="16">
        <v>231</v>
      </c>
      <c r="W179" s="16">
        <v>205</v>
      </c>
    </row>
    <row r="180" spans="13:23" x14ac:dyDescent="0.2">
      <c r="M180" s="15">
        <v>98188</v>
      </c>
      <c r="N180" s="15" t="s">
        <v>10</v>
      </c>
      <c r="O180" s="16">
        <v>181</v>
      </c>
      <c r="P180" s="16">
        <v>186</v>
      </c>
      <c r="Q180" s="16">
        <v>115</v>
      </c>
      <c r="S180" s="15">
        <v>98199</v>
      </c>
      <c r="T180" s="15" t="s">
        <v>345</v>
      </c>
      <c r="U180" s="16"/>
      <c r="V180" s="16">
        <v>1</v>
      </c>
      <c r="W180" s="16">
        <v>2</v>
      </c>
    </row>
    <row r="181" spans="13:23" x14ac:dyDescent="0.2">
      <c r="M181" s="15">
        <v>98198</v>
      </c>
      <c r="N181" s="15" t="s">
        <v>345</v>
      </c>
      <c r="O181" s="16">
        <v>14</v>
      </c>
      <c r="P181" s="16">
        <v>10</v>
      </c>
      <c r="Q181" s="16">
        <v>8</v>
      </c>
      <c r="S181" s="15">
        <v>98199</v>
      </c>
      <c r="T181" s="15" t="s">
        <v>10</v>
      </c>
      <c r="U181" s="16">
        <v>12</v>
      </c>
      <c r="V181" s="16">
        <v>13</v>
      </c>
      <c r="W181" s="16">
        <v>9</v>
      </c>
    </row>
    <row r="182" spans="13:23" x14ac:dyDescent="0.2">
      <c r="M182" s="15">
        <v>98198</v>
      </c>
      <c r="N182" s="15" t="s">
        <v>10</v>
      </c>
      <c r="O182" s="16">
        <v>343</v>
      </c>
      <c r="P182" s="16">
        <v>333</v>
      </c>
      <c r="Q182" s="16">
        <v>184</v>
      </c>
      <c r="S182" s="15">
        <v>98201</v>
      </c>
      <c r="T182" s="15" t="s">
        <v>345</v>
      </c>
      <c r="U182" s="16">
        <v>3</v>
      </c>
      <c r="V182" s="16">
        <v>5</v>
      </c>
      <c r="W182" s="16">
        <v>1</v>
      </c>
    </row>
    <row r="183" spans="13:23" x14ac:dyDescent="0.2">
      <c r="M183" s="15">
        <v>98199</v>
      </c>
      <c r="N183" s="15" t="s">
        <v>345</v>
      </c>
      <c r="O183" s="16">
        <v>1</v>
      </c>
      <c r="P183" s="16">
        <v>1</v>
      </c>
      <c r="Q183" s="16">
        <v>2</v>
      </c>
      <c r="S183" s="15">
        <v>98201</v>
      </c>
      <c r="T183" s="15" t="s">
        <v>10</v>
      </c>
      <c r="U183" s="16">
        <v>33</v>
      </c>
      <c r="V183" s="16">
        <v>37</v>
      </c>
      <c r="W183" s="16">
        <v>37</v>
      </c>
    </row>
    <row r="184" spans="13:23" x14ac:dyDescent="0.2">
      <c r="M184" s="15">
        <v>98199</v>
      </c>
      <c r="N184" s="15" t="s">
        <v>10</v>
      </c>
      <c r="O184" s="16">
        <v>18</v>
      </c>
      <c r="P184" s="16">
        <v>13</v>
      </c>
      <c r="Q184" s="16">
        <v>10</v>
      </c>
      <c r="S184" s="15">
        <v>98203</v>
      </c>
      <c r="T184" s="15" t="s">
        <v>345</v>
      </c>
      <c r="U184" s="16">
        <v>7</v>
      </c>
      <c r="V184" s="16">
        <v>6</v>
      </c>
      <c r="W184" s="16">
        <v>3</v>
      </c>
    </row>
    <row r="185" spans="13:23" x14ac:dyDescent="0.2">
      <c r="M185" s="15">
        <v>98201</v>
      </c>
      <c r="N185" s="15" t="s">
        <v>345</v>
      </c>
      <c r="O185" s="16">
        <v>5</v>
      </c>
      <c r="P185" s="16">
        <v>6</v>
      </c>
      <c r="Q185" s="16">
        <v>3</v>
      </c>
      <c r="S185" s="15">
        <v>98203</v>
      </c>
      <c r="T185" s="15" t="s">
        <v>10</v>
      </c>
      <c r="U185" s="16">
        <v>43</v>
      </c>
      <c r="V185" s="16">
        <v>35</v>
      </c>
      <c r="W185" s="16">
        <v>31</v>
      </c>
    </row>
    <row r="186" spans="13:23" x14ac:dyDescent="0.2">
      <c r="M186" s="15">
        <v>98201</v>
      </c>
      <c r="N186" s="15" t="s">
        <v>10</v>
      </c>
      <c r="O186" s="16">
        <v>42</v>
      </c>
      <c r="P186" s="16">
        <v>43</v>
      </c>
      <c r="Q186" s="16">
        <v>37</v>
      </c>
      <c r="S186" s="15">
        <v>98204</v>
      </c>
      <c r="T186" s="15" t="s">
        <v>345</v>
      </c>
      <c r="U186" s="16">
        <v>7</v>
      </c>
      <c r="V186" s="16">
        <v>4</v>
      </c>
      <c r="W186" s="16">
        <v>6</v>
      </c>
    </row>
    <row r="187" spans="13:23" x14ac:dyDescent="0.2">
      <c r="M187" s="15">
        <v>98203</v>
      </c>
      <c r="N187" s="15" t="s">
        <v>345</v>
      </c>
      <c r="O187" s="16">
        <v>9</v>
      </c>
      <c r="P187" s="16">
        <v>9</v>
      </c>
      <c r="Q187" s="16">
        <v>7</v>
      </c>
      <c r="S187" s="15">
        <v>98204</v>
      </c>
      <c r="T187" s="15" t="s">
        <v>10</v>
      </c>
      <c r="U187" s="16">
        <v>18</v>
      </c>
      <c r="V187" s="16">
        <v>33</v>
      </c>
      <c r="W187" s="16">
        <v>19</v>
      </c>
    </row>
    <row r="188" spans="13:23" x14ac:dyDescent="0.2">
      <c r="M188" s="15">
        <v>98203</v>
      </c>
      <c r="N188" s="15" t="s">
        <v>10</v>
      </c>
      <c r="O188" s="16">
        <v>53</v>
      </c>
      <c r="P188" s="16">
        <v>42</v>
      </c>
      <c r="Q188" s="16">
        <v>31</v>
      </c>
      <c r="S188" s="15">
        <v>98208</v>
      </c>
      <c r="T188" s="15" t="s">
        <v>345</v>
      </c>
      <c r="U188" s="16">
        <v>2</v>
      </c>
      <c r="V188" s="16">
        <v>2</v>
      </c>
      <c r="W188" s="16">
        <v>1</v>
      </c>
    </row>
    <row r="189" spans="13:23" x14ac:dyDescent="0.2">
      <c r="M189" s="15">
        <v>98204</v>
      </c>
      <c r="N189" s="15" t="s">
        <v>345</v>
      </c>
      <c r="O189" s="16">
        <v>10</v>
      </c>
      <c r="P189" s="16">
        <v>10</v>
      </c>
      <c r="Q189" s="16">
        <v>7</v>
      </c>
      <c r="S189" s="15">
        <v>98208</v>
      </c>
      <c r="T189" s="15" t="s">
        <v>10</v>
      </c>
      <c r="U189" s="16">
        <v>38</v>
      </c>
      <c r="V189" s="16">
        <v>38</v>
      </c>
      <c r="W189" s="16">
        <v>30</v>
      </c>
    </row>
    <row r="190" spans="13:23" x14ac:dyDescent="0.2">
      <c r="M190" s="15">
        <v>98204</v>
      </c>
      <c r="N190" s="15" t="s">
        <v>10</v>
      </c>
      <c r="O190" s="16">
        <v>24</v>
      </c>
      <c r="P190" s="16">
        <v>43</v>
      </c>
      <c r="Q190" s="16">
        <v>25</v>
      </c>
      <c r="S190" s="15">
        <v>98220</v>
      </c>
      <c r="T190" s="15" t="s">
        <v>345</v>
      </c>
      <c r="U190" s="16"/>
      <c r="V190" s="16"/>
      <c r="W190" s="16">
        <v>1</v>
      </c>
    </row>
    <row r="191" spans="13:23" x14ac:dyDescent="0.2">
      <c r="M191" s="15">
        <v>98208</v>
      </c>
      <c r="N191" s="15" t="s">
        <v>345</v>
      </c>
      <c r="O191" s="16">
        <v>2</v>
      </c>
      <c r="P191" s="16">
        <v>3</v>
      </c>
      <c r="Q191" s="16">
        <v>1</v>
      </c>
      <c r="S191" s="15">
        <v>98220</v>
      </c>
      <c r="T191" s="15" t="s">
        <v>10</v>
      </c>
      <c r="U191" s="16">
        <v>3</v>
      </c>
      <c r="V191" s="16">
        <v>1</v>
      </c>
      <c r="W191" s="16">
        <v>1</v>
      </c>
    </row>
    <row r="192" spans="13:23" x14ac:dyDescent="0.2">
      <c r="M192" s="15">
        <v>98208</v>
      </c>
      <c r="N192" s="15" t="s">
        <v>10</v>
      </c>
      <c r="O192" s="16">
        <v>50</v>
      </c>
      <c r="P192" s="16">
        <v>47</v>
      </c>
      <c r="Q192" s="16">
        <v>34</v>
      </c>
      <c r="S192" s="15">
        <v>98221</v>
      </c>
      <c r="T192" s="15" t="s">
        <v>345</v>
      </c>
      <c r="U192" s="16">
        <v>6</v>
      </c>
      <c r="V192" s="16">
        <v>3</v>
      </c>
      <c r="W192" s="16">
        <v>8</v>
      </c>
    </row>
    <row r="193" spans="13:23" x14ac:dyDescent="0.2">
      <c r="M193" s="15">
        <v>98220</v>
      </c>
      <c r="N193" s="15" t="s">
        <v>345</v>
      </c>
      <c r="O193" s="16"/>
      <c r="P193" s="16">
        <v>2</v>
      </c>
      <c r="Q193" s="16"/>
      <c r="S193" s="15">
        <v>98221</v>
      </c>
      <c r="T193" s="15" t="s">
        <v>10</v>
      </c>
      <c r="U193" s="16">
        <v>38</v>
      </c>
      <c r="V193" s="16">
        <v>46</v>
      </c>
      <c r="W193" s="16">
        <v>34</v>
      </c>
    </row>
    <row r="194" spans="13:23" x14ac:dyDescent="0.2">
      <c r="M194" s="15">
        <v>98220</v>
      </c>
      <c r="N194" s="15" t="s">
        <v>10</v>
      </c>
      <c r="O194" s="16">
        <v>2</v>
      </c>
      <c r="P194" s="16">
        <v>2</v>
      </c>
      <c r="Q194" s="16">
        <v>4</v>
      </c>
      <c r="S194" s="15">
        <v>98223</v>
      </c>
      <c r="T194" s="15" t="s">
        <v>345</v>
      </c>
      <c r="U194" s="16">
        <v>1</v>
      </c>
      <c r="V194" s="16"/>
      <c r="W194" s="16">
        <v>2</v>
      </c>
    </row>
    <row r="195" spans="13:23" x14ac:dyDescent="0.2">
      <c r="M195" s="15">
        <v>98221</v>
      </c>
      <c r="N195" s="15" t="s">
        <v>345</v>
      </c>
      <c r="O195" s="16">
        <v>9</v>
      </c>
      <c r="P195" s="16">
        <v>12</v>
      </c>
      <c r="Q195" s="16">
        <v>13</v>
      </c>
      <c r="S195" s="15">
        <v>98223</v>
      </c>
      <c r="T195" s="15" t="s">
        <v>10</v>
      </c>
      <c r="U195" s="16">
        <v>2</v>
      </c>
      <c r="V195" s="16">
        <v>1</v>
      </c>
      <c r="W195" s="16">
        <v>1</v>
      </c>
    </row>
    <row r="196" spans="13:23" x14ac:dyDescent="0.2">
      <c r="M196" s="15">
        <v>98221</v>
      </c>
      <c r="N196" s="15" t="s">
        <v>10</v>
      </c>
      <c r="O196" s="16">
        <v>56</v>
      </c>
      <c r="P196" s="16">
        <v>52</v>
      </c>
      <c r="Q196" s="16">
        <v>41</v>
      </c>
      <c r="S196" s="15">
        <v>98224</v>
      </c>
      <c r="T196" s="15" t="s">
        <v>10</v>
      </c>
      <c r="U196" s="16">
        <v>5</v>
      </c>
      <c r="V196" s="16">
        <v>4</v>
      </c>
      <c r="W196" s="16">
        <v>4</v>
      </c>
    </row>
    <row r="197" spans="13:23" x14ac:dyDescent="0.2">
      <c r="M197" s="15">
        <v>98223</v>
      </c>
      <c r="N197" s="15" t="s">
        <v>345</v>
      </c>
      <c r="O197" s="16">
        <v>1</v>
      </c>
      <c r="P197" s="16"/>
      <c r="Q197" s="16">
        <v>2</v>
      </c>
      <c r="S197" s="15">
        <v>98225</v>
      </c>
      <c r="T197" s="15" t="s">
        <v>345</v>
      </c>
      <c r="U197" s="16">
        <v>4</v>
      </c>
      <c r="V197" s="16">
        <v>18</v>
      </c>
      <c r="W197" s="16">
        <v>7</v>
      </c>
    </row>
    <row r="198" spans="13:23" x14ac:dyDescent="0.2">
      <c r="M198" s="15">
        <v>98223</v>
      </c>
      <c r="N198" s="15" t="s">
        <v>10</v>
      </c>
      <c r="O198" s="16">
        <v>3</v>
      </c>
      <c r="P198" s="16">
        <v>1</v>
      </c>
      <c r="Q198" s="16">
        <v>1</v>
      </c>
      <c r="S198" s="15">
        <v>98225</v>
      </c>
      <c r="T198" s="15" t="s">
        <v>10</v>
      </c>
      <c r="U198" s="16">
        <v>94</v>
      </c>
      <c r="V198" s="16">
        <v>156</v>
      </c>
      <c r="W198" s="16">
        <v>143</v>
      </c>
    </row>
    <row r="199" spans="13:23" x14ac:dyDescent="0.2">
      <c r="M199" s="15">
        <v>98224</v>
      </c>
      <c r="N199" s="15" t="s">
        <v>10</v>
      </c>
      <c r="O199" s="16">
        <v>6</v>
      </c>
      <c r="P199" s="16">
        <v>4</v>
      </c>
      <c r="Q199" s="16">
        <v>5</v>
      </c>
      <c r="S199" s="15">
        <v>98226</v>
      </c>
      <c r="T199" s="15" t="s">
        <v>345</v>
      </c>
      <c r="U199" s="16">
        <v>11</v>
      </c>
      <c r="V199" s="16">
        <v>33</v>
      </c>
      <c r="W199" s="16">
        <v>32</v>
      </c>
    </row>
    <row r="200" spans="13:23" x14ac:dyDescent="0.2">
      <c r="M200" s="15">
        <v>98225</v>
      </c>
      <c r="N200" s="15" t="s">
        <v>345</v>
      </c>
      <c r="O200" s="16">
        <v>26</v>
      </c>
      <c r="P200" s="16">
        <v>11</v>
      </c>
      <c r="Q200" s="16">
        <v>15</v>
      </c>
      <c r="S200" s="15">
        <v>98226</v>
      </c>
      <c r="T200" s="15" t="s">
        <v>10</v>
      </c>
      <c r="U200" s="16">
        <v>163</v>
      </c>
      <c r="V200" s="16">
        <v>202</v>
      </c>
      <c r="W200" s="16">
        <v>140</v>
      </c>
    </row>
    <row r="201" spans="13:23" x14ac:dyDescent="0.2">
      <c r="M201" s="15">
        <v>98225</v>
      </c>
      <c r="N201" s="15" t="s">
        <v>10</v>
      </c>
      <c r="O201" s="16">
        <v>147</v>
      </c>
      <c r="P201" s="16">
        <v>151</v>
      </c>
      <c r="Q201" s="16">
        <v>176</v>
      </c>
      <c r="S201" s="15">
        <v>98229</v>
      </c>
      <c r="T201" s="15" t="s">
        <v>345</v>
      </c>
      <c r="U201" s="16">
        <v>3</v>
      </c>
      <c r="V201" s="16">
        <v>7</v>
      </c>
      <c r="W201" s="16">
        <v>4</v>
      </c>
    </row>
    <row r="202" spans="13:23" x14ac:dyDescent="0.2">
      <c r="M202" s="15">
        <v>98226</v>
      </c>
      <c r="N202" s="15" t="s">
        <v>345</v>
      </c>
      <c r="O202" s="16">
        <v>38</v>
      </c>
      <c r="P202" s="16">
        <v>37</v>
      </c>
      <c r="Q202" s="16">
        <v>28</v>
      </c>
      <c r="S202" s="15">
        <v>98229</v>
      </c>
      <c r="T202" s="15" t="s">
        <v>10</v>
      </c>
      <c r="U202" s="16">
        <v>75</v>
      </c>
      <c r="V202" s="16">
        <v>111</v>
      </c>
      <c r="W202" s="16">
        <v>81</v>
      </c>
    </row>
    <row r="203" spans="13:23" x14ac:dyDescent="0.2">
      <c r="M203" s="15">
        <v>98226</v>
      </c>
      <c r="N203" s="15" t="s">
        <v>10</v>
      </c>
      <c r="O203" s="16">
        <v>208</v>
      </c>
      <c r="P203" s="16">
        <v>211</v>
      </c>
      <c r="Q203" s="16">
        <v>165</v>
      </c>
      <c r="S203" s="15">
        <v>98230</v>
      </c>
      <c r="T203" s="15" t="s">
        <v>345</v>
      </c>
      <c r="U203" s="16">
        <v>4</v>
      </c>
      <c r="V203" s="16">
        <v>4</v>
      </c>
      <c r="W203" s="16">
        <v>3</v>
      </c>
    </row>
    <row r="204" spans="13:23" x14ac:dyDescent="0.2">
      <c r="M204" s="15">
        <v>98229</v>
      </c>
      <c r="N204" s="15" t="s">
        <v>345</v>
      </c>
      <c r="O204" s="16">
        <v>2</v>
      </c>
      <c r="P204" s="16">
        <v>6</v>
      </c>
      <c r="Q204" s="16">
        <v>5</v>
      </c>
      <c r="S204" s="15">
        <v>98230</v>
      </c>
      <c r="T204" s="15" t="s">
        <v>10</v>
      </c>
      <c r="U204" s="16">
        <v>43</v>
      </c>
      <c r="V204" s="16">
        <v>48</v>
      </c>
      <c r="W204" s="16">
        <v>36</v>
      </c>
    </row>
    <row r="205" spans="13:23" x14ac:dyDescent="0.2">
      <c r="M205" s="15">
        <v>98229</v>
      </c>
      <c r="N205" s="15" t="s">
        <v>10</v>
      </c>
      <c r="O205" s="16">
        <v>118</v>
      </c>
      <c r="P205" s="16">
        <v>103</v>
      </c>
      <c r="Q205" s="16">
        <v>95</v>
      </c>
      <c r="S205" s="15">
        <v>98232</v>
      </c>
      <c r="T205" s="15" t="s">
        <v>345</v>
      </c>
      <c r="U205" s="16">
        <v>1</v>
      </c>
      <c r="V205" s="16">
        <v>4</v>
      </c>
      <c r="W205" s="16">
        <v>1</v>
      </c>
    </row>
    <row r="206" spans="13:23" x14ac:dyDescent="0.2">
      <c r="M206" s="15">
        <v>98230</v>
      </c>
      <c r="N206" s="15" t="s">
        <v>345</v>
      </c>
      <c r="O206" s="16">
        <v>5</v>
      </c>
      <c r="P206" s="16">
        <v>4</v>
      </c>
      <c r="Q206" s="16">
        <v>8</v>
      </c>
      <c r="S206" s="15">
        <v>98232</v>
      </c>
      <c r="T206" s="15" t="s">
        <v>10</v>
      </c>
      <c r="U206" s="16">
        <v>11</v>
      </c>
      <c r="V206" s="16">
        <v>14</v>
      </c>
      <c r="W206" s="16">
        <v>9</v>
      </c>
    </row>
    <row r="207" spans="13:23" x14ac:dyDescent="0.2">
      <c r="M207" s="15">
        <v>98230</v>
      </c>
      <c r="N207" s="15" t="s">
        <v>10</v>
      </c>
      <c r="O207" s="16">
        <v>59</v>
      </c>
      <c r="P207" s="16">
        <v>58</v>
      </c>
      <c r="Q207" s="16">
        <v>34</v>
      </c>
      <c r="S207" s="15">
        <v>98233</v>
      </c>
      <c r="T207" s="15" t="s">
        <v>345</v>
      </c>
      <c r="U207" s="16">
        <v>1</v>
      </c>
      <c r="V207" s="16">
        <v>4</v>
      </c>
      <c r="W207" s="16">
        <v>6</v>
      </c>
    </row>
    <row r="208" spans="13:23" x14ac:dyDescent="0.2">
      <c r="M208" s="15">
        <v>98232</v>
      </c>
      <c r="N208" s="15" t="s">
        <v>345</v>
      </c>
      <c r="O208" s="16">
        <v>3</v>
      </c>
      <c r="P208" s="16">
        <v>2</v>
      </c>
      <c r="Q208" s="16">
        <v>2</v>
      </c>
      <c r="S208" s="15">
        <v>98233</v>
      </c>
      <c r="T208" s="15" t="s">
        <v>10</v>
      </c>
      <c r="U208" s="16">
        <v>36</v>
      </c>
      <c r="V208" s="16">
        <v>78</v>
      </c>
      <c r="W208" s="16">
        <v>45</v>
      </c>
    </row>
    <row r="209" spans="13:23" x14ac:dyDescent="0.2">
      <c r="M209" s="15">
        <v>98232</v>
      </c>
      <c r="N209" s="15" t="s">
        <v>10</v>
      </c>
      <c r="O209" s="16">
        <v>19</v>
      </c>
      <c r="P209" s="16">
        <v>16</v>
      </c>
      <c r="Q209" s="16">
        <v>7</v>
      </c>
      <c r="S209" s="15">
        <v>98235</v>
      </c>
      <c r="T209" s="15" t="s">
        <v>10</v>
      </c>
      <c r="U209" s="16">
        <v>3</v>
      </c>
      <c r="V209" s="16">
        <v>3</v>
      </c>
      <c r="W209" s="16">
        <v>2</v>
      </c>
    </row>
    <row r="210" spans="13:23" x14ac:dyDescent="0.2">
      <c r="M210" s="15">
        <v>98233</v>
      </c>
      <c r="N210" s="15" t="s">
        <v>345</v>
      </c>
      <c r="O210" s="16">
        <v>6</v>
      </c>
      <c r="P210" s="16">
        <v>9</v>
      </c>
      <c r="Q210" s="16">
        <v>11</v>
      </c>
      <c r="S210" s="15">
        <v>98236</v>
      </c>
      <c r="T210" s="15" t="s">
        <v>345</v>
      </c>
      <c r="U210" s="16">
        <v>6</v>
      </c>
      <c r="V210" s="16">
        <v>2</v>
      </c>
      <c r="W210" s="16"/>
    </row>
    <row r="211" spans="13:23" x14ac:dyDescent="0.2">
      <c r="M211" s="15">
        <v>98233</v>
      </c>
      <c r="N211" s="15" t="s">
        <v>10</v>
      </c>
      <c r="O211" s="16">
        <v>69</v>
      </c>
      <c r="P211" s="16">
        <v>62</v>
      </c>
      <c r="Q211" s="16">
        <v>55</v>
      </c>
      <c r="S211" s="15">
        <v>98236</v>
      </c>
      <c r="T211" s="15" t="s">
        <v>10</v>
      </c>
      <c r="U211" s="16">
        <v>17</v>
      </c>
      <c r="V211" s="16">
        <v>24</v>
      </c>
      <c r="W211" s="16">
        <v>27</v>
      </c>
    </row>
    <row r="212" spans="13:23" x14ac:dyDescent="0.2">
      <c r="M212" s="15">
        <v>98235</v>
      </c>
      <c r="N212" s="15" t="s">
        <v>10</v>
      </c>
      <c r="O212" s="16">
        <v>6</v>
      </c>
      <c r="P212" s="16">
        <v>3</v>
      </c>
      <c r="Q212" s="16"/>
      <c r="S212" s="15">
        <v>98237</v>
      </c>
      <c r="T212" s="15" t="s">
        <v>345</v>
      </c>
      <c r="U212" s="16">
        <v>2</v>
      </c>
      <c r="V212" s="16">
        <v>1</v>
      </c>
      <c r="W212" s="16">
        <v>1</v>
      </c>
    </row>
    <row r="213" spans="13:23" x14ac:dyDescent="0.2">
      <c r="M213" s="15">
        <v>98236</v>
      </c>
      <c r="N213" s="15" t="s">
        <v>345</v>
      </c>
      <c r="O213" s="16">
        <v>5</v>
      </c>
      <c r="P213" s="16">
        <v>4</v>
      </c>
      <c r="Q213" s="16">
        <v>1</v>
      </c>
      <c r="S213" s="15">
        <v>98237</v>
      </c>
      <c r="T213" s="15" t="s">
        <v>10</v>
      </c>
      <c r="U213" s="16">
        <v>42</v>
      </c>
      <c r="V213" s="16">
        <v>29</v>
      </c>
      <c r="W213" s="16">
        <v>33</v>
      </c>
    </row>
    <row r="214" spans="13:23" x14ac:dyDescent="0.2">
      <c r="M214" s="15">
        <v>98236</v>
      </c>
      <c r="N214" s="15" t="s">
        <v>10</v>
      </c>
      <c r="O214" s="16">
        <v>34</v>
      </c>
      <c r="P214" s="16">
        <v>27</v>
      </c>
      <c r="Q214" s="16">
        <v>19</v>
      </c>
      <c r="S214" s="15">
        <v>98239</v>
      </c>
      <c r="T214" s="15" t="s">
        <v>345</v>
      </c>
      <c r="U214" s="16"/>
      <c r="V214" s="16"/>
      <c r="W214" s="16">
        <v>1</v>
      </c>
    </row>
    <row r="215" spans="13:23" x14ac:dyDescent="0.2">
      <c r="M215" s="15">
        <v>98237</v>
      </c>
      <c r="N215" s="15" t="s">
        <v>345</v>
      </c>
      <c r="O215" s="16">
        <v>4</v>
      </c>
      <c r="P215" s="16">
        <v>2</v>
      </c>
      <c r="Q215" s="16">
        <v>1</v>
      </c>
      <c r="S215" s="15">
        <v>98239</v>
      </c>
      <c r="T215" s="15" t="s">
        <v>10</v>
      </c>
      <c r="U215" s="16">
        <v>23</v>
      </c>
      <c r="V215" s="16">
        <v>27</v>
      </c>
      <c r="W215" s="16">
        <v>21</v>
      </c>
    </row>
    <row r="216" spans="13:23" x14ac:dyDescent="0.2">
      <c r="M216" s="15">
        <v>98237</v>
      </c>
      <c r="N216" s="15" t="s">
        <v>10</v>
      </c>
      <c r="O216" s="16">
        <v>60</v>
      </c>
      <c r="P216" s="16">
        <v>39</v>
      </c>
      <c r="Q216" s="16">
        <v>43</v>
      </c>
      <c r="S216" s="15">
        <v>98240</v>
      </c>
      <c r="T216" s="15" t="s">
        <v>345</v>
      </c>
      <c r="U216" s="16"/>
      <c r="V216" s="16">
        <v>1</v>
      </c>
      <c r="W216" s="16">
        <v>1</v>
      </c>
    </row>
    <row r="217" spans="13:23" x14ac:dyDescent="0.2">
      <c r="M217" s="15">
        <v>98239</v>
      </c>
      <c r="N217" s="15" t="s">
        <v>345</v>
      </c>
      <c r="O217" s="16"/>
      <c r="P217" s="16"/>
      <c r="Q217" s="16">
        <v>4</v>
      </c>
      <c r="S217" s="15">
        <v>98240</v>
      </c>
      <c r="T217" s="15" t="s">
        <v>10</v>
      </c>
      <c r="U217" s="16">
        <v>10</v>
      </c>
      <c r="V217" s="16">
        <v>7</v>
      </c>
      <c r="W217" s="16">
        <v>7</v>
      </c>
    </row>
    <row r="218" spans="13:23" x14ac:dyDescent="0.2">
      <c r="M218" s="15">
        <v>98239</v>
      </c>
      <c r="N218" s="15" t="s">
        <v>10</v>
      </c>
      <c r="O218" s="16">
        <v>44</v>
      </c>
      <c r="P218" s="16">
        <v>30</v>
      </c>
      <c r="Q218" s="16">
        <v>20</v>
      </c>
      <c r="S218" s="15">
        <v>98244</v>
      </c>
      <c r="T218" s="15" t="s">
        <v>345</v>
      </c>
      <c r="U218" s="16">
        <v>1</v>
      </c>
      <c r="V218" s="16">
        <v>2</v>
      </c>
      <c r="W218" s="16">
        <v>1</v>
      </c>
    </row>
    <row r="219" spans="13:23" x14ac:dyDescent="0.2">
      <c r="M219" s="15">
        <v>98240</v>
      </c>
      <c r="N219" s="15" t="s">
        <v>345</v>
      </c>
      <c r="O219" s="16">
        <v>2</v>
      </c>
      <c r="P219" s="16"/>
      <c r="Q219" s="16">
        <v>1</v>
      </c>
      <c r="S219" s="15">
        <v>98244</v>
      </c>
      <c r="T219" s="15" t="s">
        <v>10</v>
      </c>
      <c r="U219" s="16">
        <v>17</v>
      </c>
      <c r="V219" s="16">
        <v>19</v>
      </c>
      <c r="W219" s="16">
        <v>9</v>
      </c>
    </row>
    <row r="220" spans="13:23" x14ac:dyDescent="0.2">
      <c r="M220" s="15">
        <v>98240</v>
      </c>
      <c r="N220" s="15" t="s">
        <v>10</v>
      </c>
      <c r="O220" s="16">
        <v>16</v>
      </c>
      <c r="P220" s="16">
        <v>4</v>
      </c>
      <c r="Q220" s="16">
        <v>10</v>
      </c>
      <c r="S220" s="15">
        <v>98247</v>
      </c>
      <c r="T220" s="15" t="s">
        <v>345</v>
      </c>
      <c r="U220" s="16">
        <v>1</v>
      </c>
      <c r="V220" s="16">
        <v>2</v>
      </c>
      <c r="W220" s="16"/>
    </row>
    <row r="221" spans="13:23" x14ac:dyDescent="0.2">
      <c r="M221" s="15">
        <v>98244</v>
      </c>
      <c r="N221" s="15" t="s">
        <v>345</v>
      </c>
      <c r="O221" s="16">
        <v>2</v>
      </c>
      <c r="P221" s="16">
        <v>4</v>
      </c>
      <c r="Q221" s="16">
        <v>2</v>
      </c>
      <c r="S221" s="15">
        <v>98247</v>
      </c>
      <c r="T221" s="15" t="s">
        <v>10</v>
      </c>
      <c r="U221" s="16">
        <v>39</v>
      </c>
      <c r="V221" s="16">
        <v>36</v>
      </c>
      <c r="W221" s="16">
        <v>24</v>
      </c>
    </row>
    <row r="222" spans="13:23" x14ac:dyDescent="0.2">
      <c r="M222" s="15">
        <v>98244</v>
      </c>
      <c r="N222" s="15" t="s">
        <v>10</v>
      </c>
      <c r="O222" s="16">
        <v>24</v>
      </c>
      <c r="P222" s="16">
        <v>24</v>
      </c>
      <c r="Q222" s="16">
        <v>14</v>
      </c>
      <c r="S222" s="15">
        <v>98248</v>
      </c>
      <c r="T222" s="15" t="s">
        <v>345</v>
      </c>
      <c r="U222" s="16">
        <v>10</v>
      </c>
      <c r="V222" s="16">
        <v>20</v>
      </c>
      <c r="W222" s="16">
        <v>12</v>
      </c>
    </row>
    <row r="223" spans="13:23" x14ac:dyDescent="0.2">
      <c r="M223" s="15">
        <v>98247</v>
      </c>
      <c r="N223" s="15" t="s">
        <v>345</v>
      </c>
      <c r="O223" s="16">
        <v>4</v>
      </c>
      <c r="P223" s="16">
        <v>2</v>
      </c>
      <c r="Q223" s="16">
        <v>3</v>
      </c>
      <c r="S223" s="15">
        <v>98248</v>
      </c>
      <c r="T223" s="15" t="s">
        <v>10</v>
      </c>
      <c r="U223" s="16">
        <v>96</v>
      </c>
      <c r="V223" s="16">
        <v>89</v>
      </c>
      <c r="W223" s="16">
        <v>57</v>
      </c>
    </row>
    <row r="224" spans="13:23" x14ac:dyDescent="0.2">
      <c r="M224" s="15">
        <v>98247</v>
      </c>
      <c r="N224" s="15" t="s">
        <v>10</v>
      </c>
      <c r="O224" s="16">
        <v>49</v>
      </c>
      <c r="P224" s="16">
        <v>47</v>
      </c>
      <c r="Q224" s="16">
        <v>27</v>
      </c>
      <c r="S224" s="15">
        <v>98249</v>
      </c>
      <c r="T224" s="15" t="s">
        <v>345</v>
      </c>
      <c r="U224" s="16">
        <v>2</v>
      </c>
      <c r="V224" s="16">
        <v>1</v>
      </c>
      <c r="W224" s="16">
        <v>1</v>
      </c>
    </row>
    <row r="225" spans="13:23" x14ac:dyDescent="0.2">
      <c r="M225" s="15">
        <v>98248</v>
      </c>
      <c r="N225" s="15" t="s">
        <v>345</v>
      </c>
      <c r="O225" s="16">
        <v>20</v>
      </c>
      <c r="P225" s="16">
        <v>25</v>
      </c>
      <c r="Q225" s="16">
        <v>15</v>
      </c>
      <c r="S225" s="15">
        <v>98249</v>
      </c>
      <c r="T225" s="15" t="s">
        <v>10</v>
      </c>
      <c r="U225" s="16">
        <v>14</v>
      </c>
      <c r="V225" s="16">
        <v>14</v>
      </c>
      <c r="W225" s="16">
        <v>15</v>
      </c>
    </row>
    <row r="226" spans="13:23" x14ac:dyDescent="0.2">
      <c r="M226" s="15">
        <v>98248</v>
      </c>
      <c r="N226" s="15" t="s">
        <v>10</v>
      </c>
      <c r="O226" s="16">
        <v>124</v>
      </c>
      <c r="P226" s="16">
        <v>111</v>
      </c>
      <c r="Q226" s="16">
        <v>82</v>
      </c>
      <c r="S226" s="15">
        <v>98251</v>
      </c>
      <c r="T226" s="15" t="s">
        <v>10</v>
      </c>
      <c r="U226" s="16">
        <v>4</v>
      </c>
      <c r="V226" s="16">
        <v>2</v>
      </c>
      <c r="W226" s="16">
        <v>3</v>
      </c>
    </row>
    <row r="227" spans="13:23" x14ac:dyDescent="0.2">
      <c r="M227" s="15">
        <v>98249</v>
      </c>
      <c r="N227" s="15" t="s">
        <v>345</v>
      </c>
      <c r="O227" s="16">
        <v>1</v>
      </c>
      <c r="P227" s="16">
        <v>2</v>
      </c>
      <c r="Q227" s="16">
        <v>3</v>
      </c>
      <c r="S227" s="15">
        <v>98252</v>
      </c>
      <c r="T227" s="15" t="s">
        <v>345</v>
      </c>
      <c r="U227" s="16"/>
      <c r="V227" s="16"/>
      <c r="W227" s="16">
        <v>1</v>
      </c>
    </row>
    <row r="228" spans="13:23" x14ac:dyDescent="0.2">
      <c r="M228" s="15">
        <v>98249</v>
      </c>
      <c r="N228" s="15" t="s">
        <v>10</v>
      </c>
      <c r="O228" s="16">
        <v>15</v>
      </c>
      <c r="P228" s="16">
        <v>19</v>
      </c>
      <c r="Q228" s="16">
        <v>11</v>
      </c>
      <c r="S228" s="15">
        <v>98252</v>
      </c>
      <c r="T228" s="15" t="s">
        <v>10</v>
      </c>
      <c r="U228" s="16">
        <v>9</v>
      </c>
      <c r="V228" s="16">
        <v>11</v>
      </c>
      <c r="W228" s="16">
        <v>10</v>
      </c>
    </row>
    <row r="229" spans="13:23" x14ac:dyDescent="0.2">
      <c r="M229" s="15">
        <v>98251</v>
      </c>
      <c r="N229" s="15" t="s">
        <v>10</v>
      </c>
      <c r="O229" s="16">
        <v>4</v>
      </c>
      <c r="P229" s="16">
        <v>2</v>
      </c>
      <c r="Q229" s="16">
        <v>2</v>
      </c>
      <c r="S229" s="15">
        <v>98253</v>
      </c>
      <c r="T229" s="15" t="s">
        <v>10</v>
      </c>
      <c r="U229" s="16">
        <v>7</v>
      </c>
      <c r="V229" s="16">
        <v>3</v>
      </c>
      <c r="W229" s="16">
        <v>3</v>
      </c>
    </row>
    <row r="230" spans="13:23" x14ac:dyDescent="0.2">
      <c r="M230" s="15">
        <v>98252</v>
      </c>
      <c r="N230" s="15" t="s">
        <v>345</v>
      </c>
      <c r="O230" s="16">
        <v>1</v>
      </c>
      <c r="P230" s="16"/>
      <c r="Q230" s="16">
        <v>1</v>
      </c>
      <c r="S230" s="15">
        <v>98255</v>
      </c>
      <c r="T230" s="15" t="s">
        <v>10</v>
      </c>
      <c r="U230" s="16">
        <v>4</v>
      </c>
      <c r="V230" s="16">
        <v>2</v>
      </c>
      <c r="W230" s="16">
        <v>6</v>
      </c>
    </row>
    <row r="231" spans="13:23" x14ac:dyDescent="0.2">
      <c r="M231" s="15">
        <v>98252</v>
      </c>
      <c r="N231" s="15" t="s">
        <v>10</v>
      </c>
      <c r="O231" s="16">
        <v>12</v>
      </c>
      <c r="P231" s="16">
        <v>11</v>
      </c>
      <c r="Q231" s="16">
        <v>11</v>
      </c>
      <c r="S231" s="15">
        <v>98257</v>
      </c>
      <c r="T231" s="15" t="s">
        <v>345</v>
      </c>
      <c r="U231" s="16">
        <v>1</v>
      </c>
      <c r="V231" s="16">
        <v>1</v>
      </c>
      <c r="W231" s="16"/>
    </row>
    <row r="232" spans="13:23" x14ac:dyDescent="0.2">
      <c r="M232" s="15">
        <v>98253</v>
      </c>
      <c r="N232" s="15" t="s">
        <v>10</v>
      </c>
      <c r="O232" s="16">
        <v>7</v>
      </c>
      <c r="P232" s="16">
        <v>4</v>
      </c>
      <c r="Q232" s="16">
        <v>4</v>
      </c>
      <c r="S232" s="15">
        <v>98257</v>
      </c>
      <c r="T232" s="15" t="s">
        <v>10</v>
      </c>
      <c r="U232" s="16">
        <v>23</v>
      </c>
      <c r="V232" s="16">
        <v>16</v>
      </c>
      <c r="W232" s="16">
        <v>15</v>
      </c>
    </row>
    <row r="233" spans="13:23" x14ac:dyDescent="0.2">
      <c r="M233" s="15">
        <v>98255</v>
      </c>
      <c r="N233" s="15" t="s">
        <v>345</v>
      </c>
      <c r="O233" s="16"/>
      <c r="P233" s="16">
        <v>1</v>
      </c>
      <c r="Q233" s="16"/>
      <c r="S233" s="15">
        <v>98258</v>
      </c>
      <c r="T233" s="15" t="s">
        <v>10</v>
      </c>
      <c r="U233" s="16">
        <v>45</v>
      </c>
      <c r="V233" s="16">
        <v>42</v>
      </c>
      <c r="W233" s="16">
        <v>38</v>
      </c>
    </row>
    <row r="234" spans="13:23" x14ac:dyDescent="0.2">
      <c r="M234" s="15">
        <v>98255</v>
      </c>
      <c r="N234" s="15" t="s">
        <v>10</v>
      </c>
      <c r="O234" s="16">
        <v>4</v>
      </c>
      <c r="P234" s="16">
        <v>1</v>
      </c>
      <c r="Q234" s="16">
        <v>7</v>
      </c>
      <c r="S234" s="15">
        <v>98260</v>
      </c>
      <c r="T234" s="15" t="s">
        <v>345</v>
      </c>
      <c r="U234" s="16">
        <v>5</v>
      </c>
      <c r="V234" s="16">
        <v>2</v>
      </c>
      <c r="W234" s="16">
        <v>3</v>
      </c>
    </row>
    <row r="235" spans="13:23" x14ac:dyDescent="0.2">
      <c r="M235" s="15">
        <v>98257</v>
      </c>
      <c r="N235" s="15" t="s">
        <v>345</v>
      </c>
      <c r="O235" s="16">
        <v>2</v>
      </c>
      <c r="P235" s="16">
        <v>4</v>
      </c>
      <c r="Q235" s="16">
        <v>1</v>
      </c>
      <c r="S235" s="15">
        <v>98260</v>
      </c>
      <c r="T235" s="15" t="s">
        <v>10</v>
      </c>
      <c r="U235" s="16">
        <v>18</v>
      </c>
      <c r="V235" s="16">
        <v>14</v>
      </c>
      <c r="W235" s="16">
        <v>17</v>
      </c>
    </row>
    <row r="236" spans="13:23" x14ac:dyDescent="0.2">
      <c r="M236" s="15">
        <v>98257</v>
      </c>
      <c r="N236" s="15" t="s">
        <v>10</v>
      </c>
      <c r="O236" s="16">
        <v>29</v>
      </c>
      <c r="P236" s="16">
        <v>17</v>
      </c>
      <c r="Q236" s="16">
        <v>16</v>
      </c>
      <c r="S236" s="15">
        <v>98262</v>
      </c>
      <c r="T236" s="15" t="s">
        <v>10</v>
      </c>
      <c r="U236" s="16">
        <v>4</v>
      </c>
      <c r="V236" s="16">
        <v>1</v>
      </c>
      <c r="W236" s="16">
        <v>3</v>
      </c>
    </row>
    <row r="237" spans="13:23" x14ac:dyDescent="0.2">
      <c r="M237" s="15">
        <v>98258</v>
      </c>
      <c r="N237" s="15" t="s">
        <v>345</v>
      </c>
      <c r="O237" s="16"/>
      <c r="P237" s="16"/>
      <c r="Q237" s="16">
        <v>1</v>
      </c>
      <c r="S237" s="15">
        <v>98263</v>
      </c>
      <c r="T237" s="15" t="s">
        <v>10</v>
      </c>
      <c r="U237" s="16">
        <v>6</v>
      </c>
      <c r="V237" s="16"/>
      <c r="W237" s="16">
        <v>4</v>
      </c>
    </row>
    <row r="238" spans="13:23" x14ac:dyDescent="0.2">
      <c r="M238" s="15">
        <v>98258</v>
      </c>
      <c r="N238" s="15" t="s">
        <v>10</v>
      </c>
      <c r="O238" s="16">
        <v>68</v>
      </c>
      <c r="P238" s="16">
        <v>55</v>
      </c>
      <c r="Q238" s="16">
        <v>33</v>
      </c>
      <c r="S238" s="15">
        <v>98264</v>
      </c>
      <c r="T238" s="15" t="s">
        <v>345</v>
      </c>
      <c r="U238" s="16">
        <v>3</v>
      </c>
      <c r="V238" s="16">
        <v>2</v>
      </c>
      <c r="W238" s="16"/>
    </row>
    <row r="239" spans="13:23" x14ac:dyDescent="0.2">
      <c r="M239" s="15">
        <v>98260</v>
      </c>
      <c r="N239" s="15" t="s">
        <v>345</v>
      </c>
      <c r="O239" s="16">
        <v>5</v>
      </c>
      <c r="P239" s="16">
        <v>5</v>
      </c>
      <c r="Q239" s="16">
        <v>1</v>
      </c>
      <c r="S239" s="15">
        <v>98264</v>
      </c>
      <c r="T239" s="15" t="s">
        <v>10</v>
      </c>
      <c r="U239" s="16">
        <v>45</v>
      </c>
      <c r="V239" s="16">
        <v>39</v>
      </c>
      <c r="W239" s="16">
        <v>43</v>
      </c>
    </row>
    <row r="240" spans="13:23" x14ac:dyDescent="0.2">
      <c r="M240" s="15">
        <v>98260</v>
      </c>
      <c r="N240" s="15" t="s">
        <v>10</v>
      </c>
      <c r="O240" s="16">
        <v>20</v>
      </c>
      <c r="P240" s="16">
        <v>25</v>
      </c>
      <c r="Q240" s="16">
        <v>18</v>
      </c>
      <c r="S240" s="15">
        <v>98266</v>
      </c>
      <c r="T240" s="15" t="s">
        <v>10</v>
      </c>
      <c r="U240" s="16">
        <v>40</v>
      </c>
      <c r="V240" s="16">
        <v>26</v>
      </c>
      <c r="W240" s="16">
        <v>22</v>
      </c>
    </row>
    <row r="241" spans="13:23" x14ac:dyDescent="0.2">
      <c r="M241" s="15">
        <v>98262</v>
      </c>
      <c r="N241" s="15" t="s">
        <v>10</v>
      </c>
      <c r="O241" s="16">
        <v>6</v>
      </c>
      <c r="P241" s="16">
        <v>3</v>
      </c>
      <c r="Q241" s="16">
        <v>2</v>
      </c>
      <c r="S241" s="15">
        <v>98267</v>
      </c>
      <c r="T241" s="15" t="s">
        <v>10</v>
      </c>
      <c r="U241" s="16">
        <v>4</v>
      </c>
      <c r="V241" s="16">
        <v>8</v>
      </c>
      <c r="W241" s="16">
        <v>3</v>
      </c>
    </row>
    <row r="242" spans="13:23" x14ac:dyDescent="0.2">
      <c r="M242" s="15">
        <v>98263</v>
      </c>
      <c r="N242" s="15" t="s">
        <v>10</v>
      </c>
      <c r="O242" s="16">
        <v>9</v>
      </c>
      <c r="P242" s="16">
        <v>2</v>
      </c>
      <c r="Q242" s="16">
        <v>2</v>
      </c>
      <c r="S242" s="15">
        <v>98270</v>
      </c>
      <c r="T242" s="15" t="s">
        <v>345</v>
      </c>
      <c r="U242" s="16">
        <v>4</v>
      </c>
      <c r="V242" s="16">
        <v>7</v>
      </c>
      <c r="W242" s="16">
        <v>5</v>
      </c>
    </row>
    <row r="243" spans="13:23" x14ac:dyDescent="0.2">
      <c r="M243" s="15">
        <v>98264</v>
      </c>
      <c r="N243" s="15" t="s">
        <v>345</v>
      </c>
      <c r="O243" s="16">
        <v>9</v>
      </c>
      <c r="P243" s="16">
        <v>3</v>
      </c>
      <c r="Q243" s="16">
        <v>5</v>
      </c>
      <c r="S243" s="15">
        <v>98270</v>
      </c>
      <c r="T243" s="15" t="s">
        <v>10</v>
      </c>
      <c r="U243" s="16">
        <v>50</v>
      </c>
      <c r="V243" s="16">
        <v>63</v>
      </c>
      <c r="W243" s="16">
        <v>42</v>
      </c>
    </row>
    <row r="244" spans="13:23" x14ac:dyDescent="0.2">
      <c r="M244" s="15">
        <v>98264</v>
      </c>
      <c r="N244" s="15" t="s">
        <v>10</v>
      </c>
      <c r="O244" s="16">
        <v>63</v>
      </c>
      <c r="P244" s="16">
        <v>54</v>
      </c>
      <c r="Q244" s="16">
        <v>44</v>
      </c>
      <c r="S244" s="15">
        <v>98271</v>
      </c>
      <c r="T244" s="15" t="s">
        <v>10</v>
      </c>
      <c r="U244" s="16">
        <v>11</v>
      </c>
      <c r="V244" s="16">
        <v>13</v>
      </c>
      <c r="W244" s="16">
        <v>5</v>
      </c>
    </row>
    <row r="245" spans="13:23" x14ac:dyDescent="0.2">
      <c r="M245" s="15">
        <v>98266</v>
      </c>
      <c r="N245" s="15" t="s">
        <v>10</v>
      </c>
      <c r="O245" s="16">
        <v>50</v>
      </c>
      <c r="P245" s="16">
        <v>32</v>
      </c>
      <c r="Q245" s="16">
        <v>32</v>
      </c>
      <c r="S245" s="15">
        <v>98272</v>
      </c>
      <c r="T245" s="15" t="s">
        <v>345</v>
      </c>
      <c r="U245" s="16"/>
      <c r="V245" s="16">
        <v>1</v>
      </c>
      <c r="W245" s="16"/>
    </row>
    <row r="246" spans="13:23" x14ac:dyDescent="0.2">
      <c r="M246" s="15">
        <v>98267</v>
      </c>
      <c r="N246" s="15" t="s">
        <v>10</v>
      </c>
      <c r="O246" s="16">
        <v>6</v>
      </c>
      <c r="P246" s="16">
        <v>6</v>
      </c>
      <c r="Q246" s="16">
        <v>4</v>
      </c>
      <c r="S246" s="15">
        <v>98272</v>
      </c>
      <c r="T246" s="15" t="s">
        <v>10</v>
      </c>
      <c r="U246" s="16">
        <v>18</v>
      </c>
      <c r="V246" s="16">
        <v>22</v>
      </c>
      <c r="W246" s="16">
        <v>9</v>
      </c>
    </row>
    <row r="247" spans="13:23" x14ac:dyDescent="0.2">
      <c r="M247" s="15">
        <v>98270</v>
      </c>
      <c r="N247" s="15" t="s">
        <v>345</v>
      </c>
      <c r="O247" s="16">
        <v>8</v>
      </c>
      <c r="P247" s="16">
        <v>9</v>
      </c>
      <c r="Q247" s="16">
        <v>6</v>
      </c>
      <c r="S247" s="15">
        <v>98273</v>
      </c>
      <c r="T247" s="15" t="s">
        <v>345</v>
      </c>
      <c r="U247" s="16">
        <v>14</v>
      </c>
      <c r="V247" s="16">
        <v>17</v>
      </c>
      <c r="W247" s="16">
        <v>10</v>
      </c>
    </row>
    <row r="248" spans="13:23" x14ac:dyDescent="0.2">
      <c r="M248" s="15">
        <v>98270</v>
      </c>
      <c r="N248" s="15" t="s">
        <v>10</v>
      </c>
      <c r="O248" s="16">
        <v>84</v>
      </c>
      <c r="P248" s="16">
        <v>78</v>
      </c>
      <c r="Q248" s="16">
        <v>47</v>
      </c>
      <c r="S248" s="15">
        <v>98273</v>
      </c>
      <c r="T248" s="15" t="s">
        <v>10</v>
      </c>
      <c r="U248" s="16">
        <v>97</v>
      </c>
      <c r="V248" s="16">
        <v>83</v>
      </c>
      <c r="W248" s="16">
        <v>54</v>
      </c>
    </row>
    <row r="249" spans="13:23" x14ac:dyDescent="0.2">
      <c r="M249" s="15">
        <v>98271</v>
      </c>
      <c r="N249" s="15" t="s">
        <v>345</v>
      </c>
      <c r="O249" s="16"/>
      <c r="P249" s="16">
        <v>1</v>
      </c>
      <c r="Q249" s="16">
        <v>2</v>
      </c>
      <c r="S249" s="15">
        <v>98274</v>
      </c>
      <c r="T249" s="15" t="s">
        <v>345</v>
      </c>
      <c r="U249" s="16">
        <v>2</v>
      </c>
      <c r="V249" s="16">
        <v>5</v>
      </c>
      <c r="W249" s="16">
        <v>4</v>
      </c>
    </row>
    <row r="250" spans="13:23" x14ac:dyDescent="0.2">
      <c r="M250" s="15">
        <v>98271</v>
      </c>
      <c r="N250" s="15" t="s">
        <v>10</v>
      </c>
      <c r="O250" s="16">
        <v>19</v>
      </c>
      <c r="P250" s="16">
        <v>14</v>
      </c>
      <c r="Q250" s="16">
        <v>8</v>
      </c>
      <c r="S250" s="15">
        <v>98274</v>
      </c>
      <c r="T250" s="15" t="s">
        <v>10</v>
      </c>
      <c r="U250" s="16">
        <v>43</v>
      </c>
      <c r="V250" s="16">
        <v>53</v>
      </c>
      <c r="W250" s="16">
        <v>37</v>
      </c>
    </row>
    <row r="251" spans="13:23" x14ac:dyDescent="0.2">
      <c r="M251" s="15">
        <v>98272</v>
      </c>
      <c r="N251" s="15" t="s">
        <v>345</v>
      </c>
      <c r="O251" s="16">
        <v>4</v>
      </c>
      <c r="P251" s="16">
        <v>3</v>
      </c>
      <c r="Q251" s="16"/>
      <c r="S251" s="15">
        <v>98275</v>
      </c>
      <c r="T251" s="15" t="s">
        <v>345</v>
      </c>
      <c r="U251" s="16">
        <v>2</v>
      </c>
      <c r="V251" s="16">
        <v>2</v>
      </c>
      <c r="W251" s="16"/>
    </row>
    <row r="252" spans="13:23" x14ac:dyDescent="0.2">
      <c r="M252" s="15">
        <v>98272</v>
      </c>
      <c r="N252" s="15" t="s">
        <v>10</v>
      </c>
      <c r="O252" s="16">
        <v>32</v>
      </c>
      <c r="P252" s="16">
        <v>19</v>
      </c>
      <c r="Q252" s="16">
        <v>16</v>
      </c>
      <c r="S252" s="15">
        <v>98275</v>
      </c>
      <c r="T252" s="15" t="s">
        <v>10</v>
      </c>
      <c r="U252" s="16">
        <v>12</v>
      </c>
      <c r="V252" s="16">
        <v>12</v>
      </c>
      <c r="W252" s="16">
        <v>4</v>
      </c>
    </row>
    <row r="253" spans="13:23" x14ac:dyDescent="0.2">
      <c r="M253" s="15">
        <v>98273</v>
      </c>
      <c r="N253" s="15" t="s">
        <v>345</v>
      </c>
      <c r="O253" s="16">
        <v>25</v>
      </c>
      <c r="P253" s="16">
        <v>19</v>
      </c>
      <c r="Q253" s="16">
        <v>13</v>
      </c>
      <c r="S253" s="15">
        <v>98276</v>
      </c>
      <c r="T253" s="15" t="s">
        <v>345</v>
      </c>
      <c r="U253" s="16">
        <v>1</v>
      </c>
      <c r="V253" s="16">
        <v>1</v>
      </c>
      <c r="W253" s="16"/>
    </row>
    <row r="254" spans="13:23" x14ac:dyDescent="0.2">
      <c r="M254" s="15">
        <v>98273</v>
      </c>
      <c r="N254" s="15" t="s">
        <v>10</v>
      </c>
      <c r="O254" s="16">
        <v>124</v>
      </c>
      <c r="P254" s="16">
        <v>100</v>
      </c>
      <c r="Q254" s="16">
        <v>68</v>
      </c>
      <c r="S254" s="15">
        <v>98276</v>
      </c>
      <c r="T254" s="15" t="s">
        <v>10</v>
      </c>
      <c r="U254" s="16">
        <v>2</v>
      </c>
      <c r="V254" s="16">
        <v>4</v>
      </c>
      <c r="W254" s="16">
        <v>3</v>
      </c>
    </row>
    <row r="255" spans="13:23" x14ac:dyDescent="0.2">
      <c r="M255" s="15">
        <v>98274</v>
      </c>
      <c r="N255" s="15" t="s">
        <v>345</v>
      </c>
      <c r="O255" s="16">
        <v>6</v>
      </c>
      <c r="P255" s="16">
        <v>6</v>
      </c>
      <c r="Q255" s="16">
        <v>1</v>
      </c>
      <c r="S255" s="15">
        <v>98277</v>
      </c>
      <c r="T255" s="15" t="s">
        <v>345</v>
      </c>
      <c r="U255" s="16">
        <v>12</v>
      </c>
      <c r="V255" s="16">
        <v>9</v>
      </c>
      <c r="W255" s="16">
        <v>13</v>
      </c>
    </row>
    <row r="256" spans="13:23" x14ac:dyDescent="0.2">
      <c r="M256" s="15">
        <v>98274</v>
      </c>
      <c r="N256" s="15" t="s">
        <v>10</v>
      </c>
      <c r="O256" s="16">
        <v>64</v>
      </c>
      <c r="P256" s="16">
        <v>55</v>
      </c>
      <c r="Q256" s="16">
        <v>42</v>
      </c>
      <c r="S256" s="15">
        <v>98277</v>
      </c>
      <c r="T256" s="15" t="s">
        <v>10</v>
      </c>
      <c r="U256" s="16">
        <v>150</v>
      </c>
      <c r="V256" s="16">
        <v>149</v>
      </c>
      <c r="W256" s="16">
        <v>122</v>
      </c>
    </row>
    <row r="257" spans="13:23" x14ac:dyDescent="0.2">
      <c r="M257" s="15">
        <v>98275</v>
      </c>
      <c r="N257" s="15" t="s">
        <v>345</v>
      </c>
      <c r="O257" s="16">
        <v>2</v>
      </c>
      <c r="P257" s="16">
        <v>5</v>
      </c>
      <c r="Q257" s="16">
        <v>2</v>
      </c>
      <c r="S257" s="15">
        <v>98281</v>
      </c>
      <c r="T257" s="15" t="s">
        <v>345</v>
      </c>
      <c r="U257" s="16">
        <v>1</v>
      </c>
      <c r="V257" s="16">
        <v>1</v>
      </c>
      <c r="W257" s="16"/>
    </row>
    <row r="258" spans="13:23" x14ac:dyDescent="0.2">
      <c r="M258" s="15">
        <v>98275</v>
      </c>
      <c r="N258" s="15" t="s">
        <v>10</v>
      </c>
      <c r="O258" s="16">
        <v>16</v>
      </c>
      <c r="P258" s="16">
        <v>16</v>
      </c>
      <c r="Q258" s="16">
        <v>10</v>
      </c>
      <c r="S258" s="15">
        <v>98281</v>
      </c>
      <c r="T258" s="15" t="s">
        <v>10</v>
      </c>
      <c r="U258" s="16">
        <v>8</v>
      </c>
      <c r="V258" s="16">
        <v>8</v>
      </c>
      <c r="W258" s="16">
        <v>5</v>
      </c>
    </row>
    <row r="259" spans="13:23" x14ac:dyDescent="0.2">
      <c r="M259" s="15">
        <v>98276</v>
      </c>
      <c r="N259" s="15" t="s">
        <v>345</v>
      </c>
      <c r="O259" s="16">
        <v>1</v>
      </c>
      <c r="P259" s="16">
        <v>1</v>
      </c>
      <c r="Q259" s="16">
        <v>1</v>
      </c>
      <c r="S259" s="15">
        <v>98283</v>
      </c>
      <c r="T259" s="15" t="s">
        <v>345</v>
      </c>
      <c r="U259" s="16">
        <v>6</v>
      </c>
      <c r="V259" s="16">
        <v>7</v>
      </c>
      <c r="W259" s="16">
        <v>1</v>
      </c>
    </row>
    <row r="260" spans="13:23" x14ac:dyDescent="0.2">
      <c r="M260" s="15">
        <v>98276</v>
      </c>
      <c r="N260" s="15" t="s">
        <v>10</v>
      </c>
      <c r="O260" s="16">
        <v>2</v>
      </c>
      <c r="P260" s="16">
        <v>4</v>
      </c>
      <c r="Q260" s="16">
        <v>5</v>
      </c>
      <c r="S260" s="15">
        <v>98283</v>
      </c>
      <c r="T260" s="15" t="s">
        <v>10</v>
      </c>
      <c r="U260" s="16">
        <v>6</v>
      </c>
      <c r="V260" s="16">
        <v>8</v>
      </c>
      <c r="W260" s="16">
        <v>1</v>
      </c>
    </row>
    <row r="261" spans="13:23" x14ac:dyDescent="0.2">
      <c r="M261" s="15">
        <v>98277</v>
      </c>
      <c r="N261" s="15" t="s">
        <v>345</v>
      </c>
      <c r="O261" s="16">
        <v>19</v>
      </c>
      <c r="P261" s="16">
        <v>16</v>
      </c>
      <c r="Q261" s="16">
        <v>14</v>
      </c>
      <c r="S261" s="15">
        <v>98284</v>
      </c>
      <c r="T261" s="15" t="s">
        <v>345</v>
      </c>
      <c r="U261" s="16">
        <v>3</v>
      </c>
      <c r="V261" s="16">
        <v>7</v>
      </c>
      <c r="W261" s="16">
        <v>2</v>
      </c>
    </row>
    <row r="262" spans="13:23" x14ac:dyDescent="0.2">
      <c r="M262" s="15">
        <v>98277</v>
      </c>
      <c r="N262" s="15" t="s">
        <v>10</v>
      </c>
      <c r="O262" s="16">
        <v>189</v>
      </c>
      <c r="P262" s="16">
        <v>184</v>
      </c>
      <c r="Q262" s="16">
        <v>125</v>
      </c>
      <c r="S262" s="15">
        <v>98284</v>
      </c>
      <c r="T262" s="15" t="s">
        <v>10</v>
      </c>
      <c r="U262" s="16">
        <v>89</v>
      </c>
      <c r="V262" s="16">
        <v>103</v>
      </c>
      <c r="W262" s="16">
        <v>78</v>
      </c>
    </row>
    <row r="263" spans="13:23" x14ac:dyDescent="0.2">
      <c r="M263" s="15">
        <v>98281</v>
      </c>
      <c r="N263" s="15" t="s">
        <v>345</v>
      </c>
      <c r="O263" s="16">
        <v>1</v>
      </c>
      <c r="P263" s="16">
        <v>1</v>
      </c>
      <c r="Q263" s="16"/>
      <c r="S263" s="15">
        <v>98288</v>
      </c>
      <c r="T263" s="15" t="s">
        <v>10</v>
      </c>
      <c r="U263" s="16">
        <v>2</v>
      </c>
      <c r="V263" s="16">
        <v>2</v>
      </c>
      <c r="W263" s="16">
        <v>5</v>
      </c>
    </row>
    <row r="264" spans="13:23" x14ac:dyDescent="0.2">
      <c r="M264" s="15">
        <v>98281</v>
      </c>
      <c r="N264" s="15" t="s">
        <v>10</v>
      </c>
      <c r="O264" s="16">
        <v>12</v>
      </c>
      <c r="P264" s="16">
        <v>8</v>
      </c>
      <c r="Q264" s="16">
        <v>5</v>
      </c>
      <c r="S264" s="15">
        <v>98290</v>
      </c>
      <c r="T264" s="15" t="s">
        <v>345</v>
      </c>
      <c r="U264" s="16">
        <v>1</v>
      </c>
      <c r="V264" s="16">
        <v>1</v>
      </c>
      <c r="W264" s="16">
        <v>1</v>
      </c>
    </row>
    <row r="265" spans="13:23" x14ac:dyDescent="0.2">
      <c r="M265" s="15">
        <v>98283</v>
      </c>
      <c r="N265" s="15" t="s">
        <v>345</v>
      </c>
      <c r="O265" s="16">
        <v>7</v>
      </c>
      <c r="P265" s="16">
        <v>5</v>
      </c>
      <c r="Q265" s="16">
        <v>6</v>
      </c>
      <c r="S265" s="15">
        <v>98290</v>
      </c>
      <c r="T265" s="15" t="s">
        <v>10</v>
      </c>
      <c r="U265" s="16">
        <v>6</v>
      </c>
      <c r="V265" s="16">
        <v>17</v>
      </c>
      <c r="W265" s="16">
        <v>11</v>
      </c>
    </row>
    <row r="266" spans="13:23" x14ac:dyDescent="0.2">
      <c r="M266" s="15">
        <v>98283</v>
      </c>
      <c r="N266" s="15" t="s">
        <v>10</v>
      </c>
      <c r="O266" s="16">
        <v>5</v>
      </c>
      <c r="P266" s="16">
        <v>10</v>
      </c>
      <c r="Q266" s="16">
        <v>4</v>
      </c>
      <c r="S266" s="15">
        <v>98292</v>
      </c>
      <c r="T266" s="15" t="s">
        <v>10</v>
      </c>
      <c r="U266" s="16">
        <v>3</v>
      </c>
      <c r="V266" s="16">
        <v>3</v>
      </c>
      <c r="W266" s="16"/>
    </row>
    <row r="267" spans="13:23" x14ac:dyDescent="0.2">
      <c r="M267" s="15">
        <v>98284</v>
      </c>
      <c r="N267" s="15" t="s">
        <v>345</v>
      </c>
      <c r="O267" s="16">
        <v>6</v>
      </c>
      <c r="P267" s="16">
        <v>8</v>
      </c>
      <c r="Q267" s="16">
        <v>7</v>
      </c>
      <c r="S267" s="15">
        <v>98294</v>
      </c>
      <c r="T267" s="15" t="s">
        <v>10</v>
      </c>
      <c r="U267" s="16">
        <v>7</v>
      </c>
      <c r="V267" s="16">
        <v>9</v>
      </c>
      <c r="W267" s="16">
        <v>13</v>
      </c>
    </row>
    <row r="268" spans="13:23" x14ac:dyDescent="0.2">
      <c r="M268" s="15">
        <v>98284</v>
      </c>
      <c r="N268" s="15" t="s">
        <v>10</v>
      </c>
      <c r="O268" s="16">
        <v>126</v>
      </c>
      <c r="P268" s="16">
        <v>142</v>
      </c>
      <c r="Q268" s="16">
        <v>86</v>
      </c>
      <c r="S268" s="15">
        <v>98295</v>
      </c>
      <c r="T268" s="15" t="s">
        <v>10</v>
      </c>
      <c r="U268" s="16">
        <v>3</v>
      </c>
      <c r="V268" s="16">
        <v>4</v>
      </c>
      <c r="W268" s="16">
        <v>8</v>
      </c>
    </row>
    <row r="269" spans="13:23" x14ac:dyDescent="0.2">
      <c r="M269" s="15">
        <v>98288</v>
      </c>
      <c r="N269" s="15" t="s">
        <v>345</v>
      </c>
      <c r="O269" s="16">
        <v>1</v>
      </c>
      <c r="P269" s="16">
        <v>1</v>
      </c>
      <c r="Q269" s="16"/>
      <c r="S269" s="15">
        <v>98296</v>
      </c>
      <c r="T269" s="15" t="s">
        <v>10</v>
      </c>
      <c r="U269" s="16">
        <v>8</v>
      </c>
      <c r="V269" s="16">
        <v>15</v>
      </c>
      <c r="W269" s="16">
        <v>7</v>
      </c>
    </row>
    <row r="270" spans="13:23" x14ac:dyDescent="0.2">
      <c r="M270" s="15">
        <v>98288</v>
      </c>
      <c r="N270" s="15" t="s">
        <v>10</v>
      </c>
      <c r="O270" s="16">
        <v>4</v>
      </c>
      <c r="P270" s="16">
        <v>1</v>
      </c>
      <c r="Q270" s="16">
        <v>4</v>
      </c>
      <c r="S270" s="15">
        <v>98310</v>
      </c>
      <c r="T270" s="15" t="s">
        <v>345</v>
      </c>
      <c r="U270" s="16">
        <v>3</v>
      </c>
      <c r="V270" s="16">
        <v>2</v>
      </c>
      <c r="W270" s="16">
        <v>1</v>
      </c>
    </row>
    <row r="271" spans="13:23" x14ac:dyDescent="0.2">
      <c r="M271" s="15">
        <v>98290</v>
      </c>
      <c r="N271" s="15" t="s">
        <v>345</v>
      </c>
      <c r="O271" s="16">
        <v>1</v>
      </c>
      <c r="P271" s="16">
        <v>2</v>
      </c>
      <c r="Q271" s="16"/>
      <c r="S271" s="15">
        <v>98310</v>
      </c>
      <c r="T271" s="15" t="s">
        <v>10</v>
      </c>
      <c r="U271" s="16">
        <v>110</v>
      </c>
      <c r="V271" s="16">
        <v>111</v>
      </c>
      <c r="W271" s="16">
        <v>80</v>
      </c>
    </row>
    <row r="272" spans="13:23" x14ac:dyDescent="0.2">
      <c r="M272" s="15">
        <v>98290</v>
      </c>
      <c r="N272" s="15" t="s">
        <v>10</v>
      </c>
      <c r="O272" s="16">
        <v>16</v>
      </c>
      <c r="P272" s="16">
        <v>20</v>
      </c>
      <c r="Q272" s="16">
        <v>7</v>
      </c>
      <c r="S272" s="15">
        <v>98311</v>
      </c>
      <c r="T272" s="15" t="s">
        <v>345</v>
      </c>
      <c r="U272" s="16"/>
      <c r="V272" s="16">
        <v>1</v>
      </c>
      <c r="W272" s="16">
        <v>1</v>
      </c>
    </row>
    <row r="273" spans="13:23" x14ac:dyDescent="0.2">
      <c r="M273" s="15">
        <v>98292</v>
      </c>
      <c r="N273" s="15" t="s">
        <v>345</v>
      </c>
      <c r="O273" s="16"/>
      <c r="P273" s="16"/>
      <c r="Q273" s="16">
        <v>1</v>
      </c>
      <c r="S273" s="15">
        <v>98311</v>
      </c>
      <c r="T273" s="15" t="s">
        <v>10</v>
      </c>
      <c r="U273" s="16">
        <v>103</v>
      </c>
      <c r="V273" s="16">
        <v>85</v>
      </c>
      <c r="W273" s="16">
        <v>58</v>
      </c>
    </row>
    <row r="274" spans="13:23" x14ac:dyDescent="0.2">
      <c r="M274" s="15">
        <v>98292</v>
      </c>
      <c r="N274" s="15" t="s">
        <v>10</v>
      </c>
      <c r="O274" s="16">
        <v>2</v>
      </c>
      <c r="P274" s="16">
        <v>3</v>
      </c>
      <c r="Q274" s="16">
        <v>2</v>
      </c>
      <c r="S274" s="15">
        <v>98312</v>
      </c>
      <c r="T274" s="15" t="s">
        <v>345</v>
      </c>
      <c r="U274" s="16">
        <v>5</v>
      </c>
      <c r="V274" s="16">
        <v>8</v>
      </c>
      <c r="W274" s="16">
        <v>5</v>
      </c>
    </row>
    <row r="275" spans="13:23" x14ac:dyDescent="0.2">
      <c r="M275" s="15">
        <v>98294</v>
      </c>
      <c r="N275" s="15" t="s">
        <v>10</v>
      </c>
      <c r="O275" s="16">
        <v>13</v>
      </c>
      <c r="P275" s="16">
        <v>14</v>
      </c>
      <c r="Q275" s="16">
        <v>9</v>
      </c>
      <c r="S275" s="15">
        <v>98312</v>
      </c>
      <c r="T275" s="15" t="s">
        <v>10</v>
      </c>
      <c r="U275" s="16">
        <v>186</v>
      </c>
      <c r="V275" s="16">
        <v>171</v>
      </c>
      <c r="W275" s="16">
        <v>117</v>
      </c>
    </row>
    <row r="276" spans="13:23" x14ac:dyDescent="0.2">
      <c r="M276" s="15">
        <v>98295</v>
      </c>
      <c r="N276" s="15" t="s">
        <v>345</v>
      </c>
      <c r="O276" s="16"/>
      <c r="P276" s="16"/>
      <c r="Q276" s="16">
        <v>2</v>
      </c>
      <c r="S276" s="15">
        <v>98321</v>
      </c>
      <c r="T276" s="15" t="s">
        <v>345</v>
      </c>
      <c r="U276" s="16">
        <v>6</v>
      </c>
      <c r="V276" s="16">
        <v>7</v>
      </c>
      <c r="W276" s="16">
        <v>5</v>
      </c>
    </row>
    <row r="277" spans="13:23" x14ac:dyDescent="0.2">
      <c r="M277" s="15">
        <v>98295</v>
      </c>
      <c r="N277" s="15" t="s">
        <v>10</v>
      </c>
      <c r="O277" s="16">
        <v>7</v>
      </c>
      <c r="P277" s="16">
        <v>4</v>
      </c>
      <c r="Q277" s="16">
        <v>8</v>
      </c>
      <c r="S277" s="15">
        <v>98321</v>
      </c>
      <c r="T277" s="15" t="s">
        <v>10</v>
      </c>
      <c r="U277" s="16">
        <v>58</v>
      </c>
      <c r="V277" s="16">
        <v>58</v>
      </c>
      <c r="W277" s="16">
        <v>33</v>
      </c>
    </row>
    <row r="278" spans="13:23" x14ac:dyDescent="0.2">
      <c r="M278" s="15">
        <v>98296</v>
      </c>
      <c r="N278" s="15" t="s">
        <v>345</v>
      </c>
      <c r="O278" s="16">
        <v>1</v>
      </c>
      <c r="P278" s="16"/>
      <c r="Q278" s="16"/>
      <c r="S278" s="15">
        <v>98323</v>
      </c>
      <c r="T278" s="15" t="s">
        <v>345</v>
      </c>
      <c r="U278" s="16">
        <v>1</v>
      </c>
      <c r="V278" s="16">
        <v>1</v>
      </c>
      <c r="W278" s="16">
        <v>1</v>
      </c>
    </row>
    <row r="279" spans="13:23" x14ac:dyDescent="0.2">
      <c r="M279" s="15">
        <v>98296</v>
      </c>
      <c r="N279" s="15" t="s">
        <v>10</v>
      </c>
      <c r="O279" s="16">
        <v>20</v>
      </c>
      <c r="P279" s="16">
        <v>14</v>
      </c>
      <c r="Q279" s="16">
        <v>9</v>
      </c>
      <c r="S279" s="15">
        <v>98323</v>
      </c>
      <c r="T279" s="15" t="s">
        <v>10</v>
      </c>
      <c r="U279" s="16"/>
      <c r="V279" s="16">
        <v>2</v>
      </c>
      <c r="W279" s="16">
        <v>1</v>
      </c>
    </row>
    <row r="280" spans="13:23" x14ac:dyDescent="0.2">
      <c r="M280" s="15">
        <v>98310</v>
      </c>
      <c r="N280" s="15" t="s">
        <v>345</v>
      </c>
      <c r="O280" s="16">
        <v>7</v>
      </c>
      <c r="P280" s="16">
        <v>4</v>
      </c>
      <c r="Q280" s="16">
        <v>3</v>
      </c>
      <c r="S280" s="15">
        <v>98327</v>
      </c>
      <c r="T280" s="15" t="s">
        <v>345</v>
      </c>
      <c r="U280" s="16"/>
      <c r="V280" s="16">
        <v>1</v>
      </c>
      <c r="W280" s="16"/>
    </row>
    <row r="281" spans="13:23" x14ac:dyDescent="0.2">
      <c r="M281" s="15">
        <v>98310</v>
      </c>
      <c r="N281" s="15" t="s">
        <v>10</v>
      </c>
      <c r="O281" s="16">
        <v>139</v>
      </c>
      <c r="P281" s="16">
        <v>123</v>
      </c>
      <c r="Q281" s="16">
        <v>85</v>
      </c>
      <c r="S281" s="15">
        <v>98327</v>
      </c>
      <c r="T281" s="15" t="s">
        <v>10</v>
      </c>
      <c r="U281" s="16">
        <v>11</v>
      </c>
      <c r="V281" s="16">
        <v>15</v>
      </c>
      <c r="W281" s="16">
        <v>31</v>
      </c>
    </row>
    <row r="282" spans="13:23" x14ac:dyDescent="0.2">
      <c r="M282" s="15">
        <v>98311</v>
      </c>
      <c r="N282" s="15" t="s">
        <v>345</v>
      </c>
      <c r="O282" s="16"/>
      <c r="P282" s="16">
        <v>3</v>
      </c>
      <c r="Q282" s="16"/>
      <c r="S282" s="15">
        <v>98328</v>
      </c>
      <c r="T282" s="15" t="s">
        <v>10</v>
      </c>
      <c r="U282" s="16">
        <v>1</v>
      </c>
      <c r="V282" s="16">
        <v>6</v>
      </c>
      <c r="W282" s="16">
        <v>1</v>
      </c>
    </row>
    <row r="283" spans="13:23" x14ac:dyDescent="0.2">
      <c r="M283" s="15">
        <v>98311</v>
      </c>
      <c r="N283" s="15" t="s">
        <v>10</v>
      </c>
      <c r="O283" s="16">
        <v>134</v>
      </c>
      <c r="P283" s="16">
        <v>94</v>
      </c>
      <c r="Q283" s="16">
        <v>78</v>
      </c>
      <c r="S283" s="15">
        <v>98329</v>
      </c>
      <c r="T283" s="15" t="s">
        <v>10</v>
      </c>
      <c r="U283" s="16">
        <v>1</v>
      </c>
      <c r="V283" s="16"/>
      <c r="W283" s="16"/>
    </row>
    <row r="284" spans="13:23" x14ac:dyDescent="0.2">
      <c r="M284" s="15">
        <v>98312</v>
      </c>
      <c r="N284" s="15" t="s">
        <v>345</v>
      </c>
      <c r="O284" s="16">
        <v>9</v>
      </c>
      <c r="P284" s="16">
        <v>14</v>
      </c>
      <c r="Q284" s="16">
        <v>8</v>
      </c>
      <c r="S284" s="15">
        <v>98332</v>
      </c>
      <c r="T284" s="15" t="s">
        <v>10</v>
      </c>
      <c r="U284" s="16">
        <v>6</v>
      </c>
      <c r="V284" s="16">
        <v>12</v>
      </c>
      <c r="W284" s="16">
        <v>9</v>
      </c>
    </row>
    <row r="285" spans="13:23" x14ac:dyDescent="0.2">
      <c r="M285" s="15">
        <v>98312</v>
      </c>
      <c r="N285" s="15" t="s">
        <v>10</v>
      </c>
      <c r="O285" s="16">
        <v>233</v>
      </c>
      <c r="P285" s="16">
        <v>184</v>
      </c>
      <c r="Q285" s="16">
        <v>154</v>
      </c>
      <c r="S285" s="15">
        <v>98335</v>
      </c>
      <c r="T285" s="15" t="s">
        <v>345</v>
      </c>
      <c r="U285" s="16"/>
      <c r="V285" s="16"/>
      <c r="W285" s="16">
        <v>1</v>
      </c>
    </row>
    <row r="286" spans="13:23" x14ac:dyDescent="0.2">
      <c r="M286" s="15">
        <v>98321</v>
      </c>
      <c r="N286" s="15" t="s">
        <v>345</v>
      </c>
      <c r="O286" s="16">
        <v>8</v>
      </c>
      <c r="P286" s="16">
        <v>9</v>
      </c>
      <c r="Q286" s="16">
        <v>5</v>
      </c>
      <c r="S286" s="15">
        <v>98335</v>
      </c>
      <c r="T286" s="15" t="s">
        <v>10</v>
      </c>
      <c r="U286" s="16">
        <v>11</v>
      </c>
      <c r="V286" s="16">
        <v>8</v>
      </c>
      <c r="W286" s="16">
        <v>10</v>
      </c>
    </row>
    <row r="287" spans="13:23" x14ac:dyDescent="0.2">
      <c r="M287" s="15">
        <v>98321</v>
      </c>
      <c r="N287" s="15" t="s">
        <v>10</v>
      </c>
      <c r="O287" s="16">
        <v>83</v>
      </c>
      <c r="P287" s="16">
        <v>79</v>
      </c>
      <c r="Q287" s="16">
        <v>47</v>
      </c>
      <c r="S287" s="15">
        <v>98337</v>
      </c>
      <c r="T287" s="15" t="s">
        <v>345</v>
      </c>
      <c r="U287" s="16">
        <v>3</v>
      </c>
      <c r="V287" s="16">
        <v>1</v>
      </c>
      <c r="W287" s="16">
        <v>1</v>
      </c>
    </row>
    <row r="288" spans="13:23" x14ac:dyDescent="0.2">
      <c r="M288" s="15">
        <v>98323</v>
      </c>
      <c r="N288" s="15" t="s">
        <v>345</v>
      </c>
      <c r="O288" s="16"/>
      <c r="P288" s="16">
        <v>3</v>
      </c>
      <c r="Q288" s="16">
        <v>1</v>
      </c>
      <c r="S288" s="15">
        <v>98337</v>
      </c>
      <c r="T288" s="15" t="s">
        <v>10</v>
      </c>
      <c r="U288" s="16">
        <v>48</v>
      </c>
      <c r="V288" s="16">
        <v>35</v>
      </c>
      <c r="W288" s="16">
        <v>50</v>
      </c>
    </row>
    <row r="289" spans="13:23" x14ac:dyDescent="0.2">
      <c r="M289" s="15">
        <v>98323</v>
      </c>
      <c r="N289" s="15" t="s">
        <v>10</v>
      </c>
      <c r="O289" s="16">
        <v>3</v>
      </c>
      <c r="P289" s="16">
        <v>3</v>
      </c>
      <c r="Q289" s="16">
        <v>3</v>
      </c>
      <c r="S289" s="15">
        <v>98338</v>
      </c>
      <c r="T289" s="15" t="s">
        <v>345</v>
      </c>
      <c r="U289" s="16">
        <v>3</v>
      </c>
      <c r="V289" s="16">
        <v>4</v>
      </c>
      <c r="W289" s="16">
        <v>2</v>
      </c>
    </row>
    <row r="290" spans="13:23" x14ac:dyDescent="0.2">
      <c r="M290" s="15">
        <v>98327</v>
      </c>
      <c r="N290" s="15" t="s">
        <v>345</v>
      </c>
      <c r="O290" s="16"/>
      <c r="P290" s="16">
        <v>1</v>
      </c>
      <c r="Q290" s="16">
        <v>1</v>
      </c>
      <c r="S290" s="15">
        <v>98338</v>
      </c>
      <c r="T290" s="15" t="s">
        <v>10</v>
      </c>
      <c r="U290" s="16">
        <v>57</v>
      </c>
      <c r="V290" s="16">
        <v>73</v>
      </c>
      <c r="W290" s="16">
        <v>47</v>
      </c>
    </row>
    <row r="291" spans="13:23" x14ac:dyDescent="0.2">
      <c r="M291" s="15">
        <v>98327</v>
      </c>
      <c r="N291" s="15" t="s">
        <v>10</v>
      </c>
      <c r="O291" s="16">
        <v>25</v>
      </c>
      <c r="P291" s="16">
        <v>21</v>
      </c>
      <c r="Q291" s="16">
        <v>35</v>
      </c>
      <c r="S291" s="15">
        <v>98340</v>
      </c>
      <c r="T291" s="15" t="s">
        <v>345</v>
      </c>
      <c r="U291" s="16"/>
      <c r="V291" s="16">
        <v>1</v>
      </c>
      <c r="W291" s="16"/>
    </row>
    <row r="292" spans="13:23" x14ac:dyDescent="0.2">
      <c r="M292" s="15">
        <v>98328</v>
      </c>
      <c r="N292" s="15" t="s">
        <v>10</v>
      </c>
      <c r="O292" s="16">
        <v>2</v>
      </c>
      <c r="P292" s="16">
        <v>5</v>
      </c>
      <c r="Q292" s="16">
        <v>1</v>
      </c>
      <c r="S292" s="15">
        <v>98340</v>
      </c>
      <c r="T292" s="15" t="s">
        <v>10</v>
      </c>
      <c r="U292" s="16">
        <v>6</v>
      </c>
      <c r="V292" s="16">
        <v>4</v>
      </c>
      <c r="W292" s="16">
        <v>3</v>
      </c>
    </row>
    <row r="293" spans="13:23" x14ac:dyDescent="0.2">
      <c r="M293" s="15">
        <v>98332</v>
      </c>
      <c r="N293" s="15" t="s">
        <v>345</v>
      </c>
      <c r="O293" s="16">
        <v>1</v>
      </c>
      <c r="P293" s="16"/>
      <c r="Q293" s="16"/>
      <c r="S293" s="15">
        <v>98342</v>
      </c>
      <c r="T293" s="15" t="s">
        <v>10</v>
      </c>
      <c r="U293" s="16">
        <v>5</v>
      </c>
      <c r="V293" s="16">
        <v>5</v>
      </c>
      <c r="W293" s="16">
        <v>4</v>
      </c>
    </row>
    <row r="294" spans="13:23" x14ac:dyDescent="0.2">
      <c r="M294" s="15">
        <v>98332</v>
      </c>
      <c r="N294" s="15" t="s">
        <v>10</v>
      </c>
      <c r="O294" s="16">
        <v>15</v>
      </c>
      <c r="P294" s="16">
        <v>9</v>
      </c>
      <c r="Q294" s="16">
        <v>7</v>
      </c>
      <c r="S294" s="15">
        <v>98345</v>
      </c>
      <c r="T294" s="15" t="s">
        <v>10</v>
      </c>
      <c r="U294" s="16">
        <v>1</v>
      </c>
      <c r="V294" s="16">
        <v>3</v>
      </c>
      <c r="W294" s="16">
        <v>1</v>
      </c>
    </row>
    <row r="295" spans="13:23" x14ac:dyDescent="0.2">
      <c r="M295" s="15">
        <v>98335</v>
      </c>
      <c r="N295" s="15" t="s">
        <v>345</v>
      </c>
      <c r="O295" s="16"/>
      <c r="P295" s="16">
        <v>1</v>
      </c>
      <c r="Q295" s="16"/>
      <c r="S295" s="15">
        <v>98346</v>
      </c>
      <c r="T295" s="15" t="s">
        <v>345</v>
      </c>
      <c r="U295" s="16"/>
      <c r="V295" s="16">
        <v>2</v>
      </c>
      <c r="W295" s="16"/>
    </row>
    <row r="296" spans="13:23" x14ac:dyDescent="0.2">
      <c r="M296" s="15">
        <v>98335</v>
      </c>
      <c r="N296" s="15" t="s">
        <v>10</v>
      </c>
      <c r="O296" s="16">
        <v>14</v>
      </c>
      <c r="P296" s="16">
        <v>14</v>
      </c>
      <c r="Q296" s="16">
        <v>11</v>
      </c>
      <c r="S296" s="15">
        <v>98346</v>
      </c>
      <c r="T296" s="15" t="s">
        <v>10</v>
      </c>
      <c r="U296" s="16">
        <v>46</v>
      </c>
      <c r="V296" s="16">
        <v>45</v>
      </c>
      <c r="W296" s="16">
        <v>24</v>
      </c>
    </row>
    <row r="297" spans="13:23" x14ac:dyDescent="0.2">
      <c r="M297" s="15">
        <v>98337</v>
      </c>
      <c r="N297" s="15" t="s">
        <v>345</v>
      </c>
      <c r="O297" s="16">
        <v>4</v>
      </c>
      <c r="P297" s="16">
        <v>3</v>
      </c>
      <c r="Q297" s="16">
        <v>2</v>
      </c>
      <c r="S297" s="15">
        <v>98354</v>
      </c>
      <c r="T297" s="15" t="s">
        <v>345</v>
      </c>
      <c r="U297" s="16"/>
      <c r="V297" s="16">
        <v>2</v>
      </c>
      <c r="W297" s="16">
        <v>2</v>
      </c>
    </row>
    <row r="298" spans="13:23" x14ac:dyDescent="0.2">
      <c r="M298" s="15">
        <v>98337</v>
      </c>
      <c r="N298" s="15" t="s">
        <v>10</v>
      </c>
      <c r="O298" s="16">
        <v>49</v>
      </c>
      <c r="P298" s="16">
        <v>51</v>
      </c>
      <c r="Q298" s="16">
        <v>51</v>
      </c>
      <c r="S298" s="15">
        <v>98354</v>
      </c>
      <c r="T298" s="15" t="s">
        <v>10</v>
      </c>
      <c r="U298" s="16">
        <v>6</v>
      </c>
      <c r="V298" s="16">
        <v>9</v>
      </c>
      <c r="W298" s="16">
        <v>8</v>
      </c>
    </row>
    <row r="299" spans="13:23" x14ac:dyDescent="0.2">
      <c r="M299" s="15">
        <v>98338</v>
      </c>
      <c r="N299" s="15" t="s">
        <v>345</v>
      </c>
      <c r="O299" s="16">
        <v>3</v>
      </c>
      <c r="P299" s="16">
        <v>5</v>
      </c>
      <c r="Q299" s="16">
        <v>3</v>
      </c>
      <c r="S299" s="15">
        <v>98359</v>
      </c>
      <c r="T299" s="15" t="s">
        <v>345</v>
      </c>
      <c r="U299" s="16">
        <v>1</v>
      </c>
      <c r="V299" s="16"/>
      <c r="W299" s="16">
        <v>1</v>
      </c>
    </row>
    <row r="300" spans="13:23" x14ac:dyDescent="0.2">
      <c r="M300" s="15">
        <v>98338</v>
      </c>
      <c r="N300" s="15" t="s">
        <v>10</v>
      </c>
      <c r="O300" s="16">
        <v>92</v>
      </c>
      <c r="P300" s="16">
        <v>79</v>
      </c>
      <c r="Q300" s="16">
        <v>62</v>
      </c>
      <c r="S300" s="15">
        <v>98359</v>
      </c>
      <c r="T300" s="15" t="s">
        <v>10</v>
      </c>
      <c r="U300" s="16">
        <v>15</v>
      </c>
      <c r="V300" s="16">
        <v>19</v>
      </c>
      <c r="W300" s="16">
        <v>9</v>
      </c>
    </row>
    <row r="301" spans="13:23" x14ac:dyDescent="0.2">
      <c r="M301" s="15">
        <v>98340</v>
      </c>
      <c r="N301" s="15" t="s">
        <v>345</v>
      </c>
      <c r="O301" s="16">
        <v>2</v>
      </c>
      <c r="P301" s="16">
        <v>1</v>
      </c>
      <c r="Q301" s="16"/>
      <c r="S301" s="15">
        <v>98360</v>
      </c>
      <c r="T301" s="15" t="s">
        <v>345</v>
      </c>
      <c r="U301" s="16">
        <v>4</v>
      </c>
      <c r="V301" s="16">
        <v>5</v>
      </c>
      <c r="W301" s="16"/>
    </row>
    <row r="302" spans="13:23" x14ac:dyDescent="0.2">
      <c r="M302" s="15">
        <v>98340</v>
      </c>
      <c r="N302" s="15" t="s">
        <v>10</v>
      </c>
      <c r="O302" s="16">
        <v>9</v>
      </c>
      <c r="P302" s="16">
        <v>7</v>
      </c>
      <c r="Q302" s="16">
        <v>7</v>
      </c>
      <c r="S302" s="15">
        <v>98360</v>
      </c>
      <c r="T302" s="15" t="s">
        <v>10</v>
      </c>
      <c r="U302" s="16">
        <v>49</v>
      </c>
      <c r="V302" s="16">
        <v>57</v>
      </c>
      <c r="W302" s="16">
        <v>43</v>
      </c>
    </row>
    <row r="303" spans="13:23" x14ac:dyDescent="0.2">
      <c r="M303" s="15">
        <v>98342</v>
      </c>
      <c r="N303" s="15" t="s">
        <v>10</v>
      </c>
      <c r="O303" s="16">
        <v>7</v>
      </c>
      <c r="P303" s="16">
        <v>6</v>
      </c>
      <c r="Q303" s="16">
        <v>4</v>
      </c>
      <c r="S303" s="15">
        <v>98366</v>
      </c>
      <c r="T303" s="15" t="s">
        <v>345</v>
      </c>
      <c r="U303" s="16">
        <v>7</v>
      </c>
      <c r="V303" s="16">
        <v>4</v>
      </c>
      <c r="W303" s="16">
        <v>6</v>
      </c>
    </row>
    <row r="304" spans="13:23" x14ac:dyDescent="0.2">
      <c r="M304" s="15">
        <v>98345</v>
      </c>
      <c r="N304" s="15" t="s">
        <v>10</v>
      </c>
      <c r="O304" s="16">
        <v>2</v>
      </c>
      <c r="P304" s="16">
        <v>5</v>
      </c>
      <c r="Q304" s="16">
        <v>2</v>
      </c>
      <c r="S304" s="15">
        <v>98366</v>
      </c>
      <c r="T304" s="15" t="s">
        <v>10</v>
      </c>
      <c r="U304" s="16">
        <v>198</v>
      </c>
      <c r="V304" s="16">
        <v>150</v>
      </c>
      <c r="W304" s="16">
        <v>121</v>
      </c>
    </row>
    <row r="305" spans="13:23" x14ac:dyDescent="0.2">
      <c r="M305" s="15">
        <v>98346</v>
      </c>
      <c r="N305" s="15" t="s">
        <v>345</v>
      </c>
      <c r="O305" s="16">
        <v>2</v>
      </c>
      <c r="P305" s="16"/>
      <c r="Q305" s="16">
        <v>2</v>
      </c>
      <c r="S305" s="15">
        <v>98367</v>
      </c>
      <c r="T305" s="15" t="s">
        <v>345</v>
      </c>
      <c r="U305" s="16">
        <v>3</v>
      </c>
      <c r="V305" s="16">
        <v>1</v>
      </c>
      <c r="W305" s="16">
        <v>3</v>
      </c>
    </row>
    <row r="306" spans="13:23" x14ac:dyDescent="0.2">
      <c r="M306" s="15">
        <v>98346</v>
      </c>
      <c r="N306" s="15" t="s">
        <v>10</v>
      </c>
      <c r="O306" s="16">
        <v>69</v>
      </c>
      <c r="P306" s="16">
        <v>47</v>
      </c>
      <c r="Q306" s="16">
        <v>29</v>
      </c>
      <c r="S306" s="15">
        <v>98367</v>
      </c>
      <c r="T306" s="15" t="s">
        <v>10</v>
      </c>
      <c r="U306" s="16">
        <v>99</v>
      </c>
      <c r="V306" s="16">
        <v>74</v>
      </c>
      <c r="W306" s="16">
        <v>72</v>
      </c>
    </row>
    <row r="307" spans="13:23" x14ac:dyDescent="0.2">
      <c r="M307" s="15">
        <v>98354</v>
      </c>
      <c r="N307" s="15" t="s">
        <v>345</v>
      </c>
      <c r="O307" s="16">
        <v>1</v>
      </c>
      <c r="P307" s="16">
        <v>1</v>
      </c>
      <c r="Q307" s="16">
        <v>2</v>
      </c>
      <c r="S307" s="15">
        <v>98370</v>
      </c>
      <c r="T307" s="15" t="s">
        <v>345</v>
      </c>
      <c r="U307" s="16">
        <v>4</v>
      </c>
      <c r="V307" s="16">
        <v>4</v>
      </c>
      <c r="W307" s="16">
        <v>3</v>
      </c>
    </row>
    <row r="308" spans="13:23" x14ac:dyDescent="0.2">
      <c r="M308" s="15">
        <v>98354</v>
      </c>
      <c r="N308" s="15" t="s">
        <v>10</v>
      </c>
      <c r="O308" s="16">
        <v>13</v>
      </c>
      <c r="P308" s="16">
        <v>13</v>
      </c>
      <c r="Q308" s="16">
        <v>4</v>
      </c>
      <c r="S308" s="15">
        <v>98370</v>
      </c>
      <c r="T308" s="15" t="s">
        <v>10</v>
      </c>
      <c r="U308" s="16">
        <v>87</v>
      </c>
      <c r="V308" s="16">
        <v>85</v>
      </c>
      <c r="W308" s="16">
        <v>65</v>
      </c>
    </row>
    <row r="309" spans="13:23" x14ac:dyDescent="0.2">
      <c r="M309" s="15">
        <v>98359</v>
      </c>
      <c r="N309" s="15" t="s">
        <v>345</v>
      </c>
      <c r="O309" s="16">
        <v>2</v>
      </c>
      <c r="P309" s="16"/>
      <c r="Q309" s="16">
        <v>2</v>
      </c>
      <c r="S309" s="15">
        <v>98371</v>
      </c>
      <c r="T309" s="15" t="s">
        <v>345</v>
      </c>
      <c r="U309" s="16">
        <v>4</v>
      </c>
      <c r="V309" s="16">
        <v>7</v>
      </c>
      <c r="W309" s="16">
        <v>3</v>
      </c>
    </row>
    <row r="310" spans="13:23" x14ac:dyDescent="0.2">
      <c r="M310" s="15">
        <v>98359</v>
      </c>
      <c r="N310" s="15" t="s">
        <v>10</v>
      </c>
      <c r="O310" s="16">
        <v>27</v>
      </c>
      <c r="P310" s="16">
        <v>12</v>
      </c>
      <c r="Q310" s="16">
        <v>12</v>
      </c>
      <c r="S310" s="15">
        <v>98371</v>
      </c>
      <c r="T310" s="15" t="s">
        <v>10</v>
      </c>
      <c r="U310" s="16">
        <v>92</v>
      </c>
      <c r="V310" s="16">
        <v>90</v>
      </c>
      <c r="W310" s="16">
        <v>79</v>
      </c>
    </row>
    <row r="311" spans="13:23" x14ac:dyDescent="0.2">
      <c r="M311" s="15">
        <v>98360</v>
      </c>
      <c r="N311" s="15" t="s">
        <v>345</v>
      </c>
      <c r="O311" s="16">
        <v>8</v>
      </c>
      <c r="P311" s="16">
        <v>3</v>
      </c>
      <c r="Q311" s="16">
        <v>4</v>
      </c>
      <c r="S311" s="15">
        <v>98372</v>
      </c>
      <c r="T311" s="15" t="s">
        <v>345</v>
      </c>
      <c r="U311" s="16">
        <v>7</v>
      </c>
      <c r="V311" s="16">
        <v>5</v>
      </c>
      <c r="W311" s="16">
        <v>6</v>
      </c>
    </row>
    <row r="312" spans="13:23" x14ac:dyDescent="0.2">
      <c r="M312" s="15">
        <v>98360</v>
      </c>
      <c r="N312" s="15" t="s">
        <v>10</v>
      </c>
      <c r="O312" s="16">
        <v>70</v>
      </c>
      <c r="P312" s="16">
        <v>64</v>
      </c>
      <c r="Q312" s="16">
        <v>49</v>
      </c>
      <c r="S312" s="15">
        <v>98372</v>
      </c>
      <c r="T312" s="15" t="s">
        <v>10</v>
      </c>
      <c r="U312" s="16">
        <v>133</v>
      </c>
      <c r="V312" s="16">
        <v>111</v>
      </c>
      <c r="W312" s="16">
        <v>120</v>
      </c>
    </row>
    <row r="313" spans="13:23" x14ac:dyDescent="0.2">
      <c r="M313" s="15">
        <v>98366</v>
      </c>
      <c r="N313" s="15" t="s">
        <v>345</v>
      </c>
      <c r="O313" s="16">
        <v>13</v>
      </c>
      <c r="P313" s="16">
        <v>3</v>
      </c>
      <c r="Q313" s="16">
        <v>9</v>
      </c>
      <c r="S313" s="15">
        <v>98373</v>
      </c>
      <c r="T313" s="15" t="s">
        <v>345</v>
      </c>
      <c r="U313" s="16">
        <v>11</v>
      </c>
      <c r="V313" s="16">
        <v>5</v>
      </c>
      <c r="W313" s="16">
        <v>4</v>
      </c>
    </row>
    <row r="314" spans="13:23" x14ac:dyDescent="0.2">
      <c r="M314" s="15">
        <v>98366</v>
      </c>
      <c r="N314" s="15" t="s">
        <v>10</v>
      </c>
      <c r="O314" s="16">
        <v>265</v>
      </c>
      <c r="P314" s="16">
        <v>168</v>
      </c>
      <c r="Q314" s="16">
        <v>138</v>
      </c>
      <c r="S314" s="15">
        <v>98373</v>
      </c>
      <c r="T314" s="15" t="s">
        <v>10</v>
      </c>
      <c r="U314" s="16">
        <v>105</v>
      </c>
      <c r="V314" s="16">
        <v>119</v>
      </c>
      <c r="W314" s="16">
        <v>91</v>
      </c>
    </row>
    <row r="315" spans="13:23" x14ac:dyDescent="0.2">
      <c r="M315" s="15">
        <v>98367</v>
      </c>
      <c r="N315" s="15" t="s">
        <v>345</v>
      </c>
      <c r="O315" s="16">
        <v>3</v>
      </c>
      <c r="P315" s="16">
        <v>2</v>
      </c>
      <c r="Q315" s="16">
        <v>3</v>
      </c>
      <c r="S315" s="15">
        <v>98374</v>
      </c>
      <c r="T315" s="15" t="s">
        <v>345</v>
      </c>
      <c r="U315" s="16">
        <v>3</v>
      </c>
      <c r="V315" s="16">
        <v>2</v>
      </c>
      <c r="W315" s="16">
        <v>1</v>
      </c>
    </row>
    <row r="316" spans="13:23" x14ac:dyDescent="0.2">
      <c r="M316" s="15">
        <v>98367</v>
      </c>
      <c r="N316" s="15" t="s">
        <v>10</v>
      </c>
      <c r="O316" s="16">
        <v>145</v>
      </c>
      <c r="P316" s="16">
        <v>89</v>
      </c>
      <c r="Q316" s="16">
        <v>85</v>
      </c>
      <c r="S316" s="15">
        <v>98374</v>
      </c>
      <c r="T316" s="15" t="s">
        <v>10</v>
      </c>
      <c r="U316" s="16">
        <v>186</v>
      </c>
      <c r="V316" s="16">
        <v>154</v>
      </c>
      <c r="W316" s="16">
        <v>160</v>
      </c>
    </row>
    <row r="317" spans="13:23" x14ac:dyDescent="0.2">
      <c r="M317" s="15">
        <v>98370</v>
      </c>
      <c r="N317" s="15" t="s">
        <v>345</v>
      </c>
      <c r="O317" s="16">
        <v>7</v>
      </c>
      <c r="P317" s="16">
        <v>7</v>
      </c>
      <c r="Q317" s="16">
        <v>5</v>
      </c>
      <c r="S317" s="15">
        <v>98375</v>
      </c>
      <c r="T317" s="15" t="s">
        <v>345</v>
      </c>
      <c r="U317" s="16">
        <v>3</v>
      </c>
      <c r="V317" s="16"/>
      <c r="W317" s="16"/>
    </row>
    <row r="318" spans="13:23" x14ac:dyDescent="0.2">
      <c r="M318" s="15">
        <v>98370</v>
      </c>
      <c r="N318" s="15" t="s">
        <v>10</v>
      </c>
      <c r="O318" s="16">
        <v>134</v>
      </c>
      <c r="P318" s="16">
        <v>94</v>
      </c>
      <c r="Q318" s="16">
        <v>78</v>
      </c>
      <c r="S318" s="15">
        <v>98375</v>
      </c>
      <c r="T318" s="15" t="s">
        <v>10</v>
      </c>
      <c r="U318" s="16">
        <v>116</v>
      </c>
      <c r="V318" s="16">
        <v>91</v>
      </c>
      <c r="W318" s="16">
        <v>92</v>
      </c>
    </row>
    <row r="319" spans="13:23" x14ac:dyDescent="0.2">
      <c r="M319" s="15">
        <v>98371</v>
      </c>
      <c r="N319" s="15" t="s">
        <v>345</v>
      </c>
      <c r="O319" s="16">
        <v>3</v>
      </c>
      <c r="P319" s="16">
        <v>10</v>
      </c>
      <c r="Q319" s="16">
        <v>9</v>
      </c>
      <c r="S319" s="15">
        <v>98380</v>
      </c>
      <c r="T319" s="15" t="s">
        <v>10</v>
      </c>
      <c r="U319" s="16">
        <v>26</v>
      </c>
      <c r="V319" s="16">
        <v>14</v>
      </c>
      <c r="W319" s="16">
        <v>19</v>
      </c>
    </row>
    <row r="320" spans="13:23" x14ac:dyDescent="0.2">
      <c r="M320" s="15">
        <v>98371</v>
      </c>
      <c r="N320" s="15" t="s">
        <v>10</v>
      </c>
      <c r="O320" s="16">
        <v>111</v>
      </c>
      <c r="P320" s="16">
        <v>130</v>
      </c>
      <c r="Q320" s="16">
        <v>89</v>
      </c>
      <c r="S320" s="15">
        <v>98383</v>
      </c>
      <c r="T320" s="15" t="s">
        <v>345</v>
      </c>
      <c r="U320" s="16">
        <v>4</v>
      </c>
      <c r="V320" s="16">
        <v>1</v>
      </c>
      <c r="W320" s="16">
        <v>3</v>
      </c>
    </row>
    <row r="321" spans="13:23" x14ac:dyDescent="0.2">
      <c r="M321" s="15">
        <v>98372</v>
      </c>
      <c r="N321" s="15" t="s">
        <v>345</v>
      </c>
      <c r="O321" s="16">
        <v>10</v>
      </c>
      <c r="P321" s="16">
        <v>9</v>
      </c>
      <c r="Q321" s="16">
        <v>10</v>
      </c>
      <c r="S321" s="15">
        <v>98383</v>
      </c>
      <c r="T321" s="15" t="s">
        <v>10</v>
      </c>
      <c r="U321" s="16">
        <v>75</v>
      </c>
      <c r="V321" s="16">
        <v>64</v>
      </c>
      <c r="W321" s="16">
        <v>46</v>
      </c>
    </row>
    <row r="322" spans="13:23" x14ac:dyDescent="0.2">
      <c r="M322" s="15">
        <v>98372</v>
      </c>
      <c r="N322" s="15" t="s">
        <v>10</v>
      </c>
      <c r="O322" s="16">
        <v>196</v>
      </c>
      <c r="P322" s="16">
        <v>154</v>
      </c>
      <c r="Q322" s="16">
        <v>152</v>
      </c>
      <c r="S322" s="15">
        <v>98385</v>
      </c>
      <c r="T322" s="15" t="s">
        <v>345</v>
      </c>
      <c r="U322" s="16"/>
      <c r="V322" s="16">
        <v>1</v>
      </c>
      <c r="W322" s="16">
        <v>1</v>
      </c>
    </row>
    <row r="323" spans="13:23" x14ac:dyDescent="0.2">
      <c r="M323" s="15">
        <v>98373</v>
      </c>
      <c r="N323" s="15" t="s">
        <v>345</v>
      </c>
      <c r="O323" s="16">
        <v>10</v>
      </c>
      <c r="P323" s="16">
        <v>8</v>
      </c>
      <c r="Q323" s="16">
        <v>5</v>
      </c>
      <c r="S323" s="15">
        <v>98385</v>
      </c>
      <c r="T323" s="15" t="s">
        <v>10</v>
      </c>
      <c r="U323" s="16">
        <v>3</v>
      </c>
      <c r="V323" s="16">
        <v>2</v>
      </c>
      <c r="W323" s="16">
        <v>1</v>
      </c>
    </row>
    <row r="324" spans="13:23" x14ac:dyDescent="0.2">
      <c r="M324" s="15">
        <v>98373</v>
      </c>
      <c r="N324" s="15" t="s">
        <v>10</v>
      </c>
      <c r="O324" s="16">
        <v>151</v>
      </c>
      <c r="P324" s="16">
        <v>131</v>
      </c>
      <c r="Q324" s="16">
        <v>121</v>
      </c>
      <c r="S324" s="15">
        <v>98387</v>
      </c>
      <c r="T324" s="15" t="s">
        <v>345</v>
      </c>
      <c r="U324" s="16"/>
      <c r="V324" s="16">
        <v>1</v>
      </c>
      <c r="W324" s="16">
        <v>4</v>
      </c>
    </row>
    <row r="325" spans="13:23" x14ac:dyDescent="0.2">
      <c r="M325" s="15">
        <v>98374</v>
      </c>
      <c r="N325" s="15" t="s">
        <v>345</v>
      </c>
      <c r="O325" s="16">
        <v>5</v>
      </c>
      <c r="P325" s="16">
        <v>2</v>
      </c>
      <c r="Q325" s="16">
        <v>3</v>
      </c>
      <c r="S325" s="15">
        <v>98387</v>
      </c>
      <c r="T325" s="15" t="s">
        <v>10</v>
      </c>
      <c r="U325" s="16">
        <v>85</v>
      </c>
      <c r="V325" s="16">
        <v>69</v>
      </c>
      <c r="W325" s="16">
        <v>76</v>
      </c>
    </row>
    <row r="326" spans="13:23" x14ac:dyDescent="0.2">
      <c r="M326" s="15">
        <v>98374</v>
      </c>
      <c r="N326" s="15" t="s">
        <v>10</v>
      </c>
      <c r="O326" s="16">
        <v>265</v>
      </c>
      <c r="P326" s="16">
        <v>190</v>
      </c>
      <c r="Q326" s="16">
        <v>207</v>
      </c>
      <c r="S326" s="15">
        <v>98388</v>
      </c>
      <c r="T326" s="15" t="s">
        <v>10</v>
      </c>
      <c r="U326" s="16">
        <v>5</v>
      </c>
      <c r="V326" s="16">
        <v>4</v>
      </c>
      <c r="W326" s="16">
        <v>3</v>
      </c>
    </row>
    <row r="327" spans="13:23" x14ac:dyDescent="0.2">
      <c r="M327" s="15">
        <v>98375</v>
      </c>
      <c r="N327" s="15" t="s">
        <v>345</v>
      </c>
      <c r="O327" s="16">
        <v>2</v>
      </c>
      <c r="P327" s="16"/>
      <c r="Q327" s="16"/>
      <c r="S327" s="15">
        <v>98390</v>
      </c>
      <c r="T327" s="15" t="s">
        <v>345</v>
      </c>
      <c r="U327" s="16">
        <v>6</v>
      </c>
      <c r="V327" s="16">
        <v>5</v>
      </c>
      <c r="W327" s="16">
        <v>8</v>
      </c>
    </row>
    <row r="328" spans="13:23" x14ac:dyDescent="0.2">
      <c r="M328" s="15">
        <v>98375</v>
      </c>
      <c r="N328" s="15" t="s">
        <v>10</v>
      </c>
      <c r="O328" s="16">
        <v>158</v>
      </c>
      <c r="P328" s="16">
        <v>124</v>
      </c>
      <c r="Q328" s="16">
        <v>94</v>
      </c>
      <c r="S328" s="15">
        <v>98390</v>
      </c>
      <c r="T328" s="15" t="s">
        <v>10</v>
      </c>
      <c r="U328" s="16">
        <v>62</v>
      </c>
      <c r="V328" s="16">
        <v>50</v>
      </c>
      <c r="W328" s="16">
        <v>59</v>
      </c>
    </row>
    <row r="329" spans="13:23" x14ac:dyDescent="0.2">
      <c r="M329" s="15">
        <v>98380</v>
      </c>
      <c r="N329" s="15" t="s">
        <v>10</v>
      </c>
      <c r="O329" s="16">
        <v>36</v>
      </c>
      <c r="P329" s="16">
        <v>32</v>
      </c>
      <c r="Q329" s="16">
        <v>20</v>
      </c>
      <c r="S329" s="15">
        <v>98391</v>
      </c>
      <c r="T329" s="15" t="s">
        <v>345</v>
      </c>
      <c r="U329" s="16">
        <v>5</v>
      </c>
      <c r="V329" s="16">
        <v>6</v>
      </c>
      <c r="W329" s="16">
        <v>3</v>
      </c>
    </row>
    <row r="330" spans="13:23" x14ac:dyDescent="0.2">
      <c r="M330" s="15">
        <v>98383</v>
      </c>
      <c r="N330" s="15" t="s">
        <v>345</v>
      </c>
      <c r="O330" s="16">
        <v>6</v>
      </c>
      <c r="P330" s="16">
        <v>3</v>
      </c>
      <c r="Q330" s="16">
        <v>4</v>
      </c>
      <c r="S330" s="15">
        <v>98391</v>
      </c>
      <c r="T330" s="15" t="s">
        <v>10</v>
      </c>
      <c r="U330" s="16">
        <v>212</v>
      </c>
      <c r="V330" s="16">
        <v>173</v>
      </c>
      <c r="W330" s="16">
        <v>149</v>
      </c>
    </row>
    <row r="331" spans="13:23" x14ac:dyDescent="0.2">
      <c r="M331" s="15">
        <v>98383</v>
      </c>
      <c r="N331" s="15" t="s">
        <v>10</v>
      </c>
      <c r="O331" s="16">
        <v>91</v>
      </c>
      <c r="P331" s="16">
        <v>68</v>
      </c>
      <c r="Q331" s="16">
        <v>74</v>
      </c>
      <c r="S331" s="15">
        <v>98392</v>
      </c>
      <c r="T331" s="15" t="s">
        <v>345</v>
      </c>
      <c r="U331" s="16">
        <v>1</v>
      </c>
      <c r="V331" s="16">
        <v>1</v>
      </c>
      <c r="W331" s="16"/>
    </row>
    <row r="332" spans="13:23" x14ac:dyDescent="0.2">
      <c r="M332" s="15">
        <v>98385</v>
      </c>
      <c r="N332" s="15" t="s">
        <v>345</v>
      </c>
      <c r="O332" s="16"/>
      <c r="P332" s="16">
        <v>1</v>
      </c>
      <c r="Q332" s="16">
        <v>1</v>
      </c>
      <c r="S332" s="15">
        <v>98392</v>
      </c>
      <c r="T332" s="15" t="s">
        <v>10</v>
      </c>
      <c r="U332" s="16">
        <v>12</v>
      </c>
      <c r="V332" s="16">
        <v>12</v>
      </c>
      <c r="W332" s="16">
        <v>9</v>
      </c>
    </row>
    <row r="333" spans="13:23" x14ac:dyDescent="0.2">
      <c r="M333" s="15">
        <v>98385</v>
      </c>
      <c r="N333" s="15" t="s">
        <v>10</v>
      </c>
      <c r="O333" s="16">
        <v>4</v>
      </c>
      <c r="P333" s="16">
        <v>2</v>
      </c>
      <c r="Q333" s="16">
        <v>2</v>
      </c>
      <c r="S333" s="15">
        <v>98396</v>
      </c>
      <c r="T333" s="15" t="s">
        <v>10</v>
      </c>
      <c r="U333" s="16">
        <v>2</v>
      </c>
      <c r="V333" s="16">
        <v>2</v>
      </c>
      <c r="W333" s="16"/>
    </row>
    <row r="334" spans="13:23" x14ac:dyDescent="0.2">
      <c r="M334" s="15">
        <v>98387</v>
      </c>
      <c r="N334" s="15" t="s">
        <v>345</v>
      </c>
      <c r="O334" s="16">
        <v>1</v>
      </c>
      <c r="P334" s="16">
        <v>3</v>
      </c>
      <c r="Q334" s="16">
        <v>4</v>
      </c>
      <c r="S334" s="15">
        <v>98402</v>
      </c>
      <c r="T334" s="15" t="s">
        <v>345</v>
      </c>
      <c r="U334" s="16">
        <v>2</v>
      </c>
      <c r="V334" s="16">
        <v>1</v>
      </c>
      <c r="W334" s="16">
        <v>1</v>
      </c>
    </row>
    <row r="335" spans="13:23" x14ac:dyDescent="0.2">
      <c r="M335" s="15">
        <v>98387</v>
      </c>
      <c r="N335" s="15" t="s">
        <v>10</v>
      </c>
      <c r="O335" s="16">
        <v>110</v>
      </c>
      <c r="P335" s="16">
        <v>96</v>
      </c>
      <c r="Q335" s="16">
        <v>84</v>
      </c>
      <c r="S335" s="15">
        <v>98402</v>
      </c>
      <c r="T335" s="15" t="s">
        <v>10</v>
      </c>
      <c r="U335" s="16">
        <v>1</v>
      </c>
      <c r="V335" s="16">
        <v>2</v>
      </c>
      <c r="W335" s="16">
        <v>1</v>
      </c>
    </row>
    <row r="336" spans="13:23" x14ac:dyDescent="0.2">
      <c r="M336" s="15">
        <v>98388</v>
      </c>
      <c r="N336" s="15" t="s">
        <v>10</v>
      </c>
      <c r="O336" s="16">
        <v>7</v>
      </c>
      <c r="P336" s="16">
        <v>6</v>
      </c>
      <c r="Q336" s="16">
        <v>2</v>
      </c>
      <c r="S336" s="15">
        <v>98403</v>
      </c>
      <c r="T336" s="15" t="s">
        <v>345</v>
      </c>
      <c r="U336" s="16"/>
      <c r="V336" s="16">
        <v>1</v>
      </c>
      <c r="W336" s="16">
        <v>1</v>
      </c>
    </row>
    <row r="337" spans="13:23" x14ac:dyDescent="0.2">
      <c r="M337" s="15">
        <v>98390</v>
      </c>
      <c r="N337" s="15" t="s">
        <v>345</v>
      </c>
      <c r="O337" s="16">
        <v>13</v>
      </c>
      <c r="P337" s="16">
        <v>11</v>
      </c>
      <c r="Q337" s="16">
        <v>9</v>
      </c>
      <c r="S337" s="15">
        <v>98403</v>
      </c>
      <c r="T337" s="15" t="s">
        <v>10</v>
      </c>
      <c r="U337" s="16">
        <v>9</v>
      </c>
      <c r="V337" s="16">
        <v>9</v>
      </c>
      <c r="W337" s="16">
        <v>9</v>
      </c>
    </row>
    <row r="338" spans="13:23" x14ac:dyDescent="0.2">
      <c r="M338" s="15">
        <v>98390</v>
      </c>
      <c r="N338" s="15" t="s">
        <v>10</v>
      </c>
      <c r="O338" s="16">
        <v>83</v>
      </c>
      <c r="P338" s="16">
        <v>71</v>
      </c>
      <c r="Q338" s="16">
        <v>59</v>
      </c>
      <c r="S338" s="15">
        <v>98404</v>
      </c>
      <c r="T338" s="15" t="s">
        <v>345</v>
      </c>
      <c r="U338" s="16">
        <v>3</v>
      </c>
      <c r="V338" s="16">
        <v>3</v>
      </c>
      <c r="W338" s="16">
        <v>1</v>
      </c>
    </row>
    <row r="339" spans="13:23" x14ac:dyDescent="0.2">
      <c r="M339" s="15">
        <v>98391</v>
      </c>
      <c r="N339" s="15" t="s">
        <v>345</v>
      </c>
      <c r="O339" s="16">
        <v>8</v>
      </c>
      <c r="P339" s="16">
        <v>10</v>
      </c>
      <c r="Q339" s="16">
        <v>6</v>
      </c>
      <c r="S339" s="15">
        <v>98404</v>
      </c>
      <c r="T339" s="15" t="s">
        <v>10</v>
      </c>
      <c r="U339" s="16">
        <v>47</v>
      </c>
      <c r="V339" s="16">
        <v>43</v>
      </c>
      <c r="W339" s="16">
        <v>33</v>
      </c>
    </row>
    <row r="340" spans="13:23" x14ac:dyDescent="0.2">
      <c r="M340" s="15">
        <v>98391</v>
      </c>
      <c r="N340" s="15" t="s">
        <v>10</v>
      </c>
      <c r="O340" s="16">
        <v>300</v>
      </c>
      <c r="P340" s="16">
        <v>227</v>
      </c>
      <c r="Q340" s="16">
        <v>179</v>
      </c>
      <c r="S340" s="15">
        <v>98405</v>
      </c>
      <c r="T340" s="15" t="s">
        <v>345</v>
      </c>
      <c r="U340" s="16">
        <v>3</v>
      </c>
      <c r="V340" s="16">
        <v>5</v>
      </c>
      <c r="W340" s="16">
        <v>3</v>
      </c>
    </row>
    <row r="341" spans="13:23" x14ac:dyDescent="0.2">
      <c r="M341" s="15">
        <v>98392</v>
      </c>
      <c r="N341" s="15" t="s">
        <v>345</v>
      </c>
      <c r="O341" s="16">
        <v>1</v>
      </c>
      <c r="P341" s="16">
        <v>1</v>
      </c>
      <c r="Q341" s="16"/>
      <c r="S341" s="15">
        <v>98405</v>
      </c>
      <c r="T341" s="15" t="s">
        <v>10</v>
      </c>
      <c r="U341" s="16">
        <v>50</v>
      </c>
      <c r="V341" s="16">
        <v>36</v>
      </c>
      <c r="W341" s="16">
        <v>29</v>
      </c>
    </row>
    <row r="342" spans="13:23" x14ac:dyDescent="0.2">
      <c r="M342" s="15">
        <v>98392</v>
      </c>
      <c r="N342" s="15" t="s">
        <v>10</v>
      </c>
      <c r="O342" s="16">
        <v>22</v>
      </c>
      <c r="P342" s="16">
        <v>14</v>
      </c>
      <c r="Q342" s="16">
        <v>14</v>
      </c>
      <c r="S342" s="15">
        <v>98406</v>
      </c>
      <c r="T342" s="15" t="s">
        <v>345</v>
      </c>
      <c r="U342" s="16">
        <v>1</v>
      </c>
      <c r="V342" s="16">
        <v>2</v>
      </c>
      <c r="W342" s="16">
        <v>1</v>
      </c>
    </row>
    <row r="343" spans="13:23" x14ac:dyDescent="0.2">
      <c r="M343" s="15">
        <v>98396</v>
      </c>
      <c r="N343" s="15" t="s">
        <v>10</v>
      </c>
      <c r="O343" s="16">
        <v>3</v>
      </c>
      <c r="P343" s="16">
        <v>3</v>
      </c>
      <c r="Q343" s="16">
        <v>1</v>
      </c>
      <c r="S343" s="15">
        <v>98406</v>
      </c>
      <c r="T343" s="15" t="s">
        <v>10</v>
      </c>
      <c r="U343" s="16">
        <v>14</v>
      </c>
      <c r="V343" s="16">
        <v>28</v>
      </c>
      <c r="W343" s="16">
        <v>21</v>
      </c>
    </row>
    <row r="344" spans="13:23" x14ac:dyDescent="0.2">
      <c r="M344" s="15">
        <v>98402</v>
      </c>
      <c r="N344" s="15" t="s">
        <v>345</v>
      </c>
      <c r="O344" s="16">
        <v>3</v>
      </c>
      <c r="P344" s="16">
        <v>4</v>
      </c>
      <c r="Q344" s="16">
        <v>1</v>
      </c>
      <c r="S344" s="15">
        <v>98407</v>
      </c>
      <c r="T344" s="15" t="s">
        <v>345</v>
      </c>
      <c r="U344" s="16">
        <v>1</v>
      </c>
      <c r="V344" s="16">
        <v>1</v>
      </c>
      <c r="W344" s="16">
        <v>1</v>
      </c>
    </row>
    <row r="345" spans="13:23" x14ac:dyDescent="0.2">
      <c r="M345" s="15">
        <v>98402</v>
      </c>
      <c r="N345" s="15" t="s">
        <v>10</v>
      </c>
      <c r="O345" s="16">
        <v>4</v>
      </c>
      <c r="P345" s="16"/>
      <c r="Q345" s="16">
        <v>2</v>
      </c>
      <c r="S345" s="15">
        <v>98407</v>
      </c>
      <c r="T345" s="15" t="s">
        <v>10</v>
      </c>
      <c r="U345" s="16">
        <v>21</v>
      </c>
      <c r="V345" s="16">
        <v>13</v>
      </c>
      <c r="W345" s="16">
        <v>8</v>
      </c>
    </row>
    <row r="346" spans="13:23" x14ac:dyDescent="0.2">
      <c r="M346" s="15">
        <v>98403</v>
      </c>
      <c r="N346" s="15" t="s">
        <v>345</v>
      </c>
      <c r="O346" s="16">
        <v>1</v>
      </c>
      <c r="P346" s="16">
        <v>1</v>
      </c>
      <c r="Q346" s="16">
        <v>2</v>
      </c>
      <c r="S346" s="15">
        <v>98408</v>
      </c>
      <c r="T346" s="15" t="s">
        <v>345</v>
      </c>
      <c r="U346" s="16">
        <v>3</v>
      </c>
      <c r="V346" s="16">
        <v>2</v>
      </c>
      <c r="W346" s="16"/>
    </row>
    <row r="347" spans="13:23" x14ac:dyDescent="0.2">
      <c r="M347" s="15">
        <v>98403</v>
      </c>
      <c r="N347" s="15" t="s">
        <v>10</v>
      </c>
      <c r="O347" s="16">
        <v>15</v>
      </c>
      <c r="P347" s="16">
        <v>12</v>
      </c>
      <c r="Q347" s="16">
        <v>4</v>
      </c>
      <c r="S347" s="15">
        <v>98408</v>
      </c>
      <c r="T347" s="15" t="s">
        <v>10</v>
      </c>
      <c r="U347" s="16">
        <v>47</v>
      </c>
      <c r="V347" s="16">
        <v>29</v>
      </c>
      <c r="W347" s="16">
        <v>30</v>
      </c>
    </row>
    <row r="348" spans="13:23" x14ac:dyDescent="0.2">
      <c r="M348" s="15">
        <v>98404</v>
      </c>
      <c r="N348" s="15" t="s">
        <v>345</v>
      </c>
      <c r="O348" s="16">
        <v>5</v>
      </c>
      <c r="P348" s="16">
        <v>5</v>
      </c>
      <c r="Q348" s="16">
        <v>6</v>
      </c>
      <c r="S348" s="15">
        <v>98409</v>
      </c>
      <c r="T348" s="15" t="s">
        <v>345</v>
      </c>
      <c r="U348" s="16">
        <v>5</v>
      </c>
      <c r="V348" s="16">
        <v>2</v>
      </c>
      <c r="W348" s="16">
        <v>5</v>
      </c>
    </row>
    <row r="349" spans="13:23" x14ac:dyDescent="0.2">
      <c r="M349" s="15">
        <v>98404</v>
      </c>
      <c r="N349" s="15" t="s">
        <v>10</v>
      </c>
      <c r="O349" s="16">
        <v>63</v>
      </c>
      <c r="P349" s="16">
        <v>50</v>
      </c>
      <c r="Q349" s="16">
        <v>31</v>
      </c>
      <c r="S349" s="15">
        <v>98409</v>
      </c>
      <c r="T349" s="15" t="s">
        <v>10</v>
      </c>
      <c r="U349" s="16">
        <v>25</v>
      </c>
      <c r="V349" s="16">
        <v>28</v>
      </c>
      <c r="W349" s="16">
        <v>30</v>
      </c>
    </row>
    <row r="350" spans="13:23" x14ac:dyDescent="0.2">
      <c r="M350" s="15">
        <v>98405</v>
      </c>
      <c r="N350" s="15" t="s">
        <v>345</v>
      </c>
      <c r="O350" s="16">
        <v>6</v>
      </c>
      <c r="P350" s="16">
        <v>5</v>
      </c>
      <c r="Q350" s="16">
        <v>4</v>
      </c>
      <c r="S350" s="15">
        <v>98418</v>
      </c>
      <c r="T350" s="15" t="s">
        <v>345</v>
      </c>
      <c r="U350" s="16">
        <v>1</v>
      </c>
      <c r="V350" s="16">
        <v>2</v>
      </c>
      <c r="W350" s="16">
        <v>1</v>
      </c>
    </row>
    <row r="351" spans="13:23" x14ac:dyDescent="0.2">
      <c r="M351" s="15">
        <v>98405</v>
      </c>
      <c r="N351" s="15" t="s">
        <v>10</v>
      </c>
      <c r="O351" s="16">
        <v>64</v>
      </c>
      <c r="P351" s="16">
        <v>41</v>
      </c>
      <c r="Q351" s="16">
        <v>27</v>
      </c>
      <c r="S351" s="15">
        <v>98418</v>
      </c>
      <c r="T351" s="15" t="s">
        <v>10</v>
      </c>
      <c r="U351" s="16">
        <v>31</v>
      </c>
      <c r="V351" s="16">
        <v>18</v>
      </c>
      <c r="W351" s="16">
        <v>13</v>
      </c>
    </row>
    <row r="352" spans="13:23" x14ac:dyDescent="0.2">
      <c r="M352" s="15">
        <v>98406</v>
      </c>
      <c r="N352" s="15" t="s">
        <v>345</v>
      </c>
      <c r="O352" s="16">
        <v>2</v>
      </c>
      <c r="P352" s="16">
        <v>4</v>
      </c>
      <c r="Q352" s="16"/>
      <c r="S352" s="15">
        <v>98421</v>
      </c>
      <c r="T352" s="15" t="s">
        <v>345</v>
      </c>
      <c r="U352" s="16">
        <v>3</v>
      </c>
      <c r="V352" s="16">
        <v>1</v>
      </c>
      <c r="W352" s="16">
        <v>2</v>
      </c>
    </row>
    <row r="353" spans="13:23" x14ac:dyDescent="0.2">
      <c r="M353" s="15">
        <v>98406</v>
      </c>
      <c r="N353" s="15" t="s">
        <v>10</v>
      </c>
      <c r="O353" s="16">
        <v>25</v>
      </c>
      <c r="P353" s="16">
        <v>31</v>
      </c>
      <c r="Q353" s="16">
        <v>27</v>
      </c>
      <c r="S353" s="15">
        <v>98421</v>
      </c>
      <c r="T353" s="15" t="s">
        <v>10</v>
      </c>
      <c r="U353" s="16">
        <v>1</v>
      </c>
      <c r="V353" s="16"/>
      <c r="W353" s="16"/>
    </row>
    <row r="354" spans="13:23" x14ac:dyDescent="0.2">
      <c r="M354" s="15">
        <v>98407</v>
      </c>
      <c r="N354" s="15" t="s">
        <v>345</v>
      </c>
      <c r="O354" s="16">
        <v>2</v>
      </c>
      <c r="P354" s="16">
        <v>1</v>
      </c>
      <c r="Q354" s="16">
        <v>1</v>
      </c>
      <c r="S354" s="15">
        <v>98422</v>
      </c>
      <c r="T354" s="15" t="s">
        <v>345</v>
      </c>
      <c r="U354" s="16"/>
      <c r="V354" s="16">
        <v>1</v>
      </c>
      <c r="W354" s="16">
        <v>1</v>
      </c>
    </row>
    <row r="355" spans="13:23" x14ac:dyDescent="0.2">
      <c r="M355" s="15">
        <v>98407</v>
      </c>
      <c r="N355" s="15" t="s">
        <v>10</v>
      </c>
      <c r="O355" s="16">
        <v>28</v>
      </c>
      <c r="P355" s="16">
        <v>19</v>
      </c>
      <c r="Q355" s="16">
        <v>14</v>
      </c>
      <c r="S355" s="15">
        <v>98422</v>
      </c>
      <c r="T355" s="15" t="s">
        <v>10</v>
      </c>
      <c r="U355" s="16">
        <v>20</v>
      </c>
      <c r="V355" s="16">
        <v>19</v>
      </c>
      <c r="W355" s="16">
        <v>11</v>
      </c>
    </row>
    <row r="356" spans="13:23" x14ac:dyDescent="0.2">
      <c r="M356" s="15">
        <v>98408</v>
      </c>
      <c r="N356" s="15" t="s">
        <v>345</v>
      </c>
      <c r="O356" s="16">
        <v>3</v>
      </c>
      <c r="P356" s="16">
        <v>2</v>
      </c>
      <c r="Q356" s="16">
        <v>2</v>
      </c>
      <c r="S356" s="15">
        <v>98424</v>
      </c>
      <c r="T356" s="15" t="s">
        <v>345</v>
      </c>
      <c r="U356" s="16">
        <v>5</v>
      </c>
      <c r="V356" s="16">
        <v>2</v>
      </c>
      <c r="W356" s="16">
        <v>2</v>
      </c>
    </row>
    <row r="357" spans="13:23" x14ac:dyDescent="0.2">
      <c r="M357" s="15">
        <v>98408</v>
      </c>
      <c r="N357" s="15" t="s">
        <v>10</v>
      </c>
      <c r="O357" s="16">
        <v>69</v>
      </c>
      <c r="P357" s="16">
        <v>35</v>
      </c>
      <c r="Q357" s="16">
        <v>34</v>
      </c>
      <c r="S357" s="15">
        <v>98424</v>
      </c>
      <c r="T357" s="15" t="s">
        <v>10</v>
      </c>
      <c r="U357" s="16">
        <v>8</v>
      </c>
      <c r="V357" s="16">
        <v>9</v>
      </c>
      <c r="W357" s="16">
        <v>7</v>
      </c>
    </row>
    <row r="358" spans="13:23" x14ac:dyDescent="0.2">
      <c r="M358" s="15">
        <v>98409</v>
      </c>
      <c r="N358" s="15" t="s">
        <v>345</v>
      </c>
      <c r="O358" s="16">
        <v>8</v>
      </c>
      <c r="P358" s="16">
        <v>6</v>
      </c>
      <c r="Q358" s="16">
        <v>5</v>
      </c>
      <c r="S358" s="15">
        <v>98439</v>
      </c>
      <c r="T358" s="15" t="s">
        <v>345</v>
      </c>
      <c r="U358" s="16"/>
      <c r="V358" s="16">
        <v>1</v>
      </c>
      <c r="W358" s="16"/>
    </row>
    <row r="359" spans="13:23" x14ac:dyDescent="0.2">
      <c r="M359" s="15">
        <v>98409</v>
      </c>
      <c r="N359" s="15" t="s">
        <v>10</v>
      </c>
      <c r="O359" s="16">
        <v>34</v>
      </c>
      <c r="P359" s="16">
        <v>37</v>
      </c>
      <c r="Q359" s="16">
        <v>27</v>
      </c>
      <c r="S359" s="15">
        <v>98439</v>
      </c>
      <c r="T359" s="15" t="s">
        <v>10</v>
      </c>
      <c r="U359" s="16">
        <v>50</v>
      </c>
      <c r="V359" s="16">
        <v>59</v>
      </c>
      <c r="W359" s="16">
        <v>34</v>
      </c>
    </row>
    <row r="360" spans="13:23" x14ac:dyDescent="0.2">
      <c r="M360" s="15">
        <v>98418</v>
      </c>
      <c r="N360" s="15" t="s">
        <v>345</v>
      </c>
      <c r="O360" s="16">
        <v>3</v>
      </c>
      <c r="P360" s="16">
        <v>3</v>
      </c>
      <c r="Q360" s="16">
        <v>2</v>
      </c>
      <c r="S360" s="15">
        <v>98443</v>
      </c>
      <c r="T360" s="15" t="s">
        <v>10</v>
      </c>
      <c r="U360" s="16">
        <v>1</v>
      </c>
      <c r="V360" s="16">
        <v>2</v>
      </c>
      <c r="W360" s="16"/>
    </row>
    <row r="361" spans="13:23" x14ac:dyDescent="0.2">
      <c r="M361" s="15">
        <v>98418</v>
      </c>
      <c r="N361" s="15" t="s">
        <v>10</v>
      </c>
      <c r="O361" s="16">
        <v>37</v>
      </c>
      <c r="P361" s="16">
        <v>22</v>
      </c>
      <c r="Q361" s="16">
        <v>14</v>
      </c>
      <c r="S361" s="15">
        <v>98444</v>
      </c>
      <c r="T361" s="15" t="s">
        <v>345</v>
      </c>
      <c r="U361" s="16">
        <v>3</v>
      </c>
      <c r="V361" s="16">
        <v>5</v>
      </c>
      <c r="W361" s="16">
        <v>4</v>
      </c>
    </row>
    <row r="362" spans="13:23" x14ac:dyDescent="0.2">
      <c r="M362" s="15">
        <v>98421</v>
      </c>
      <c r="N362" s="15" t="s">
        <v>345</v>
      </c>
      <c r="O362" s="16">
        <v>7</v>
      </c>
      <c r="P362" s="16">
        <v>3</v>
      </c>
      <c r="Q362" s="16">
        <v>1</v>
      </c>
      <c r="S362" s="15">
        <v>98444</v>
      </c>
      <c r="T362" s="15" t="s">
        <v>10</v>
      </c>
      <c r="U362" s="16">
        <v>26</v>
      </c>
      <c r="V362" s="16">
        <v>34</v>
      </c>
      <c r="W362" s="16">
        <v>23</v>
      </c>
    </row>
    <row r="363" spans="13:23" x14ac:dyDescent="0.2">
      <c r="M363" s="15">
        <v>98421</v>
      </c>
      <c r="N363" s="15" t="s">
        <v>10</v>
      </c>
      <c r="O363" s="16">
        <v>1</v>
      </c>
      <c r="P363" s="16"/>
      <c r="Q363" s="16"/>
      <c r="S363" s="15">
        <v>98445</v>
      </c>
      <c r="T363" s="15" t="s">
        <v>345</v>
      </c>
      <c r="U363" s="16"/>
      <c r="V363" s="16"/>
      <c r="W363" s="16">
        <v>2</v>
      </c>
    </row>
    <row r="364" spans="13:23" x14ac:dyDescent="0.2">
      <c r="M364" s="15">
        <v>98422</v>
      </c>
      <c r="N364" s="15" t="s">
        <v>345</v>
      </c>
      <c r="O364" s="16">
        <v>1</v>
      </c>
      <c r="P364" s="16"/>
      <c r="Q364" s="16">
        <v>1</v>
      </c>
      <c r="S364" s="15">
        <v>98445</v>
      </c>
      <c r="T364" s="15" t="s">
        <v>10</v>
      </c>
      <c r="U364" s="16">
        <v>34</v>
      </c>
      <c r="V364" s="16">
        <v>43</v>
      </c>
      <c r="W364" s="16">
        <v>38</v>
      </c>
    </row>
    <row r="365" spans="13:23" x14ac:dyDescent="0.2">
      <c r="M365" s="15">
        <v>98422</v>
      </c>
      <c r="N365" s="15" t="s">
        <v>10</v>
      </c>
      <c r="O365" s="16">
        <v>20</v>
      </c>
      <c r="P365" s="16">
        <v>24</v>
      </c>
      <c r="Q365" s="16">
        <v>17</v>
      </c>
      <c r="S365" s="15">
        <v>98446</v>
      </c>
      <c r="T365" s="15" t="s">
        <v>10</v>
      </c>
      <c r="U365" s="16">
        <v>14</v>
      </c>
      <c r="V365" s="16">
        <v>30</v>
      </c>
      <c r="W365" s="16">
        <v>24</v>
      </c>
    </row>
    <row r="366" spans="13:23" x14ac:dyDescent="0.2">
      <c r="M366" s="15">
        <v>98424</v>
      </c>
      <c r="N366" s="15" t="s">
        <v>345</v>
      </c>
      <c r="O366" s="16">
        <v>6</v>
      </c>
      <c r="P366" s="16">
        <v>3</v>
      </c>
      <c r="Q366" s="16">
        <v>1</v>
      </c>
      <c r="S366" s="15">
        <v>98465</v>
      </c>
      <c r="T366" s="15" t="s">
        <v>10</v>
      </c>
      <c r="U366" s="16">
        <v>6</v>
      </c>
      <c r="V366" s="16">
        <v>5</v>
      </c>
      <c r="W366" s="16">
        <v>2</v>
      </c>
    </row>
    <row r="367" spans="13:23" x14ac:dyDescent="0.2">
      <c r="M367" s="15">
        <v>98424</v>
      </c>
      <c r="N367" s="15" t="s">
        <v>10</v>
      </c>
      <c r="O367" s="16">
        <v>14</v>
      </c>
      <c r="P367" s="16">
        <v>11</v>
      </c>
      <c r="Q367" s="16">
        <v>11</v>
      </c>
      <c r="S367" s="15">
        <v>98466</v>
      </c>
      <c r="T367" s="15" t="s">
        <v>345</v>
      </c>
      <c r="U367" s="16">
        <v>1</v>
      </c>
      <c r="V367" s="16"/>
      <c r="W367" s="16"/>
    </row>
    <row r="368" spans="13:23" x14ac:dyDescent="0.2">
      <c r="M368" s="15">
        <v>98433</v>
      </c>
      <c r="N368" s="15" t="s">
        <v>345</v>
      </c>
      <c r="O368" s="16">
        <v>1</v>
      </c>
      <c r="P368" s="16">
        <v>2</v>
      </c>
      <c r="Q368" s="16"/>
      <c r="S368" s="15">
        <v>98466</v>
      </c>
      <c r="T368" s="15" t="s">
        <v>10</v>
      </c>
      <c r="U368" s="16">
        <v>19</v>
      </c>
      <c r="V368" s="16">
        <v>21</v>
      </c>
      <c r="W368" s="16">
        <v>15</v>
      </c>
    </row>
    <row r="369" spans="13:23" x14ac:dyDescent="0.2">
      <c r="M369" s="15">
        <v>98438</v>
      </c>
      <c r="N369" s="15" t="s">
        <v>345</v>
      </c>
      <c r="O369" s="16"/>
      <c r="P369" s="16">
        <v>1</v>
      </c>
      <c r="Q369" s="16"/>
      <c r="S369" s="15">
        <v>98467</v>
      </c>
      <c r="T369" s="15" t="s">
        <v>10</v>
      </c>
      <c r="U369" s="16">
        <v>9</v>
      </c>
      <c r="V369" s="16">
        <v>11</v>
      </c>
      <c r="W369" s="16">
        <v>6</v>
      </c>
    </row>
    <row r="370" spans="13:23" x14ac:dyDescent="0.2">
      <c r="M370" s="15">
        <v>98439</v>
      </c>
      <c r="N370" s="15" t="s">
        <v>345</v>
      </c>
      <c r="O370" s="16">
        <v>1</v>
      </c>
      <c r="P370" s="16">
        <v>2</v>
      </c>
      <c r="Q370" s="16">
        <v>1</v>
      </c>
      <c r="S370" s="15">
        <v>98498</v>
      </c>
      <c r="T370" s="15" t="s">
        <v>345</v>
      </c>
      <c r="U370" s="16">
        <v>5</v>
      </c>
      <c r="V370" s="16">
        <v>1</v>
      </c>
      <c r="W370" s="16">
        <v>3</v>
      </c>
    </row>
    <row r="371" spans="13:23" x14ac:dyDescent="0.2">
      <c r="M371" s="15">
        <v>98439</v>
      </c>
      <c r="N371" s="15" t="s">
        <v>10</v>
      </c>
      <c r="O371" s="16">
        <v>60</v>
      </c>
      <c r="P371" s="16">
        <v>59</v>
      </c>
      <c r="Q371" s="16">
        <v>45</v>
      </c>
      <c r="S371" s="15">
        <v>98498</v>
      </c>
      <c r="T371" s="15" t="s">
        <v>10</v>
      </c>
      <c r="U371" s="16">
        <v>122</v>
      </c>
      <c r="V371" s="16">
        <v>110</v>
      </c>
      <c r="W371" s="16">
        <v>106</v>
      </c>
    </row>
    <row r="372" spans="13:23" x14ac:dyDescent="0.2">
      <c r="M372" s="15">
        <v>98443</v>
      </c>
      <c r="N372" s="15" t="s">
        <v>10</v>
      </c>
      <c r="O372" s="16">
        <v>1</v>
      </c>
      <c r="P372" s="16">
        <v>2</v>
      </c>
      <c r="Q372" s="16"/>
      <c r="S372" s="15">
        <v>98499</v>
      </c>
      <c r="T372" s="15" t="s">
        <v>345</v>
      </c>
      <c r="U372" s="16">
        <v>8</v>
      </c>
      <c r="V372" s="16">
        <v>3</v>
      </c>
      <c r="W372" s="16">
        <v>8</v>
      </c>
    </row>
    <row r="373" spans="13:23" x14ac:dyDescent="0.2">
      <c r="M373" s="15">
        <v>98444</v>
      </c>
      <c r="N373" s="15" t="s">
        <v>345</v>
      </c>
      <c r="O373" s="16">
        <v>9</v>
      </c>
      <c r="P373" s="16">
        <v>3</v>
      </c>
      <c r="Q373" s="16">
        <v>6</v>
      </c>
      <c r="S373" s="15">
        <v>98499</v>
      </c>
      <c r="T373" s="15" t="s">
        <v>10</v>
      </c>
      <c r="U373" s="16">
        <v>23</v>
      </c>
      <c r="V373" s="16">
        <v>27</v>
      </c>
      <c r="W373" s="16">
        <v>30</v>
      </c>
    </row>
    <row r="374" spans="13:23" x14ac:dyDescent="0.2">
      <c r="M374" s="15">
        <v>98444</v>
      </c>
      <c r="N374" s="15" t="s">
        <v>10</v>
      </c>
      <c r="O374" s="16">
        <v>39</v>
      </c>
      <c r="P374" s="16">
        <v>39</v>
      </c>
      <c r="Q374" s="16">
        <v>23</v>
      </c>
      <c r="S374" s="15">
        <v>98501</v>
      </c>
      <c r="T374" s="15" t="s">
        <v>345</v>
      </c>
      <c r="U374" s="16">
        <v>14</v>
      </c>
      <c r="V374" s="16">
        <v>13</v>
      </c>
      <c r="W374" s="16">
        <v>17</v>
      </c>
    </row>
    <row r="375" spans="13:23" x14ac:dyDescent="0.2">
      <c r="M375" s="15">
        <v>98445</v>
      </c>
      <c r="N375" s="15" t="s">
        <v>345</v>
      </c>
      <c r="O375" s="16"/>
      <c r="P375" s="16"/>
      <c r="Q375" s="16">
        <v>2</v>
      </c>
      <c r="S375" s="15">
        <v>98501</v>
      </c>
      <c r="T375" s="15" t="s">
        <v>10</v>
      </c>
      <c r="U375" s="16">
        <v>176</v>
      </c>
      <c r="V375" s="16">
        <v>154</v>
      </c>
      <c r="W375" s="16">
        <v>129</v>
      </c>
    </row>
    <row r="376" spans="13:23" x14ac:dyDescent="0.2">
      <c r="M376" s="15">
        <v>98445</v>
      </c>
      <c r="N376" s="15" t="s">
        <v>10</v>
      </c>
      <c r="O376" s="16">
        <v>53</v>
      </c>
      <c r="P376" s="16">
        <v>41</v>
      </c>
      <c r="Q376" s="16">
        <v>44</v>
      </c>
      <c r="S376" s="15">
        <v>98502</v>
      </c>
      <c r="T376" s="15" t="s">
        <v>345</v>
      </c>
      <c r="U376" s="16">
        <v>5</v>
      </c>
      <c r="V376" s="16">
        <v>4</v>
      </c>
      <c r="W376" s="16">
        <v>6</v>
      </c>
    </row>
    <row r="377" spans="13:23" x14ac:dyDescent="0.2">
      <c r="M377" s="15">
        <v>98446</v>
      </c>
      <c r="N377" s="15" t="s">
        <v>345</v>
      </c>
      <c r="O377" s="16"/>
      <c r="P377" s="16"/>
      <c r="Q377" s="16">
        <v>1</v>
      </c>
      <c r="S377" s="15">
        <v>98502</v>
      </c>
      <c r="T377" s="15" t="s">
        <v>10</v>
      </c>
      <c r="U377" s="16">
        <v>167</v>
      </c>
      <c r="V377" s="16">
        <v>141</v>
      </c>
      <c r="W377" s="16">
        <v>132</v>
      </c>
    </row>
    <row r="378" spans="13:23" x14ac:dyDescent="0.2">
      <c r="M378" s="15">
        <v>98446</v>
      </c>
      <c r="N378" s="15" t="s">
        <v>10</v>
      </c>
      <c r="O378" s="16">
        <v>32</v>
      </c>
      <c r="P378" s="16">
        <v>23</v>
      </c>
      <c r="Q378" s="16">
        <v>27</v>
      </c>
      <c r="S378" s="15">
        <v>98503</v>
      </c>
      <c r="T378" s="15" t="s">
        <v>345</v>
      </c>
      <c r="U378" s="16">
        <v>2</v>
      </c>
      <c r="V378" s="16">
        <v>7</v>
      </c>
      <c r="W378" s="16">
        <v>5</v>
      </c>
    </row>
    <row r="379" spans="13:23" x14ac:dyDescent="0.2">
      <c r="M379" s="15">
        <v>98465</v>
      </c>
      <c r="N379" s="15" t="s">
        <v>10</v>
      </c>
      <c r="O379" s="16">
        <v>9</v>
      </c>
      <c r="P379" s="16">
        <v>7</v>
      </c>
      <c r="Q379" s="16">
        <v>3</v>
      </c>
      <c r="S379" s="15">
        <v>98503</v>
      </c>
      <c r="T379" s="15" t="s">
        <v>10</v>
      </c>
      <c r="U379" s="16">
        <v>169</v>
      </c>
      <c r="V379" s="16">
        <v>160</v>
      </c>
      <c r="W379" s="16">
        <v>120</v>
      </c>
    </row>
    <row r="380" spans="13:23" x14ac:dyDescent="0.2">
      <c r="M380" s="15">
        <v>98466</v>
      </c>
      <c r="N380" s="15" t="s">
        <v>345</v>
      </c>
      <c r="O380" s="16">
        <v>2</v>
      </c>
      <c r="P380" s="16"/>
      <c r="Q380" s="16">
        <v>1</v>
      </c>
      <c r="S380" s="15">
        <v>98506</v>
      </c>
      <c r="T380" s="15" t="s">
        <v>345</v>
      </c>
      <c r="U380" s="16">
        <v>3</v>
      </c>
      <c r="V380" s="16">
        <v>2</v>
      </c>
      <c r="W380" s="16">
        <v>4</v>
      </c>
    </row>
    <row r="381" spans="13:23" x14ac:dyDescent="0.2">
      <c r="M381" s="15">
        <v>98466</v>
      </c>
      <c r="N381" s="15" t="s">
        <v>10</v>
      </c>
      <c r="O381" s="16">
        <v>28</v>
      </c>
      <c r="P381" s="16">
        <v>21</v>
      </c>
      <c r="Q381" s="16">
        <v>18</v>
      </c>
      <c r="S381" s="15">
        <v>98506</v>
      </c>
      <c r="T381" s="15" t="s">
        <v>10</v>
      </c>
      <c r="U381" s="16">
        <v>82</v>
      </c>
      <c r="V381" s="16">
        <v>63</v>
      </c>
      <c r="W381" s="16">
        <v>61</v>
      </c>
    </row>
    <row r="382" spans="13:23" x14ac:dyDescent="0.2">
      <c r="M382" s="15">
        <v>98467</v>
      </c>
      <c r="N382" s="15" t="s">
        <v>345</v>
      </c>
      <c r="O382" s="16"/>
      <c r="P382" s="16"/>
      <c r="Q382" s="16">
        <v>1</v>
      </c>
      <c r="S382" s="15">
        <v>98512</v>
      </c>
      <c r="T382" s="15" t="s">
        <v>345</v>
      </c>
      <c r="U382" s="16">
        <v>7</v>
      </c>
      <c r="V382" s="16">
        <v>4</v>
      </c>
      <c r="W382" s="16">
        <v>8</v>
      </c>
    </row>
    <row r="383" spans="13:23" x14ac:dyDescent="0.2">
      <c r="M383" s="15">
        <v>98467</v>
      </c>
      <c r="N383" s="15" t="s">
        <v>10</v>
      </c>
      <c r="O383" s="16">
        <v>13</v>
      </c>
      <c r="P383" s="16">
        <v>11</v>
      </c>
      <c r="Q383" s="16">
        <v>4</v>
      </c>
      <c r="S383" s="15">
        <v>98512</v>
      </c>
      <c r="T383" s="15" t="s">
        <v>10</v>
      </c>
      <c r="U383" s="16">
        <v>126</v>
      </c>
      <c r="V383" s="16">
        <v>119</v>
      </c>
      <c r="W383" s="16">
        <v>93</v>
      </c>
    </row>
    <row r="384" spans="13:23" x14ac:dyDescent="0.2">
      <c r="M384" s="15">
        <v>98498</v>
      </c>
      <c r="N384" s="15" t="s">
        <v>345</v>
      </c>
      <c r="O384" s="16">
        <v>7</v>
      </c>
      <c r="P384" s="16">
        <v>2</v>
      </c>
      <c r="Q384" s="16">
        <v>1</v>
      </c>
      <c r="S384" s="15">
        <v>98513</v>
      </c>
      <c r="T384" s="15" t="s">
        <v>345</v>
      </c>
      <c r="U384" s="16">
        <v>3</v>
      </c>
      <c r="V384" s="16">
        <v>2</v>
      </c>
      <c r="W384" s="16">
        <v>6</v>
      </c>
    </row>
    <row r="385" spans="13:23" x14ac:dyDescent="0.2">
      <c r="M385" s="15">
        <v>98498</v>
      </c>
      <c r="N385" s="15" t="s">
        <v>10</v>
      </c>
      <c r="O385" s="16">
        <v>152</v>
      </c>
      <c r="P385" s="16">
        <v>139</v>
      </c>
      <c r="Q385" s="16">
        <v>107</v>
      </c>
      <c r="S385" s="15">
        <v>98513</v>
      </c>
      <c r="T385" s="15" t="s">
        <v>10</v>
      </c>
      <c r="U385" s="16">
        <v>116</v>
      </c>
      <c r="V385" s="16">
        <v>114</v>
      </c>
      <c r="W385" s="16">
        <v>97</v>
      </c>
    </row>
    <row r="386" spans="13:23" x14ac:dyDescent="0.2">
      <c r="M386" s="15">
        <v>98499</v>
      </c>
      <c r="N386" s="15" t="s">
        <v>345</v>
      </c>
      <c r="O386" s="16">
        <v>13</v>
      </c>
      <c r="P386" s="16">
        <v>7</v>
      </c>
      <c r="Q386" s="16">
        <v>5</v>
      </c>
      <c r="S386" s="15">
        <v>98516</v>
      </c>
      <c r="T386" s="15" t="s">
        <v>345</v>
      </c>
      <c r="U386" s="16">
        <v>6</v>
      </c>
      <c r="V386" s="16">
        <v>5</v>
      </c>
      <c r="W386" s="16">
        <v>4</v>
      </c>
    </row>
    <row r="387" spans="13:23" x14ac:dyDescent="0.2">
      <c r="M387" s="15">
        <v>98499</v>
      </c>
      <c r="N387" s="15" t="s">
        <v>10</v>
      </c>
      <c r="O387" s="16">
        <v>27</v>
      </c>
      <c r="P387" s="16">
        <v>35</v>
      </c>
      <c r="Q387" s="16">
        <v>35</v>
      </c>
      <c r="S387" s="15">
        <v>98516</v>
      </c>
      <c r="T387" s="15" t="s">
        <v>10</v>
      </c>
      <c r="U387" s="16">
        <v>96</v>
      </c>
      <c r="V387" s="16">
        <v>93</v>
      </c>
      <c r="W387" s="16">
        <v>85</v>
      </c>
    </row>
    <row r="388" spans="13:23" x14ac:dyDescent="0.2">
      <c r="M388" s="15">
        <v>98501</v>
      </c>
      <c r="N388" s="15" t="s">
        <v>345</v>
      </c>
      <c r="O388" s="16">
        <v>18</v>
      </c>
      <c r="P388" s="16">
        <v>23</v>
      </c>
      <c r="Q388" s="16">
        <v>15</v>
      </c>
      <c r="S388" s="15">
        <v>98530</v>
      </c>
      <c r="T388" s="15" t="s">
        <v>345</v>
      </c>
      <c r="U388" s="16"/>
      <c r="V388" s="16"/>
      <c r="W388" s="16">
        <v>1</v>
      </c>
    </row>
    <row r="389" spans="13:23" x14ac:dyDescent="0.2">
      <c r="M389" s="15">
        <v>98501</v>
      </c>
      <c r="N389" s="15" t="s">
        <v>10</v>
      </c>
      <c r="O389" s="16">
        <v>232</v>
      </c>
      <c r="P389" s="16">
        <v>189</v>
      </c>
      <c r="Q389" s="16">
        <v>140</v>
      </c>
      <c r="S389" s="15">
        <v>98530</v>
      </c>
      <c r="T389" s="15" t="s">
        <v>10</v>
      </c>
      <c r="U389" s="16">
        <v>9</v>
      </c>
      <c r="V389" s="16">
        <v>5</v>
      </c>
      <c r="W389" s="16">
        <v>5</v>
      </c>
    </row>
    <row r="390" spans="13:23" x14ac:dyDescent="0.2">
      <c r="M390" s="15">
        <v>98502</v>
      </c>
      <c r="N390" s="15" t="s">
        <v>345</v>
      </c>
      <c r="O390" s="16">
        <v>7</v>
      </c>
      <c r="P390" s="16">
        <v>9</v>
      </c>
      <c r="Q390" s="16">
        <v>8</v>
      </c>
      <c r="S390" s="15">
        <v>98531</v>
      </c>
      <c r="T390" s="15" t="s">
        <v>345</v>
      </c>
      <c r="U390" s="16">
        <v>2</v>
      </c>
      <c r="V390" s="16">
        <v>1</v>
      </c>
      <c r="W390" s="16">
        <v>3</v>
      </c>
    </row>
    <row r="391" spans="13:23" x14ac:dyDescent="0.2">
      <c r="M391" s="15">
        <v>98502</v>
      </c>
      <c r="N391" s="15" t="s">
        <v>10</v>
      </c>
      <c r="O391" s="16">
        <v>198</v>
      </c>
      <c r="P391" s="16">
        <v>165</v>
      </c>
      <c r="Q391" s="16">
        <v>141</v>
      </c>
      <c r="S391" s="15">
        <v>98531</v>
      </c>
      <c r="T391" s="15" t="s">
        <v>10</v>
      </c>
      <c r="U391" s="16">
        <v>31</v>
      </c>
      <c r="V391" s="16">
        <v>24</v>
      </c>
      <c r="W391" s="16">
        <v>26</v>
      </c>
    </row>
    <row r="392" spans="13:23" x14ac:dyDescent="0.2">
      <c r="M392" s="15">
        <v>98503</v>
      </c>
      <c r="N392" s="15" t="s">
        <v>345</v>
      </c>
      <c r="O392" s="16">
        <v>5</v>
      </c>
      <c r="P392" s="16">
        <v>11</v>
      </c>
      <c r="Q392" s="16">
        <v>8</v>
      </c>
      <c r="S392" s="15">
        <v>98532</v>
      </c>
      <c r="T392" s="15" t="s">
        <v>345</v>
      </c>
      <c r="U392" s="16">
        <v>2</v>
      </c>
      <c r="V392" s="16">
        <v>1</v>
      </c>
      <c r="W392" s="16">
        <v>2</v>
      </c>
    </row>
    <row r="393" spans="13:23" x14ac:dyDescent="0.2">
      <c r="M393" s="15">
        <v>98503</v>
      </c>
      <c r="N393" s="15" t="s">
        <v>10</v>
      </c>
      <c r="O393" s="16">
        <v>247</v>
      </c>
      <c r="P393" s="16">
        <v>191</v>
      </c>
      <c r="Q393" s="16">
        <v>148</v>
      </c>
      <c r="S393" s="15">
        <v>98532</v>
      </c>
      <c r="T393" s="15" t="s">
        <v>10</v>
      </c>
      <c r="U393" s="16">
        <v>7</v>
      </c>
      <c r="V393" s="16">
        <v>5</v>
      </c>
      <c r="W393" s="16">
        <v>8</v>
      </c>
    </row>
    <row r="394" spans="13:23" x14ac:dyDescent="0.2">
      <c r="M394" s="15">
        <v>98506</v>
      </c>
      <c r="N394" s="15" t="s">
        <v>345</v>
      </c>
      <c r="O394" s="16">
        <v>5</v>
      </c>
      <c r="P394" s="16">
        <v>7</v>
      </c>
      <c r="Q394" s="16">
        <v>4</v>
      </c>
      <c r="S394" s="15">
        <v>98558</v>
      </c>
      <c r="T394" s="15" t="s">
        <v>10</v>
      </c>
      <c r="U394" s="16">
        <v>3</v>
      </c>
      <c r="V394" s="16">
        <v>2</v>
      </c>
      <c r="W394" s="16"/>
    </row>
    <row r="395" spans="13:23" x14ac:dyDescent="0.2">
      <c r="M395" s="15">
        <v>98506</v>
      </c>
      <c r="N395" s="15" t="s">
        <v>10</v>
      </c>
      <c r="O395" s="16">
        <v>113</v>
      </c>
      <c r="P395" s="16">
        <v>78</v>
      </c>
      <c r="Q395" s="16">
        <v>66</v>
      </c>
      <c r="S395" s="15">
        <v>98576</v>
      </c>
      <c r="T395" s="15" t="s">
        <v>345</v>
      </c>
      <c r="U395" s="16">
        <v>1</v>
      </c>
      <c r="V395" s="16"/>
      <c r="W395" s="16">
        <v>1</v>
      </c>
    </row>
    <row r="396" spans="13:23" x14ac:dyDescent="0.2">
      <c r="M396" s="15">
        <v>98512</v>
      </c>
      <c r="N396" s="15" t="s">
        <v>345</v>
      </c>
      <c r="O396" s="16">
        <v>11</v>
      </c>
      <c r="P396" s="16">
        <v>8</v>
      </c>
      <c r="Q396" s="16">
        <v>9</v>
      </c>
      <c r="S396" s="15">
        <v>98576</v>
      </c>
      <c r="T396" s="15" t="s">
        <v>10</v>
      </c>
      <c r="U396" s="16">
        <v>29</v>
      </c>
      <c r="V396" s="16">
        <v>23</v>
      </c>
      <c r="W396" s="16">
        <v>16</v>
      </c>
    </row>
    <row r="397" spans="13:23" x14ac:dyDescent="0.2">
      <c r="M397" s="15">
        <v>98512</v>
      </c>
      <c r="N397" s="15" t="s">
        <v>10</v>
      </c>
      <c r="O397" s="16">
        <v>171</v>
      </c>
      <c r="P397" s="16">
        <v>150</v>
      </c>
      <c r="Q397" s="16">
        <v>112</v>
      </c>
      <c r="S397" s="15">
        <v>98579</v>
      </c>
      <c r="T397" s="15" t="s">
        <v>345</v>
      </c>
      <c r="U397" s="16">
        <v>2</v>
      </c>
      <c r="V397" s="16"/>
      <c r="W397" s="16">
        <v>2</v>
      </c>
    </row>
    <row r="398" spans="13:23" x14ac:dyDescent="0.2">
      <c r="M398" s="15">
        <v>98513</v>
      </c>
      <c r="N398" s="15" t="s">
        <v>345</v>
      </c>
      <c r="O398" s="16">
        <v>5</v>
      </c>
      <c r="P398" s="16">
        <v>9</v>
      </c>
      <c r="Q398" s="16">
        <v>5</v>
      </c>
      <c r="S398" s="15">
        <v>98579</v>
      </c>
      <c r="T398" s="15" t="s">
        <v>10</v>
      </c>
      <c r="U398" s="16">
        <v>63</v>
      </c>
      <c r="V398" s="16">
        <v>52</v>
      </c>
      <c r="W398" s="16">
        <v>33</v>
      </c>
    </row>
    <row r="399" spans="13:23" x14ac:dyDescent="0.2">
      <c r="M399" s="15">
        <v>98513</v>
      </c>
      <c r="N399" s="15" t="s">
        <v>10</v>
      </c>
      <c r="O399" s="16">
        <v>152</v>
      </c>
      <c r="P399" s="16">
        <v>158</v>
      </c>
      <c r="Q399" s="16">
        <v>110</v>
      </c>
      <c r="S399" s="15">
        <v>98580</v>
      </c>
      <c r="T399" s="15" t="s">
        <v>345</v>
      </c>
      <c r="U399" s="16">
        <v>3</v>
      </c>
      <c r="V399" s="16">
        <v>3</v>
      </c>
      <c r="W399" s="16">
        <v>2</v>
      </c>
    </row>
    <row r="400" spans="13:23" x14ac:dyDescent="0.2">
      <c r="M400" s="15">
        <v>98516</v>
      </c>
      <c r="N400" s="15" t="s">
        <v>345</v>
      </c>
      <c r="O400" s="16">
        <v>14</v>
      </c>
      <c r="P400" s="16">
        <v>10</v>
      </c>
      <c r="Q400" s="16">
        <v>8</v>
      </c>
      <c r="S400" s="15">
        <v>98580</v>
      </c>
      <c r="T400" s="15" t="s">
        <v>10</v>
      </c>
      <c r="U400" s="16">
        <v>38</v>
      </c>
      <c r="V400" s="16">
        <v>33</v>
      </c>
      <c r="W400" s="16">
        <v>31</v>
      </c>
    </row>
    <row r="401" spans="13:23" x14ac:dyDescent="0.2">
      <c r="M401" s="15">
        <v>98516</v>
      </c>
      <c r="N401" s="15" t="s">
        <v>10</v>
      </c>
      <c r="O401" s="16">
        <v>131</v>
      </c>
      <c r="P401" s="16">
        <v>110</v>
      </c>
      <c r="Q401" s="16">
        <v>95</v>
      </c>
      <c r="S401" s="15">
        <v>98589</v>
      </c>
      <c r="T401" s="15" t="s">
        <v>345</v>
      </c>
      <c r="U401" s="16">
        <v>7</v>
      </c>
      <c r="V401" s="16">
        <v>6</v>
      </c>
      <c r="W401" s="16">
        <v>5</v>
      </c>
    </row>
    <row r="402" spans="13:23" x14ac:dyDescent="0.2">
      <c r="M402" s="15">
        <v>98530</v>
      </c>
      <c r="N402" s="15" t="s">
        <v>345</v>
      </c>
      <c r="O402" s="16"/>
      <c r="P402" s="16">
        <v>1</v>
      </c>
      <c r="Q402" s="16"/>
      <c r="S402" s="15">
        <v>98589</v>
      </c>
      <c r="T402" s="15" t="s">
        <v>10</v>
      </c>
      <c r="U402" s="16">
        <v>32</v>
      </c>
      <c r="V402" s="16">
        <v>38</v>
      </c>
      <c r="W402" s="16">
        <v>32</v>
      </c>
    </row>
    <row r="403" spans="13:23" x14ac:dyDescent="0.2">
      <c r="M403" s="15">
        <v>98530</v>
      </c>
      <c r="N403" s="15" t="s">
        <v>10</v>
      </c>
      <c r="O403" s="16">
        <v>7</v>
      </c>
      <c r="P403" s="16">
        <v>9</v>
      </c>
      <c r="Q403" s="16">
        <v>6</v>
      </c>
      <c r="S403" s="15">
        <v>98591</v>
      </c>
      <c r="T403" s="15" t="s">
        <v>10</v>
      </c>
      <c r="U403" s="16">
        <v>1</v>
      </c>
      <c r="V403" s="16">
        <v>1</v>
      </c>
      <c r="W403" s="16"/>
    </row>
    <row r="404" spans="13:23" x14ac:dyDescent="0.2">
      <c r="M404" s="15">
        <v>98531</v>
      </c>
      <c r="N404" s="15" t="s">
        <v>345</v>
      </c>
      <c r="O404" s="16">
        <v>3</v>
      </c>
      <c r="P404" s="16">
        <v>3</v>
      </c>
      <c r="Q404" s="16">
        <v>3</v>
      </c>
      <c r="S404" s="15">
        <v>98596</v>
      </c>
      <c r="T404" s="15" t="s">
        <v>10</v>
      </c>
      <c r="U404" s="16">
        <v>1</v>
      </c>
      <c r="V404" s="16"/>
      <c r="W404" s="16">
        <v>1</v>
      </c>
    </row>
    <row r="405" spans="13:23" x14ac:dyDescent="0.2">
      <c r="M405" s="15">
        <v>98531</v>
      </c>
      <c r="N405" s="15" t="s">
        <v>10</v>
      </c>
      <c r="O405" s="16">
        <v>33</v>
      </c>
      <c r="P405" s="16">
        <v>35</v>
      </c>
      <c r="Q405" s="16">
        <v>21</v>
      </c>
      <c r="S405" s="15">
        <v>98597</v>
      </c>
      <c r="T405" s="15" t="s">
        <v>345</v>
      </c>
      <c r="U405" s="16">
        <v>8</v>
      </c>
      <c r="V405" s="16">
        <v>6</v>
      </c>
      <c r="W405" s="16">
        <v>2</v>
      </c>
    </row>
    <row r="406" spans="13:23" x14ac:dyDescent="0.2">
      <c r="M406" s="15">
        <v>98532</v>
      </c>
      <c r="N406" s="15" t="s">
        <v>345</v>
      </c>
      <c r="O406" s="16">
        <v>2</v>
      </c>
      <c r="P406" s="16">
        <v>2</v>
      </c>
      <c r="Q406" s="16">
        <v>1</v>
      </c>
      <c r="S406" s="15">
        <v>98597</v>
      </c>
      <c r="T406" s="15" t="s">
        <v>10</v>
      </c>
      <c r="U406" s="16">
        <v>143</v>
      </c>
      <c r="V406" s="16">
        <v>118</v>
      </c>
      <c r="W406" s="16">
        <v>98</v>
      </c>
    </row>
    <row r="407" spans="13:23" x14ac:dyDescent="0.2">
      <c r="M407" s="15">
        <v>98532</v>
      </c>
      <c r="N407" s="15" t="s">
        <v>10</v>
      </c>
      <c r="O407" s="16">
        <v>10</v>
      </c>
      <c r="P407" s="16">
        <v>7</v>
      </c>
      <c r="Q407" s="16">
        <v>10</v>
      </c>
      <c r="S407" s="15">
        <v>98922</v>
      </c>
      <c r="T407" s="15" t="s">
        <v>345</v>
      </c>
      <c r="U407" s="16">
        <v>3</v>
      </c>
      <c r="V407" s="16">
        <v>3</v>
      </c>
      <c r="W407" s="16">
        <v>3</v>
      </c>
    </row>
    <row r="408" spans="13:23" x14ac:dyDescent="0.2">
      <c r="M408" s="15">
        <v>98558</v>
      </c>
      <c r="N408" s="15" t="s">
        <v>10</v>
      </c>
      <c r="O408" s="16">
        <v>5</v>
      </c>
      <c r="P408" s="16">
        <v>1</v>
      </c>
      <c r="Q408" s="16">
        <v>1</v>
      </c>
      <c r="S408" s="15">
        <v>98922</v>
      </c>
      <c r="T408" s="15" t="s">
        <v>10</v>
      </c>
      <c r="U408" s="16">
        <v>37</v>
      </c>
      <c r="V408" s="16">
        <v>36</v>
      </c>
      <c r="W408" s="16">
        <v>27</v>
      </c>
    </row>
    <row r="409" spans="13:23" x14ac:dyDescent="0.2">
      <c r="M409" s="15">
        <v>98568</v>
      </c>
      <c r="N409" s="15" t="s">
        <v>345</v>
      </c>
      <c r="O409" s="16">
        <v>1</v>
      </c>
      <c r="P409" s="16"/>
      <c r="Q409" s="16"/>
      <c r="S409" s="15">
        <v>98925</v>
      </c>
      <c r="T409" s="15" t="s">
        <v>10</v>
      </c>
      <c r="U409" s="16">
        <v>8</v>
      </c>
      <c r="V409" s="16">
        <v>7</v>
      </c>
      <c r="W409" s="16">
        <v>5</v>
      </c>
    </row>
    <row r="410" spans="13:23" x14ac:dyDescent="0.2">
      <c r="M410" s="15">
        <v>98576</v>
      </c>
      <c r="N410" s="15" t="s">
        <v>345</v>
      </c>
      <c r="O410" s="16">
        <v>3</v>
      </c>
      <c r="P410" s="16"/>
      <c r="Q410" s="16">
        <v>1</v>
      </c>
      <c r="S410" s="15">
        <v>98926</v>
      </c>
      <c r="T410" s="15" t="s">
        <v>345</v>
      </c>
      <c r="U410" s="16">
        <v>5</v>
      </c>
      <c r="V410" s="16">
        <v>8</v>
      </c>
      <c r="W410" s="16">
        <v>5</v>
      </c>
    </row>
    <row r="411" spans="13:23" x14ac:dyDescent="0.2">
      <c r="M411" s="15">
        <v>98576</v>
      </c>
      <c r="N411" s="15" t="s">
        <v>10</v>
      </c>
      <c r="O411" s="16">
        <v>41</v>
      </c>
      <c r="P411" s="16">
        <v>26</v>
      </c>
      <c r="Q411" s="16">
        <v>18</v>
      </c>
      <c r="S411" s="15">
        <v>98926</v>
      </c>
      <c r="T411" s="15" t="s">
        <v>10</v>
      </c>
      <c r="U411" s="16">
        <v>34</v>
      </c>
      <c r="V411" s="16">
        <v>22</v>
      </c>
      <c r="W411" s="16">
        <v>15</v>
      </c>
    </row>
    <row r="412" spans="13:23" x14ac:dyDescent="0.2">
      <c r="M412" s="15">
        <v>98579</v>
      </c>
      <c r="N412" s="15" t="s">
        <v>345</v>
      </c>
      <c r="O412" s="16">
        <v>2</v>
      </c>
      <c r="P412" s="16"/>
      <c r="Q412" s="16">
        <v>2</v>
      </c>
      <c r="S412" s="15">
        <v>98934</v>
      </c>
      <c r="T412" s="15" t="s">
        <v>10</v>
      </c>
      <c r="U412" s="16">
        <v>9</v>
      </c>
      <c r="V412" s="16">
        <v>6</v>
      </c>
      <c r="W412" s="16">
        <v>7</v>
      </c>
    </row>
    <row r="413" spans="13:23" x14ac:dyDescent="0.2">
      <c r="M413" s="15">
        <v>98579</v>
      </c>
      <c r="N413" s="15" t="s">
        <v>10</v>
      </c>
      <c r="O413" s="16">
        <v>82</v>
      </c>
      <c r="P413" s="16">
        <v>61</v>
      </c>
      <c r="Q413" s="16">
        <v>34</v>
      </c>
      <c r="S413" s="15">
        <v>98940</v>
      </c>
      <c r="T413" s="15" t="s">
        <v>10</v>
      </c>
      <c r="U413" s="16">
        <v>5</v>
      </c>
      <c r="V413" s="16">
        <v>5</v>
      </c>
      <c r="W413" s="16">
        <v>3</v>
      </c>
    </row>
    <row r="414" spans="13:23" x14ac:dyDescent="0.2">
      <c r="M414" s="15">
        <v>98580</v>
      </c>
      <c r="N414" s="15" t="s">
        <v>345</v>
      </c>
      <c r="O414" s="16">
        <v>7</v>
      </c>
      <c r="P414" s="16">
        <v>3</v>
      </c>
      <c r="Q414" s="16">
        <v>3</v>
      </c>
      <c r="S414" s="15">
        <v>98941</v>
      </c>
      <c r="T414" s="15" t="s">
        <v>345</v>
      </c>
      <c r="U414" s="16"/>
      <c r="V414" s="16">
        <v>1</v>
      </c>
      <c r="W414" s="16"/>
    </row>
    <row r="415" spans="13:23" x14ac:dyDescent="0.2">
      <c r="M415" s="15">
        <v>98580</v>
      </c>
      <c r="N415" s="15" t="s">
        <v>10</v>
      </c>
      <c r="O415" s="16">
        <v>52</v>
      </c>
      <c r="P415" s="16">
        <v>37</v>
      </c>
      <c r="Q415" s="16">
        <v>32</v>
      </c>
      <c r="S415" s="15">
        <v>98941</v>
      </c>
      <c r="T415" s="15" t="s">
        <v>10</v>
      </c>
      <c r="U415" s="16">
        <v>11</v>
      </c>
      <c r="V415" s="16">
        <v>9</v>
      </c>
      <c r="W415" s="16">
        <v>10</v>
      </c>
    </row>
    <row r="416" spans="13:23" x14ac:dyDescent="0.2">
      <c r="M416" s="15">
        <v>98589</v>
      </c>
      <c r="N416" s="15" t="s">
        <v>345</v>
      </c>
      <c r="O416" s="16">
        <v>7</v>
      </c>
      <c r="P416" s="16">
        <v>9</v>
      </c>
      <c r="Q416" s="16">
        <v>4</v>
      </c>
      <c r="S416" s="15">
        <v>98943</v>
      </c>
      <c r="T416" s="15" t="s">
        <v>10</v>
      </c>
      <c r="U416" s="16">
        <v>8</v>
      </c>
      <c r="V416" s="16">
        <v>7</v>
      </c>
      <c r="W416" s="16">
        <v>7</v>
      </c>
    </row>
    <row r="417" spans="13:23" x14ac:dyDescent="0.2">
      <c r="M417" s="15">
        <v>98589</v>
      </c>
      <c r="N417" s="15" t="s">
        <v>10</v>
      </c>
      <c r="O417" s="16">
        <v>49</v>
      </c>
      <c r="P417" s="16">
        <v>53</v>
      </c>
      <c r="Q417" s="16">
        <v>37</v>
      </c>
      <c r="S417" s="15">
        <v>98946</v>
      </c>
      <c r="T417" s="15" t="s">
        <v>345</v>
      </c>
      <c r="U417" s="16">
        <v>2</v>
      </c>
      <c r="V417" s="16"/>
      <c r="W417" s="16"/>
    </row>
    <row r="418" spans="13:23" x14ac:dyDescent="0.2">
      <c r="M418" s="15">
        <v>98591</v>
      </c>
      <c r="N418" s="15" t="s">
        <v>10</v>
      </c>
      <c r="O418" s="16"/>
      <c r="P418" s="16">
        <v>1</v>
      </c>
      <c r="Q418" s="16">
        <v>1</v>
      </c>
      <c r="S418" s="15">
        <v>98946</v>
      </c>
      <c r="T418" s="15" t="s">
        <v>10</v>
      </c>
      <c r="U418" s="16">
        <v>4</v>
      </c>
      <c r="V418" s="16">
        <v>2</v>
      </c>
      <c r="W418" s="16">
        <v>3</v>
      </c>
    </row>
    <row r="419" spans="13:23" x14ac:dyDescent="0.2">
      <c r="M419" s="15">
        <v>98596</v>
      </c>
      <c r="N419" s="15" t="s">
        <v>10</v>
      </c>
      <c r="O419" s="16"/>
      <c r="P419" s="16"/>
      <c r="Q419" s="16">
        <v>1</v>
      </c>
      <c r="S419" s="15" t="s">
        <v>348</v>
      </c>
      <c r="T419" s="15" t="s">
        <v>345</v>
      </c>
      <c r="U419" s="16">
        <v>5</v>
      </c>
      <c r="V419" s="16">
        <v>4</v>
      </c>
      <c r="W419" s="16">
        <v>4</v>
      </c>
    </row>
    <row r="420" spans="13:23" ht="16" thickBot="1" x14ac:dyDescent="0.25">
      <c r="M420" s="15">
        <v>98597</v>
      </c>
      <c r="N420" s="15" t="s">
        <v>345</v>
      </c>
      <c r="O420" s="16">
        <v>12</v>
      </c>
      <c r="P420" s="16">
        <v>7</v>
      </c>
      <c r="Q420" s="16">
        <v>3</v>
      </c>
      <c r="S420" s="17" t="s">
        <v>348</v>
      </c>
      <c r="T420" s="17" t="s">
        <v>10</v>
      </c>
      <c r="U420" s="105">
        <v>25</v>
      </c>
      <c r="V420" s="105">
        <v>43</v>
      </c>
      <c r="W420" s="105">
        <v>20</v>
      </c>
    </row>
    <row r="421" spans="13:23" x14ac:dyDescent="0.2">
      <c r="M421" s="15">
        <v>98597</v>
      </c>
      <c r="N421" s="15" t="s">
        <v>10</v>
      </c>
      <c r="O421" s="16">
        <v>209</v>
      </c>
      <c r="P421" s="16">
        <v>139</v>
      </c>
      <c r="Q421" s="16">
        <v>114</v>
      </c>
      <c r="S421" s="64"/>
      <c r="T421" s="39"/>
      <c r="U421" s="44"/>
      <c r="V421" s="44"/>
      <c r="W421" s="44"/>
    </row>
    <row r="422" spans="13:23" x14ac:dyDescent="0.2">
      <c r="M422" s="15">
        <v>98922</v>
      </c>
      <c r="N422" s="15" t="s">
        <v>345</v>
      </c>
      <c r="O422" s="16">
        <v>7</v>
      </c>
      <c r="P422" s="16">
        <v>8</v>
      </c>
      <c r="Q422" s="16">
        <v>5</v>
      </c>
      <c r="S422" s="64"/>
      <c r="T422" s="39"/>
      <c r="U422" s="44"/>
      <c r="V422" s="44"/>
      <c r="W422" s="44"/>
    </row>
    <row r="423" spans="13:23" x14ac:dyDescent="0.2">
      <c r="M423" s="15">
        <v>98922</v>
      </c>
      <c r="N423" s="15" t="s">
        <v>10</v>
      </c>
      <c r="O423" s="16">
        <v>60</v>
      </c>
      <c r="P423" s="16">
        <v>32</v>
      </c>
      <c r="Q423" s="16">
        <v>27</v>
      </c>
      <c r="S423" s="65"/>
      <c r="T423" s="39"/>
      <c r="U423" s="44"/>
      <c r="V423" s="44"/>
      <c r="W423" s="44"/>
    </row>
    <row r="424" spans="13:23" x14ac:dyDescent="0.2">
      <c r="M424" s="15">
        <v>98925</v>
      </c>
      <c r="N424" s="15" t="s">
        <v>10</v>
      </c>
      <c r="O424" s="16">
        <v>10</v>
      </c>
      <c r="P424" s="16">
        <v>6</v>
      </c>
      <c r="Q424" s="16">
        <v>6</v>
      </c>
      <c r="S424" s="64"/>
      <c r="T424" s="39"/>
      <c r="U424" s="44"/>
      <c r="V424" s="44"/>
      <c r="W424" s="44"/>
    </row>
    <row r="425" spans="13:23" x14ac:dyDescent="0.2">
      <c r="M425" s="15">
        <v>98926</v>
      </c>
      <c r="N425" s="15" t="s">
        <v>345</v>
      </c>
      <c r="O425" s="16">
        <v>7</v>
      </c>
      <c r="P425" s="16">
        <v>6</v>
      </c>
      <c r="Q425" s="16">
        <v>10</v>
      </c>
      <c r="S425" s="65"/>
      <c r="T425" s="39"/>
      <c r="U425" s="44"/>
      <c r="V425" s="44"/>
      <c r="W425" s="44"/>
    </row>
    <row r="426" spans="13:23" x14ac:dyDescent="0.2">
      <c r="M426" s="15">
        <v>98926</v>
      </c>
      <c r="N426" s="15" t="s">
        <v>10</v>
      </c>
      <c r="O426" s="16">
        <v>41</v>
      </c>
      <c r="P426" s="16">
        <v>28</v>
      </c>
      <c r="Q426" s="16">
        <v>23</v>
      </c>
      <c r="S426" s="64"/>
      <c r="T426" s="39"/>
      <c r="U426" s="44"/>
      <c r="V426" s="44"/>
      <c r="W426" s="44"/>
    </row>
    <row r="427" spans="13:23" x14ac:dyDescent="0.2">
      <c r="M427" s="15">
        <v>98934</v>
      </c>
      <c r="N427" s="15" t="s">
        <v>10</v>
      </c>
      <c r="O427" s="16">
        <v>10</v>
      </c>
      <c r="P427" s="16">
        <v>7</v>
      </c>
      <c r="Q427" s="16">
        <v>6</v>
      </c>
      <c r="S427" s="65"/>
      <c r="T427" s="39"/>
      <c r="U427" s="44"/>
      <c r="V427" s="44"/>
      <c r="W427" s="44"/>
    </row>
    <row r="428" spans="13:23" x14ac:dyDescent="0.2">
      <c r="M428" s="15">
        <v>98940</v>
      </c>
      <c r="N428" s="15" t="s">
        <v>10</v>
      </c>
      <c r="O428" s="16">
        <v>4</v>
      </c>
      <c r="P428" s="16">
        <v>5</v>
      </c>
      <c r="Q428" s="16">
        <v>4</v>
      </c>
      <c r="S428" s="64"/>
      <c r="T428" s="39"/>
      <c r="U428" s="44"/>
      <c r="V428" s="44"/>
      <c r="W428" s="41"/>
    </row>
    <row r="429" spans="13:23" x14ac:dyDescent="0.2">
      <c r="M429" s="15">
        <v>98941</v>
      </c>
      <c r="N429" s="15" t="s">
        <v>345</v>
      </c>
      <c r="O429" s="16"/>
      <c r="P429" s="16">
        <v>1</v>
      </c>
      <c r="Q429" s="16"/>
      <c r="S429" s="65"/>
      <c r="T429" s="39"/>
      <c r="U429" s="44"/>
      <c r="V429" s="44"/>
      <c r="W429" s="44"/>
    </row>
    <row r="430" spans="13:23" x14ac:dyDescent="0.2">
      <c r="M430" s="15">
        <v>98941</v>
      </c>
      <c r="N430" s="15" t="s">
        <v>10</v>
      </c>
      <c r="O430" s="16">
        <v>14</v>
      </c>
      <c r="P430" s="16">
        <v>10</v>
      </c>
      <c r="Q430" s="16">
        <v>8</v>
      </c>
      <c r="S430" s="64"/>
      <c r="T430" s="39"/>
      <c r="U430" s="44"/>
      <c r="V430" s="44"/>
      <c r="W430" s="44"/>
    </row>
    <row r="431" spans="13:23" x14ac:dyDescent="0.2">
      <c r="M431" s="15">
        <v>98943</v>
      </c>
      <c r="N431" s="15" t="s">
        <v>10</v>
      </c>
      <c r="O431" s="16">
        <v>10</v>
      </c>
      <c r="P431" s="16">
        <v>7</v>
      </c>
      <c r="Q431" s="16">
        <v>6</v>
      </c>
      <c r="S431" s="65"/>
      <c r="T431" s="39"/>
      <c r="U431" s="44"/>
      <c r="V431" s="44"/>
      <c r="W431" s="44"/>
    </row>
    <row r="432" spans="13:23" x14ac:dyDescent="0.2">
      <c r="M432" s="15">
        <v>98946</v>
      </c>
      <c r="N432" s="15" t="s">
        <v>345</v>
      </c>
      <c r="O432" s="16">
        <v>4</v>
      </c>
      <c r="P432" s="16"/>
      <c r="Q432" s="16">
        <v>2</v>
      </c>
      <c r="S432" s="64"/>
      <c r="T432" s="39"/>
      <c r="U432" s="44"/>
      <c r="V432" s="44"/>
      <c r="W432" s="44"/>
    </row>
    <row r="433" spans="13:23" x14ac:dyDescent="0.2">
      <c r="M433" s="15">
        <v>98946</v>
      </c>
      <c r="N433" s="15" t="s">
        <v>10</v>
      </c>
      <c r="O433" s="16">
        <v>8</v>
      </c>
      <c r="P433" s="16">
        <v>3</v>
      </c>
      <c r="Q433" s="16">
        <v>5</v>
      </c>
      <c r="S433" s="65"/>
      <c r="T433" s="39"/>
      <c r="U433" s="44"/>
      <c r="V433" s="44"/>
      <c r="W433" s="44"/>
    </row>
    <row r="434" spans="13:23" x14ac:dyDescent="0.2">
      <c r="M434" s="15" t="s">
        <v>348</v>
      </c>
      <c r="N434" s="15" t="s">
        <v>345</v>
      </c>
      <c r="O434" s="16">
        <v>7</v>
      </c>
      <c r="P434" s="16">
        <v>13</v>
      </c>
      <c r="Q434" s="16">
        <v>6</v>
      </c>
      <c r="S434" s="64"/>
      <c r="T434" s="39"/>
      <c r="U434" s="44"/>
      <c r="V434" s="44"/>
      <c r="W434" s="44"/>
    </row>
    <row r="435" spans="13:23" ht="16" thickBot="1" x14ac:dyDescent="0.25">
      <c r="M435" s="17" t="s">
        <v>348</v>
      </c>
      <c r="N435" s="17" t="s">
        <v>10</v>
      </c>
      <c r="O435" s="105">
        <v>41</v>
      </c>
      <c r="P435" s="105">
        <v>51</v>
      </c>
      <c r="Q435" s="105">
        <v>27</v>
      </c>
      <c r="S435" s="65"/>
      <c r="T435" s="39"/>
      <c r="U435" s="44"/>
      <c r="V435" s="44"/>
      <c r="W435" s="44"/>
    </row>
    <row r="436" spans="13:23" ht="16" thickBot="1" x14ac:dyDescent="0.25">
      <c r="M436" s="181"/>
      <c r="N436" s="182"/>
      <c r="O436" s="183">
        <f>SUMIF($N$11:$N$435,$N$12,O11:O435)</f>
        <v>16343</v>
      </c>
      <c r="P436" s="183">
        <f t="shared" ref="P436:Q436" si="0">SUMIF($N$11:$N$435,$N$12,P11:P435)</f>
        <v>14096</v>
      </c>
      <c r="Q436" s="183">
        <f t="shared" si="0"/>
        <v>10965</v>
      </c>
      <c r="S436" s="38"/>
      <c r="T436" s="39"/>
      <c r="U436" s="44"/>
      <c r="V436" s="44"/>
      <c r="W436" s="44"/>
    </row>
    <row r="437" spans="13:23" x14ac:dyDescent="0.2">
      <c r="M437" s="67"/>
      <c r="N437" s="39"/>
      <c r="O437" s="44"/>
      <c r="P437" s="44"/>
      <c r="Q437" s="44"/>
      <c r="S437" s="41"/>
      <c r="T437" s="39"/>
      <c r="U437" s="44"/>
      <c r="V437" s="44"/>
      <c r="W437" s="44"/>
    </row>
    <row r="438" spans="13:23" x14ac:dyDescent="0.2">
      <c r="M438" s="68"/>
      <c r="N438" s="39"/>
      <c r="O438" s="44"/>
      <c r="P438" s="44"/>
      <c r="Q438" s="44"/>
      <c r="S438" s="39"/>
      <c r="T438" s="39"/>
      <c r="U438" s="44"/>
      <c r="V438" s="44"/>
      <c r="W438" s="44"/>
    </row>
    <row r="439" spans="13:23" x14ac:dyDescent="0.2">
      <c r="M439" s="67"/>
      <c r="N439" s="39"/>
      <c r="O439" s="44"/>
      <c r="P439" s="44"/>
      <c r="Q439" s="44"/>
      <c r="S439" s="38"/>
      <c r="T439" s="39"/>
      <c r="U439" s="44"/>
      <c r="V439" s="44"/>
      <c r="W439" s="44"/>
    </row>
    <row r="440" spans="13:23" x14ac:dyDescent="0.2">
      <c r="M440" s="67"/>
      <c r="N440" s="39"/>
      <c r="O440" s="44"/>
      <c r="P440" s="44"/>
      <c r="Q440" s="44"/>
      <c r="S440" s="41"/>
      <c r="T440" s="39"/>
      <c r="U440" s="44"/>
      <c r="V440" s="44"/>
      <c r="W440" s="44"/>
    </row>
    <row r="441" spans="13:23" x14ac:dyDescent="0.2">
      <c r="M441" s="68"/>
      <c r="N441" s="39"/>
      <c r="O441" s="44"/>
      <c r="P441" s="44"/>
      <c r="Q441" s="44"/>
      <c r="S441" s="38"/>
      <c r="T441" s="39"/>
      <c r="U441" s="44"/>
      <c r="V441" s="44"/>
      <c r="W441" s="44"/>
    </row>
    <row r="442" spans="13:23" x14ac:dyDescent="0.2">
      <c r="M442" s="67"/>
      <c r="N442" s="39"/>
      <c r="O442" s="44"/>
      <c r="P442" s="44"/>
      <c r="Q442" s="44"/>
      <c r="S442" s="41"/>
      <c r="T442" s="39"/>
      <c r="U442" s="44"/>
      <c r="V442" s="44"/>
      <c r="W442" s="44"/>
    </row>
    <row r="443" spans="13:23" x14ac:dyDescent="0.2">
      <c r="M443" s="68"/>
      <c r="N443" s="39"/>
      <c r="O443" s="44"/>
      <c r="P443" s="44"/>
      <c r="Q443" s="44"/>
      <c r="S443" s="41"/>
      <c r="T443" s="39"/>
      <c r="U443" s="3"/>
      <c r="V443" s="3"/>
      <c r="W443" s="3"/>
    </row>
    <row r="444" spans="13:23" x14ac:dyDescent="0.2">
      <c r="M444" s="67"/>
      <c r="N444" s="39"/>
      <c r="O444" s="44"/>
      <c r="P444" s="44"/>
      <c r="Q444" s="44"/>
      <c r="S444" s="38"/>
      <c r="T444" s="39"/>
      <c r="U444" s="3"/>
      <c r="V444" s="3"/>
      <c r="W444" s="3"/>
    </row>
    <row r="445" spans="13:23" x14ac:dyDescent="0.2">
      <c r="M445" s="68"/>
      <c r="N445" s="39"/>
      <c r="O445" s="44"/>
      <c r="P445" s="44"/>
      <c r="Q445" s="44"/>
      <c r="S445" s="41"/>
      <c r="T445" s="39"/>
      <c r="U445" s="3"/>
      <c r="V445" s="3"/>
      <c r="W445" s="3"/>
    </row>
    <row r="446" spans="13:23" x14ac:dyDescent="0.2">
      <c r="M446" s="67"/>
      <c r="N446" s="39"/>
      <c r="O446" s="44"/>
      <c r="P446" s="44"/>
      <c r="Q446" s="44"/>
      <c r="S446" s="38"/>
      <c r="T446" s="39"/>
      <c r="U446" s="3"/>
      <c r="V446" s="3"/>
      <c r="W446" s="3"/>
    </row>
    <row r="447" spans="13:23" x14ac:dyDescent="0.2">
      <c r="M447" s="68"/>
      <c r="N447" s="39"/>
      <c r="O447" s="44"/>
      <c r="P447" s="44"/>
      <c r="Q447" s="44"/>
      <c r="S447" s="41"/>
      <c r="T447" s="39"/>
      <c r="U447" s="3"/>
      <c r="V447" s="3"/>
      <c r="W447" s="3"/>
    </row>
    <row r="448" spans="13:23" x14ac:dyDescent="0.2">
      <c r="M448" s="41"/>
      <c r="N448" s="39"/>
      <c r="O448" s="44"/>
      <c r="P448" s="44"/>
      <c r="Q448" s="44"/>
      <c r="S448" s="38"/>
      <c r="T448" s="39"/>
      <c r="U448" s="3"/>
      <c r="V448" s="3"/>
      <c r="W448" s="3"/>
    </row>
    <row r="449" spans="13:23" x14ac:dyDescent="0.2">
      <c r="M449" s="39"/>
      <c r="N449" s="39"/>
      <c r="O449" s="44"/>
      <c r="P449" s="44"/>
      <c r="Q449" s="44"/>
      <c r="S449" s="41"/>
      <c r="T449" s="39"/>
      <c r="U449" s="3"/>
      <c r="V449" s="3"/>
      <c r="W449" s="3"/>
    </row>
    <row r="450" spans="13:23" x14ac:dyDescent="0.2">
      <c r="M450" s="38"/>
      <c r="N450" s="39"/>
      <c r="O450" s="44"/>
      <c r="P450" s="44"/>
      <c r="Q450" s="44"/>
      <c r="S450" s="38"/>
      <c r="T450" s="39"/>
      <c r="U450" s="3"/>
      <c r="V450" s="3"/>
      <c r="W450" s="3"/>
    </row>
    <row r="451" spans="13:23" x14ac:dyDescent="0.2">
      <c r="M451" s="41"/>
      <c r="N451" s="39"/>
      <c r="O451" s="44"/>
      <c r="P451" s="44"/>
      <c r="Q451" s="44"/>
      <c r="S451" s="41"/>
      <c r="T451" s="39"/>
      <c r="U451" s="3"/>
      <c r="V451" s="3"/>
      <c r="W451" s="3"/>
    </row>
    <row r="452" spans="13:23" x14ac:dyDescent="0.2">
      <c r="M452" s="38"/>
      <c r="N452" s="39"/>
      <c r="O452" s="44"/>
      <c r="P452" s="44"/>
      <c r="Q452" s="44"/>
      <c r="S452" s="38"/>
      <c r="T452" s="39"/>
      <c r="U452" s="3"/>
      <c r="V452" s="3"/>
      <c r="W452" s="3"/>
    </row>
    <row r="453" spans="13:23" x14ac:dyDescent="0.2">
      <c r="M453" s="41"/>
      <c r="N453" s="39"/>
      <c r="O453" s="44"/>
      <c r="P453" s="44"/>
      <c r="Q453" s="44"/>
      <c r="S453" s="41"/>
      <c r="T453" s="39"/>
      <c r="U453" s="3"/>
      <c r="V453" s="3"/>
      <c r="W453" s="3"/>
    </row>
    <row r="454" spans="13:23" x14ac:dyDescent="0.2">
      <c r="M454" s="38"/>
      <c r="N454" s="39"/>
      <c r="O454" s="40"/>
      <c r="P454" s="40"/>
      <c r="Q454" s="40"/>
      <c r="S454" s="38"/>
      <c r="T454" s="39"/>
      <c r="U454" s="3"/>
      <c r="V454" s="3"/>
      <c r="W454" s="3"/>
    </row>
    <row r="455" spans="13:23" x14ac:dyDescent="0.2">
      <c r="M455" s="41"/>
      <c r="N455" s="39"/>
      <c r="O455" s="40"/>
      <c r="P455" s="40"/>
      <c r="Q455" s="40"/>
      <c r="S455" s="41"/>
      <c r="T455" s="39"/>
      <c r="U455" s="3"/>
      <c r="V455" s="3"/>
      <c r="W455" s="3"/>
    </row>
    <row r="456" spans="13:23" x14ac:dyDescent="0.2">
      <c r="M456" s="38"/>
      <c r="N456" s="39"/>
      <c r="O456" s="40"/>
      <c r="P456" s="40"/>
      <c r="Q456" s="40"/>
    </row>
    <row r="457" spans="13:23" x14ac:dyDescent="0.2">
      <c r="M457" s="41"/>
      <c r="N457" s="39"/>
      <c r="O457" s="40"/>
      <c r="P457" s="40"/>
      <c r="Q457" s="40"/>
    </row>
    <row r="458" spans="13:23" x14ac:dyDescent="0.2">
      <c r="M458" s="38"/>
      <c r="N458" s="39"/>
      <c r="O458" s="40"/>
      <c r="P458" s="40"/>
      <c r="Q458" s="40"/>
    </row>
    <row r="459" spans="13:23" x14ac:dyDescent="0.2">
      <c r="M459" s="41"/>
      <c r="N459" s="39"/>
      <c r="O459" s="40"/>
      <c r="P459" s="40"/>
      <c r="Q459" s="40"/>
    </row>
    <row r="460" spans="13:23" x14ac:dyDescent="0.2">
      <c r="M460" s="38"/>
      <c r="N460" s="39"/>
      <c r="O460" s="40"/>
      <c r="P460" s="40"/>
      <c r="Q460" s="40"/>
    </row>
    <row r="461" spans="13:23" x14ac:dyDescent="0.2">
      <c r="M461" s="41"/>
      <c r="N461" s="39"/>
      <c r="O461" s="40"/>
      <c r="P461" s="40"/>
      <c r="Q461" s="40"/>
    </row>
    <row r="462" spans="13:23" x14ac:dyDescent="0.2">
      <c r="M462" s="38"/>
      <c r="N462" s="39"/>
      <c r="O462" s="40"/>
      <c r="P462" s="40"/>
      <c r="Q462" s="40"/>
    </row>
    <row r="463" spans="13:23" x14ac:dyDescent="0.2">
      <c r="M463" s="41"/>
      <c r="N463" s="39"/>
      <c r="O463" s="40"/>
      <c r="P463" s="40"/>
      <c r="Q463" s="40"/>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sqref="A1:H1"/>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40" t="s">
        <v>0</v>
      </c>
      <c r="B1" s="141"/>
      <c r="C1" s="141"/>
      <c r="D1" s="141"/>
      <c r="E1" s="141"/>
      <c r="F1" s="141"/>
      <c r="G1" s="141"/>
      <c r="H1" s="142"/>
      <c r="I1" s="27"/>
      <c r="J1" s="28"/>
      <c r="K1" s="28"/>
      <c r="L1" s="28"/>
      <c r="M1" s="28"/>
      <c r="N1" s="28"/>
      <c r="O1" s="28"/>
      <c r="P1" s="28"/>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57" t="s">
        <v>85</v>
      </c>
      <c r="B5" s="157"/>
      <c r="C5" s="143" t="s">
        <v>25</v>
      </c>
      <c r="D5" s="144"/>
      <c r="E5" s="145"/>
      <c r="F5" s="143" t="s">
        <v>26</v>
      </c>
      <c r="G5" s="144"/>
      <c r="H5" s="145"/>
      <c r="J5" s="156" t="s">
        <v>27</v>
      </c>
      <c r="K5" s="156"/>
      <c r="L5" s="156"/>
      <c r="M5" s="156"/>
      <c r="N5" s="156"/>
      <c r="O5" s="156" t="s">
        <v>28</v>
      </c>
      <c r="P5" s="156"/>
      <c r="Q5" s="156"/>
      <c r="S5" s="156" t="s">
        <v>29</v>
      </c>
      <c r="T5" s="156"/>
      <c r="U5" s="156"/>
      <c r="V5" s="156"/>
      <c r="W5" s="156"/>
      <c r="X5" s="156" t="s">
        <v>30</v>
      </c>
      <c r="Y5" s="156"/>
      <c r="Z5" s="156"/>
    </row>
    <row r="6" spans="1:26" ht="16" thickBot="1" x14ac:dyDescent="0.25">
      <c r="A6" s="7" t="s">
        <v>8</v>
      </c>
      <c r="B6" s="7" t="s">
        <v>9</v>
      </c>
      <c r="C6" s="76">
        <v>44743</v>
      </c>
      <c r="D6" s="76">
        <v>44774</v>
      </c>
      <c r="E6" s="76">
        <v>44805</v>
      </c>
      <c r="F6" s="76">
        <v>44743</v>
      </c>
      <c r="G6" s="76">
        <v>44774</v>
      </c>
      <c r="H6" s="76">
        <v>44805</v>
      </c>
      <c r="J6" s="7" t="s">
        <v>8</v>
      </c>
      <c r="K6" s="7" t="s">
        <v>9</v>
      </c>
      <c r="L6" s="76">
        <v>44743</v>
      </c>
      <c r="M6" s="76">
        <v>44774</v>
      </c>
      <c r="N6" s="76">
        <v>44805</v>
      </c>
      <c r="O6" s="76">
        <v>44743</v>
      </c>
      <c r="P6" s="76">
        <v>44774</v>
      </c>
      <c r="Q6" s="76">
        <v>44805</v>
      </c>
      <c r="S6" s="7" t="s">
        <v>8</v>
      </c>
      <c r="T6" s="7" t="s">
        <v>9</v>
      </c>
      <c r="U6" s="76">
        <v>44743</v>
      </c>
      <c r="V6" s="76">
        <v>44774</v>
      </c>
      <c r="W6" s="76">
        <v>44805</v>
      </c>
      <c r="X6" s="76">
        <v>44743</v>
      </c>
      <c r="Y6" s="76">
        <v>44774</v>
      </c>
      <c r="Z6" s="76">
        <v>44805</v>
      </c>
    </row>
    <row r="7" spans="1:26" ht="15" customHeight="1" x14ac:dyDescent="0.2">
      <c r="A7" s="150" t="s">
        <v>349</v>
      </c>
      <c r="B7" s="151"/>
      <c r="C7" s="151"/>
      <c r="D7" s="151"/>
      <c r="E7" s="151"/>
      <c r="F7" s="151"/>
      <c r="G7" s="151"/>
      <c r="H7" s="152"/>
      <c r="J7" s="150" t="s">
        <v>350</v>
      </c>
      <c r="K7" s="151"/>
      <c r="L7" s="151"/>
      <c r="M7" s="151"/>
      <c r="N7" s="151"/>
      <c r="O7" s="151"/>
      <c r="P7" s="151"/>
      <c r="Q7" s="152"/>
      <c r="S7" s="150" t="s">
        <v>351</v>
      </c>
      <c r="T7" s="151"/>
      <c r="U7" s="151"/>
      <c r="V7" s="151"/>
      <c r="W7" s="151"/>
      <c r="X7" s="151"/>
      <c r="Y7" s="151"/>
      <c r="Z7" s="152"/>
    </row>
    <row r="8" spans="1:26" ht="16" thickBot="1" x14ac:dyDescent="0.25">
      <c r="A8" s="153"/>
      <c r="B8" s="154"/>
      <c r="C8" s="154"/>
      <c r="D8" s="154"/>
      <c r="E8" s="154"/>
      <c r="F8" s="154"/>
      <c r="G8" s="154"/>
      <c r="H8" s="155"/>
      <c r="J8" s="153"/>
      <c r="K8" s="154"/>
      <c r="L8" s="154"/>
      <c r="M8" s="154"/>
      <c r="N8" s="154"/>
      <c r="O8" s="154"/>
      <c r="P8" s="154"/>
      <c r="Q8" s="155"/>
      <c r="S8" s="153"/>
      <c r="T8" s="154"/>
      <c r="U8" s="154"/>
      <c r="V8" s="154"/>
      <c r="W8" s="154"/>
      <c r="X8" s="154"/>
      <c r="Y8" s="154"/>
      <c r="Z8" s="155"/>
    </row>
    <row r="14" spans="1:26" x14ac:dyDescent="0.2">
      <c r="E14" s="8" t="s">
        <v>76</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9"/>
  <sheetViews>
    <sheetView topLeftCell="A366" zoomScale="142" workbookViewId="0">
      <selection activeCell="C391" sqref="C391:E39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40" t="s">
        <v>0</v>
      </c>
      <c r="B1" s="141"/>
      <c r="C1" s="141"/>
      <c r="D1" s="141"/>
      <c r="E1" s="141"/>
      <c r="F1" s="141"/>
      <c r="G1" s="141"/>
      <c r="H1" s="141"/>
      <c r="I1" s="142"/>
    </row>
    <row r="2" spans="1:23" x14ac:dyDescent="0.2">
      <c r="A2" s="1">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3</v>
      </c>
      <c r="C4" s="3"/>
      <c r="D4" s="3"/>
      <c r="E4" s="3"/>
      <c r="F4" s="4"/>
      <c r="G4" s="3"/>
      <c r="H4" s="3"/>
      <c r="I4" s="3"/>
    </row>
    <row r="5" spans="1:23" x14ac:dyDescent="0.2">
      <c r="A5" s="5">
        <v>4</v>
      </c>
      <c r="B5" s="2" t="s">
        <v>4</v>
      </c>
      <c r="C5" s="3"/>
      <c r="D5" s="3"/>
      <c r="E5" s="3"/>
      <c r="F5" s="4"/>
      <c r="G5" s="3"/>
      <c r="H5" s="3"/>
      <c r="I5" s="3"/>
    </row>
    <row r="6" spans="1:23" x14ac:dyDescent="0.2">
      <c r="A6" s="5">
        <v>5</v>
      </c>
      <c r="B6" s="3" t="s">
        <v>5</v>
      </c>
      <c r="C6" s="3"/>
      <c r="D6" s="3"/>
      <c r="E6" s="3"/>
      <c r="F6" s="4"/>
      <c r="G6" s="3"/>
      <c r="H6" s="3"/>
      <c r="I6" s="3"/>
    </row>
    <row r="7" spans="1:23" x14ac:dyDescent="0.2">
      <c r="A7" s="3">
        <v>6</v>
      </c>
      <c r="B7" s="6" t="s">
        <v>6</v>
      </c>
      <c r="C7" s="3"/>
      <c r="D7" s="3"/>
      <c r="E7" s="3"/>
      <c r="F7" s="4"/>
      <c r="G7" s="3"/>
      <c r="H7" s="3"/>
      <c r="I7" s="3"/>
      <c r="J7"/>
    </row>
    <row r="8" spans="1:23" ht="16" thickBot="1" x14ac:dyDescent="0.25"/>
    <row r="9" spans="1:23" ht="41.25" customHeight="1" thickBot="1" x14ac:dyDescent="0.25">
      <c r="A9" s="146" t="s">
        <v>87</v>
      </c>
      <c r="B9" s="146"/>
      <c r="C9" s="143" t="s">
        <v>7</v>
      </c>
      <c r="D9" s="144"/>
      <c r="E9" s="145"/>
      <c r="G9" s="156" t="s">
        <v>11</v>
      </c>
      <c r="H9" s="156"/>
      <c r="I9" s="156"/>
      <c r="J9" s="156"/>
      <c r="K9" s="156"/>
      <c r="M9" s="156" t="s">
        <v>12</v>
      </c>
      <c r="N9" s="156"/>
      <c r="O9" s="156"/>
      <c r="P9" s="156"/>
      <c r="Q9" s="156"/>
      <c r="S9" s="156" t="s">
        <v>13</v>
      </c>
      <c r="T9" s="156"/>
      <c r="U9" s="156"/>
      <c r="V9" s="156"/>
      <c r="W9" s="156"/>
    </row>
    <row r="10" spans="1:23" ht="16" thickBot="1" x14ac:dyDescent="0.25">
      <c r="A10" s="18" t="s">
        <v>8</v>
      </c>
      <c r="B10" s="18" t="s">
        <v>9</v>
      </c>
      <c r="C10" s="76">
        <v>44743</v>
      </c>
      <c r="D10" s="76">
        <v>44774</v>
      </c>
      <c r="E10" s="76">
        <v>44805</v>
      </c>
      <c r="G10" s="18" t="s">
        <v>8</v>
      </c>
      <c r="H10" s="18" t="s">
        <v>9</v>
      </c>
      <c r="I10" s="76">
        <v>44743</v>
      </c>
      <c r="J10" s="76">
        <v>44774</v>
      </c>
      <c r="K10" s="76">
        <v>44805</v>
      </c>
      <c r="M10" s="18" t="s">
        <v>8</v>
      </c>
      <c r="N10" s="18" t="s">
        <v>9</v>
      </c>
      <c r="O10" s="76">
        <v>44743</v>
      </c>
      <c r="P10" s="76">
        <v>44774</v>
      </c>
      <c r="Q10" s="76">
        <v>44805</v>
      </c>
      <c r="S10" s="18" t="s">
        <v>8</v>
      </c>
      <c r="T10" s="18" t="s">
        <v>9</v>
      </c>
      <c r="U10" s="76">
        <v>44743</v>
      </c>
      <c r="V10" s="76">
        <v>44774</v>
      </c>
      <c r="W10" s="76">
        <v>44805</v>
      </c>
    </row>
    <row r="11" spans="1:23" x14ac:dyDescent="0.2">
      <c r="A11" s="80">
        <v>98001</v>
      </c>
      <c r="B11" s="63" t="s">
        <v>345</v>
      </c>
      <c r="C11" s="49">
        <v>9</v>
      </c>
      <c r="D11" s="35">
        <v>10</v>
      </c>
      <c r="E11" s="35">
        <v>6</v>
      </c>
      <c r="G11" s="80">
        <v>98001</v>
      </c>
      <c r="H11" s="63" t="s">
        <v>345</v>
      </c>
      <c r="I11" s="49">
        <v>1</v>
      </c>
      <c r="J11" s="35">
        <v>0</v>
      </c>
      <c r="K11" s="35">
        <v>0</v>
      </c>
      <c r="M11" s="80">
        <v>98001</v>
      </c>
      <c r="N11" s="63" t="s">
        <v>345</v>
      </c>
      <c r="O11" s="84">
        <v>6</v>
      </c>
      <c r="P11" s="84">
        <v>6</v>
      </c>
      <c r="Q11" s="84">
        <v>10</v>
      </c>
      <c r="S11" s="80">
        <v>98001</v>
      </c>
      <c r="T11" s="63" t="s">
        <v>345</v>
      </c>
      <c r="U11" s="35">
        <v>3</v>
      </c>
      <c r="V11" s="35">
        <v>2</v>
      </c>
      <c r="W11" s="35">
        <v>7</v>
      </c>
    </row>
    <row r="12" spans="1:23" x14ac:dyDescent="0.2">
      <c r="A12" s="56">
        <v>98001</v>
      </c>
      <c r="B12" s="62" t="s">
        <v>10</v>
      </c>
      <c r="C12" s="36">
        <v>167</v>
      </c>
      <c r="D12" s="36">
        <v>172</v>
      </c>
      <c r="E12" s="36">
        <v>158</v>
      </c>
      <c r="G12" s="56">
        <v>98001</v>
      </c>
      <c r="H12" s="62" t="s">
        <v>10</v>
      </c>
      <c r="I12" s="36">
        <v>23</v>
      </c>
      <c r="J12" s="36">
        <v>12</v>
      </c>
      <c r="K12" s="36">
        <v>16</v>
      </c>
      <c r="M12" s="56">
        <v>98001</v>
      </c>
      <c r="N12" s="62" t="s">
        <v>10</v>
      </c>
      <c r="O12" s="77">
        <v>97</v>
      </c>
      <c r="P12" s="77">
        <v>103</v>
      </c>
      <c r="Q12" s="77">
        <v>96</v>
      </c>
      <c r="S12" s="81">
        <v>98001</v>
      </c>
      <c r="T12" s="62" t="s">
        <v>10</v>
      </c>
      <c r="U12" s="33">
        <v>39</v>
      </c>
      <c r="V12" s="36">
        <v>34</v>
      </c>
      <c r="W12" s="33">
        <v>38</v>
      </c>
    </row>
    <row r="13" spans="1:23" x14ac:dyDescent="0.2">
      <c r="A13" s="81">
        <v>98002</v>
      </c>
      <c r="B13" s="62" t="s">
        <v>345</v>
      </c>
      <c r="C13" s="36">
        <v>13</v>
      </c>
      <c r="D13" s="36">
        <v>12</v>
      </c>
      <c r="E13" s="36">
        <v>11</v>
      </c>
      <c r="G13" s="81">
        <v>98002</v>
      </c>
      <c r="H13" s="62" t="s">
        <v>345</v>
      </c>
      <c r="I13" s="36">
        <v>0</v>
      </c>
      <c r="J13" s="36">
        <v>0</v>
      </c>
      <c r="K13" s="36">
        <v>1</v>
      </c>
      <c r="M13" s="81">
        <v>98002</v>
      </c>
      <c r="N13" s="62" t="s">
        <v>345</v>
      </c>
      <c r="O13" s="36">
        <v>4</v>
      </c>
      <c r="P13" s="36">
        <v>4</v>
      </c>
      <c r="Q13" s="36">
        <v>8</v>
      </c>
      <c r="S13" s="56">
        <v>98002</v>
      </c>
      <c r="T13" s="62" t="s">
        <v>345</v>
      </c>
      <c r="U13" s="36">
        <v>4</v>
      </c>
      <c r="V13" s="36">
        <v>3</v>
      </c>
      <c r="W13" s="36">
        <v>3</v>
      </c>
    </row>
    <row r="14" spans="1:23" x14ac:dyDescent="0.2">
      <c r="A14" s="56">
        <v>98002</v>
      </c>
      <c r="B14" s="62" t="s">
        <v>10</v>
      </c>
      <c r="C14" s="36">
        <v>231</v>
      </c>
      <c r="D14" s="36">
        <v>244</v>
      </c>
      <c r="E14" s="36">
        <v>261</v>
      </c>
      <c r="G14" s="81">
        <v>98002</v>
      </c>
      <c r="H14" s="62" t="s">
        <v>10</v>
      </c>
      <c r="I14" s="33">
        <v>20</v>
      </c>
      <c r="J14" s="36">
        <v>25</v>
      </c>
      <c r="K14" s="33">
        <v>16</v>
      </c>
      <c r="M14" s="56">
        <v>98002</v>
      </c>
      <c r="N14" s="62" t="s">
        <v>10</v>
      </c>
      <c r="O14" s="36">
        <v>173</v>
      </c>
      <c r="P14" s="36">
        <v>210</v>
      </c>
      <c r="Q14" s="36">
        <v>172</v>
      </c>
      <c r="S14" s="81">
        <v>98002</v>
      </c>
      <c r="T14" s="62" t="s">
        <v>10</v>
      </c>
      <c r="U14" s="33">
        <v>49</v>
      </c>
      <c r="V14" s="33">
        <v>51</v>
      </c>
      <c r="W14" s="36">
        <v>45</v>
      </c>
    </row>
    <row r="15" spans="1:23" x14ac:dyDescent="0.2">
      <c r="A15" s="81">
        <v>98003</v>
      </c>
      <c r="B15" s="62" t="s">
        <v>345</v>
      </c>
      <c r="C15" s="36">
        <v>13</v>
      </c>
      <c r="D15" s="36">
        <v>12</v>
      </c>
      <c r="E15" s="36">
        <v>8</v>
      </c>
      <c r="G15" s="56">
        <v>98003</v>
      </c>
      <c r="H15" s="62" t="s">
        <v>345</v>
      </c>
      <c r="I15" s="36">
        <v>1</v>
      </c>
      <c r="J15" s="36">
        <v>0</v>
      </c>
      <c r="K15" s="36">
        <v>1</v>
      </c>
      <c r="M15" s="81">
        <v>98003</v>
      </c>
      <c r="N15" s="62" t="s">
        <v>345</v>
      </c>
      <c r="O15" s="36">
        <v>4</v>
      </c>
      <c r="P15" s="36">
        <v>6</v>
      </c>
      <c r="Q15" s="36">
        <v>6</v>
      </c>
      <c r="S15" s="56">
        <v>98003</v>
      </c>
      <c r="T15" s="62" t="s">
        <v>345</v>
      </c>
      <c r="U15" s="36">
        <v>2</v>
      </c>
      <c r="V15" s="36">
        <v>2</v>
      </c>
      <c r="W15" s="36">
        <v>1</v>
      </c>
    </row>
    <row r="16" spans="1:23" x14ac:dyDescent="0.2">
      <c r="A16" s="56">
        <v>98003</v>
      </c>
      <c r="B16" s="62" t="s">
        <v>10</v>
      </c>
      <c r="C16" s="36">
        <v>333</v>
      </c>
      <c r="D16" s="36">
        <v>358</v>
      </c>
      <c r="E16" s="36">
        <v>326</v>
      </c>
      <c r="G16" s="81">
        <v>98003</v>
      </c>
      <c r="H16" s="62" t="s">
        <v>10</v>
      </c>
      <c r="I16" s="33">
        <v>34</v>
      </c>
      <c r="J16" s="36">
        <v>34</v>
      </c>
      <c r="K16" s="33">
        <v>35</v>
      </c>
      <c r="M16" s="56">
        <v>98003</v>
      </c>
      <c r="N16" s="62" t="s">
        <v>10</v>
      </c>
      <c r="O16" s="36">
        <v>234</v>
      </c>
      <c r="P16" s="36">
        <v>246</v>
      </c>
      <c r="Q16" s="36">
        <v>221</v>
      </c>
      <c r="S16" s="81">
        <v>98003</v>
      </c>
      <c r="T16" s="62" t="s">
        <v>10</v>
      </c>
      <c r="U16" s="33">
        <v>65</v>
      </c>
      <c r="V16" s="33">
        <v>76</v>
      </c>
      <c r="W16" s="36">
        <v>72</v>
      </c>
    </row>
    <row r="17" spans="1:23" x14ac:dyDescent="0.2">
      <c r="A17" s="81">
        <v>98004</v>
      </c>
      <c r="B17" s="62" t="s">
        <v>345</v>
      </c>
      <c r="C17" s="36">
        <v>6</v>
      </c>
      <c r="D17" s="36">
        <v>4</v>
      </c>
      <c r="E17" s="36">
        <v>6</v>
      </c>
      <c r="G17" s="56">
        <v>98004</v>
      </c>
      <c r="H17" s="62" t="s">
        <v>345</v>
      </c>
      <c r="I17" s="36">
        <v>3</v>
      </c>
      <c r="J17" s="36">
        <v>1</v>
      </c>
      <c r="K17" s="36">
        <v>1</v>
      </c>
      <c r="M17" s="81">
        <v>98004</v>
      </c>
      <c r="N17" s="62" t="s">
        <v>345</v>
      </c>
      <c r="O17" s="36">
        <v>6</v>
      </c>
      <c r="P17" s="36">
        <v>3</v>
      </c>
      <c r="Q17" s="33">
        <v>3</v>
      </c>
      <c r="S17" s="56">
        <v>98004</v>
      </c>
      <c r="T17" s="62" t="s">
        <v>345</v>
      </c>
      <c r="U17" s="36">
        <v>1</v>
      </c>
      <c r="V17" s="36">
        <v>2</v>
      </c>
      <c r="W17" s="36">
        <v>0</v>
      </c>
    </row>
    <row r="18" spans="1:23" x14ac:dyDescent="0.2">
      <c r="A18" s="56">
        <v>98004</v>
      </c>
      <c r="B18" s="62" t="s">
        <v>10</v>
      </c>
      <c r="C18" s="36">
        <v>57</v>
      </c>
      <c r="D18" s="36">
        <v>57</v>
      </c>
      <c r="E18" s="36">
        <v>44</v>
      </c>
      <c r="G18" s="81">
        <v>98004</v>
      </c>
      <c r="H18" s="62" t="s">
        <v>10</v>
      </c>
      <c r="I18" s="33">
        <v>9</v>
      </c>
      <c r="J18" s="36">
        <v>3</v>
      </c>
      <c r="K18" s="36">
        <v>2</v>
      </c>
      <c r="M18" s="56">
        <v>98004</v>
      </c>
      <c r="N18" s="62" t="s">
        <v>10</v>
      </c>
      <c r="O18" s="36">
        <v>30</v>
      </c>
      <c r="P18" s="36">
        <v>31</v>
      </c>
      <c r="Q18" s="36">
        <v>42</v>
      </c>
      <c r="S18" s="81">
        <v>98004</v>
      </c>
      <c r="T18" s="62" t="s">
        <v>10</v>
      </c>
      <c r="U18" s="36">
        <v>6</v>
      </c>
      <c r="V18" s="36">
        <v>6</v>
      </c>
      <c r="W18" s="36">
        <v>13</v>
      </c>
    </row>
    <row r="19" spans="1:23" x14ac:dyDescent="0.2">
      <c r="A19" s="81">
        <v>98005</v>
      </c>
      <c r="B19" s="62" t="s">
        <v>345</v>
      </c>
      <c r="C19" s="36">
        <v>4</v>
      </c>
      <c r="D19" s="36">
        <v>6</v>
      </c>
      <c r="E19" s="36">
        <v>2</v>
      </c>
      <c r="G19" s="81">
        <v>98005</v>
      </c>
      <c r="H19" s="62" t="s">
        <v>345</v>
      </c>
      <c r="I19" s="33">
        <v>0</v>
      </c>
      <c r="J19" s="36">
        <v>0</v>
      </c>
      <c r="K19" s="33">
        <v>1</v>
      </c>
      <c r="M19" s="81">
        <v>98005</v>
      </c>
      <c r="N19" s="62" t="s">
        <v>345</v>
      </c>
      <c r="O19" s="33">
        <v>2</v>
      </c>
      <c r="P19" s="36">
        <v>2</v>
      </c>
      <c r="Q19" s="36">
        <v>3</v>
      </c>
      <c r="S19" s="81">
        <v>98005</v>
      </c>
      <c r="T19" s="62" t="s">
        <v>345</v>
      </c>
      <c r="U19" s="36">
        <v>1</v>
      </c>
      <c r="V19" s="36">
        <v>0</v>
      </c>
      <c r="W19" s="36">
        <v>1</v>
      </c>
    </row>
    <row r="20" spans="1:23" x14ac:dyDescent="0.2">
      <c r="A20" s="56">
        <v>98005</v>
      </c>
      <c r="B20" s="62" t="s">
        <v>10</v>
      </c>
      <c r="C20" s="36">
        <v>31</v>
      </c>
      <c r="D20" s="36">
        <v>36</v>
      </c>
      <c r="E20" s="36">
        <v>32</v>
      </c>
      <c r="G20" s="56">
        <v>98005</v>
      </c>
      <c r="H20" s="62" t="s">
        <v>10</v>
      </c>
      <c r="I20" s="36">
        <v>2</v>
      </c>
      <c r="J20" s="36">
        <v>1</v>
      </c>
      <c r="K20" s="36">
        <v>3</v>
      </c>
      <c r="M20" s="56">
        <v>98005</v>
      </c>
      <c r="N20" s="62" t="s">
        <v>10</v>
      </c>
      <c r="O20" s="36">
        <v>27</v>
      </c>
      <c r="P20" s="36">
        <v>20</v>
      </c>
      <c r="Q20" s="36">
        <v>23</v>
      </c>
      <c r="S20" s="81">
        <v>98005</v>
      </c>
      <c r="T20" s="62" t="s">
        <v>10</v>
      </c>
      <c r="U20" s="33">
        <v>5</v>
      </c>
      <c r="V20" s="36">
        <v>8</v>
      </c>
      <c r="W20" s="36">
        <v>5</v>
      </c>
    </row>
    <row r="21" spans="1:23" x14ac:dyDescent="0.2">
      <c r="A21" s="81">
        <v>98006</v>
      </c>
      <c r="B21" s="62" t="s">
        <v>345</v>
      </c>
      <c r="C21" s="36">
        <v>1</v>
      </c>
      <c r="D21" s="36">
        <v>2</v>
      </c>
      <c r="E21" s="36">
        <v>1</v>
      </c>
      <c r="G21" s="81">
        <v>98006</v>
      </c>
      <c r="H21" s="62" t="s">
        <v>10</v>
      </c>
      <c r="I21" s="36">
        <v>4</v>
      </c>
      <c r="J21" s="36">
        <v>5</v>
      </c>
      <c r="K21" s="36">
        <v>4</v>
      </c>
      <c r="M21" s="81">
        <v>98006</v>
      </c>
      <c r="N21" s="62" t="s">
        <v>345</v>
      </c>
      <c r="O21" s="36">
        <v>2</v>
      </c>
      <c r="P21" s="36">
        <v>2</v>
      </c>
      <c r="Q21" s="36">
        <v>2</v>
      </c>
      <c r="S21" s="81">
        <v>98006</v>
      </c>
      <c r="T21" s="62" t="s">
        <v>345</v>
      </c>
      <c r="U21" s="36">
        <v>1</v>
      </c>
      <c r="V21" s="36">
        <v>1</v>
      </c>
      <c r="W21" s="36">
        <v>1</v>
      </c>
    </row>
    <row r="22" spans="1:23" x14ac:dyDescent="0.2">
      <c r="A22" s="56">
        <v>98006</v>
      </c>
      <c r="B22" s="62" t="s">
        <v>10</v>
      </c>
      <c r="C22" s="36">
        <v>60</v>
      </c>
      <c r="D22" s="36">
        <v>57</v>
      </c>
      <c r="E22" s="36">
        <v>51</v>
      </c>
      <c r="G22" s="81">
        <v>98007</v>
      </c>
      <c r="H22" s="62" t="s">
        <v>345</v>
      </c>
      <c r="I22" s="36">
        <v>0</v>
      </c>
      <c r="J22" s="36">
        <v>0</v>
      </c>
      <c r="K22" s="36">
        <v>1</v>
      </c>
      <c r="M22" s="56">
        <v>98006</v>
      </c>
      <c r="N22" s="62" t="s">
        <v>10</v>
      </c>
      <c r="O22" s="36">
        <v>30</v>
      </c>
      <c r="P22" s="36">
        <v>36</v>
      </c>
      <c r="Q22" s="36">
        <v>25</v>
      </c>
      <c r="S22" s="81">
        <v>98006</v>
      </c>
      <c r="T22" s="62" t="s">
        <v>10</v>
      </c>
      <c r="U22" s="33">
        <v>9</v>
      </c>
      <c r="V22" s="36">
        <v>16</v>
      </c>
      <c r="W22" s="33">
        <v>11</v>
      </c>
    </row>
    <row r="23" spans="1:23" x14ac:dyDescent="0.2">
      <c r="A23" s="81">
        <v>98007</v>
      </c>
      <c r="B23" s="62" t="s">
        <v>345</v>
      </c>
      <c r="C23" s="36">
        <v>1</v>
      </c>
      <c r="D23" s="36">
        <v>2</v>
      </c>
      <c r="E23" s="36">
        <v>1</v>
      </c>
      <c r="G23" s="81">
        <v>98007</v>
      </c>
      <c r="H23" s="62" t="s">
        <v>10</v>
      </c>
      <c r="I23" s="36">
        <v>6</v>
      </c>
      <c r="J23" s="36">
        <v>5</v>
      </c>
      <c r="K23" s="36">
        <v>7</v>
      </c>
      <c r="M23" s="81">
        <v>98007</v>
      </c>
      <c r="N23" s="62" t="s">
        <v>345</v>
      </c>
      <c r="O23" s="36">
        <v>1</v>
      </c>
      <c r="P23" s="36">
        <v>0</v>
      </c>
      <c r="Q23" s="36">
        <v>1</v>
      </c>
      <c r="S23" s="56">
        <v>98007</v>
      </c>
      <c r="T23" s="62" t="s">
        <v>10</v>
      </c>
      <c r="U23" s="33">
        <v>9</v>
      </c>
      <c r="V23" s="36">
        <v>11</v>
      </c>
      <c r="W23" s="36">
        <v>12</v>
      </c>
    </row>
    <row r="24" spans="1:23" x14ac:dyDescent="0.2">
      <c r="A24" s="56">
        <v>98007</v>
      </c>
      <c r="B24" s="62" t="s">
        <v>10</v>
      </c>
      <c r="C24" s="36">
        <v>46</v>
      </c>
      <c r="D24" s="36">
        <v>60</v>
      </c>
      <c r="E24" s="36">
        <v>51</v>
      </c>
      <c r="G24" s="81">
        <v>98008</v>
      </c>
      <c r="H24" s="62" t="s">
        <v>10</v>
      </c>
      <c r="I24" s="36">
        <v>3</v>
      </c>
      <c r="J24" s="36">
        <v>3</v>
      </c>
      <c r="K24" s="36">
        <v>7</v>
      </c>
      <c r="M24" s="56">
        <v>98007</v>
      </c>
      <c r="N24" s="62" t="s">
        <v>10</v>
      </c>
      <c r="O24" s="36">
        <v>44</v>
      </c>
      <c r="P24" s="36">
        <v>43</v>
      </c>
      <c r="Q24" s="36">
        <v>42</v>
      </c>
      <c r="S24" s="81">
        <v>98008</v>
      </c>
      <c r="T24" s="62" t="s">
        <v>10</v>
      </c>
      <c r="U24" s="36">
        <v>11</v>
      </c>
      <c r="V24" s="36">
        <v>8</v>
      </c>
      <c r="W24" s="36">
        <v>5</v>
      </c>
    </row>
    <row r="25" spans="1:23" x14ac:dyDescent="0.2">
      <c r="A25" s="81">
        <v>98008</v>
      </c>
      <c r="B25" s="62" t="s">
        <v>345</v>
      </c>
      <c r="C25" s="36">
        <v>1</v>
      </c>
      <c r="D25" s="36">
        <v>1</v>
      </c>
      <c r="E25" s="36">
        <v>1</v>
      </c>
      <c r="G25" s="81">
        <v>98010</v>
      </c>
      <c r="H25" s="62" t="s">
        <v>10</v>
      </c>
      <c r="I25" s="36">
        <v>5</v>
      </c>
      <c r="J25" s="36">
        <v>3</v>
      </c>
      <c r="K25" s="36">
        <v>1</v>
      </c>
      <c r="M25" s="81">
        <v>98008</v>
      </c>
      <c r="N25" s="62" t="s">
        <v>10</v>
      </c>
      <c r="O25" s="33">
        <v>18</v>
      </c>
      <c r="P25" s="36">
        <v>17</v>
      </c>
      <c r="Q25" s="33">
        <v>17</v>
      </c>
      <c r="S25" s="81">
        <v>98010</v>
      </c>
      <c r="T25" s="62" t="s">
        <v>345</v>
      </c>
      <c r="U25" s="36">
        <v>0</v>
      </c>
      <c r="V25" s="36">
        <v>1</v>
      </c>
      <c r="W25" s="33">
        <v>0</v>
      </c>
    </row>
    <row r="26" spans="1:23" x14ac:dyDescent="0.2">
      <c r="A26" s="81">
        <v>98008</v>
      </c>
      <c r="B26" s="62" t="s">
        <v>10</v>
      </c>
      <c r="C26" s="36">
        <v>33</v>
      </c>
      <c r="D26" s="36">
        <v>33</v>
      </c>
      <c r="E26" s="36">
        <v>31</v>
      </c>
      <c r="G26" s="81">
        <v>98011</v>
      </c>
      <c r="H26" s="62" t="s">
        <v>10</v>
      </c>
      <c r="I26" s="33">
        <v>6</v>
      </c>
      <c r="J26" s="36">
        <v>5</v>
      </c>
      <c r="K26" s="36">
        <v>7</v>
      </c>
      <c r="M26" s="56">
        <v>98010</v>
      </c>
      <c r="N26" s="62" t="s">
        <v>345</v>
      </c>
      <c r="O26" s="36">
        <v>1</v>
      </c>
      <c r="P26" s="36">
        <v>2</v>
      </c>
      <c r="Q26" s="36">
        <v>1</v>
      </c>
      <c r="S26" s="81">
        <v>98010</v>
      </c>
      <c r="T26" s="62" t="s">
        <v>10</v>
      </c>
      <c r="U26" s="33">
        <v>4</v>
      </c>
      <c r="V26" s="33">
        <v>6</v>
      </c>
      <c r="W26" s="36">
        <v>6</v>
      </c>
    </row>
    <row r="27" spans="1:23" x14ac:dyDescent="0.2">
      <c r="A27" s="81">
        <v>98010</v>
      </c>
      <c r="B27" s="62" t="s">
        <v>345</v>
      </c>
      <c r="C27" s="33">
        <v>2</v>
      </c>
      <c r="D27" s="36">
        <v>2</v>
      </c>
      <c r="E27" s="36">
        <v>1</v>
      </c>
      <c r="G27" s="81">
        <v>98012</v>
      </c>
      <c r="H27" s="62" t="s">
        <v>10</v>
      </c>
      <c r="I27" s="33">
        <v>4</v>
      </c>
      <c r="J27" s="33">
        <v>3</v>
      </c>
      <c r="K27" s="36">
        <v>3</v>
      </c>
      <c r="M27" s="81">
        <v>98010</v>
      </c>
      <c r="N27" s="62" t="s">
        <v>10</v>
      </c>
      <c r="O27" s="33">
        <v>15</v>
      </c>
      <c r="P27" s="33">
        <v>19</v>
      </c>
      <c r="Q27" s="36">
        <v>12</v>
      </c>
      <c r="S27" s="81">
        <v>98011</v>
      </c>
      <c r="T27" s="62" t="s">
        <v>345</v>
      </c>
      <c r="U27" s="36">
        <v>0</v>
      </c>
      <c r="V27" s="33">
        <v>0</v>
      </c>
      <c r="W27" s="33">
        <v>1</v>
      </c>
    </row>
    <row r="28" spans="1:23" x14ac:dyDescent="0.2">
      <c r="A28" s="56">
        <v>98010</v>
      </c>
      <c r="B28" s="62" t="s">
        <v>10</v>
      </c>
      <c r="C28" s="36">
        <v>26</v>
      </c>
      <c r="D28" s="36">
        <v>27</v>
      </c>
      <c r="E28" s="36">
        <v>34</v>
      </c>
      <c r="G28" s="56">
        <v>98014</v>
      </c>
      <c r="H28" s="62" t="s">
        <v>10</v>
      </c>
      <c r="I28" s="33">
        <v>3</v>
      </c>
      <c r="J28" s="36">
        <v>2</v>
      </c>
      <c r="K28" s="36">
        <v>2</v>
      </c>
      <c r="M28" s="56">
        <v>98011</v>
      </c>
      <c r="N28" s="62" t="s">
        <v>345</v>
      </c>
      <c r="O28" s="36">
        <v>1</v>
      </c>
      <c r="P28" s="36">
        <v>2</v>
      </c>
      <c r="Q28" s="36">
        <v>3</v>
      </c>
      <c r="S28" s="81">
        <v>98011</v>
      </c>
      <c r="T28" s="62" t="s">
        <v>10</v>
      </c>
      <c r="U28" s="36">
        <v>13</v>
      </c>
      <c r="V28" s="36">
        <v>12</v>
      </c>
      <c r="W28" s="36">
        <v>8</v>
      </c>
    </row>
    <row r="29" spans="1:23" x14ac:dyDescent="0.2">
      <c r="A29" s="81">
        <v>98011</v>
      </c>
      <c r="B29" s="62" t="s">
        <v>345</v>
      </c>
      <c r="C29" s="36">
        <v>1</v>
      </c>
      <c r="D29" s="36">
        <v>1</v>
      </c>
      <c r="E29" s="36">
        <v>2</v>
      </c>
      <c r="G29" s="81">
        <v>98019</v>
      </c>
      <c r="H29" s="62" t="s">
        <v>345</v>
      </c>
      <c r="I29" s="36">
        <v>0</v>
      </c>
      <c r="J29" s="33">
        <v>0</v>
      </c>
      <c r="K29" s="33">
        <v>1</v>
      </c>
      <c r="M29" s="81">
        <v>98011</v>
      </c>
      <c r="N29" s="62" t="s">
        <v>10</v>
      </c>
      <c r="O29" s="36">
        <v>38</v>
      </c>
      <c r="P29" s="36">
        <v>49</v>
      </c>
      <c r="Q29" s="33">
        <v>34</v>
      </c>
      <c r="S29" s="81">
        <v>98012</v>
      </c>
      <c r="T29" s="62" t="s">
        <v>10</v>
      </c>
      <c r="U29" s="36">
        <v>3</v>
      </c>
      <c r="V29" s="36">
        <v>5</v>
      </c>
      <c r="W29" s="36">
        <v>3</v>
      </c>
    </row>
    <row r="30" spans="1:23" x14ac:dyDescent="0.2">
      <c r="A30" s="56">
        <v>98011</v>
      </c>
      <c r="B30" s="62" t="s">
        <v>10</v>
      </c>
      <c r="C30" s="36">
        <v>71</v>
      </c>
      <c r="D30" s="36">
        <v>75</v>
      </c>
      <c r="E30" s="36">
        <v>68</v>
      </c>
      <c r="G30" s="81">
        <v>98019</v>
      </c>
      <c r="H30" s="62" t="s">
        <v>10</v>
      </c>
      <c r="I30" s="36">
        <v>1</v>
      </c>
      <c r="J30" s="33">
        <v>3</v>
      </c>
      <c r="K30" s="33">
        <v>4</v>
      </c>
      <c r="M30" s="56">
        <v>98012</v>
      </c>
      <c r="N30" s="62" t="s">
        <v>10</v>
      </c>
      <c r="O30" s="36">
        <v>16</v>
      </c>
      <c r="P30" s="36">
        <v>19</v>
      </c>
      <c r="Q30" s="36">
        <v>19</v>
      </c>
      <c r="S30" s="81">
        <v>98014</v>
      </c>
      <c r="T30" s="62" t="s">
        <v>345</v>
      </c>
      <c r="U30" s="33">
        <v>0</v>
      </c>
      <c r="V30" s="36">
        <v>0</v>
      </c>
      <c r="W30" s="33">
        <v>1</v>
      </c>
    </row>
    <row r="31" spans="1:23" x14ac:dyDescent="0.2">
      <c r="A31" s="81">
        <v>98012</v>
      </c>
      <c r="B31" s="62" t="s">
        <v>345</v>
      </c>
      <c r="C31" s="36">
        <v>1</v>
      </c>
      <c r="D31" s="36">
        <v>1</v>
      </c>
      <c r="E31" s="36">
        <v>1</v>
      </c>
      <c r="G31" s="56">
        <v>98021</v>
      </c>
      <c r="H31" s="62" t="s">
        <v>10</v>
      </c>
      <c r="I31" s="36">
        <v>0</v>
      </c>
      <c r="J31" s="36">
        <v>0</v>
      </c>
      <c r="K31" s="36">
        <v>1</v>
      </c>
      <c r="M31" s="81">
        <v>98014</v>
      </c>
      <c r="N31" s="62" t="s">
        <v>345</v>
      </c>
      <c r="O31" s="36">
        <v>1</v>
      </c>
      <c r="P31" s="33">
        <v>0</v>
      </c>
      <c r="Q31" s="33">
        <v>3</v>
      </c>
      <c r="S31" s="81">
        <v>98014</v>
      </c>
      <c r="T31" s="62" t="s">
        <v>10</v>
      </c>
      <c r="U31" s="36">
        <v>3</v>
      </c>
      <c r="V31" s="36">
        <v>3</v>
      </c>
      <c r="W31" s="33">
        <v>4</v>
      </c>
    </row>
    <row r="32" spans="1:23" x14ac:dyDescent="0.2">
      <c r="A32" s="56">
        <v>98012</v>
      </c>
      <c r="B32" s="62" t="s">
        <v>10</v>
      </c>
      <c r="C32" s="36">
        <v>50</v>
      </c>
      <c r="D32" s="36">
        <v>50</v>
      </c>
      <c r="E32" s="36">
        <v>39</v>
      </c>
      <c r="G32" s="81">
        <v>98022</v>
      </c>
      <c r="H32" s="62" t="s">
        <v>345</v>
      </c>
      <c r="I32" s="36">
        <v>0</v>
      </c>
      <c r="J32" s="36">
        <v>3</v>
      </c>
      <c r="K32" s="36">
        <v>0</v>
      </c>
      <c r="M32" s="56">
        <v>98014</v>
      </c>
      <c r="N32" s="62" t="s">
        <v>10</v>
      </c>
      <c r="O32" s="36">
        <v>11</v>
      </c>
      <c r="P32" s="36">
        <v>11</v>
      </c>
      <c r="Q32" s="36">
        <v>17</v>
      </c>
      <c r="S32" s="81">
        <v>98019</v>
      </c>
      <c r="T32" s="62" t="s">
        <v>345</v>
      </c>
      <c r="U32" s="33">
        <v>1</v>
      </c>
      <c r="V32" s="33">
        <v>0</v>
      </c>
      <c r="W32" s="36">
        <v>0</v>
      </c>
    </row>
    <row r="33" spans="1:23" x14ac:dyDescent="0.2">
      <c r="A33" s="81">
        <v>98014</v>
      </c>
      <c r="B33" s="62" t="s">
        <v>345</v>
      </c>
      <c r="C33" s="36">
        <v>1</v>
      </c>
      <c r="D33" s="36">
        <v>2</v>
      </c>
      <c r="E33" s="36">
        <v>2</v>
      </c>
      <c r="G33" s="81">
        <v>98022</v>
      </c>
      <c r="H33" s="62" t="s">
        <v>10</v>
      </c>
      <c r="I33" s="36">
        <v>15</v>
      </c>
      <c r="J33" s="36">
        <v>16</v>
      </c>
      <c r="K33" s="33">
        <v>7</v>
      </c>
      <c r="M33" s="81">
        <v>98019</v>
      </c>
      <c r="N33" s="62" t="s">
        <v>345</v>
      </c>
      <c r="O33" s="36">
        <v>2</v>
      </c>
      <c r="P33" s="36">
        <v>1</v>
      </c>
      <c r="Q33" s="36">
        <v>0</v>
      </c>
      <c r="S33" s="81">
        <v>98019</v>
      </c>
      <c r="T33" s="62" t="s">
        <v>10</v>
      </c>
      <c r="U33" s="33">
        <v>3</v>
      </c>
      <c r="V33" s="36">
        <v>6</v>
      </c>
      <c r="W33" s="36">
        <v>2</v>
      </c>
    </row>
    <row r="34" spans="1:23" x14ac:dyDescent="0.2">
      <c r="A34" s="81">
        <v>98014</v>
      </c>
      <c r="B34" s="62" t="s">
        <v>10</v>
      </c>
      <c r="C34" s="33">
        <v>26</v>
      </c>
      <c r="D34" s="36">
        <v>23</v>
      </c>
      <c r="E34" s="36">
        <v>20</v>
      </c>
      <c r="G34" s="81">
        <v>98023</v>
      </c>
      <c r="H34" s="62" t="s">
        <v>10</v>
      </c>
      <c r="I34" s="36">
        <v>36</v>
      </c>
      <c r="J34" s="33">
        <v>34</v>
      </c>
      <c r="K34" s="36">
        <v>34</v>
      </c>
      <c r="M34" s="81">
        <v>98019</v>
      </c>
      <c r="N34" s="62" t="s">
        <v>10</v>
      </c>
      <c r="O34" s="33">
        <v>10</v>
      </c>
      <c r="P34" s="36">
        <v>13</v>
      </c>
      <c r="Q34" s="36">
        <v>14</v>
      </c>
      <c r="S34" s="81">
        <v>98020</v>
      </c>
      <c r="T34" s="62" t="s">
        <v>345</v>
      </c>
      <c r="U34" s="36">
        <v>0</v>
      </c>
      <c r="V34" s="36">
        <v>1</v>
      </c>
      <c r="W34" s="36">
        <v>0</v>
      </c>
    </row>
    <row r="35" spans="1:23" x14ac:dyDescent="0.2">
      <c r="A35" s="56">
        <v>98019</v>
      </c>
      <c r="B35" s="62" t="s">
        <v>345</v>
      </c>
      <c r="C35" s="36">
        <v>4</v>
      </c>
      <c r="D35" s="36">
        <v>5</v>
      </c>
      <c r="E35" s="36">
        <v>3</v>
      </c>
      <c r="G35" s="56">
        <v>98024</v>
      </c>
      <c r="H35" s="62" t="s">
        <v>10</v>
      </c>
      <c r="I35" s="36">
        <v>0</v>
      </c>
      <c r="J35" s="36">
        <v>3</v>
      </c>
      <c r="K35" s="36">
        <v>1</v>
      </c>
      <c r="M35" s="56">
        <v>98020</v>
      </c>
      <c r="N35" s="62" t="s">
        <v>345</v>
      </c>
      <c r="O35" s="36">
        <v>0</v>
      </c>
      <c r="P35" s="36">
        <v>2</v>
      </c>
      <c r="Q35" s="36">
        <v>0</v>
      </c>
      <c r="S35" s="81">
        <v>98020</v>
      </c>
      <c r="T35" s="62" t="s">
        <v>10</v>
      </c>
      <c r="U35" s="36">
        <v>0</v>
      </c>
      <c r="V35" s="36">
        <v>1</v>
      </c>
      <c r="W35" s="36">
        <v>2</v>
      </c>
    </row>
    <row r="36" spans="1:23" x14ac:dyDescent="0.2">
      <c r="A36" s="81">
        <v>98019</v>
      </c>
      <c r="B36" s="62" t="s">
        <v>10</v>
      </c>
      <c r="C36" s="36">
        <v>30</v>
      </c>
      <c r="D36" s="36">
        <v>29</v>
      </c>
      <c r="E36" s="36">
        <v>31</v>
      </c>
      <c r="G36" s="81">
        <v>98026</v>
      </c>
      <c r="H36" s="62" t="s">
        <v>10</v>
      </c>
      <c r="I36" s="36">
        <v>1</v>
      </c>
      <c r="J36" s="33">
        <v>4</v>
      </c>
      <c r="K36" s="33">
        <v>0</v>
      </c>
      <c r="M36" s="81">
        <v>98020</v>
      </c>
      <c r="N36" s="62" t="s">
        <v>10</v>
      </c>
      <c r="O36" s="36">
        <v>4</v>
      </c>
      <c r="P36" s="33">
        <v>6</v>
      </c>
      <c r="Q36" s="33">
        <v>4</v>
      </c>
      <c r="S36" s="81">
        <v>98021</v>
      </c>
      <c r="T36" s="62" t="s">
        <v>10</v>
      </c>
      <c r="U36" s="36">
        <v>4</v>
      </c>
      <c r="V36" s="36">
        <v>3</v>
      </c>
      <c r="W36" s="36">
        <v>1</v>
      </c>
    </row>
    <row r="37" spans="1:23" x14ac:dyDescent="0.2">
      <c r="A37" s="81">
        <v>98020</v>
      </c>
      <c r="B37" s="62" t="s">
        <v>345</v>
      </c>
      <c r="C37" s="36">
        <v>1</v>
      </c>
      <c r="D37" s="36">
        <v>0</v>
      </c>
      <c r="E37" s="36">
        <v>2</v>
      </c>
      <c r="G37" s="56">
        <v>98027</v>
      </c>
      <c r="H37" s="62" t="s">
        <v>345</v>
      </c>
      <c r="I37" s="36">
        <v>1</v>
      </c>
      <c r="J37" s="36">
        <v>2</v>
      </c>
      <c r="K37" s="36">
        <v>0</v>
      </c>
      <c r="M37" s="56">
        <v>98021</v>
      </c>
      <c r="N37" s="62" t="s">
        <v>10</v>
      </c>
      <c r="O37" s="36">
        <v>11</v>
      </c>
      <c r="P37" s="36">
        <v>5</v>
      </c>
      <c r="Q37" s="33">
        <v>5</v>
      </c>
      <c r="S37" s="81">
        <v>98022</v>
      </c>
      <c r="T37" s="62" t="s">
        <v>345</v>
      </c>
      <c r="U37" s="36">
        <v>2</v>
      </c>
      <c r="V37" s="36">
        <v>3</v>
      </c>
      <c r="W37" s="36">
        <v>1</v>
      </c>
    </row>
    <row r="38" spans="1:23" x14ac:dyDescent="0.2">
      <c r="A38" s="56">
        <v>98020</v>
      </c>
      <c r="B38" s="62" t="s">
        <v>10</v>
      </c>
      <c r="C38" s="36">
        <v>1</v>
      </c>
      <c r="D38" s="36">
        <v>5</v>
      </c>
      <c r="E38" s="36">
        <v>6</v>
      </c>
      <c r="G38" s="81">
        <v>98027</v>
      </c>
      <c r="H38" s="62" t="s">
        <v>10</v>
      </c>
      <c r="I38" s="36">
        <v>4</v>
      </c>
      <c r="J38" s="36">
        <v>4</v>
      </c>
      <c r="K38" s="36">
        <v>5</v>
      </c>
      <c r="M38" s="81">
        <v>98022</v>
      </c>
      <c r="N38" s="62" t="s">
        <v>345</v>
      </c>
      <c r="O38" s="36">
        <v>4</v>
      </c>
      <c r="P38" s="36">
        <v>7</v>
      </c>
      <c r="Q38" s="36">
        <v>1</v>
      </c>
      <c r="S38" s="81">
        <v>98022</v>
      </c>
      <c r="T38" s="62" t="s">
        <v>10</v>
      </c>
      <c r="U38" s="36">
        <v>18</v>
      </c>
      <c r="V38" s="36">
        <v>18</v>
      </c>
      <c r="W38" s="36">
        <v>15</v>
      </c>
    </row>
    <row r="39" spans="1:23" x14ac:dyDescent="0.2">
      <c r="A39" s="81">
        <v>98021</v>
      </c>
      <c r="B39" s="62" t="s">
        <v>10</v>
      </c>
      <c r="C39" s="36">
        <v>11</v>
      </c>
      <c r="D39" s="36">
        <v>16</v>
      </c>
      <c r="E39" s="36">
        <v>14</v>
      </c>
      <c r="G39" s="81">
        <v>98028</v>
      </c>
      <c r="H39" s="62" t="s">
        <v>10</v>
      </c>
      <c r="I39" s="36">
        <v>5</v>
      </c>
      <c r="J39" s="36">
        <v>1</v>
      </c>
      <c r="K39" s="36">
        <v>2</v>
      </c>
      <c r="M39" s="81">
        <v>98022</v>
      </c>
      <c r="N39" s="62" t="s">
        <v>10</v>
      </c>
      <c r="O39" s="36">
        <v>57</v>
      </c>
      <c r="P39" s="33">
        <v>65</v>
      </c>
      <c r="Q39" s="36">
        <v>54</v>
      </c>
      <c r="S39" s="81">
        <v>98023</v>
      </c>
      <c r="T39" s="62" t="s">
        <v>10</v>
      </c>
      <c r="U39" s="36">
        <v>92</v>
      </c>
      <c r="V39" s="36">
        <v>77</v>
      </c>
      <c r="W39" s="36">
        <v>80</v>
      </c>
    </row>
    <row r="40" spans="1:23" x14ac:dyDescent="0.2">
      <c r="A40" s="81">
        <v>98022</v>
      </c>
      <c r="B40" s="62" t="s">
        <v>345</v>
      </c>
      <c r="C40" s="36">
        <v>12</v>
      </c>
      <c r="D40" s="36">
        <v>12</v>
      </c>
      <c r="E40" s="36">
        <v>10</v>
      </c>
      <c r="G40" s="81">
        <v>98029</v>
      </c>
      <c r="H40" s="62" t="s">
        <v>10</v>
      </c>
      <c r="I40" s="36">
        <v>5</v>
      </c>
      <c r="J40" s="36">
        <v>4</v>
      </c>
      <c r="K40" s="36">
        <v>2</v>
      </c>
      <c r="M40" s="56">
        <v>98023</v>
      </c>
      <c r="N40" s="62" t="s">
        <v>345</v>
      </c>
      <c r="O40" s="36">
        <v>0</v>
      </c>
      <c r="P40" s="36">
        <v>0</v>
      </c>
      <c r="Q40" s="36">
        <v>1</v>
      </c>
      <c r="S40" s="81">
        <v>98024</v>
      </c>
      <c r="T40" s="62" t="s">
        <v>10</v>
      </c>
      <c r="U40" s="36">
        <v>1</v>
      </c>
      <c r="V40" s="36">
        <v>1</v>
      </c>
      <c r="W40" s="33">
        <v>2</v>
      </c>
    </row>
    <row r="41" spans="1:23" x14ac:dyDescent="0.2">
      <c r="A41" s="81">
        <v>98022</v>
      </c>
      <c r="B41" s="62" t="s">
        <v>10</v>
      </c>
      <c r="C41" s="36">
        <v>94</v>
      </c>
      <c r="D41" s="36">
        <v>95</v>
      </c>
      <c r="E41" s="36">
        <v>94</v>
      </c>
      <c r="G41" s="81">
        <v>98030</v>
      </c>
      <c r="H41" s="62" t="s">
        <v>10</v>
      </c>
      <c r="I41" s="36">
        <v>16</v>
      </c>
      <c r="J41" s="33">
        <v>19</v>
      </c>
      <c r="K41" s="36">
        <v>16</v>
      </c>
      <c r="M41" s="81">
        <v>98023</v>
      </c>
      <c r="N41" s="62" t="s">
        <v>10</v>
      </c>
      <c r="O41" s="33">
        <v>264</v>
      </c>
      <c r="P41" s="36">
        <v>237</v>
      </c>
      <c r="Q41" s="33">
        <v>206</v>
      </c>
      <c r="S41" s="81">
        <v>98026</v>
      </c>
      <c r="T41" s="62" t="s">
        <v>10</v>
      </c>
      <c r="U41" s="33">
        <v>4</v>
      </c>
      <c r="V41" s="36">
        <v>1</v>
      </c>
      <c r="W41" s="36">
        <v>1</v>
      </c>
    </row>
    <row r="42" spans="1:23" x14ac:dyDescent="0.2">
      <c r="A42" s="81">
        <v>98023</v>
      </c>
      <c r="B42" s="62" t="s">
        <v>10</v>
      </c>
      <c r="C42" s="36">
        <v>351</v>
      </c>
      <c r="D42" s="36">
        <v>384</v>
      </c>
      <c r="E42" s="36">
        <v>330</v>
      </c>
      <c r="G42" s="56">
        <v>98031</v>
      </c>
      <c r="H42" s="62" t="s">
        <v>345</v>
      </c>
      <c r="I42" s="36">
        <v>1</v>
      </c>
      <c r="J42" s="36">
        <v>0</v>
      </c>
      <c r="K42" s="36">
        <v>0</v>
      </c>
      <c r="M42" s="56">
        <v>98024</v>
      </c>
      <c r="N42" s="62" t="s">
        <v>345</v>
      </c>
      <c r="O42" s="36">
        <v>0</v>
      </c>
      <c r="P42" s="36">
        <v>0</v>
      </c>
      <c r="Q42" s="36">
        <v>1</v>
      </c>
      <c r="S42" s="81">
        <v>98027</v>
      </c>
      <c r="T42" s="62" t="s">
        <v>345</v>
      </c>
      <c r="U42" s="36">
        <v>0</v>
      </c>
      <c r="V42" s="36">
        <v>1</v>
      </c>
      <c r="W42" s="36">
        <v>0</v>
      </c>
    </row>
    <row r="43" spans="1:23" x14ac:dyDescent="0.2">
      <c r="A43" s="56">
        <v>98024</v>
      </c>
      <c r="B43" s="62" t="s">
        <v>10</v>
      </c>
      <c r="C43" s="36">
        <v>11</v>
      </c>
      <c r="D43" s="36">
        <v>10</v>
      </c>
      <c r="E43" s="36">
        <v>11</v>
      </c>
      <c r="G43" s="81">
        <v>98031</v>
      </c>
      <c r="H43" s="62" t="s">
        <v>10</v>
      </c>
      <c r="I43" s="36">
        <v>19</v>
      </c>
      <c r="J43" s="36">
        <v>25</v>
      </c>
      <c r="K43" s="36">
        <v>18</v>
      </c>
      <c r="M43" s="81">
        <v>98024</v>
      </c>
      <c r="N43" s="62" t="s">
        <v>10</v>
      </c>
      <c r="O43" s="36">
        <v>4</v>
      </c>
      <c r="P43" s="36">
        <v>6</v>
      </c>
      <c r="Q43" s="36">
        <v>4</v>
      </c>
      <c r="S43" s="81">
        <v>98027</v>
      </c>
      <c r="T43" s="62" t="s">
        <v>10</v>
      </c>
      <c r="U43" s="33">
        <v>7</v>
      </c>
      <c r="V43" s="36">
        <v>12</v>
      </c>
      <c r="W43" s="33">
        <v>7</v>
      </c>
    </row>
    <row r="44" spans="1:23" x14ac:dyDescent="0.2">
      <c r="A44" s="81">
        <v>98026</v>
      </c>
      <c r="B44" s="62" t="s">
        <v>10</v>
      </c>
      <c r="C44" s="36">
        <v>16</v>
      </c>
      <c r="D44" s="36">
        <v>18</v>
      </c>
      <c r="E44" s="36">
        <v>17</v>
      </c>
      <c r="G44" s="81">
        <v>98032</v>
      </c>
      <c r="H44" s="62" t="s">
        <v>345</v>
      </c>
      <c r="I44" s="36">
        <v>1</v>
      </c>
      <c r="J44" s="36">
        <v>0</v>
      </c>
      <c r="K44" s="36">
        <v>3</v>
      </c>
      <c r="M44" s="81">
        <v>98026</v>
      </c>
      <c r="N44" s="62" t="s">
        <v>10</v>
      </c>
      <c r="O44" s="36">
        <v>10</v>
      </c>
      <c r="P44" s="36">
        <v>11</v>
      </c>
      <c r="Q44" s="36">
        <v>6</v>
      </c>
      <c r="S44" s="81">
        <v>98028</v>
      </c>
      <c r="T44" s="62" t="s">
        <v>10</v>
      </c>
      <c r="U44" s="33">
        <v>7</v>
      </c>
      <c r="V44" s="33">
        <v>11</v>
      </c>
      <c r="W44" s="36">
        <v>12</v>
      </c>
    </row>
    <row r="45" spans="1:23" x14ac:dyDescent="0.2">
      <c r="A45" s="56">
        <v>98027</v>
      </c>
      <c r="B45" s="62" t="s">
        <v>345</v>
      </c>
      <c r="C45" s="36">
        <v>6</v>
      </c>
      <c r="D45" s="36">
        <v>5</v>
      </c>
      <c r="E45" s="36">
        <v>3</v>
      </c>
      <c r="G45" s="81">
        <v>98032</v>
      </c>
      <c r="H45" s="62" t="s">
        <v>10</v>
      </c>
      <c r="I45" s="36">
        <v>33</v>
      </c>
      <c r="J45" s="36">
        <v>24</v>
      </c>
      <c r="K45" s="33">
        <v>20</v>
      </c>
      <c r="M45" s="81">
        <v>98027</v>
      </c>
      <c r="N45" s="62" t="s">
        <v>345</v>
      </c>
      <c r="O45" s="36">
        <v>2</v>
      </c>
      <c r="P45" s="36">
        <v>1</v>
      </c>
      <c r="Q45" s="36">
        <v>3</v>
      </c>
      <c r="S45" s="81">
        <v>98029</v>
      </c>
      <c r="T45" s="62" t="s">
        <v>10</v>
      </c>
      <c r="U45" s="33">
        <v>14</v>
      </c>
      <c r="V45" s="36">
        <v>18</v>
      </c>
      <c r="W45" s="33">
        <v>15</v>
      </c>
    </row>
    <row r="46" spans="1:23" x14ac:dyDescent="0.2">
      <c r="A46" s="81">
        <v>98027</v>
      </c>
      <c r="B46" s="62" t="s">
        <v>10</v>
      </c>
      <c r="C46" s="36">
        <v>67</v>
      </c>
      <c r="D46" s="36">
        <v>67</v>
      </c>
      <c r="E46" s="36">
        <v>77</v>
      </c>
      <c r="G46" s="56">
        <v>98033</v>
      </c>
      <c r="H46" s="62" t="s">
        <v>345</v>
      </c>
      <c r="I46" s="33">
        <v>0</v>
      </c>
      <c r="J46" s="36">
        <v>0</v>
      </c>
      <c r="K46" s="33">
        <v>1</v>
      </c>
      <c r="M46" s="56">
        <v>98027</v>
      </c>
      <c r="N46" s="62" t="s">
        <v>10</v>
      </c>
      <c r="O46" s="36">
        <v>30</v>
      </c>
      <c r="P46" s="36">
        <v>42</v>
      </c>
      <c r="Q46" s="36">
        <v>31</v>
      </c>
      <c r="S46" s="56">
        <v>98030</v>
      </c>
      <c r="T46" s="62" t="s">
        <v>345</v>
      </c>
      <c r="U46" s="36">
        <v>3</v>
      </c>
      <c r="V46" s="36">
        <v>2</v>
      </c>
      <c r="W46" s="36">
        <v>1</v>
      </c>
    </row>
    <row r="47" spans="1:23" x14ac:dyDescent="0.2">
      <c r="A47" s="81">
        <v>98028</v>
      </c>
      <c r="B47" s="62" t="s">
        <v>345</v>
      </c>
      <c r="C47" s="36">
        <v>1</v>
      </c>
      <c r="D47" s="36">
        <v>1</v>
      </c>
      <c r="E47" s="36">
        <v>1</v>
      </c>
      <c r="G47" s="81">
        <v>98033</v>
      </c>
      <c r="H47" s="62" t="s">
        <v>10</v>
      </c>
      <c r="I47" s="33">
        <v>7</v>
      </c>
      <c r="J47" s="33">
        <v>4</v>
      </c>
      <c r="K47" s="36">
        <v>5</v>
      </c>
      <c r="M47" s="81">
        <v>98028</v>
      </c>
      <c r="N47" s="62" t="s">
        <v>10</v>
      </c>
      <c r="O47" s="33">
        <v>31</v>
      </c>
      <c r="P47" s="36">
        <v>27</v>
      </c>
      <c r="Q47" s="36">
        <v>34</v>
      </c>
      <c r="S47" s="81">
        <v>98030</v>
      </c>
      <c r="T47" s="62" t="s">
        <v>10</v>
      </c>
      <c r="U47" s="36">
        <v>45</v>
      </c>
      <c r="V47" s="36">
        <v>47</v>
      </c>
      <c r="W47" s="36">
        <v>31</v>
      </c>
    </row>
    <row r="48" spans="1:23" x14ac:dyDescent="0.2">
      <c r="A48" s="56">
        <v>98028</v>
      </c>
      <c r="B48" s="62" t="s">
        <v>10</v>
      </c>
      <c r="C48" s="36">
        <v>49</v>
      </c>
      <c r="D48" s="36">
        <v>51</v>
      </c>
      <c r="E48" s="36">
        <v>42</v>
      </c>
      <c r="G48" s="56">
        <v>98034</v>
      </c>
      <c r="H48" s="62" t="s">
        <v>10</v>
      </c>
      <c r="I48" s="36">
        <v>8</v>
      </c>
      <c r="J48" s="33">
        <v>12</v>
      </c>
      <c r="K48" s="33">
        <v>12</v>
      </c>
      <c r="M48" s="56">
        <v>98029</v>
      </c>
      <c r="N48" s="62" t="s">
        <v>10</v>
      </c>
      <c r="O48" s="36">
        <v>26</v>
      </c>
      <c r="P48" s="36">
        <v>42</v>
      </c>
      <c r="Q48" s="36">
        <v>42</v>
      </c>
      <c r="S48" s="81">
        <v>98031</v>
      </c>
      <c r="T48" s="62" t="s">
        <v>345</v>
      </c>
      <c r="U48" s="36">
        <v>3</v>
      </c>
      <c r="V48" s="36">
        <v>2</v>
      </c>
      <c r="W48" s="36">
        <v>1</v>
      </c>
    </row>
    <row r="49" spans="1:23" x14ac:dyDescent="0.2">
      <c r="A49" s="81">
        <v>98029</v>
      </c>
      <c r="B49" s="62" t="s">
        <v>345</v>
      </c>
      <c r="C49" s="36">
        <v>2</v>
      </c>
      <c r="D49" s="36">
        <v>2</v>
      </c>
      <c r="E49" s="36">
        <v>2</v>
      </c>
      <c r="G49" s="81">
        <v>98036</v>
      </c>
      <c r="H49" s="62" t="s">
        <v>10</v>
      </c>
      <c r="I49" s="36">
        <v>4</v>
      </c>
      <c r="J49" s="36">
        <v>3</v>
      </c>
      <c r="K49" s="36">
        <v>0</v>
      </c>
      <c r="M49" s="81">
        <v>98030</v>
      </c>
      <c r="N49" s="62" t="s">
        <v>345</v>
      </c>
      <c r="O49" s="36">
        <v>6</v>
      </c>
      <c r="P49" s="36">
        <v>3</v>
      </c>
      <c r="Q49" s="36">
        <v>3</v>
      </c>
      <c r="S49" s="81">
        <v>98031</v>
      </c>
      <c r="T49" s="62" t="s">
        <v>10</v>
      </c>
      <c r="U49" s="33">
        <v>48</v>
      </c>
      <c r="V49" s="36">
        <v>39</v>
      </c>
      <c r="W49" s="33">
        <v>31</v>
      </c>
    </row>
    <row r="50" spans="1:23" x14ac:dyDescent="0.2">
      <c r="A50" s="56">
        <v>98029</v>
      </c>
      <c r="B50" s="62" t="s">
        <v>10</v>
      </c>
      <c r="C50" s="36">
        <v>65</v>
      </c>
      <c r="D50" s="36">
        <v>58</v>
      </c>
      <c r="E50" s="36">
        <v>52</v>
      </c>
      <c r="G50" s="81">
        <v>98037</v>
      </c>
      <c r="H50" s="62" t="s">
        <v>345</v>
      </c>
      <c r="I50" s="33">
        <v>0</v>
      </c>
      <c r="J50" s="36">
        <v>0</v>
      </c>
      <c r="K50" s="33">
        <v>1</v>
      </c>
      <c r="M50" s="81">
        <v>98030</v>
      </c>
      <c r="N50" s="62" t="s">
        <v>10</v>
      </c>
      <c r="O50" s="36">
        <v>151</v>
      </c>
      <c r="P50" s="36">
        <v>148</v>
      </c>
      <c r="Q50" s="36">
        <v>142</v>
      </c>
      <c r="S50" s="56">
        <v>98032</v>
      </c>
      <c r="T50" s="62" t="s">
        <v>345</v>
      </c>
      <c r="U50" s="36">
        <v>2</v>
      </c>
      <c r="V50" s="36">
        <v>4</v>
      </c>
      <c r="W50" s="36">
        <v>9</v>
      </c>
    </row>
    <row r="51" spans="1:23" x14ac:dyDescent="0.2">
      <c r="A51" s="81">
        <v>98030</v>
      </c>
      <c r="B51" s="62" t="s">
        <v>345</v>
      </c>
      <c r="C51" s="36">
        <v>6</v>
      </c>
      <c r="D51" s="36">
        <v>6</v>
      </c>
      <c r="E51" s="36">
        <v>7</v>
      </c>
      <c r="G51" s="56">
        <v>98037</v>
      </c>
      <c r="H51" s="62" t="s">
        <v>10</v>
      </c>
      <c r="I51" s="36">
        <v>0</v>
      </c>
      <c r="J51" s="36">
        <v>5</v>
      </c>
      <c r="K51" s="33">
        <v>2</v>
      </c>
      <c r="M51" s="56">
        <v>98031</v>
      </c>
      <c r="N51" s="62" t="s">
        <v>345</v>
      </c>
      <c r="O51" s="36">
        <v>6</v>
      </c>
      <c r="P51" s="36">
        <v>3</v>
      </c>
      <c r="Q51" s="36">
        <v>2</v>
      </c>
      <c r="S51" s="81">
        <v>98032</v>
      </c>
      <c r="T51" s="62" t="s">
        <v>10</v>
      </c>
      <c r="U51" s="36">
        <v>52</v>
      </c>
      <c r="V51" s="36">
        <v>64</v>
      </c>
      <c r="W51" s="36">
        <v>60</v>
      </c>
    </row>
    <row r="52" spans="1:23" x14ac:dyDescent="0.2">
      <c r="A52" s="56">
        <v>98030</v>
      </c>
      <c r="B52" s="62" t="s">
        <v>10</v>
      </c>
      <c r="C52" s="36">
        <v>205</v>
      </c>
      <c r="D52" s="36">
        <v>218</v>
      </c>
      <c r="E52" s="36">
        <v>222</v>
      </c>
      <c r="G52" s="81">
        <v>98038</v>
      </c>
      <c r="H52" s="62" t="s">
        <v>10</v>
      </c>
      <c r="I52" s="33">
        <v>4</v>
      </c>
      <c r="J52" s="36">
        <v>12</v>
      </c>
      <c r="K52" s="36">
        <v>7</v>
      </c>
      <c r="M52" s="81">
        <v>98031</v>
      </c>
      <c r="N52" s="62" t="s">
        <v>10</v>
      </c>
      <c r="O52" s="36">
        <v>146</v>
      </c>
      <c r="P52" s="36">
        <v>150</v>
      </c>
      <c r="Q52" s="36">
        <v>143</v>
      </c>
      <c r="S52" s="81">
        <v>98033</v>
      </c>
      <c r="T52" s="62" t="s">
        <v>345</v>
      </c>
      <c r="U52" s="36">
        <v>0</v>
      </c>
      <c r="V52" s="33">
        <v>1</v>
      </c>
      <c r="W52" s="33">
        <v>0</v>
      </c>
    </row>
    <row r="53" spans="1:23" x14ac:dyDescent="0.2">
      <c r="A53" s="81">
        <v>98031</v>
      </c>
      <c r="B53" s="62" t="s">
        <v>345</v>
      </c>
      <c r="C53" s="36">
        <v>5</v>
      </c>
      <c r="D53" s="36">
        <v>7</v>
      </c>
      <c r="E53" s="36">
        <v>9</v>
      </c>
      <c r="G53" s="56">
        <v>98039</v>
      </c>
      <c r="H53" s="62" t="s">
        <v>10</v>
      </c>
      <c r="I53" s="36">
        <v>0</v>
      </c>
      <c r="J53" s="36">
        <v>1</v>
      </c>
      <c r="K53" s="36">
        <v>0</v>
      </c>
      <c r="M53" s="56">
        <v>98032</v>
      </c>
      <c r="N53" s="62" t="s">
        <v>345</v>
      </c>
      <c r="O53" s="36">
        <v>13</v>
      </c>
      <c r="P53" s="36">
        <v>14</v>
      </c>
      <c r="Q53" s="36">
        <v>17</v>
      </c>
      <c r="S53" s="56">
        <v>98033</v>
      </c>
      <c r="T53" s="62" t="s">
        <v>10</v>
      </c>
      <c r="U53" s="36">
        <v>9</v>
      </c>
      <c r="V53" s="36">
        <v>10</v>
      </c>
      <c r="W53" s="36">
        <v>12</v>
      </c>
    </row>
    <row r="54" spans="1:23" x14ac:dyDescent="0.2">
      <c r="A54" s="56">
        <v>98031</v>
      </c>
      <c r="B54" s="62" t="s">
        <v>10</v>
      </c>
      <c r="C54" s="36">
        <v>214</v>
      </c>
      <c r="D54" s="36">
        <v>217</v>
      </c>
      <c r="E54" s="36">
        <v>219</v>
      </c>
      <c r="G54" s="81">
        <v>98040</v>
      </c>
      <c r="H54" s="62" t="s">
        <v>10</v>
      </c>
      <c r="I54" s="33">
        <v>0</v>
      </c>
      <c r="J54" s="33">
        <v>1</v>
      </c>
      <c r="K54" s="36">
        <v>1</v>
      </c>
      <c r="M54" s="81">
        <v>98032</v>
      </c>
      <c r="N54" s="62" t="s">
        <v>10</v>
      </c>
      <c r="O54" s="36">
        <v>194</v>
      </c>
      <c r="P54" s="36">
        <v>195</v>
      </c>
      <c r="Q54" s="36">
        <v>202</v>
      </c>
      <c r="S54" s="81">
        <v>98034</v>
      </c>
      <c r="T54" s="62" t="s">
        <v>10</v>
      </c>
      <c r="U54" s="36">
        <v>23</v>
      </c>
      <c r="V54" s="36">
        <v>25</v>
      </c>
      <c r="W54" s="36">
        <v>24</v>
      </c>
    </row>
    <row r="55" spans="1:23" x14ac:dyDescent="0.2">
      <c r="A55" s="81">
        <v>98032</v>
      </c>
      <c r="B55" s="62" t="s">
        <v>345</v>
      </c>
      <c r="C55" s="36">
        <v>20</v>
      </c>
      <c r="D55" s="36">
        <v>24</v>
      </c>
      <c r="E55" s="36">
        <v>28</v>
      </c>
      <c r="G55" s="81">
        <v>98042</v>
      </c>
      <c r="H55" s="62" t="s">
        <v>10</v>
      </c>
      <c r="I55" s="36">
        <v>16</v>
      </c>
      <c r="J55" s="36">
        <v>21</v>
      </c>
      <c r="K55" s="36">
        <v>18</v>
      </c>
      <c r="M55" s="56">
        <v>98033</v>
      </c>
      <c r="N55" s="62" t="s">
        <v>345</v>
      </c>
      <c r="O55" s="36">
        <v>2</v>
      </c>
      <c r="P55" s="36">
        <v>2</v>
      </c>
      <c r="Q55" s="36">
        <v>1</v>
      </c>
      <c r="S55" s="81">
        <v>98036</v>
      </c>
      <c r="T55" s="62" t="s">
        <v>345</v>
      </c>
      <c r="U55" s="36">
        <v>0</v>
      </c>
      <c r="V55" s="33">
        <v>1</v>
      </c>
      <c r="W55" s="33">
        <v>1</v>
      </c>
    </row>
    <row r="56" spans="1:23" x14ac:dyDescent="0.2">
      <c r="A56" s="56">
        <v>98032</v>
      </c>
      <c r="B56" s="62" t="s">
        <v>10</v>
      </c>
      <c r="C56" s="36">
        <v>275</v>
      </c>
      <c r="D56" s="36">
        <v>268</v>
      </c>
      <c r="E56" s="36">
        <v>248</v>
      </c>
      <c r="G56" s="81">
        <v>98043</v>
      </c>
      <c r="H56" s="62" t="s">
        <v>10</v>
      </c>
      <c r="I56" s="36">
        <v>2</v>
      </c>
      <c r="J56" s="36">
        <v>0</v>
      </c>
      <c r="K56" s="36">
        <v>0</v>
      </c>
      <c r="M56" s="81">
        <v>98033</v>
      </c>
      <c r="N56" s="62" t="s">
        <v>10</v>
      </c>
      <c r="O56" s="36">
        <v>32</v>
      </c>
      <c r="P56" s="36">
        <v>45</v>
      </c>
      <c r="Q56" s="33">
        <v>40</v>
      </c>
      <c r="S56" s="56">
        <v>98036</v>
      </c>
      <c r="T56" s="62" t="s">
        <v>10</v>
      </c>
      <c r="U56" s="36">
        <v>4</v>
      </c>
      <c r="V56" s="36">
        <v>6</v>
      </c>
      <c r="W56" s="36">
        <v>4</v>
      </c>
    </row>
    <row r="57" spans="1:23" x14ac:dyDescent="0.2">
      <c r="A57" s="81">
        <v>98033</v>
      </c>
      <c r="B57" s="62" t="s">
        <v>345</v>
      </c>
      <c r="C57" s="36">
        <v>3</v>
      </c>
      <c r="D57" s="36">
        <v>2</v>
      </c>
      <c r="E57" s="36">
        <v>1</v>
      </c>
      <c r="G57" s="81">
        <v>98045</v>
      </c>
      <c r="H57" s="62" t="s">
        <v>10</v>
      </c>
      <c r="I57" s="33">
        <v>6</v>
      </c>
      <c r="J57" s="36">
        <v>5</v>
      </c>
      <c r="K57" s="36">
        <v>3</v>
      </c>
      <c r="M57" s="56">
        <v>98034</v>
      </c>
      <c r="N57" s="62" t="s">
        <v>345</v>
      </c>
      <c r="O57" s="36">
        <v>0</v>
      </c>
      <c r="P57" s="36">
        <v>3</v>
      </c>
      <c r="Q57" s="36">
        <v>2</v>
      </c>
      <c r="S57" s="81">
        <v>98037</v>
      </c>
      <c r="T57" s="62" t="s">
        <v>345</v>
      </c>
      <c r="U57" s="36">
        <v>0</v>
      </c>
      <c r="V57" s="36">
        <v>0</v>
      </c>
      <c r="W57" s="36">
        <v>1</v>
      </c>
    </row>
    <row r="58" spans="1:23" x14ac:dyDescent="0.2">
      <c r="A58" s="56">
        <v>98033</v>
      </c>
      <c r="B58" s="62" t="s">
        <v>10</v>
      </c>
      <c r="C58" s="36">
        <v>55</v>
      </c>
      <c r="D58" s="36">
        <v>52</v>
      </c>
      <c r="E58" s="36">
        <v>58</v>
      </c>
      <c r="G58" s="56">
        <v>98047</v>
      </c>
      <c r="H58" s="62" t="s">
        <v>10</v>
      </c>
      <c r="I58" s="36">
        <v>4</v>
      </c>
      <c r="J58" s="36">
        <v>10</v>
      </c>
      <c r="K58" s="36">
        <v>6</v>
      </c>
      <c r="M58" s="81">
        <v>98034</v>
      </c>
      <c r="N58" s="62" t="s">
        <v>10</v>
      </c>
      <c r="O58" s="33">
        <v>87</v>
      </c>
      <c r="P58" s="36">
        <v>67</v>
      </c>
      <c r="Q58" s="36">
        <v>78</v>
      </c>
      <c r="S58" s="81">
        <v>98037</v>
      </c>
      <c r="T58" s="62" t="s">
        <v>10</v>
      </c>
      <c r="U58" s="36">
        <v>3</v>
      </c>
      <c r="V58" s="36">
        <v>1</v>
      </c>
      <c r="W58" s="33">
        <v>5</v>
      </c>
    </row>
    <row r="59" spans="1:23" x14ac:dyDescent="0.2">
      <c r="A59" s="81">
        <v>98034</v>
      </c>
      <c r="B59" s="62" t="s">
        <v>345</v>
      </c>
      <c r="C59" s="36">
        <v>2</v>
      </c>
      <c r="D59" s="36">
        <v>1</v>
      </c>
      <c r="E59" s="36">
        <v>2</v>
      </c>
      <c r="G59" s="81">
        <v>98050</v>
      </c>
      <c r="H59" s="62" t="s">
        <v>10</v>
      </c>
      <c r="I59" s="36">
        <v>0</v>
      </c>
      <c r="J59" s="36">
        <v>0</v>
      </c>
      <c r="K59" s="36">
        <v>1</v>
      </c>
      <c r="M59" s="56">
        <v>98036</v>
      </c>
      <c r="N59" s="62" t="s">
        <v>345</v>
      </c>
      <c r="O59" s="36">
        <v>0</v>
      </c>
      <c r="P59" s="36">
        <v>2</v>
      </c>
      <c r="Q59" s="36">
        <v>1</v>
      </c>
      <c r="S59" s="56">
        <v>98038</v>
      </c>
      <c r="T59" s="62" t="s">
        <v>345</v>
      </c>
      <c r="U59" s="36">
        <v>1</v>
      </c>
      <c r="V59" s="36">
        <v>0</v>
      </c>
      <c r="W59" s="36">
        <v>0</v>
      </c>
    </row>
    <row r="60" spans="1:23" x14ac:dyDescent="0.2">
      <c r="A60" s="56">
        <v>98034</v>
      </c>
      <c r="B60" s="62" t="s">
        <v>10</v>
      </c>
      <c r="C60" s="36">
        <v>130</v>
      </c>
      <c r="D60" s="36">
        <v>122</v>
      </c>
      <c r="E60" s="36">
        <v>112</v>
      </c>
      <c r="G60" s="81">
        <v>98051</v>
      </c>
      <c r="H60" s="62" t="s">
        <v>10</v>
      </c>
      <c r="I60" s="36">
        <v>1</v>
      </c>
      <c r="J60" s="36">
        <v>1</v>
      </c>
      <c r="K60" s="36">
        <v>2</v>
      </c>
      <c r="M60" s="81">
        <v>98036</v>
      </c>
      <c r="N60" s="62" t="s">
        <v>10</v>
      </c>
      <c r="O60" s="36">
        <v>12</v>
      </c>
      <c r="P60" s="36">
        <v>13</v>
      </c>
      <c r="Q60" s="33">
        <v>11</v>
      </c>
      <c r="S60" s="81">
        <v>98038</v>
      </c>
      <c r="T60" s="62" t="s">
        <v>10</v>
      </c>
      <c r="U60" s="36">
        <v>21</v>
      </c>
      <c r="V60" s="33">
        <v>15</v>
      </c>
      <c r="W60" s="36">
        <v>19</v>
      </c>
    </row>
    <row r="61" spans="1:23" x14ac:dyDescent="0.2">
      <c r="A61" s="81">
        <v>98036</v>
      </c>
      <c r="B61" s="62" t="s">
        <v>345</v>
      </c>
      <c r="C61" s="36">
        <v>3</v>
      </c>
      <c r="D61" s="36">
        <v>3</v>
      </c>
      <c r="E61" s="36">
        <v>4</v>
      </c>
      <c r="G61" s="81">
        <v>98052</v>
      </c>
      <c r="H61" s="62" t="s">
        <v>345</v>
      </c>
      <c r="I61" s="33">
        <v>1</v>
      </c>
      <c r="J61" s="33">
        <v>0</v>
      </c>
      <c r="K61" s="36">
        <v>2</v>
      </c>
      <c r="M61" s="56">
        <v>98037</v>
      </c>
      <c r="N61" s="62" t="s">
        <v>345</v>
      </c>
      <c r="O61" s="36">
        <v>0</v>
      </c>
      <c r="P61" s="36">
        <v>2</v>
      </c>
      <c r="Q61" s="36">
        <v>1</v>
      </c>
      <c r="S61" s="81">
        <v>98040</v>
      </c>
      <c r="T61" s="62" t="s">
        <v>345</v>
      </c>
      <c r="U61" s="33">
        <v>0</v>
      </c>
      <c r="V61" s="33">
        <v>1</v>
      </c>
      <c r="W61" s="36">
        <v>1</v>
      </c>
    </row>
    <row r="62" spans="1:23" x14ac:dyDescent="0.2">
      <c r="A62" s="56">
        <v>98036</v>
      </c>
      <c r="B62" s="62" t="s">
        <v>10</v>
      </c>
      <c r="C62" s="36">
        <v>27</v>
      </c>
      <c r="D62" s="36">
        <v>23</v>
      </c>
      <c r="E62" s="36">
        <v>22</v>
      </c>
      <c r="G62" s="56">
        <v>98052</v>
      </c>
      <c r="H62" s="62" t="s">
        <v>10</v>
      </c>
      <c r="I62" s="36">
        <v>15</v>
      </c>
      <c r="J62" s="36">
        <v>15</v>
      </c>
      <c r="K62" s="36">
        <v>10</v>
      </c>
      <c r="M62" s="81">
        <v>98037</v>
      </c>
      <c r="N62" s="62" t="s">
        <v>10</v>
      </c>
      <c r="O62" s="36">
        <v>15</v>
      </c>
      <c r="P62" s="33">
        <v>18</v>
      </c>
      <c r="Q62" s="33">
        <v>12</v>
      </c>
      <c r="S62" s="56">
        <v>98040</v>
      </c>
      <c r="T62" s="62" t="s">
        <v>10</v>
      </c>
      <c r="U62" s="36">
        <v>3</v>
      </c>
      <c r="V62" s="36">
        <v>6</v>
      </c>
      <c r="W62" s="36">
        <v>3</v>
      </c>
    </row>
    <row r="63" spans="1:23" x14ac:dyDescent="0.2">
      <c r="A63" s="81">
        <v>98037</v>
      </c>
      <c r="B63" s="62" t="s">
        <v>345</v>
      </c>
      <c r="C63" s="36">
        <v>0</v>
      </c>
      <c r="D63" s="36">
        <v>0</v>
      </c>
      <c r="E63" s="36">
        <v>1</v>
      </c>
      <c r="G63" s="81">
        <v>98053</v>
      </c>
      <c r="H63" s="62" t="s">
        <v>10</v>
      </c>
      <c r="I63" s="36">
        <v>3</v>
      </c>
      <c r="J63" s="36">
        <v>1</v>
      </c>
      <c r="K63" s="36">
        <v>1</v>
      </c>
      <c r="M63" s="56">
        <v>98038</v>
      </c>
      <c r="N63" s="62" t="s">
        <v>345</v>
      </c>
      <c r="O63" s="36">
        <v>1</v>
      </c>
      <c r="P63" s="36">
        <v>0</v>
      </c>
      <c r="Q63" s="36">
        <v>0</v>
      </c>
      <c r="S63" s="81">
        <v>98042</v>
      </c>
      <c r="T63" s="62" t="s">
        <v>345</v>
      </c>
      <c r="U63" s="36">
        <v>1</v>
      </c>
      <c r="V63" s="33">
        <v>1</v>
      </c>
      <c r="W63" s="33">
        <v>0</v>
      </c>
    </row>
    <row r="64" spans="1:23" x14ac:dyDescent="0.2">
      <c r="A64" s="56">
        <v>98037</v>
      </c>
      <c r="B64" s="62" t="s">
        <v>10</v>
      </c>
      <c r="C64" s="36">
        <v>21</v>
      </c>
      <c r="D64" s="36">
        <v>27</v>
      </c>
      <c r="E64" s="36">
        <v>25</v>
      </c>
      <c r="G64" s="81">
        <v>98055</v>
      </c>
      <c r="H64" s="62" t="s">
        <v>10</v>
      </c>
      <c r="I64" s="33">
        <v>15</v>
      </c>
      <c r="J64" s="33">
        <v>18</v>
      </c>
      <c r="K64" s="36">
        <v>12</v>
      </c>
      <c r="M64" s="81">
        <v>98038</v>
      </c>
      <c r="N64" s="62" t="s">
        <v>10</v>
      </c>
      <c r="O64" s="36">
        <v>79</v>
      </c>
      <c r="P64" s="36">
        <v>47</v>
      </c>
      <c r="Q64" s="36">
        <v>64</v>
      </c>
      <c r="S64" s="56">
        <v>98042</v>
      </c>
      <c r="T64" s="62" t="s">
        <v>10</v>
      </c>
      <c r="U64" s="36">
        <v>36</v>
      </c>
      <c r="V64" s="36">
        <v>55</v>
      </c>
      <c r="W64" s="36">
        <v>43</v>
      </c>
    </row>
    <row r="65" spans="1:23" x14ac:dyDescent="0.2">
      <c r="A65" s="81">
        <v>98038</v>
      </c>
      <c r="B65" s="62" t="s">
        <v>345</v>
      </c>
      <c r="C65" s="36">
        <v>3</v>
      </c>
      <c r="D65" s="36">
        <v>4</v>
      </c>
      <c r="E65" s="36">
        <v>4</v>
      </c>
      <c r="G65" s="56">
        <v>98056</v>
      </c>
      <c r="H65" s="62" t="s">
        <v>345</v>
      </c>
      <c r="I65" s="36">
        <v>0</v>
      </c>
      <c r="J65" s="36">
        <v>1</v>
      </c>
      <c r="K65" s="36">
        <v>0</v>
      </c>
      <c r="M65" s="56">
        <v>98040</v>
      </c>
      <c r="N65" s="62" t="s">
        <v>345</v>
      </c>
      <c r="O65" s="36">
        <v>0</v>
      </c>
      <c r="P65" s="36">
        <v>1</v>
      </c>
      <c r="Q65" s="36">
        <v>1</v>
      </c>
      <c r="S65" s="81">
        <v>98043</v>
      </c>
      <c r="T65" s="62" t="s">
        <v>10</v>
      </c>
      <c r="U65" s="36">
        <v>2</v>
      </c>
      <c r="V65" s="36">
        <v>4</v>
      </c>
      <c r="W65" s="33">
        <v>1</v>
      </c>
    </row>
    <row r="66" spans="1:23" x14ac:dyDescent="0.2">
      <c r="A66" s="56">
        <v>98038</v>
      </c>
      <c r="B66" s="62" t="s">
        <v>10</v>
      </c>
      <c r="C66" s="36">
        <v>104</v>
      </c>
      <c r="D66" s="36">
        <v>134</v>
      </c>
      <c r="E66" s="36">
        <v>102</v>
      </c>
      <c r="G66" s="81">
        <v>98056</v>
      </c>
      <c r="H66" s="62" t="s">
        <v>10</v>
      </c>
      <c r="I66" s="36">
        <v>11</v>
      </c>
      <c r="J66" s="36">
        <v>7</v>
      </c>
      <c r="K66" s="36">
        <v>13</v>
      </c>
      <c r="M66" s="81">
        <v>98040</v>
      </c>
      <c r="N66" s="62" t="s">
        <v>10</v>
      </c>
      <c r="O66" s="36">
        <v>12</v>
      </c>
      <c r="P66" s="33">
        <v>17</v>
      </c>
      <c r="Q66" s="33">
        <v>8</v>
      </c>
      <c r="S66" s="81">
        <v>98045</v>
      </c>
      <c r="T66" s="62" t="s">
        <v>10</v>
      </c>
      <c r="U66" s="36">
        <v>5</v>
      </c>
      <c r="V66" s="36">
        <v>7</v>
      </c>
      <c r="W66" s="36">
        <v>5</v>
      </c>
    </row>
    <row r="67" spans="1:23" x14ac:dyDescent="0.2">
      <c r="A67" s="81">
        <v>98039</v>
      </c>
      <c r="B67" s="62" t="s">
        <v>10</v>
      </c>
      <c r="C67" s="36">
        <v>1</v>
      </c>
      <c r="D67" s="36">
        <v>1</v>
      </c>
      <c r="E67" s="36">
        <v>0</v>
      </c>
      <c r="G67" s="81">
        <v>98057</v>
      </c>
      <c r="H67" s="62" t="s">
        <v>345</v>
      </c>
      <c r="I67" s="36">
        <v>1</v>
      </c>
      <c r="J67" s="33">
        <v>0</v>
      </c>
      <c r="K67" s="33">
        <v>0</v>
      </c>
      <c r="M67" s="81">
        <v>98042</v>
      </c>
      <c r="N67" s="62" t="s">
        <v>345</v>
      </c>
      <c r="O67" s="33">
        <v>1</v>
      </c>
      <c r="P67" s="36">
        <v>1</v>
      </c>
      <c r="Q67" s="33">
        <v>0</v>
      </c>
      <c r="S67" s="81">
        <v>98047</v>
      </c>
      <c r="T67" s="62" t="s">
        <v>345</v>
      </c>
      <c r="U67" s="33">
        <v>0</v>
      </c>
      <c r="V67" s="36">
        <v>1</v>
      </c>
      <c r="W67" s="36">
        <v>0</v>
      </c>
    </row>
    <row r="68" spans="1:23" x14ac:dyDescent="0.2">
      <c r="A68" s="81">
        <v>98040</v>
      </c>
      <c r="B68" s="62" t="s">
        <v>345</v>
      </c>
      <c r="C68" s="36">
        <v>2</v>
      </c>
      <c r="D68" s="36">
        <v>1</v>
      </c>
      <c r="E68" s="36">
        <v>2</v>
      </c>
      <c r="G68" s="81">
        <v>98057</v>
      </c>
      <c r="H68" s="62" t="s">
        <v>10</v>
      </c>
      <c r="I68" s="36">
        <v>6</v>
      </c>
      <c r="J68" s="33">
        <v>5</v>
      </c>
      <c r="K68" s="36">
        <v>4</v>
      </c>
      <c r="M68" s="56">
        <v>98042</v>
      </c>
      <c r="N68" s="62" t="s">
        <v>10</v>
      </c>
      <c r="O68" s="36">
        <v>135</v>
      </c>
      <c r="P68" s="36">
        <v>114</v>
      </c>
      <c r="Q68" s="36">
        <v>119</v>
      </c>
      <c r="S68" s="81">
        <v>98047</v>
      </c>
      <c r="T68" s="62" t="s">
        <v>10</v>
      </c>
      <c r="U68" s="36">
        <v>11</v>
      </c>
      <c r="V68" s="36">
        <v>14</v>
      </c>
      <c r="W68" s="36">
        <v>14</v>
      </c>
    </row>
    <row r="69" spans="1:23" x14ac:dyDescent="0.2">
      <c r="A69" s="56">
        <v>98040</v>
      </c>
      <c r="B69" s="62" t="s">
        <v>10</v>
      </c>
      <c r="C69" s="36">
        <v>12</v>
      </c>
      <c r="D69" s="36">
        <v>17</v>
      </c>
      <c r="E69" s="36">
        <v>20</v>
      </c>
      <c r="G69" s="81">
        <v>98058</v>
      </c>
      <c r="H69" s="62" t="s">
        <v>345</v>
      </c>
      <c r="I69" s="33">
        <v>0</v>
      </c>
      <c r="J69" s="36">
        <v>0</v>
      </c>
      <c r="K69" s="33">
        <v>1</v>
      </c>
      <c r="M69" s="81">
        <v>98043</v>
      </c>
      <c r="N69" s="62" t="s">
        <v>345</v>
      </c>
      <c r="O69" s="36">
        <v>0</v>
      </c>
      <c r="P69" s="36">
        <v>1</v>
      </c>
      <c r="Q69" s="36">
        <v>1</v>
      </c>
      <c r="S69" s="81">
        <v>98050</v>
      </c>
      <c r="T69" s="62" t="s">
        <v>10</v>
      </c>
      <c r="U69" s="36">
        <v>0</v>
      </c>
      <c r="V69" s="33">
        <v>1</v>
      </c>
      <c r="W69" s="33">
        <v>0</v>
      </c>
    </row>
    <row r="70" spans="1:23" x14ac:dyDescent="0.2">
      <c r="A70" s="81">
        <v>98042</v>
      </c>
      <c r="B70" s="62" t="s">
        <v>345</v>
      </c>
      <c r="C70" s="33">
        <v>2</v>
      </c>
      <c r="D70" s="36">
        <v>0</v>
      </c>
      <c r="E70" s="36">
        <v>1</v>
      </c>
      <c r="G70" s="56">
        <v>98058</v>
      </c>
      <c r="H70" s="62" t="s">
        <v>10</v>
      </c>
      <c r="I70" s="36">
        <v>13</v>
      </c>
      <c r="J70" s="33">
        <v>16</v>
      </c>
      <c r="K70" s="36">
        <v>21</v>
      </c>
      <c r="M70" s="56">
        <v>98043</v>
      </c>
      <c r="N70" s="62" t="s">
        <v>10</v>
      </c>
      <c r="O70" s="36">
        <v>6</v>
      </c>
      <c r="P70" s="36">
        <v>10</v>
      </c>
      <c r="Q70" s="36">
        <v>10</v>
      </c>
      <c r="S70" s="81">
        <v>98051</v>
      </c>
      <c r="T70" s="62" t="s">
        <v>10</v>
      </c>
      <c r="U70" s="33">
        <v>3</v>
      </c>
      <c r="V70" s="33">
        <v>4</v>
      </c>
      <c r="W70" s="36">
        <v>5</v>
      </c>
    </row>
    <row r="71" spans="1:23" x14ac:dyDescent="0.2">
      <c r="A71" s="56">
        <v>98042</v>
      </c>
      <c r="B71" s="62" t="s">
        <v>10</v>
      </c>
      <c r="C71" s="36">
        <v>234</v>
      </c>
      <c r="D71" s="36">
        <v>250</v>
      </c>
      <c r="E71" s="36">
        <v>212</v>
      </c>
      <c r="G71" s="81">
        <v>98059</v>
      </c>
      <c r="H71" s="62" t="s">
        <v>10</v>
      </c>
      <c r="I71" s="36">
        <v>11</v>
      </c>
      <c r="J71" s="36">
        <v>10</v>
      </c>
      <c r="K71" s="36">
        <v>9</v>
      </c>
      <c r="M71" s="81">
        <v>98045</v>
      </c>
      <c r="N71" s="62" t="s">
        <v>10</v>
      </c>
      <c r="O71" s="36">
        <v>18</v>
      </c>
      <c r="P71" s="36">
        <v>22</v>
      </c>
      <c r="Q71" s="36">
        <v>16</v>
      </c>
      <c r="S71" s="81">
        <v>98052</v>
      </c>
      <c r="T71" s="62" t="s">
        <v>345</v>
      </c>
      <c r="U71" s="33">
        <v>2</v>
      </c>
      <c r="V71" s="33">
        <v>1</v>
      </c>
      <c r="W71" s="36">
        <v>1</v>
      </c>
    </row>
    <row r="72" spans="1:23" x14ac:dyDescent="0.2">
      <c r="A72" s="81">
        <v>98043</v>
      </c>
      <c r="B72" s="62" t="s">
        <v>10</v>
      </c>
      <c r="C72" s="36">
        <v>16</v>
      </c>
      <c r="D72" s="36">
        <v>16</v>
      </c>
      <c r="E72" s="36">
        <v>16</v>
      </c>
      <c r="G72" s="81">
        <v>98065</v>
      </c>
      <c r="H72" s="62" t="s">
        <v>10</v>
      </c>
      <c r="I72" s="33">
        <v>1</v>
      </c>
      <c r="J72" s="36">
        <v>4</v>
      </c>
      <c r="K72" s="33">
        <v>1</v>
      </c>
      <c r="M72" s="81">
        <v>98047</v>
      </c>
      <c r="N72" s="62" t="s">
        <v>345</v>
      </c>
      <c r="O72" s="36">
        <v>0</v>
      </c>
      <c r="P72" s="36">
        <v>1</v>
      </c>
      <c r="Q72" s="36">
        <v>0</v>
      </c>
      <c r="S72" s="81">
        <v>98052</v>
      </c>
      <c r="T72" s="62" t="s">
        <v>10</v>
      </c>
      <c r="U72" s="33">
        <v>20</v>
      </c>
      <c r="V72" s="33">
        <v>21</v>
      </c>
      <c r="W72" s="36">
        <v>26</v>
      </c>
    </row>
    <row r="73" spans="1:23" x14ac:dyDescent="0.2">
      <c r="A73" s="81">
        <v>98045</v>
      </c>
      <c r="B73" s="62" t="s">
        <v>10</v>
      </c>
      <c r="C73" s="36">
        <v>29</v>
      </c>
      <c r="D73" s="36">
        <v>29</v>
      </c>
      <c r="E73" s="36">
        <v>28</v>
      </c>
      <c r="G73" s="81">
        <v>98070</v>
      </c>
      <c r="H73" s="62" t="s">
        <v>10</v>
      </c>
      <c r="I73" s="36">
        <v>1</v>
      </c>
      <c r="J73" s="36">
        <v>2</v>
      </c>
      <c r="K73" s="36">
        <v>1</v>
      </c>
      <c r="M73" s="81">
        <v>98047</v>
      </c>
      <c r="N73" s="62" t="s">
        <v>10</v>
      </c>
      <c r="O73" s="36">
        <v>34</v>
      </c>
      <c r="P73" s="36">
        <v>39</v>
      </c>
      <c r="Q73" s="36">
        <v>32</v>
      </c>
      <c r="S73" s="81">
        <v>98053</v>
      </c>
      <c r="T73" s="62" t="s">
        <v>10</v>
      </c>
      <c r="U73" s="33">
        <v>2</v>
      </c>
      <c r="V73" s="36">
        <v>3</v>
      </c>
      <c r="W73" s="36">
        <v>4</v>
      </c>
    </row>
    <row r="74" spans="1:23" x14ac:dyDescent="0.2">
      <c r="A74" s="56">
        <v>98047</v>
      </c>
      <c r="B74" s="62" t="s">
        <v>345</v>
      </c>
      <c r="C74" s="36">
        <v>1</v>
      </c>
      <c r="D74" s="36">
        <v>0</v>
      </c>
      <c r="E74" s="36">
        <v>0</v>
      </c>
      <c r="G74" s="81">
        <v>98072</v>
      </c>
      <c r="H74" s="62" t="s">
        <v>10</v>
      </c>
      <c r="I74" s="36">
        <v>3</v>
      </c>
      <c r="J74" s="36">
        <v>5</v>
      </c>
      <c r="K74" s="36">
        <v>4</v>
      </c>
      <c r="M74" s="56">
        <v>98050</v>
      </c>
      <c r="N74" s="62" t="s">
        <v>10</v>
      </c>
      <c r="O74" s="36">
        <v>0</v>
      </c>
      <c r="P74" s="36">
        <v>1</v>
      </c>
      <c r="Q74" s="36">
        <v>1</v>
      </c>
      <c r="S74" s="81">
        <v>98055</v>
      </c>
      <c r="T74" s="62" t="s">
        <v>10</v>
      </c>
      <c r="U74" s="33">
        <v>30</v>
      </c>
      <c r="V74" s="33">
        <v>36</v>
      </c>
      <c r="W74" s="36">
        <v>28</v>
      </c>
    </row>
    <row r="75" spans="1:23" x14ac:dyDescent="0.2">
      <c r="A75" s="81">
        <v>98047</v>
      </c>
      <c r="B75" s="62" t="s">
        <v>10</v>
      </c>
      <c r="C75" s="33">
        <v>55</v>
      </c>
      <c r="D75" s="36">
        <v>56</v>
      </c>
      <c r="E75" s="36">
        <v>48</v>
      </c>
      <c r="G75" s="81">
        <v>98074</v>
      </c>
      <c r="H75" s="62" t="s">
        <v>10</v>
      </c>
      <c r="I75" s="36">
        <v>1</v>
      </c>
      <c r="J75" s="36">
        <v>1</v>
      </c>
      <c r="K75" s="36">
        <v>3</v>
      </c>
      <c r="M75" s="81">
        <v>98051</v>
      </c>
      <c r="N75" s="62" t="s">
        <v>10</v>
      </c>
      <c r="O75" s="36">
        <v>13</v>
      </c>
      <c r="P75" s="33">
        <v>8</v>
      </c>
      <c r="Q75" s="36">
        <v>9</v>
      </c>
      <c r="S75" s="81">
        <v>98056</v>
      </c>
      <c r="T75" s="62" t="s">
        <v>10</v>
      </c>
      <c r="U75" s="33">
        <v>36</v>
      </c>
      <c r="V75" s="33">
        <v>31</v>
      </c>
      <c r="W75" s="36">
        <v>32</v>
      </c>
    </row>
    <row r="76" spans="1:23" x14ac:dyDescent="0.2">
      <c r="A76" s="56">
        <v>98050</v>
      </c>
      <c r="B76" s="62" t="s">
        <v>10</v>
      </c>
      <c r="C76" s="36">
        <v>0</v>
      </c>
      <c r="D76" s="36">
        <v>1</v>
      </c>
      <c r="E76" s="36">
        <v>1</v>
      </c>
      <c r="G76" s="81">
        <v>98075</v>
      </c>
      <c r="H76" s="62" t="s">
        <v>10</v>
      </c>
      <c r="I76" s="33">
        <v>0</v>
      </c>
      <c r="J76" s="36">
        <v>1</v>
      </c>
      <c r="K76" s="33">
        <v>1</v>
      </c>
      <c r="M76" s="81">
        <v>98052</v>
      </c>
      <c r="N76" s="62" t="s">
        <v>345</v>
      </c>
      <c r="O76" s="33">
        <v>3</v>
      </c>
      <c r="P76" s="36">
        <v>7</v>
      </c>
      <c r="Q76" s="33">
        <v>6</v>
      </c>
      <c r="S76" s="81">
        <v>98057</v>
      </c>
      <c r="T76" s="62" t="s">
        <v>345</v>
      </c>
      <c r="U76" s="33">
        <v>2</v>
      </c>
      <c r="V76" s="36">
        <v>1</v>
      </c>
      <c r="W76" s="33">
        <v>3</v>
      </c>
    </row>
    <row r="77" spans="1:23" x14ac:dyDescent="0.2">
      <c r="A77" s="81">
        <v>98051</v>
      </c>
      <c r="B77" s="62" t="s">
        <v>345</v>
      </c>
      <c r="C77" s="36">
        <v>1</v>
      </c>
      <c r="D77" s="36">
        <v>0</v>
      </c>
      <c r="E77" s="36">
        <v>0</v>
      </c>
      <c r="G77" s="81">
        <v>98077</v>
      </c>
      <c r="H77" s="62" t="s">
        <v>10</v>
      </c>
      <c r="I77" s="33">
        <v>5</v>
      </c>
      <c r="J77" s="36">
        <v>4</v>
      </c>
      <c r="K77" s="36">
        <v>2</v>
      </c>
      <c r="M77" s="56">
        <v>98052</v>
      </c>
      <c r="N77" s="62" t="s">
        <v>10</v>
      </c>
      <c r="O77" s="36">
        <v>93</v>
      </c>
      <c r="P77" s="36">
        <v>66</v>
      </c>
      <c r="Q77" s="36">
        <v>74</v>
      </c>
      <c r="S77" s="81">
        <v>98057</v>
      </c>
      <c r="T77" s="62" t="s">
        <v>10</v>
      </c>
      <c r="U77" s="33">
        <v>15</v>
      </c>
      <c r="V77" s="36">
        <v>22</v>
      </c>
      <c r="W77" s="33">
        <v>11</v>
      </c>
    </row>
    <row r="78" spans="1:23" x14ac:dyDescent="0.2">
      <c r="A78" s="81">
        <v>98051</v>
      </c>
      <c r="B78" s="62" t="s">
        <v>10</v>
      </c>
      <c r="C78" s="36">
        <v>21</v>
      </c>
      <c r="D78" s="36">
        <v>23</v>
      </c>
      <c r="E78" s="36">
        <v>21</v>
      </c>
      <c r="G78" s="81">
        <v>98087</v>
      </c>
      <c r="H78" s="62" t="s">
        <v>10</v>
      </c>
      <c r="I78" s="33">
        <v>0</v>
      </c>
      <c r="J78" s="36">
        <v>1</v>
      </c>
      <c r="K78" s="33">
        <v>3</v>
      </c>
      <c r="M78" s="81">
        <v>98053</v>
      </c>
      <c r="N78" s="62" t="s">
        <v>10</v>
      </c>
      <c r="O78" s="36">
        <v>10</v>
      </c>
      <c r="P78" s="36">
        <v>16</v>
      </c>
      <c r="Q78" s="36">
        <v>10</v>
      </c>
      <c r="S78" s="56">
        <v>98058</v>
      </c>
      <c r="T78" s="62" t="s">
        <v>345</v>
      </c>
      <c r="U78" s="33">
        <v>0</v>
      </c>
      <c r="V78" s="36">
        <v>1</v>
      </c>
      <c r="W78" s="36">
        <v>1</v>
      </c>
    </row>
    <row r="79" spans="1:23" x14ac:dyDescent="0.2">
      <c r="A79" s="81">
        <v>98052</v>
      </c>
      <c r="B79" s="62" t="s">
        <v>345</v>
      </c>
      <c r="C79" s="36">
        <v>5</v>
      </c>
      <c r="D79" s="36">
        <v>7</v>
      </c>
      <c r="E79" s="36">
        <v>9</v>
      </c>
      <c r="G79" s="81">
        <v>98092</v>
      </c>
      <c r="H79" s="62" t="s">
        <v>10</v>
      </c>
      <c r="I79" s="33">
        <v>10</v>
      </c>
      <c r="J79" s="36">
        <v>24</v>
      </c>
      <c r="K79" s="33">
        <v>22</v>
      </c>
      <c r="M79" s="56">
        <v>98055</v>
      </c>
      <c r="N79" s="62" t="s">
        <v>345</v>
      </c>
      <c r="O79" s="36">
        <v>0</v>
      </c>
      <c r="P79" s="36">
        <v>0</v>
      </c>
      <c r="Q79" s="36">
        <v>1</v>
      </c>
      <c r="S79" s="81">
        <v>98058</v>
      </c>
      <c r="T79" s="62" t="s">
        <v>10</v>
      </c>
      <c r="U79" s="33">
        <v>34</v>
      </c>
      <c r="V79" s="36">
        <v>53</v>
      </c>
      <c r="W79" s="33">
        <v>46</v>
      </c>
    </row>
    <row r="80" spans="1:23" x14ac:dyDescent="0.2">
      <c r="A80" s="56">
        <v>98052</v>
      </c>
      <c r="B80" s="62" t="s">
        <v>10</v>
      </c>
      <c r="C80" s="36">
        <v>116</v>
      </c>
      <c r="D80" s="36">
        <v>148</v>
      </c>
      <c r="E80" s="36">
        <v>116</v>
      </c>
      <c r="G80" s="56">
        <v>98102</v>
      </c>
      <c r="H80" s="62" t="s">
        <v>10</v>
      </c>
      <c r="I80" s="33">
        <v>1</v>
      </c>
      <c r="J80" s="36">
        <v>1</v>
      </c>
      <c r="K80" s="36">
        <v>0</v>
      </c>
      <c r="M80" s="81">
        <v>98055</v>
      </c>
      <c r="N80" s="62" t="s">
        <v>10</v>
      </c>
      <c r="O80" s="36">
        <v>103</v>
      </c>
      <c r="P80" s="33">
        <v>117</v>
      </c>
      <c r="Q80" s="33">
        <v>100</v>
      </c>
      <c r="S80" s="81">
        <v>98059</v>
      </c>
      <c r="T80" s="62" t="s">
        <v>345</v>
      </c>
      <c r="U80" s="36">
        <v>1</v>
      </c>
      <c r="V80" s="36">
        <v>0</v>
      </c>
      <c r="W80" s="33">
        <v>0</v>
      </c>
    </row>
    <row r="81" spans="1:23" x14ac:dyDescent="0.2">
      <c r="A81" s="81">
        <v>98053</v>
      </c>
      <c r="B81" s="62" t="s">
        <v>10</v>
      </c>
      <c r="C81" s="36">
        <v>24</v>
      </c>
      <c r="D81" s="36">
        <v>22</v>
      </c>
      <c r="E81" s="36">
        <v>23</v>
      </c>
      <c r="G81" s="81">
        <v>98103</v>
      </c>
      <c r="H81" s="62" t="s">
        <v>10</v>
      </c>
      <c r="I81" s="36">
        <v>0</v>
      </c>
      <c r="J81" s="33">
        <v>1</v>
      </c>
      <c r="K81" s="36">
        <v>1</v>
      </c>
      <c r="M81" s="56">
        <v>98056</v>
      </c>
      <c r="N81" s="62" t="s">
        <v>345</v>
      </c>
      <c r="O81" s="36">
        <v>1</v>
      </c>
      <c r="P81" s="36">
        <v>0</v>
      </c>
      <c r="Q81" s="36">
        <v>0</v>
      </c>
      <c r="S81" s="81">
        <v>98059</v>
      </c>
      <c r="T81" s="62" t="s">
        <v>10</v>
      </c>
      <c r="U81" s="36">
        <v>20</v>
      </c>
      <c r="V81" s="33">
        <v>29</v>
      </c>
      <c r="W81" s="33">
        <v>24</v>
      </c>
    </row>
    <row r="82" spans="1:23" x14ac:dyDescent="0.2">
      <c r="A82" s="56">
        <v>98055</v>
      </c>
      <c r="B82" s="62" t="s">
        <v>10</v>
      </c>
      <c r="C82" s="36">
        <v>158</v>
      </c>
      <c r="D82" s="36">
        <v>172</v>
      </c>
      <c r="E82" s="36">
        <v>157</v>
      </c>
      <c r="G82" s="81">
        <v>98104</v>
      </c>
      <c r="H82" s="62" t="s">
        <v>345</v>
      </c>
      <c r="I82" s="33">
        <v>0</v>
      </c>
      <c r="J82" s="36">
        <v>1</v>
      </c>
      <c r="K82" s="33">
        <v>0</v>
      </c>
      <c r="M82" s="81">
        <v>98056</v>
      </c>
      <c r="N82" s="62" t="s">
        <v>10</v>
      </c>
      <c r="O82" s="36">
        <v>125</v>
      </c>
      <c r="P82" s="36">
        <v>107</v>
      </c>
      <c r="Q82" s="36">
        <v>95</v>
      </c>
      <c r="S82" s="81">
        <v>98065</v>
      </c>
      <c r="T82" s="62" t="s">
        <v>10</v>
      </c>
      <c r="U82" s="36">
        <v>3</v>
      </c>
      <c r="V82" s="33">
        <v>7</v>
      </c>
      <c r="W82" s="36">
        <v>4</v>
      </c>
    </row>
    <row r="83" spans="1:23" x14ac:dyDescent="0.2">
      <c r="A83" s="81">
        <v>98056</v>
      </c>
      <c r="B83" s="62" t="s">
        <v>345</v>
      </c>
      <c r="C83" s="36">
        <v>2</v>
      </c>
      <c r="D83" s="36">
        <v>3</v>
      </c>
      <c r="E83" s="36">
        <v>2</v>
      </c>
      <c r="G83" s="81">
        <v>98105</v>
      </c>
      <c r="H83" s="62" t="s">
        <v>10</v>
      </c>
      <c r="I83" s="36">
        <v>1</v>
      </c>
      <c r="J83" s="33">
        <v>0</v>
      </c>
      <c r="K83" s="36">
        <v>3</v>
      </c>
      <c r="M83" s="81">
        <v>98057</v>
      </c>
      <c r="N83" s="62" t="s">
        <v>345</v>
      </c>
      <c r="O83" s="33">
        <v>3</v>
      </c>
      <c r="P83" s="36">
        <v>4</v>
      </c>
      <c r="Q83" s="36">
        <v>6</v>
      </c>
      <c r="S83" s="81">
        <v>98070</v>
      </c>
      <c r="T83" s="62" t="s">
        <v>345</v>
      </c>
      <c r="U83" s="33">
        <v>1</v>
      </c>
      <c r="V83" s="36">
        <v>0</v>
      </c>
      <c r="W83" s="36">
        <v>2</v>
      </c>
    </row>
    <row r="84" spans="1:23" x14ac:dyDescent="0.2">
      <c r="A84" s="56">
        <v>98056</v>
      </c>
      <c r="B84" s="62" t="s">
        <v>10</v>
      </c>
      <c r="C84" s="36">
        <v>140</v>
      </c>
      <c r="D84" s="36">
        <v>167</v>
      </c>
      <c r="E84" s="36">
        <v>146</v>
      </c>
      <c r="G84" s="81">
        <v>98106</v>
      </c>
      <c r="H84" s="62" t="s">
        <v>10</v>
      </c>
      <c r="I84" s="33">
        <v>2</v>
      </c>
      <c r="J84" s="33">
        <v>1</v>
      </c>
      <c r="K84" s="36">
        <v>0</v>
      </c>
      <c r="M84" s="56">
        <v>98057</v>
      </c>
      <c r="N84" s="62" t="s">
        <v>10</v>
      </c>
      <c r="O84" s="36">
        <v>62</v>
      </c>
      <c r="P84" s="36">
        <v>49</v>
      </c>
      <c r="Q84" s="36">
        <v>52</v>
      </c>
      <c r="S84" s="81">
        <v>98070</v>
      </c>
      <c r="T84" s="62" t="s">
        <v>10</v>
      </c>
      <c r="U84" s="33">
        <v>5</v>
      </c>
      <c r="V84" s="36">
        <v>9</v>
      </c>
      <c r="W84" s="33">
        <v>2</v>
      </c>
    </row>
    <row r="85" spans="1:23" x14ac:dyDescent="0.2">
      <c r="A85" s="81">
        <v>98057</v>
      </c>
      <c r="B85" s="62" t="s">
        <v>345</v>
      </c>
      <c r="C85" s="36">
        <v>10</v>
      </c>
      <c r="D85" s="36">
        <v>9</v>
      </c>
      <c r="E85" s="36">
        <v>8</v>
      </c>
      <c r="G85" s="81">
        <v>98107</v>
      </c>
      <c r="H85" s="62" t="s">
        <v>10</v>
      </c>
      <c r="I85" s="36">
        <v>1</v>
      </c>
      <c r="J85" s="36">
        <v>0</v>
      </c>
      <c r="K85" s="33">
        <v>1</v>
      </c>
      <c r="M85" s="81">
        <v>98058</v>
      </c>
      <c r="N85" s="62" t="s">
        <v>345</v>
      </c>
      <c r="O85" s="36">
        <v>0</v>
      </c>
      <c r="P85" s="36">
        <v>1</v>
      </c>
      <c r="Q85" s="36">
        <v>1</v>
      </c>
      <c r="S85" s="81">
        <v>98072</v>
      </c>
      <c r="T85" s="62" t="s">
        <v>345</v>
      </c>
      <c r="U85" s="36">
        <v>4</v>
      </c>
      <c r="V85" s="36">
        <v>1</v>
      </c>
      <c r="W85" s="33">
        <v>3</v>
      </c>
    </row>
    <row r="86" spans="1:23" x14ac:dyDescent="0.2">
      <c r="A86" s="81">
        <v>98057</v>
      </c>
      <c r="B86" s="62" t="s">
        <v>10</v>
      </c>
      <c r="C86" s="36">
        <v>74</v>
      </c>
      <c r="D86" s="36">
        <v>87</v>
      </c>
      <c r="E86" s="36">
        <v>70</v>
      </c>
      <c r="G86" s="81">
        <v>98108</v>
      </c>
      <c r="H86" s="62" t="s">
        <v>10</v>
      </c>
      <c r="I86" s="36">
        <v>0</v>
      </c>
      <c r="J86" s="36">
        <v>0</v>
      </c>
      <c r="K86" s="36">
        <v>3</v>
      </c>
      <c r="M86" s="56">
        <v>98058</v>
      </c>
      <c r="N86" s="62" t="s">
        <v>10</v>
      </c>
      <c r="O86" s="36">
        <v>128</v>
      </c>
      <c r="P86" s="36">
        <v>134</v>
      </c>
      <c r="Q86" s="36">
        <v>119</v>
      </c>
      <c r="S86" s="81">
        <v>98072</v>
      </c>
      <c r="T86" s="62" t="s">
        <v>10</v>
      </c>
      <c r="U86" s="33">
        <v>3</v>
      </c>
      <c r="V86" s="36">
        <v>5</v>
      </c>
      <c r="W86" s="33">
        <v>7</v>
      </c>
    </row>
    <row r="87" spans="1:23" x14ac:dyDescent="0.2">
      <c r="A87" s="81">
        <v>98058</v>
      </c>
      <c r="B87" s="62" t="s">
        <v>345</v>
      </c>
      <c r="C87" s="36">
        <v>2</v>
      </c>
      <c r="D87" s="36">
        <v>1</v>
      </c>
      <c r="E87" s="36">
        <v>1</v>
      </c>
      <c r="G87" s="81">
        <v>98109</v>
      </c>
      <c r="H87" s="62" t="s">
        <v>345</v>
      </c>
      <c r="I87" s="33">
        <v>1</v>
      </c>
      <c r="J87" s="36">
        <v>0</v>
      </c>
      <c r="K87" s="36">
        <v>0</v>
      </c>
      <c r="M87" s="81">
        <v>98059</v>
      </c>
      <c r="N87" s="62" t="s">
        <v>345</v>
      </c>
      <c r="O87" s="33">
        <v>3</v>
      </c>
      <c r="P87" s="36">
        <v>1</v>
      </c>
      <c r="Q87" s="33">
        <v>0</v>
      </c>
      <c r="S87" s="81">
        <v>98074</v>
      </c>
      <c r="T87" s="62" t="s">
        <v>10</v>
      </c>
      <c r="U87" s="33">
        <v>2</v>
      </c>
      <c r="V87" s="36">
        <v>6</v>
      </c>
      <c r="W87" s="36">
        <v>3</v>
      </c>
    </row>
    <row r="88" spans="1:23" x14ac:dyDescent="0.2">
      <c r="A88" s="56">
        <v>98058</v>
      </c>
      <c r="B88" s="62" t="s">
        <v>10</v>
      </c>
      <c r="C88" s="36">
        <v>203</v>
      </c>
      <c r="D88" s="36">
        <v>223</v>
      </c>
      <c r="E88" s="36">
        <v>205</v>
      </c>
      <c r="G88" s="81">
        <v>98109</v>
      </c>
      <c r="H88" s="62" t="s">
        <v>10</v>
      </c>
      <c r="I88" s="36">
        <v>0</v>
      </c>
      <c r="J88" s="36">
        <v>1</v>
      </c>
      <c r="K88" s="36">
        <v>0</v>
      </c>
      <c r="M88" s="56">
        <v>98059</v>
      </c>
      <c r="N88" s="62" t="s">
        <v>10</v>
      </c>
      <c r="O88" s="36">
        <v>68</v>
      </c>
      <c r="P88" s="36">
        <v>79</v>
      </c>
      <c r="Q88" s="36">
        <v>66</v>
      </c>
      <c r="S88" s="81">
        <v>98075</v>
      </c>
      <c r="T88" s="62" t="s">
        <v>10</v>
      </c>
      <c r="U88" s="36">
        <v>1</v>
      </c>
      <c r="V88" s="36">
        <v>5</v>
      </c>
      <c r="W88" s="36">
        <v>4</v>
      </c>
    </row>
    <row r="89" spans="1:23" x14ac:dyDescent="0.2">
      <c r="A89" s="81">
        <v>98059</v>
      </c>
      <c r="B89" s="62" t="s">
        <v>345</v>
      </c>
      <c r="C89" s="36">
        <v>2</v>
      </c>
      <c r="D89" s="36">
        <v>4</v>
      </c>
      <c r="E89" s="36">
        <v>2</v>
      </c>
      <c r="G89" s="81">
        <v>98110</v>
      </c>
      <c r="H89" s="62" t="s">
        <v>10</v>
      </c>
      <c r="I89" s="36">
        <v>4</v>
      </c>
      <c r="J89" s="36">
        <v>6</v>
      </c>
      <c r="K89" s="36">
        <v>5</v>
      </c>
      <c r="M89" s="81">
        <v>98065</v>
      </c>
      <c r="N89" s="62" t="s">
        <v>345</v>
      </c>
      <c r="O89" s="36">
        <v>1</v>
      </c>
      <c r="P89" s="36">
        <v>0</v>
      </c>
      <c r="Q89" s="36">
        <v>1</v>
      </c>
      <c r="S89" s="81">
        <v>98077</v>
      </c>
      <c r="T89" s="62" t="s">
        <v>10</v>
      </c>
      <c r="U89" s="33">
        <v>4</v>
      </c>
      <c r="V89" s="33">
        <v>1</v>
      </c>
      <c r="W89" s="36">
        <v>1</v>
      </c>
    </row>
    <row r="90" spans="1:23" x14ac:dyDescent="0.2">
      <c r="A90" s="56">
        <v>98059</v>
      </c>
      <c r="B90" s="62" t="s">
        <v>10</v>
      </c>
      <c r="C90" s="36">
        <v>102</v>
      </c>
      <c r="D90" s="36">
        <v>101</v>
      </c>
      <c r="E90" s="36">
        <v>102</v>
      </c>
      <c r="G90" s="81">
        <v>98112</v>
      </c>
      <c r="H90" s="62" t="s">
        <v>10</v>
      </c>
      <c r="I90" s="36">
        <v>2</v>
      </c>
      <c r="J90" s="36">
        <v>0</v>
      </c>
      <c r="K90" s="36">
        <v>0</v>
      </c>
      <c r="M90" s="56">
        <v>98065</v>
      </c>
      <c r="N90" s="62" t="s">
        <v>10</v>
      </c>
      <c r="O90" s="36">
        <v>17</v>
      </c>
      <c r="P90" s="36">
        <v>24</v>
      </c>
      <c r="Q90" s="36">
        <v>21</v>
      </c>
      <c r="S90" s="81">
        <v>98087</v>
      </c>
      <c r="T90" s="62" t="s">
        <v>10</v>
      </c>
      <c r="U90" s="36">
        <v>5</v>
      </c>
      <c r="V90" s="33">
        <v>5</v>
      </c>
      <c r="W90" s="36">
        <v>2</v>
      </c>
    </row>
    <row r="91" spans="1:23" x14ac:dyDescent="0.2">
      <c r="A91" s="81">
        <v>98065</v>
      </c>
      <c r="B91" s="62" t="s">
        <v>345</v>
      </c>
      <c r="C91" s="36">
        <v>0</v>
      </c>
      <c r="D91" s="36">
        <v>1</v>
      </c>
      <c r="E91" s="36">
        <v>0</v>
      </c>
      <c r="G91" s="81">
        <v>98115</v>
      </c>
      <c r="H91" s="62" t="s">
        <v>345</v>
      </c>
      <c r="I91" s="33">
        <v>0</v>
      </c>
      <c r="J91" s="36">
        <v>0</v>
      </c>
      <c r="K91" s="36">
        <v>1</v>
      </c>
      <c r="M91" s="81">
        <v>98068</v>
      </c>
      <c r="N91" s="62" t="s">
        <v>10</v>
      </c>
      <c r="O91" s="33">
        <v>0</v>
      </c>
      <c r="P91" s="36">
        <v>2</v>
      </c>
      <c r="Q91" s="36">
        <v>0</v>
      </c>
      <c r="S91" s="81">
        <v>98092</v>
      </c>
      <c r="T91" s="62" t="s">
        <v>345</v>
      </c>
      <c r="U91" s="36">
        <v>2</v>
      </c>
      <c r="V91" s="36">
        <v>1</v>
      </c>
      <c r="W91" s="36">
        <v>0</v>
      </c>
    </row>
    <row r="92" spans="1:23" x14ac:dyDescent="0.2">
      <c r="A92" s="81">
        <v>98065</v>
      </c>
      <c r="B92" s="62" t="s">
        <v>10</v>
      </c>
      <c r="C92" s="36">
        <v>29</v>
      </c>
      <c r="D92" s="36">
        <v>34</v>
      </c>
      <c r="E92" s="36">
        <v>37</v>
      </c>
      <c r="G92" s="81">
        <v>98115</v>
      </c>
      <c r="H92" s="62" t="s">
        <v>10</v>
      </c>
      <c r="I92" s="36">
        <v>1</v>
      </c>
      <c r="J92" s="33">
        <v>0</v>
      </c>
      <c r="K92" s="33">
        <v>2</v>
      </c>
      <c r="M92" s="56">
        <v>98070</v>
      </c>
      <c r="N92" s="62" t="s">
        <v>345</v>
      </c>
      <c r="O92" s="36">
        <v>1</v>
      </c>
      <c r="P92" s="36">
        <v>1</v>
      </c>
      <c r="Q92" s="36">
        <v>5</v>
      </c>
      <c r="S92" s="81">
        <v>98092</v>
      </c>
      <c r="T92" s="62" t="s">
        <v>10</v>
      </c>
      <c r="U92" s="36">
        <v>49</v>
      </c>
      <c r="V92" s="36">
        <v>50</v>
      </c>
      <c r="W92" s="36">
        <v>52</v>
      </c>
    </row>
    <row r="93" spans="1:23" x14ac:dyDescent="0.2">
      <c r="A93" s="81">
        <v>98068</v>
      </c>
      <c r="B93" s="62" t="s">
        <v>10</v>
      </c>
      <c r="C93" s="36">
        <v>3</v>
      </c>
      <c r="D93" s="36">
        <v>2</v>
      </c>
      <c r="E93" s="36">
        <v>2</v>
      </c>
      <c r="G93" s="81">
        <v>98116</v>
      </c>
      <c r="H93" s="62" t="s">
        <v>10</v>
      </c>
      <c r="I93" s="36">
        <v>0</v>
      </c>
      <c r="J93" s="33">
        <v>1</v>
      </c>
      <c r="K93" s="33">
        <v>0</v>
      </c>
      <c r="M93" s="81">
        <v>98070</v>
      </c>
      <c r="N93" s="62" t="s">
        <v>10</v>
      </c>
      <c r="O93" s="36">
        <v>19</v>
      </c>
      <c r="P93" s="36">
        <v>14</v>
      </c>
      <c r="Q93" s="36">
        <v>11</v>
      </c>
      <c r="S93" s="81">
        <v>98102</v>
      </c>
      <c r="T93" s="62" t="s">
        <v>10</v>
      </c>
      <c r="U93" s="36">
        <v>1</v>
      </c>
      <c r="V93" s="33">
        <v>0</v>
      </c>
      <c r="W93" s="33">
        <v>0</v>
      </c>
    </row>
    <row r="94" spans="1:23" x14ac:dyDescent="0.2">
      <c r="A94" s="81">
        <v>98070</v>
      </c>
      <c r="B94" s="62" t="s">
        <v>345</v>
      </c>
      <c r="C94" s="36">
        <v>10</v>
      </c>
      <c r="D94" s="36">
        <v>11</v>
      </c>
      <c r="E94" s="36">
        <v>6</v>
      </c>
      <c r="G94" s="56">
        <v>98117</v>
      </c>
      <c r="H94" s="62" t="s">
        <v>10</v>
      </c>
      <c r="I94" s="36">
        <v>0</v>
      </c>
      <c r="J94" s="36">
        <v>1</v>
      </c>
      <c r="K94" s="36">
        <v>1</v>
      </c>
      <c r="M94" s="81">
        <v>98072</v>
      </c>
      <c r="N94" s="62" t="s">
        <v>345</v>
      </c>
      <c r="O94" s="33">
        <v>7</v>
      </c>
      <c r="P94" s="36">
        <v>2</v>
      </c>
      <c r="Q94" s="36">
        <v>7</v>
      </c>
      <c r="S94" s="81">
        <v>98103</v>
      </c>
      <c r="T94" s="62" t="s">
        <v>10</v>
      </c>
      <c r="U94" s="36">
        <v>0</v>
      </c>
      <c r="V94" s="33">
        <v>3</v>
      </c>
      <c r="W94" s="36">
        <v>2</v>
      </c>
    </row>
    <row r="95" spans="1:23" x14ac:dyDescent="0.2">
      <c r="A95" s="56">
        <v>98070</v>
      </c>
      <c r="B95" s="62" t="s">
        <v>10</v>
      </c>
      <c r="C95" s="36">
        <v>25</v>
      </c>
      <c r="D95" s="36">
        <v>27</v>
      </c>
      <c r="E95" s="36">
        <v>20</v>
      </c>
      <c r="G95" s="81">
        <v>98118</v>
      </c>
      <c r="H95" s="62" t="s">
        <v>345</v>
      </c>
      <c r="I95" s="33">
        <v>0</v>
      </c>
      <c r="J95" s="36">
        <v>0</v>
      </c>
      <c r="K95" s="33">
        <v>1</v>
      </c>
      <c r="M95" s="56">
        <v>98072</v>
      </c>
      <c r="N95" s="62" t="s">
        <v>10</v>
      </c>
      <c r="O95" s="36">
        <v>21</v>
      </c>
      <c r="P95" s="36">
        <v>17</v>
      </c>
      <c r="Q95" s="36">
        <v>22</v>
      </c>
      <c r="S95" s="81">
        <v>98105</v>
      </c>
      <c r="T95" s="62" t="s">
        <v>10</v>
      </c>
      <c r="U95" s="36">
        <v>0</v>
      </c>
      <c r="V95" s="36">
        <v>0</v>
      </c>
      <c r="W95" s="36">
        <v>1</v>
      </c>
    </row>
    <row r="96" spans="1:23" x14ac:dyDescent="0.2">
      <c r="A96" s="81">
        <v>98072</v>
      </c>
      <c r="B96" s="62" t="s">
        <v>345</v>
      </c>
      <c r="C96" s="36">
        <v>2</v>
      </c>
      <c r="D96" s="36">
        <v>8</v>
      </c>
      <c r="E96" s="36">
        <v>5</v>
      </c>
      <c r="G96" s="81">
        <v>98118</v>
      </c>
      <c r="H96" s="62" t="s">
        <v>10</v>
      </c>
      <c r="I96" s="36">
        <v>1</v>
      </c>
      <c r="J96" s="33">
        <v>2</v>
      </c>
      <c r="K96" s="36">
        <v>2</v>
      </c>
      <c r="M96" s="81">
        <v>98074</v>
      </c>
      <c r="N96" s="62" t="s">
        <v>345</v>
      </c>
      <c r="O96" s="36">
        <v>1</v>
      </c>
      <c r="P96" s="36">
        <v>0</v>
      </c>
      <c r="Q96" s="33">
        <v>0</v>
      </c>
      <c r="S96" s="81">
        <v>98106</v>
      </c>
      <c r="T96" s="62" t="s">
        <v>345</v>
      </c>
      <c r="U96" s="33">
        <v>0</v>
      </c>
      <c r="V96" s="33">
        <v>0</v>
      </c>
      <c r="W96" s="36">
        <v>1</v>
      </c>
    </row>
    <row r="97" spans="1:23" x14ac:dyDescent="0.2">
      <c r="A97" s="56">
        <v>98072</v>
      </c>
      <c r="B97" s="62" t="s">
        <v>10</v>
      </c>
      <c r="C97" s="36">
        <v>42</v>
      </c>
      <c r="D97" s="36">
        <v>41</v>
      </c>
      <c r="E97" s="36">
        <v>40</v>
      </c>
      <c r="G97" s="81">
        <v>98119</v>
      </c>
      <c r="H97" s="62" t="s">
        <v>10</v>
      </c>
      <c r="I97" s="36">
        <v>1</v>
      </c>
      <c r="J97" s="33">
        <v>2</v>
      </c>
      <c r="K97" s="33">
        <v>0</v>
      </c>
      <c r="M97" s="56">
        <v>98074</v>
      </c>
      <c r="N97" s="62" t="s">
        <v>10</v>
      </c>
      <c r="O97" s="36">
        <v>6</v>
      </c>
      <c r="P97" s="36">
        <v>21</v>
      </c>
      <c r="Q97" s="36">
        <v>11</v>
      </c>
      <c r="S97" s="56">
        <v>98106</v>
      </c>
      <c r="T97" s="62" t="s">
        <v>10</v>
      </c>
      <c r="U97" s="33">
        <v>2</v>
      </c>
      <c r="V97" s="36">
        <v>3</v>
      </c>
      <c r="W97" s="36">
        <v>2</v>
      </c>
    </row>
    <row r="98" spans="1:23" x14ac:dyDescent="0.2">
      <c r="A98" s="81">
        <v>98074</v>
      </c>
      <c r="B98" s="62" t="s">
        <v>10</v>
      </c>
      <c r="C98" s="36">
        <v>30</v>
      </c>
      <c r="D98" s="36">
        <v>26</v>
      </c>
      <c r="E98" s="36">
        <v>28</v>
      </c>
      <c r="G98" s="56">
        <v>98122</v>
      </c>
      <c r="H98" s="62" t="s">
        <v>10</v>
      </c>
      <c r="I98" s="36">
        <v>1</v>
      </c>
      <c r="J98" s="36">
        <v>0</v>
      </c>
      <c r="K98" s="36">
        <v>2</v>
      </c>
      <c r="M98" s="81">
        <v>98075</v>
      </c>
      <c r="N98" s="62" t="s">
        <v>345</v>
      </c>
      <c r="O98" s="36">
        <v>1</v>
      </c>
      <c r="P98" s="36">
        <v>0</v>
      </c>
      <c r="Q98" s="36">
        <v>0</v>
      </c>
      <c r="S98" s="81">
        <v>98107</v>
      </c>
      <c r="T98" s="62" t="s">
        <v>10</v>
      </c>
      <c r="U98" s="33">
        <v>1</v>
      </c>
      <c r="V98" s="36">
        <v>0</v>
      </c>
      <c r="W98" s="33">
        <v>1</v>
      </c>
    </row>
    <row r="99" spans="1:23" x14ac:dyDescent="0.2">
      <c r="A99" s="81">
        <v>98075</v>
      </c>
      <c r="B99" s="62" t="s">
        <v>10</v>
      </c>
      <c r="C99" s="36">
        <v>11</v>
      </c>
      <c r="D99" s="36">
        <v>14</v>
      </c>
      <c r="E99" s="33">
        <v>16</v>
      </c>
      <c r="G99" s="81">
        <v>98125</v>
      </c>
      <c r="H99" s="62" t="s">
        <v>10</v>
      </c>
      <c r="I99" s="36">
        <v>0</v>
      </c>
      <c r="J99" s="36">
        <v>2</v>
      </c>
      <c r="K99" s="36">
        <v>2</v>
      </c>
      <c r="M99" s="81">
        <v>98075</v>
      </c>
      <c r="N99" s="62" t="s">
        <v>10</v>
      </c>
      <c r="O99" s="33">
        <v>10</v>
      </c>
      <c r="P99" s="33">
        <v>10</v>
      </c>
      <c r="Q99" s="36">
        <v>10</v>
      </c>
      <c r="S99" s="56">
        <v>98108</v>
      </c>
      <c r="T99" s="62" t="s">
        <v>345</v>
      </c>
      <c r="U99" s="36">
        <v>1</v>
      </c>
      <c r="V99" s="36">
        <v>1</v>
      </c>
      <c r="W99" s="36">
        <v>0</v>
      </c>
    </row>
    <row r="100" spans="1:23" x14ac:dyDescent="0.2">
      <c r="A100" s="81">
        <v>98077</v>
      </c>
      <c r="B100" s="62" t="s">
        <v>10</v>
      </c>
      <c r="C100" s="36">
        <v>16</v>
      </c>
      <c r="D100" s="36">
        <v>14</v>
      </c>
      <c r="E100" s="36">
        <v>12</v>
      </c>
      <c r="G100" s="81">
        <v>98126</v>
      </c>
      <c r="H100" s="62" t="s">
        <v>10</v>
      </c>
      <c r="I100" s="33">
        <v>1</v>
      </c>
      <c r="J100" s="33">
        <v>1</v>
      </c>
      <c r="K100" s="36">
        <v>1</v>
      </c>
      <c r="M100" s="56">
        <v>98077</v>
      </c>
      <c r="N100" s="62" t="s">
        <v>10</v>
      </c>
      <c r="O100" s="36">
        <v>9</v>
      </c>
      <c r="P100" s="36">
        <v>7</v>
      </c>
      <c r="Q100" s="36">
        <v>7</v>
      </c>
      <c r="S100" s="81">
        <v>98108</v>
      </c>
      <c r="T100" s="62" t="s">
        <v>10</v>
      </c>
      <c r="U100" s="33">
        <v>6</v>
      </c>
      <c r="V100" s="36">
        <v>5</v>
      </c>
      <c r="W100" s="36">
        <v>2</v>
      </c>
    </row>
    <row r="101" spans="1:23" x14ac:dyDescent="0.2">
      <c r="A101" s="56">
        <v>98087</v>
      </c>
      <c r="B101" s="62" t="s">
        <v>345</v>
      </c>
      <c r="C101" s="36">
        <v>3</v>
      </c>
      <c r="D101" s="36">
        <v>3</v>
      </c>
      <c r="E101" s="36">
        <v>3</v>
      </c>
      <c r="G101" s="81">
        <v>98133</v>
      </c>
      <c r="H101" s="62" t="s">
        <v>345</v>
      </c>
      <c r="I101" s="33">
        <v>1</v>
      </c>
      <c r="J101" s="33">
        <v>1</v>
      </c>
      <c r="K101" s="36">
        <v>0</v>
      </c>
      <c r="M101" s="81">
        <v>98087</v>
      </c>
      <c r="N101" s="62" t="s">
        <v>345</v>
      </c>
      <c r="O101" s="36">
        <v>0</v>
      </c>
      <c r="P101" s="36">
        <v>1</v>
      </c>
      <c r="Q101" s="36">
        <v>0</v>
      </c>
      <c r="S101" s="56">
        <v>98109</v>
      </c>
      <c r="T101" s="62" t="s">
        <v>10</v>
      </c>
      <c r="U101" s="36">
        <v>0</v>
      </c>
      <c r="V101" s="36">
        <v>1</v>
      </c>
      <c r="W101" s="36">
        <v>0</v>
      </c>
    </row>
    <row r="102" spans="1:23" x14ac:dyDescent="0.2">
      <c r="A102" s="81">
        <v>98087</v>
      </c>
      <c r="B102" s="62" t="s">
        <v>10</v>
      </c>
      <c r="C102" s="36">
        <v>30</v>
      </c>
      <c r="D102" s="36">
        <v>35</v>
      </c>
      <c r="E102" s="36">
        <v>32</v>
      </c>
      <c r="G102" s="56">
        <v>98133</v>
      </c>
      <c r="H102" s="62" t="s">
        <v>10</v>
      </c>
      <c r="I102" s="33">
        <v>1</v>
      </c>
      <c r="J102" s="36">
        <v>0</v>
      </c>
      <c r="K102" s="33">
        <v>0</v>
      </c>
      <c r="M102" s="81">
        <v>98087</v>
      </c>
      <c r="N102" s="62" t="s">
        <v>10</v>
      </c>
      <c r="O102" s="36">
        <v>24</v>
      </c>
      <c r="P102" s="36">
        <v>15</v>
      </c>
      <c r="Q102" s="36">
        <v>10</v>
      </c>
      <c r="S102" s="81">
        <v>98110</v>
      </c>
      <c r="T102" s="62" t="s">
        <v>345</v>
      </c>
      <c r="U102" s="33">
        <v>1</v>
      </c>
      <c r="V102" s="36">
        <v>0</v>
      </c>
      <c r="W102" s="33">
        <v>1</v>
      </c>
    </row>
    <row r="103" spans="1:23" x14ac:dyDescent="0.2">
      <c r="A103" s="81">
        <v>98092</v>
      </c>
      <c r="B103" s="62" t="s">
        <v>345</v>
      </c>
      <c r="C103" s="36">
        <v>2</v>
      </c>
      <c r="D103" s="36">
        <v>0</v>
      </c>
      <c r="E103" s="36">
        <v>1</v>
      </c>
      <c r="G103" s="81">
        <v>98134</v>
      </c>
      <c r="H103" s="62" t="s">
        <v>345</v>
      </c>
      <c r="I103" s="36">
        <v>0</v>
      </c>
      <c r="J103" s="36">
        <v>0</v>
      </c>
      <c r="K103" s="36">
        <v>1</v>
      </c>
      <c r="M103" s="56">
        <v>98092</v>
      </c>
      <c r="N103" s="62" t="s">
        <v>345</v>
      </c>
      <c r="O103" s="36">
        <v>2</v>
      </c>
      <c r="P103" s="36">
        <v>1</v>
      </c>
      <c r="Q103" s="36">
        <v>1</v>
      </c>
      <c r="S103" s="56">
        <v>98110</v>
      </c>
      <c r="T103" s="62" t="s">
        <v>10</v>
      </c>
      <c r="U103" s="36">
        <v>4</v>
      </c>
      <c r="V103" s="36">
        <v>5</v>
      </c>
      <c r="W103" s="36">
        <v>8</v>
      </c>
    </row>
    <row r="104" spans="1:23" x14ac:dyDescent="0.2">
      <c r="A104" s="81">
        <v>98092</v>
      </c>
      <c r="B104" s="62" t="s">
        <v>10</v>
      </c>
      <c r="C104" s="36">
        <v>233</v>
      </c>
      <c r="D104" s="33">
        <v>262</v>
      </c>
      <c r="E104" s="33">
        <v>238</v>
      </c>
      <c r="G104" s="81">
        <v>98136</v>
      </c>
      <c r="H104" s="62" t="s">
        <v>345</v>
      </c>
      <c r="I104" s="33">
        <v>0</v>
      </c>
      <c r="J104" s="33">
        <v>0</v>
      </c>
      <c r="K104" s="36">
        <v>1</v>
      </c>
      <c r="M104" s="81">
        <v>98092</v>
      </c>
      <c r="N104" s="62" t="s">
        <v>10</v>
      </c>
      <c r="O104" s="36">
        <v>166</v>
      </c>
      <c r="P104" s="33">
        <v>150</v>
      </c>
      <c r="Q104" s="33">
        <v>142</v>
      </c>
      <c r="S104" s="81">
        <v>98112</v>
      </c>
      <c r="T104" s="62" t="s">
        <v>345</v>
      </c>
      <c r="U104" s="33">
        <v>0</v>
      </c>
      <c r="V104" s="33">
        <v>1</v>
      </c>
      <c r="W104" s="36">
        <v>0</v>
      </c>
    </row>
    <row r="105" spans="1:23" x14ac:dyDescent="0.2">
      <c r="A105" s="56">
        <v>98101</v>
      </c>
      <c r="B105" s="62" t="s">
        <v>10</v>
      </c>
      <c r="C105" s="36">
        <v>0</v>
      </c>
      <c r="D105" s="36">
        <v>0</v>
      </c>
      <c r="E105" s="36">
        <v>1</v>
      </c>
      <c r="G105" s="56">
        <v>98136</v>
      </c>
      <c r="H105" s="62" t="s">
        <v>10</v>
      </c>
      <c r="I105" s="33">
        <v>0</v>
      </c>
      <c r="J105" s="36">
        <v>0</v>
      </c>
      <c r="K105" s="36">
        <v>1</v>
      </c>
      <c r="M105" s="56">
        <v>98101</v>
      </c>
      <c r="N105" s="62" t="s">
        <v>10</v>
      </c>
      <c r="O105" s="36">
        <v>0</v>
      </c>
      <c r="P105" s="36">
        <v>1</v>
      </c>
      <c r="Q105" s="36">
        <v>0</v>
      </c>
      <c r="S105" s="56">
        <v>98112</v>
      </c>
      <c r="T105" s="62" t="s">
        <v>10</v>
      </c>
      <c r="U105" s="36">
        <v>2</v>
      </c>
      <c r="V105" s="36">
        <v>1</v>
      </c>
      <c r="W105" s="36">
        <v>0</v>
      </c>
    </row>
    <row r="106" spans="1:23" x14ac:dyDescent="0.2">
      <c r="A106" s="81">
        <v>98102</v>
      </c>
      <c r="B106" s="62" t="s">
        <v>345</v>
      </c>
      <c r="C106" s="36">
        <v>0</v>
      </c>
      <c r="D106" s="36">
        <v>1</v>
      </c>
      <c r="E106" s="36">
        <v>0</v>
      </c>
      <c r="G106" s="81">
        <v>98144</v>
      </c>
      <c r="H106" s="62" t="s">
        <v>10</v>
      </c>
      <c r="I106" s="33">
        <v>1</v>
      </c>
      <c r="J106" s="36">
        <v>0</v>
      </c>
      <c r="K106" s="33">
        <v>0</v>
      </c>
      <c r="M106" s="81">
        <v>98102</v>
      </c>
      <c r="N106" s="62" t="s">
        <v>345</v>
      </c>
      <c r="O106" s="33">
        <v>1</v>
      </c>
      <c r="P106" s="36">
        <v>0</v>
      </c>
      <c r="Q106" s="33">
        <v>2</v>
      </c>
      <c r="S106" s="81">
        <v>98115</v>
      </c>
      <c r="T106" s="62" t="s">
        <v>345</v>
      </c>
      <c r="U106" s="33">
        <v>0</v>
      </c>
      <c r="V106" s="33">
        <v>0</v>
      </c>
      <c r="W106" s="36">
        <v>1</v>
      </c>
    </row>
    <row r="107" spans="1:23" x14ac:dyDescent="0.2">
      <c r="A107" s="56">
        <v>98102</v>
      </c>
      <c r="B107" s="62" t="s">
        <v>10</v>
      </c>
      <c r="C107" s="36">
        <v>3</v>
      </c>
      <c r="D107" s="36">
        <v>3</v>
      </c>
      <c r="E107" s="36">
        <v>3</v>
      </c>
      <c r="G107" s="81">
        <v>98146</v>
      </c>
      <c r="H107" s="62" t="s">
        <v>345</v>
      </c>
      <c r="I107" s="36">
        <v>0</v>
      </c>
      <c r="J107" s="36">
        <v>1</v>
      </c>
      <c r="K107" s="36">
        <v>0</v>
      </c>
      <c r="M107" s="56">
        <v>98102</v>
      </c>
      <c r="N107" s="62" t="s">
        <v>10</v>
      </c>
      <c r="O107" s="36">
        <v>2</v>
      </c>
      <c r="P107" s="33">
        <v>2</v>
      </c>
      <c r="Q107" s="36">
        <v>0</v>
      </c>
      <c r="S107" s="56">
        <v>98115</v>
      </c>
      <c r="T107" s="62" t="s">
        <v>10</v>
      </c>
      <c r="U107" s="36">
        <v>3</v>
      </c>
      <c r="V107" s="36">
        <v>3</v>
      </c>
      <c r="W107" s="36">
        <v>0</v>
      </c>
    </row>
    <row r="108" spans="1:23" x14ac:dyDescent="0.2">
      <c r="A108" s="81">
        <v>98103</v>
      </c>
      <c r="B108" s="62" t="s">
        <v>345</v>
      </c>
      <c r="C108" s="33">
        <v>1</v>
      </c>
      <c r="D108" s="36">
        <v>1</v>
      </c>
      <c r="E108" s="36">
        <v>2</v>
      </c>
      <c r="G108" s="81">
        <v>98146</v>
      </c>
      <c r="H108" s="62" t="s">
        <v>10</v>
      </c>
      <c r="I108" s="33">
        <v>4</v>
      </c>
      <c r="J108" s="36">
        <v>1</v>
      </c>
      <c r="K108" s="33">
        <v>1</v>
      </c>
      <c r="M108" s="81">
        <v>98103</v>
      </c>
      <c r="N108" s="62" t="s">
        <v>345</v>
      </c>
      <c r="O108" s="33">
        <v>0</v>
      </c>
      <c r="P108" s="33">
        <v>1</v>
      </c>
      <c r="Q108" s="36">
        <v>1</v>
      </c>
      <c r="S108" s="81">
        <v>98116</v>
      </c>
      <c r="T108" s="62" t="s">
        <v>345</v>
      </c>
      <c r="U108" s="36">
        <v>0</v>
      </c>
      <c r="V108" s="36">
        <v>1</v>
      </c>
      <c r="W108" s="36">
        <v>0</v>
      </c>
    </row>
    <row r="109" spans="1:23" x14ac:dyDescent="0.2">
      <c r="A109" s="56">
        <v>98103</v>
      </c>
      <c r="B109" s="62" t="s">
        <v>10</v>
      </c>
      <c r="C109" s="36">
        <v>7</v>
      </c>
      <c r="D109" s="36">
        <v>8</v>
      </c>
      <c r="E109" s="33">
        <v>10</v>
      </c>
      <c r="G109" s="56">
        <v>98148</v>
      </c>
      <c r="H109" s="62" t="s">
        <v>10</v>
      </c>
      <c r="I109" s="36">
        <v>2</v>
      </c>
      <c r="J109" s="36">
        <v>1</v>
      </c>
      <c r="K109" s="36">
        <v>2</v>
      </c>
      <c r="M109" s="56">
        <v>98103</v>
      </c>
      <c r="N109" s="62" t="s">
        <v>10</v>
      </c>
      <c r="O109" s="36">
        <v>6</v>
      </c>
      <c r="P109" s="36">
        <v>9</v>
      </c>
      <c r="Q109" s="36">
        <v>5</v>
      </c>
      <c r="S109" s="81">
        <v>98116</v>
      </c>
      <c r="T109" s="62" t="s">
        <v>10</v>
      </c>
      <c r="U109" s="36">
        <v>0</v>
      </c>
      <c r="V109" s="36">
        <v>1</v>
      </c>
      <c r="W109" s="36">
        <v>1</v>
      </c>
    </row>
    <row r="110" spans="1:23" x14ac:dyDescent="0.2">
      <c r="A110" s="81">
        <v>98104</v>
      </c>
      <c r="B110" s="62" t="s">
        <v>345</v>
      </c>
      <c r="C110" s="36">
        <v>3</v>
      </c>
      <c r="D110" s="36">
        <v>3</v>
      </c>
      <c r="E110" s="36">
        <v>2</v>
      </c>
      <c r="G110" s="81">
        <v>98155</v>
      </c>
      <c r="H110" s="62" t="s">
        <v>10</v>
      </c>
      <c r="I110" s="36">
        <v>2</v>
      </c>
      <c r="J110" s="36">
        <v>0</v>
      </c>
      <c r="K110" s="36">
        <v>6</v>
      </c>
      <c r="M110" s="81">
        <v>98104</v>
      </c>
      <c r="N110" s="62" t="s">
        <v>345</v>
      </c>
      <c r="O110" s="33">
        <v>1</v>
      </c>
      <c r="P110" s="33">
        <v>0</v>
      </c>
      <c r="Q110" s="36">
        <v>0</v>
      </c>
      <c r="S110" s="81">
        <v>98117</v>
      </c>
      <c r="T110" s="62" t="s">
        <v>10</v>
      </c>
      <c r="U110" s="33">
        <v>0</v>
      </c>
      <c r="V110" s="36">
        <v>4</v>
      </c>
      <c r="W110" s="33">
        <v>3</v>
      </c>
    </row>
    <row r="111" spans="1:23" x14ac:dyDescent="0.2">
      <c r="A111" s="81">
        <v>98104</v>
      </c>
      <c r="B111" s="62" t="s">
        <v>10</v>
      </c>
      <c r="C111" s="36">
        <v>1</v>
      </c>
      <c r="D111" s="36">
        <v>0</v>
      </c>
      <c r="E111" s="36">
        <v>1</v>
      </c>
      <c r="G111" s="56">
        <v>98166</v>
      </c>
      <c r="H111" s="62" t="s">
        <v>10</v>
      </c>
      <c r="I111" s="36">
        <v>1</v>
      </c>
      <c r="J111" s="36">
        <v>2</v>
      </c>
      <c r="K111" s="36">
        <v>3</v>
      </c>
      <c r="M111" s="81">
        <v>98104</v>
      </c>
      <c r="N111" s="62" t="s">
        <v>10</v>
      </c>
      <c r="O111" s="33">
        <v>0</v>
      </c>
      <c r="P111" s="36">
        <v>1</v>
      </c>
      <c r="Q111" s="33">
        <v>1</v>
      </c>
      <c r="S111" s="81">
        <v>98118</v>
      </c>
      <c r="T111" s="62" t="s">
        <v>345</v>
      </c>
      <c r="U111" s="36">
        <v>1</v>
      </c>
      <c r="V111" s="36">
        <v>0</v>
      </c>
      <c r="W111" s="36">
        <v>3</v>
      </c>
    </row>
    <row r="112" spans="1:23" x14ac:dyDescent="0.2">
      <c r="A112" s="56">
        <v>98105</v>
      </c>
      <c r="B112" s="62" t="s">
        <v>345</v>
      </c>
      <c r="C112" s="36">
        <v>1</v>
      </c>
      <c r="D112" s="36">
        <v>3</v>
      </c>
      <c r="E112" s="36">
        <v>3</v>
      </c>
      <c r="G112" s="81">
        <v>98168</v>
      </c>
      <c r="H112" s="62" t="s">
        <v>10</v>
      </c>
      <c r="I112" s="36">
        <v>2</v>
      </c>
      <c r="J112" s="36">
        <v>3</v>
      </c>
      <c r="K112" s="36">
        <v>2</v>
      </c>
      <c r="M112" s="56">
        <v>98105</v>
      </c>
      <c r="N112" s="62" t="s">
        <v>345</v>
      </c>
      <c r="O112" s="36">
        <v>2</v>
      </c>
      <c r="P112" s="36">
        <v>1</v>
      </c>
      <c r="Q112" s="36">
        <v>0</v>
      </c>
      <c r="S112" s="81">
        <v>98118</v>
      </c>
      <c r="T112" s="62" t="s">
        <v>10</v>
      </c>
      <c r="U112" s="33">
        <v>4</v>
      </c>
      <c r="V112" s="36">
        <v>4</v>
      </c>
      <c r="W112" s="36">
        <v>4</v>
      </c>
    </row>
    <row r="113" spans="1:23" x14ac:dyDescent="0.2">
      <c r="A113" s="81">
        <v>98105</v>
      </c>
      <c r="B113" s="62" t="s">
        <v>10</v>
      </c>
      <c r="C113" s="36">
        <v>9</v>
      </c>
      <c r="D113" s="36">
        <v>12</v>
      </c>
      <c r="E113" s="36">
        <v>10</v>
      </c>
      <c r="G113" s="81">
        <v>98177</v>
      </c>
      <c r="H113" s="62" t="s">
        <v>10</v>
      </c>
      <c r="I113" s="36">
        <v>1</v>
      </c>
      <c r="J113" s="36">
        <v>0</v>
      </c>
      <c r="K113" s="36">
        <v>0</v>
      </c>
      <c r="M113" s="81">
        <v>98105</v>
      </c>
      <c r="N113" s="62" t="s">
        <v>10</v>
      </c>
      <c r="O113" s="36">
        <v>5</v>
      </c>
      <c r="P113" s="36">
        <v>3</v>
      </c>
      <c r="Q113" s="33">
        <v>3</v>
      </c>
      <c r="S113" s="56">
        <v>98119</v>
      </c>
      <c r="T113" s="62" t="s">
        <v>10</v>
      </c>
      <c r="U113" s="36">
        <v>3</v>
      </c>
      <c r="V113" s="36">
        <v>0</v>
      </c>
      <c r="W113" s="33">
        <v>1</v>
      </c>
    </row>
    <row r="114" spans="1:23" x14ac:dyDescent="0.2">
      <c r="A114" s="56">
        <v>98106</v>
      </c>
      <c r="B114" s="62" t="s">
        <v>345</v>
      </c>
      <c r="C114" s="36">
        <v>1</v>
      </c>
      <c r="D114" s="36">
        <v>1</v>
      </c>
      <c r="E114" s="36">
        <v>3</v>
      </c>
      <c r="G114" s="81">
        <v>98178</v>
      </c>
      <c r="H114" s="62" t="s">
        <v>10</v>
      </c>
      <c r="I114" s="36">
        <v>0</v>
      </c>
      <c r="J114" s="36">
        <v>1</v>
      </c>
      <c r="K114" s="36">
        <v>2</v>
      </c>
      <c r="M114" s="81">
        <v>98106</v>
      </c>
      <c r="N114" s="62" t="s">
        <v>345</v>
      </c>
      <c r="O114" s="36">
        <v>1</v>
      </c>
      <c r="P114" s="36">
        <v>2</v>
      </c>
      <c r="Q114" s="33">
        <v>1</v>
      </c>
      <c r="S114" s="81">
        <v>98122</v>
      </c>
      <c r="T114" s="62" t="s">
        <v>10</v>
      </c>
      <c r="U114" s="36">
        <v>4</v>
      </c>
      <c r="V114" s="36">
        <v>1</v>
      </c>
      <c r="W114" s="36">
        <v>2</v>
      </c>
    </row>
    <row r="115" spans="1:23" x14ac:dyDescent="0.2">
      <c r="A115" s="81">
        <v>98106</v>
      </c>
      <c r="B115" s="62" t="s">
        <v>10</v>
      </c>
      <c r="C115" s="36">
        <v>10</v>
      </c>
      <c r="D115" s="36">
        <v>10</v>
      </c>
      <c r="E115" s="33">
        <v>10</v>
      </c>
      <c r="G115" s="81">
        <v>98188</v>
      </c>
      <c r="H115" s="62" t="s">
        <v>345</v>
      </c>
      <c r="I115" s="36">
        <v>0</v>
      </c>
      <c r="J115" s="36">
        <v>0</v>
      </c>
      <c r="K115" s="36">
        <v>1</v>
      </c>
      <c r="M115" s="81">
        <v>98106</v>
      </c>
      <c r="N115" s="62" t="s">
        <v>10</v>
      </c>
      <c r="O115" s="36">
        <v>6</v>
      </c>
      <c r="P115" s="33">
        <v>6</v>
      </c>
      <c r="Q115" s="36">
        <v>8</v>
      </c>
      <c r="S115" s="81">
        <v>98125</v>
      </c>
      <c r="T115" s="62" t="s">
        <v>10</v>
      </c>
      <c r="U115" s="33">
        <v>2</v>
      </c>
      <c r="V115" s="36">
        <v>1</v>
      </c>
      <c r="W115" s="36">
        <v>1</v>
      </c>
    </row>
    <row r="116" spans="1:23" x14ac:dyDescent="0.2">
      <c r="A116" s="56">
        <v>98107</v>
      </c>
      <c r="B116" s="62" t="s">
        <v>345</v>
      </c>
      <c r="C116" s="36">
        <v>1</v>
      </c>
      <c r="D116" s="36">
        <v>1</v>
      </c>
      <c r="E116" s="36">
        <v>0</v>
      </c>
      <c r="G116" s="81">
        <v>98188</v>
      </c>
      <c r="H116" s="62" t="s">
        <v>10</v>
      </c>
      <c r="I116" s="33">
        <v>6</v>
      </c>
      <c r="J116" s="36">
        <v>11</v>
      </c>
      <c r="K116" s="33">
        <v>2</v>
      </c>
      <c r="M116" s="56">
        <v>98107</v>
      </c>
      <c r="N116" s="62" t="s">
        <v>345</v>
      </c>
      <c r="O116" s="36">
        <v>1</v>
      </c>
      <c r="P116" s="36">
        <v>1</v>
      </c>
      <c r="Q116" s="36">
        <v>0</v>
      </c>
      <c r="S116" s="81">
        <v>98133</v>
      </c>
      <c r="T116" s="62" t="s">
        <v>10</v>
      </c>
      <c r="U116" s="33">
        <v>4</v>
      </c>
      <c r="V116" s="33">
        <v>6</v>
      </c>
      <c r="W116" s="36">
        <v>6</v>
      </c>
    </row>
    <row r="117" spans="1:23" x14ac:dyDescent="0.2">
      <c r="A117" s="81">
        <v>98107</v>
      </c>
      <c r="B117" s="62" t="s">
        <v>10</v>
      </c>
      <c r="C117" s="36">
        <v>4</v>
      </c>
      <c r="D117" s="36">
        <v>3</v>
      </c>
      <c r="E117" s="36">
        <v>3</v>
      </c>
      <c r="G117" s="81">
        <v>98198</v>
      </c>
      <c r="H117" s="62" t="s">
        <v>345</v>
      </c>
      <c r="I117" s="36">
        <v>0</v>
      </c>
      <c r="J117" s="36">
        <v>0</v>
      </c>
      <c r="K117" s="36">
        <v>1</v>
      </c>
      <c r="M117" s="81">
        <v>98107</v>
      </c>
      <c r="N117" s="62" t="s">
        <v>10</v>
      </c>
      <c r="O117" s="36">
        <v>2</v>
      </c>
      <c r="P117" s="33">
        <v>2</v>
      </c>
      <c r="Q117" s="36">
        <v>1</v>
      </c>
      <c r="S117" s="81">
        <v>98136</v>
      </c>
      <c r="T117" s="62" t="s">
        <v>10</v>
      </c>
      <c r="U117" s="33">
        <v>1</v>
      </c>
      <c r="V117" s="36">
        <v>2</v>
      </c>
      <c r="W117" s="36">
        <v>1</v>
      </c>
    </row>
    <row r="118" spans="1:23" x14ac:dyDescent="0.2">
      <c r="A118" s="81">
        <v>98108</v>
      </c>
      <c r="B118" s="62" t="s">
        <v>345</v>
      </c>
      <c r="C118" s="36">
        <v>4</v>
      </c>
      <c r="D118" s="36">
        <v>7</v>
      </c>
      <c r="E118" s="33">
        <v>3</v>
      </c>
      <c r="G118" s="81">
        <v>98198</v>
      </c>
      <c r="H118" s="62" t="s">
        <v>10</v>
      </c>
      <c r="I118" s="36">
        <v>15</v>
      </c>
      <c r="J118" s="36">
        <v>24</v>
      </c>
      <c r="K118" s="36">
        <v>22</v>
      </c>
      <c r="M118" s="56">
        <v>98108</v>
      </c>
      <c r="N118" s="62" t="s">
        <v>345</v>
      </c>
      <c r="O118" s="33">
        <v>6</v>
      </c>
      <c r="P118" s="36">
        <v>1</v>
      </c>
      <c r="Q118" s="36">
        <v>1</v>
      </c>
      <c r="S118" s="81">
        <v>98144</v>
      </c>
      <c r="T118" s="62" t="s">
        <v>10</v>
      </c>
      <c r="U118" s="33">
        <v>1</v>
      </c>
      <c r="V118" s="36">
        <v>2</v>
      </c>
      <c r="W118" s="36">
        <v>0</v>
      </c>
    </row>
    <row r="119" spans="1:23" x14ac:dyDescent="0.2">
      <c r="A119" s="56">
        <v>98108</v>
      </c>
      <c r="B119" s="62" t="s">
        <v>10</v>
      </c>
      <c r="C119" s="36">
        <v>10</v>
      </c>
      <c r="D119" s="36">
        <v>12</v>
      </c>
      <c r="E119" s="36">
        <v>15</v>
      </c>
      <c r="G119" s="81">
        <v>98201</v>
      </c>
      <c r="H119" s="62" t="s">
        <v>10</v>
      </c>
      <c r="I119" s="36">
        <v>0</v>
      </c>
      <c r="J119" s="36">
        <v>1</v>
      </c>
      <c r="K119" s="36">
        <v>2</v>
      </c>
      <c r="M119" s="81">
        <v>98108</v>
      </c>
      <c r="N119" s="62" t="s">
        <v>10</v>
      </c>
      <c r="O119" s="36">
        <v>11</v>
      </c>
      <c r="P119" s="36">
        <v>19</v>
      </c>
      <c r="Q119" s="36">
        <v>7</v>
      </c>
      <c r="S119" s="81">
        <v>98146</v>
      </c>
      <c r="T119" s="62" t="s">
        <v>345</v>
      </c>
      <c r="U119" s="36">
        <v>1</v>
      </c>
      <c r="V119" s="36">
        <v>0</v>
      </c>
      <c r="W119" s="36">
        <v>0</v>
      </c>
    </row>
    <row r="120" spans="1:23" x14ac:dyDescent="0.2">
      <c r="A120" s="81">
        <v>98109</v>
      </c>
      <c r="B120" s="62" t="s">
        <v>345</v>
      </c>
      <c r="C120" s="33">
        <v>1</v>
      </c>
      <c r="D120" s="36">
        <v>1</v>
      </c>
      <c r="E120" s="36">
        <v>1</v>
      </c>
      <c r="G120" s="81">
        <v>98203</v>
      </c>
      <c r="H120" s="62" t="s">
        <v>10</v>
      </c>
      <c r="I120" s="36">
        <v>4</v>
      </c>
      <c r="J120" s="36">
        <v>3</v>
      </c>
      <c r="K120" s="33">
        <v>2</v>
      </c>
      <c r="M120" s="81">
        <v>98109</v>
      </c>
      <c r="N120" s="62" t="s">
        <v>345</v>
      </c>
      <c r="O120" s="36">
        <v>1</v>
      </c>
      <c r="P120" s="33">
        <v>0</v>
      </c>
      <c r="Q120" s="33">
        <v>0</v>
      </c>
      <c r="S120" s="81">
        <v>98146</v>
      </c>
      <c r="T120" s="62" t="s">
        <v>10</v>
      </c>
      <c r="U120" s="33">
        <v>3</v>
      </c>
      <c r="V120" s="36">
        <v>4</v>
      </c>
      <c r="W120" s="36">
        <v>3</v>
      </c>
    </row>
    <row r="121" spans="1:23" x14ac:dyDescent="0.2">
      <c r="A121" s="56">
        <v>98109</v>
      </c>
      <c r="B121" s="62" t="s">
        <v>10</v>
      </c>
      <c r="C121" s="36">
        <v>3</v>
      </c>
      <c r="D121" s="36">
        <v>6</v>
      </c>
      <c r="E121" s="36">
        <v>2</v>
      </c>
      <c r="G121" s="81">
        <v>98204</v>
      </c>
      <c r="H121" s="62" t="s">
        <v>345</v>
      </c>
      <c r="I121" s="36">
        <v>1</v>
      </c>
      <c r="J121" s="33">
        <v>0</v>
      </c>
      <c r="K121" s="33">
        <v>0</v>
      </c>
      <c r="M121" s="56">
        <v>98109</v>
      </c>
      <c r="N121" s="62" t="s">
        <v>10</v>
      </c>
      <c r="O121" s="36">
        <v>5</v>
      </c>
      <c r="P121" s="33">
        <v>2</v>
      </c>
      <c r="Q121" s="36">
        <v>0</v>
      </c>
      <c r="S121" s="81">
        <v>98148</v>
      </c>
      <c r="T121" s="62" t="s">
        <v>10</v>
      </c>
      <c r="U121" s="36">
        <v>6</v>
      </c>
      <c r="V121" s="36">
        <v>3</v>
      </c>
      <c r="W121" s="33">
        <v>2</v>
      </c>
    </row>
    <row r="122" spans="1:23" x14ac:dyDescent="0.2">
      <c r="A122" s="81">
        <v>98110</v>
      </c>
      <c r="B122" s="62" t="s">
        <v>345</v>
      </c>
      <c r="C122" s="36">
        <v>3</v>
      </c>
      <c r="D122" s="36">
        <v>2</v>
      </c>
      <c r="E122" s="33">
        <v>3</v>
      </c>
      <c r="G122" s="56">
        <v>98204</v>
      </c>
      <c r="H122" s="62" t="s">
        <v>10</v>
      </c>
      <c r="I122" s="36">
        <v>1</v>
      </c>
      <c r="J122" s="36">
        <v>1</v>
      </c>
      <c r="K122" s="36">
        <v>0</v>
      </c>
      <c r="M122" s="81">
        <v>98110</v>
      </c>
      <c r="N122" s="62" t="s">
        <v>345</v>
      </c>
      <c r="O122" s="36">
        <v>1</v>
      </c>
      <c r="P122" s="36">
        <v>1</v>
      </c>
      <c r="Q122" s="36">
        <v>1</v>
      </c>
      <c r="S122" s="81">
        <v>98155</v>
      </c>
      <c r="T122" s="62" t="s">
        <v>10</v>
      </c>
      <c r="U122" s="33">
        <v>5</v>
      </c>
      <c r="V122" s="36">
        <v>5</v>
      </c>
      <c r="W122" s="36">
        <v>5</v>
      </c>
    </row>
    <row r="123" spans="1:23" x14ac:dyDescent="0.2">
      <c r="A123" s="81">
        <v>98110</v>
      </c>
      <c r="B123" s="62" t="s">
        <v>10</v>
      </c>
      <c r="C123" s="36">
        <v>41</v>
      </c>
      <c r="D123" s="36">
        <v>43</v>
      </c>
      <c r="E123" s="36">
        <v>37</v>
      </c>
      <c r="G123" s="81">
        <v>98208</v>
      </c>
      <c r="H123" s="62" t="s">
        <v>345</v>
      </c>
      <c r="I123" s="33">
        <v>0</v>
      </c>
      <c r="J123" s="33">
        <v>0</v>
      </c>
      <c r="K123" s="36">
        <v>1</v>
      </c>
      <c r="M123" s="56">
        <v>98110</v>
      </c>
      <c r="N123" s="62" t="s">
        <v>10</v>
      </c>
      <c r="O123" s="36">
        <v>16</v>
      </c>
      <c r="P123" s="36">
        <v>17</v>
      </c>
      <c r="Q123" s="36">
        <v>19</v>
      </c>
      <c r="S123" s="81">
        <v>98166</v>
      </c>
      <c r="T123" s="62" t="s">
        <v>345</v>
      </c>
      <c r="U123" s="36">
        <v>1</v>
      </c>
      <c r="V123" s="36">
        <v>0</v>
      </c>
      <c r="W123" s="33">
        <v>0</v>
      </c>
    </row>
    <row r="124" spans="1:23" x14ac:dyDescent="0.2">
      <c r="A124" s="56">
        <v>98112</v>
      </c>
      <c r="B124" s="62" t="s">
        <v>345</v>
      </c>
      <c r="C124" s="36">
        <v>2</v>
      </c>
      <c r="D124" s="36">
        <v>2</v>
      </c>
      <c r="E124" s="36">
        <v>2</v>
      </c>
      <c r="G124" s="56">
        <v>98208</v>
      </c>
      <c r="H124" s="62" t="s">
        <v>10</v>
      </c>
      <c r="I124" s="36">
        <v>0</v>
      </c>
      <c r="J124" s="36">
        <v>4</v>
      </c>
      <c r="K124" s="36">
        <v>3</v>
      </c>
      <c r="M124" s="81">
        <v>98112</v>
      </c>
      <c r="N124" s="62" t="s">
        <v>345</v>
      </c>
      <c r="O124" s="36">
        <v>0</v>
      </c>
      <c r="P124" s="36">
        <v>1</v>
      </c>
      <c r="Q124" s="36">
        <v>0</v>
      </c>
      <c r="S124" s="81">
        <v>98166</v>
      </c>
      <c r="T124" s="62" t="s">
        <v>10</v>
      </c>
      <c r="U124" s="36">
        <v>3</v>
      </c>
      <c r="V124" s="36">
        <v>2</v>
      </c>
      <c r="W124" s="36">
        <v>5</v>
      </c>
    </row>
    <row r="125" spans="1:23" x14ac:dyDescent="0.2">
      <c r="A125" s="81">
        <v>98112</v>
      </c>
      <c r="B125" s="62" t="s">
        <v>10</v>
      </c>
      <c r="C125" s="36">
        <v>8</v>
      </c>
      <c r="D125" s="36">
        <v>7</v>
      </c>
      <c r="E125" s="36">
        <v>4</v>
      </c>
      <c r="G125" s="81">
        <v>98220</v>
      </c>
      <c r="H125" s="62" t="s">
        <v>10</v>
      </c>
      <c r="I125" s="36">
        <v>2</v>
      </c>
      <c r="J125" s="36">
        <v>1</v>
      </c>
      <c r="K125" s="36">
        <v>2</v>
      </c>
      <c r="M125" s="81">
        <v>98112</v>
      </c>
      <c r="N125" s="62" t="s">
        <v>10</v>
      </c>
      <c r="O125" s="36">
        <v>6</v>
      </c>
      <c r="P125" s="36">
        <v>2</v>
      </c>
      <c r="Q125" s="36">
        <v>5</v>
      </c>
      <c r="S125" s="81">
        <v>98168</v>
      </c>
      <c r="T125" s="62" t="s">
        <v>345</v>
      </c>
      <c r="U125" s="33">
        <v>2</v>
      </c>
      <c r="V125" s="36">
        <v>0</v>
      </c>
      <c r="W125" s="36">
        <v>2</v>
      </c>
    </row>
    <row r="126" spans="1:23" x14ac:dyDescent="0.2">
      <c r="A126" s="81">
        <v>98115</v>
      </c>
      <c r="B126" s="62" t="s">
        <v>345</v>
      </c>
      <c r="C126" s="36">
        <v>5</v>
      </c>
      <c r="D126" s="36">
        <v>5</v>
      </c>
      <c r="E126" s="36">
        <v>4</v>
      </c>
      <c r="G126" s="81">
        <v>98221</v>
      </c>
      <c r="H126" s="62" t="s">
        <v>10</v>
      </c>
      <c r="I126" s="33">
        <v>4</v>
      </c>
      <c r="J126" s="33">
        <v>5</v>
      </c>
      <c r="K126" s="36">
        <v>7</v>
      </c>
      <c r="M126" s="81">
        <v>98115</v>
      </c>
      <c r="N126" s="62" t="s">
        <v>345</v>
      </c>
      <c r="O126" s="36">
        <v>1</v>
      </c>
      <c r="P126" s="33">
        <v>2</v>
      </c>
      <c r="Q126" s="36">
        <v>1</v>
      </c>
      <c r="S126" s="81">
        <v>98168</v>
      </c>
      <c r="T126" s="62" t="s">
        <v>10</v>
      </c>
      <c r="U126" s="33">
        <v>6</v>
      </c>
      <c r="V126" s="33">
        <v>6</v>
      </c>
      <c r="W126" s="36">
        <v>7</v>
      </c>
    </row>
    <row r="127" spans="1:23" x14ac:dyDescent="0.2">
      <c r="A127" s="81">
        <v>98115</v>
      </c>
      <c r="B127" s="62" t="s">
        <v>10</v>
      </c>
      <c r="C127" s="36">
        <v>12</v>
      </c>
      <c r="D127" s="33">
        <v>12</v>
      </c>
      <c r="E127" s="33">
        <v>11</v>
      </c>
      <c r="G127" s="81">
        <v>98223</v>
      </c>
      <c r="H127" s="62" t="s">
        <v>10</v>
      </c>
      <c r="I127" s="33">
        <v>0</v>
      </c>
      <c r="J127" s="36">
        <v>1</v>
      </c>
      <c r="K127" s="33">
        <v>0</v>
      </c>
      <c r="M127" s="56">
        <v>98115</v>
      </c>
      <c r="N127" s="62" t="s">
        <v>10</v>
      </c>
      <c r="O127" s="36">
        <v>9</v>
      </c>
      <c r="P127" s="36">
        <v>8</v>
      </c>
      <c r="Q127" s="36">
        <v>2</v>
      </c>
      <c r="S127" s="81">
        <v>98178</v>
      </c>
      <c r="T127" s="62" t="s">
        <v>10</v>
      </c>
      <c r="U127" s="33">
        <v>4</v>
      </c>
      <c r="V127" s="33">
        <v>4</v>
      </c>
      <c r="W127" s="36">
        <v>2</v>
      </c>
    </row>
    <row r="128" spans="1:23" x14ac:dyDescent="0.2">
      <c r="A128" s="56">
        <v>98116</v>
      </c>
      <c r="B128" s="62" t="s">
        <v>345</v>
      </c>
      <c r="C128" s="36">
        <v>1</v>
      </c>
      <c r="D128" s="36">
        <v>1</v>
      </c>
      <c r="E128" s="36">
        <v>1</v>
      </c>
      <c r="G128" s="81">
        <v>98225</v>
      </c>
      <c r="H128" s="62" t="s">
        <v>345</v>
      </c>
      <c r="I128" s="36">
        <v>0</v>
      </c>
      <c r="J128" s="36">
        <v>0</v>
      </c>
      <c r="K128" s="36">
        <v>2</v>
      </c>
      <c r="M128" s="81">
        <v>98116</v>
      </c>
      <c r="N128" s="62" t="s">
        <v>345</v>
      </c>
      <c r="O128" s="36">
        <v>1</v>
      </c>
      <c r="P128" s="36">
        <v>1</v>
      </c>
      <c r="Q128" s="33">
        <v>1</v>
      </c>
      <c r="S128" s="81">
        <v>98188</v>
      </c>
      <c r="T128" s="62" t="s">
        <v>345</v>
      </c>
      <c r="U128" s="36">
        <v>0</v>
      </c>
      <c r="V128" s="36">
        <v>0</v>
      </c>
      <c r="W128" s="36">
        <v>1</v>
      </c>
    </row>
    <row r="129" spans="1:23" x14ac:dyDescent="0.2">
      <c r="A129" s="81">
        <v>98116</v>
      </c>
      <c r="B129" s="62" t="s">
        <v>10</v>
      </c>
      <c r="C129" s="36">
        <v>14</v>
      </c>
      <c r="D129" s="36">
        <v>11</v>
      </c>
      <c r="E129" s="36">
        <v>10</v>
      </c>
      <c r="G129" s="81">
        <v>98225</v>
      </c>
      <c r="H129" s="62" t="s">
        <v>10</v>
      </c>
      <c r="I129" s="33">
        <v>13</v>
      </c>
      <c r="J129" s="36">
        <v>12</v>
      </c>
      <c r="K129" s="36">
        <v>14</v>
      </c>
      <c r="M129" s="56">
        <v>98116</v>
      </c>
      <c r="N129" s="62" t="s">
        <v>10</v>
      </c>
      <c r="O129" s="36">
        <v>4</v>
      </c>
      <c r="P129" s="36">
        <v>7</v>
      </c>
      <c r="Q129" s="36">
        <v>5</v>
      </c>
      <c r="S129" s="81">
        <v>98188</v>
      </c>
      <c r="T129" s="62" t="s">
        <v>10</v>
      </c>
      <c r="U129" s="33">
        <v>21</v>
      </c>
      <c r="V129" s="36">
        <v>23</v>
      </c>
      <c r="W129" s="33">
        <v>17</v>
      </c>
    </row>
    <row r="130" spans="1:23" x14ac:dyDescent="0.2">
      <c r="A130" s="81">
        <v>98117</v>
      </c>
      <c r="B130" s="62" t="s">
        <v>10</v>
      </c>
      <c r="C130" s="36">
        <v>13</v>
      </c>
      <c r="D130" s="36">
        <v>15</v>
      </c>
      <c r="E130" s="36">
        <v>11</v>
      </c>
      <c r="G130" s="81">
        <v>98226</v>
      </c>
      <c r="H130" s="62" t="s">
        <v>345</v>
      </c>
      <c r="I130" s="33">
        <v>1</v>
      </c>
      <c r="J130" s="36">
        <v>1</v>
      </c>
      <c r="K130" s="36">
        <v>0</v>
      </c>
      <c r="M130" s="81">
        <v>98117</v>
      </c>
      <c r="N130" s="62" t="s">
        <v>10</v>
      </c>
      <c r="O130" s="33">
        <v>13</v>
      </c>
      <c r="P130" s="36">
        <v>9</v>
      </c>
      <c r="Q130" s="33">
        <v>5</v>
      </c>
      <c r="S130" s="81">
        <v>98198</v>
      </c>
      <c r="T130" s="62" t="s">
        <v>345</v>
      </c>
      <c r="U130" s="36">
        <v>2</v>
      </c>
      <c r="V130" s="36">
        <v>0</v>
      </c>
      <c r="W130" s="36">
        <v>1</v>
      </c>
    </row>
    <row r="131" spans="1:23" x14ac:dyDescent="0.2">
      <c r="A131" s="56">
        <v>98118</v>
      </c>
      <c r="B131" s="62" t="s">
        <v>345</v>
      </c>
      <c r="C131" s="36">
        <v>3</v>
      </c>
      <c r="D131" s="36">
        <v>7</v>
      </c>
      <c r="E131" s="36">
        <v>4</v>
      </c>
      <c r="G131" s="81">
        <v>98226</v>
      </c>
      <c r="H131" s="62" t="s">
        <v>10</v>
      </c>
      <c r="I131" s="33">
        <v>20</v>
      </c>
      <c r="J131" s="36">
        <v>17</v>
      </c>
      <c r="K131" s="33">
        <v>18</v>
      </c>
      <c r="M131" s="56">
        <v>98118</v>
      </c>
      <c r="N131" s="62" t="s">
        <v>345</v>
      </c>
      <c r="O131" s="33">
        <v>4</v>
      </c>
      <c r="P131" s="33">
        <v>1</v>
      </c>
      <c r="Q131" s="36">
        <v>3</v>
      </c>
      <c r="S131" s="81">
        <v>98198</v>
      </c>
      <c r="T131" s="62" t="s">
        <v>10</v>
      </c>
      <c r="U131" s="36">
        <v>44</v>
      </c>
      <c r="V131" s="33">
        <v>41</v>
      </c>
      <c r="W131" s="33">
        <v>25</v>
      </c>
    </row>
    <row r="132" spans="1:23" x14ac:dyDescent="0.2">
      <c r="A132" s="81">
        <v>98118</v>
      </c>
      <c r="B132" s="62" t="s">
        <v>10</v>
      </c>
      <c r="C132" s="36">
        <v>31</v>
      </c>
      <c r="D132" s="36">
        <v>29</v>
      </c>
      <c r="E132" s="36">
        <v>25</v>
      </c>
      <c r="G132" s="81">
        <v>98229</v>
      </c>
      <c r="H132" s="62" t="s">
        <v>10</v>
      </c>
      <c r="I132" s="33">
        <v>18</v>
      </c>
      <c r="J132" s="33">
        <v>13</v>
      </c>
      <c r="K132" s="36">
        <v>9</v>
      </c>
      <c r="M132" s="81">
        <v>98118</v>
      </c>
      <c r="N132" s="62" t="s">
        <v>10</v>
      </c>
      <c r="O132" s="36">
        <v>20</v>
      </c>
      <c r="P132" s="33">
        <v>22</v>
      </c>
      <c r="Q132" s="33">
        <v>18</v>
      </c>
      <c r="S132" s="81">
        <v>98199</v>
      </c>
      <c r="T132" s="62" t="s">
        <v>10</v>
      </c>
      <c r="U132" s="33">
        <v>1</v>
      </c>
      <c r="V132" s="33">
        <v>2</v>
      </c>
      <c r="W132" s="36">
        <v>1</v>
      </c>
    </row>
    <row r="133" spans="1:23" x14ac:dyDescent="0.2">
      <c r="A133" s="81">
        <v>98119</v>
      </c>
      <c r="B133" s="62" t="s">
        <v>345</v>
      </c>
      <c r="C133" s="36">
        <v>0</v>
      </c>
      <c r="D133" s="36">
        <v>1</v>
      </c>
      <c r="E133" s="36">
        <v>1</v>
      </c>
      <c r="G133" s="56">
        <v>98230</v>
      </c>
      <c r="H133" s="62" t="s">
        <v>10</v>
      </c>
      <c r="I133" s="36">
        <v>4</v>
      </c>
      <c r="J133" s="36">
        <v>6</v>
      </c>
      <c r="K133" s="36">
        <v>3</v>
      </c>
      <c r="M133" s="56">
        <v>98119</v>
      </c>
      <c r="N133" s="62" t="s">
        <v>345</v>
      </c>
      <c r="O133" s="36">
        <v>1</v>
      </c>
      <c r="P133" s="36">
        <v>1</v>
      </c>
      <c r="Q133" s="36">
        <v>0</v>
      </c>
      <c r="S133" s="81">
        <v>98201</v>
      </c>
      <c r="T133" s="62" t="s">
        <v>10</v>
      </c>
      <c r="U133" s="33">
        <v>3</v>
      </c>
      <c r="V133" s="36">
        <v>4</v>
      </c>
      <c r="W133" s="33">
        <v>3</v>
      </c>
    </row>
    <row r="134" spans="1:23" x14ac:dyDescent="0.2">
      <c r="A134" s="81">
        <v>98119</v>
      </c>
      <c r="B134" s="62" t="s">
        <v>10</v>
      </c>
      <c r="C134" s="36">
        <v>5</v>
      </c>
      <c r="D134" s="36">
        <v>7</v>
      </c>
      <c r="E134" s="36">
        <v>6</v>
      </c>
      <c r="G134" s="81">
        <v>98232</v>
      </c>
      <c r="H134" s="62" t="s">
        <v>345</v>
      </c>
      <c r="I134" s="36">
        <v>1</v>
      </c>
      <c r="J134" s="36">
        <v>0</v>
      </c>
      <c r="K134" s="36">
        <v>0</v>
      </c>
      <c r="M134" s="81">
        <v>98119</v>
      </c>
      <c r="N134" s="62" t="s">
        <v>10</v>
      </c>
      <c r="O134" s="36">
        <v>6</v>
      </c>
      <c r="P134" s="36">
        <v>6</v>
      </c>
      <c r="Q134" s="36">
        <v>1</v>
      </c>
      <c r="S134" s="81">
        <v>98203</v>
      </c>
      <c r="T134" s="62" t="s">
        <v>10</v>
      </c>
      <c r="U134" s="33">
        <v>8</v>
      </c>
      <c r="V134" s="36">
        <v>4</v>
      </c>
      <c r="W134" s="36">
        <v>3</v>
      </c>
    </row>
    <row r="135" spans="1:23" x14ac:dyDescent="0.2">
      <c r="A135" s="81">
        <v>98121</v>
      </c>
      <c r="B135" s="62" t="s">
        <v>345</v>
      </c>
      <c r="C135" s="36">
        <v>1</v>
      </c>
      <c r="D135" s="36">
        <v>0</v>
      </c>
      <c r="E135" s="36">
        <v>0</v>
      </c>
      <c r="G135" s="81">
        <v>98232</v>
      </c>
      <c r="H135" s="62" t="s">
        <v>10</v>
      </c>
      <c r="I135" s="36">
        <v>0</v>
      </c>
      <c r="J135" s="33">
        <v>2</v>
      </c>
      <c r="K135" s="33">
        <v>3</v>
      </c>
      <c r="M135" s="81">
        <v>98121</v>
      </c>
      <c r="N135" s="62" t="s">
        <v>10</v>
      </c>
      <c r="O135" s="36">
        <v>2</v>
      </c>
      <c r="P135" s="36">
        <v>1</v>
      </c>
      <c r="Q135" s="36">
        <v>0</v>
      </c>
      <c r="S135" s="81">
        <v>98204</v>
      </c>
      <c r="T135" s="62" t="s">
        <v>10</v>
      </c>
      <c r="U135" s="36">
        <v>5</v>
      </c>
      <c r="V135" s="33">
        <v>1</v>
      </c>
      <c r="W135" s="33">
        <v>1</v>
      </c>
    </row>
    <row r="136" spans="1:23" x14ac:dyDescent="0.2">
      <c r="A136" s="81">
        <v>98121</v>
      </c>
      <c r="B136" s="62" t="s">
        <v>10</v>
      </c>
      <c r="C136" s="36">
        <v>0</v>
      </c>
      <c r="D136" s="36">
        <v>1</v>
      </c>
      <c r="E136" s="36">
        <v>2</v>
      </c>
      <c r="G136" s="81">
        <v>98233</v>
      </c>
      <c r="H136" s="62" t="s">
        <v>345</v>
      </c>
      <c r="I136" s="36">
        <v>1</v>
      </c>
      <c r="J136" s="36">
        <v>0</v>
      </c>
      <c r="K136" s="36">
        <v>0</v>
      </c>
      <c r="M136" s="81">
        <v>98122</v>
      </c>
      <c r="N136" s="62" t="s">
        <v>345</v>
      </c>
      <c r="O136" s="33">
        <v>2</v>
      </c>
      <c r="P136" s="36">
        <v>1</v>
      </c>
      <c r="Q136" s="36">
        <v>0</v>
      </c>
      <c r="S136" s="81">
        <v>98208</v>
      </c>
      <c r="T136" s="62" t="s">
        <v>10</v>
      </c>
      <c r="U136" s="33">
        <v>7</v>
      </c>
      <c r="V136" s="36">
        <v>11</v>
      </c>
      <c r="W136" s="33">
        <v>3</v>
      </c>
    </row>
    <row r="137" spans="1:23" x14ac:dyDescent="0.2">
      <c r="A137" s="56">
        <v>98122</v>
      </c>
      <c r="B137" s="62" t="s">
        <v>345</v>
      </c>
      <c r="C137" s="36">
        <v>1</v>
      </c>
      <c r="D137" s="36">
        <v>2</v>
      </c>
      <c r="E137" s="36">
        <v>1</v>
      </c>
      <c r="G137" s="81">
        <v>98233</v>
      </c>
      <c r="H137" s="62" t="s">
        <v>10</v>
      </c>
      <c r="I137" s="36">
        <v>7</v>
      </c>
      <c r="J137" s="33">
        <v>9</v>
      </c>
      <c r="K137" s="36">
        <v>8</v>
      </c>
      <c r="M137" s="56">
        <v>98122</v>
      </c>
      <c r="N137" s="62" t="s">
        <v>10</v>
      </c>
      <c r="O137" s="36">
        <v>12</v>
      </c>
      <c r="P137" s="36">
        <v>8</v>
      </c>
      <c r="Q137" s="36">
        <v>7</v>
      </c>
      <c r="S137" s="81">
        <v>98221</v>
      </c>
      <c r="T137" s="62" t="s">
        <v>345</v>
      </c>
      <c r="U137" s="33">
        <v>1</v>
      </c>
      <c r="V137" s="36">
        <v>2</v>
      </c>
      <c r="W137" s="33">
        <v>1</v>
      </c>
    </row>
    <row r="138" spans="1:23" x14ac:dyDescent="0.2">
      <c r="A138" s="81">
        <v>98122</v>
      </c>
      <c r="B138" s="62" t="s">
        <v>10</v>
      </c>
      <c r="C138" s="36">
        <v>18</v>
      </c>
      <c r="D138" s="36">
        <v>14</v>
      </c>
      <c r="E138" s="36">
        <v>15</v>
      </c>
      <c r="G138" s="81">
        <v>98235</v>
      </c>
      <c r="H138" s="62" t="s">
        <v>10</v>
      </c>
      <c r="I138" s="36">
        <v>0</v>
      </c>
      <c r="J138" s="36">
        <v>2</v>
      </c>
      <c r="K138" s="36">
        <v>0</v>
      </c>
      <c r="M138" s="81">
        <v>98125</v>
      </c>
      <c r="N138" s="62" t="s">
        <v>345</v>
      </c>
      <c r="O138" s="36">
        <v>0</v>
      </c>
      <c r="P138" s="36">
        <v>1</v>
      </c>
      <c r="Q138" s="33">
        <v>0</v>
      </c>
      <c r="S138" s="56">
        <v>98221</v>
      </c>
      <c r="T138" s="62" t="s">
        <v>10</v>
      </c>
      <c r="U138" s="36">
        <v>4</v>
      </c>
      <c r="V138" s="36">
        <v>7</v>
      </c>
      <c r="W138" s="36">
        <v>3</v>
      </c>
    </row>
    <row r="139" spans="1:23" x14ac:dyDescent="0.2">
      <c r="A139" s="56">
        <v>98125</v>
      </c>
      <c r="B139" s="62" t="s">
        <v>345</v>
      </c>
      <c r="C139" s="36">
        <v>0</v>
      </c>
      <c r="D139" s="36">
        <v>0</v>
      </c>
      <c r="E139" s="36">
        <v>1</v>
      </c>
      <c r="G139" s="81">
        <v>98236</v>
      </c>
      <c r="H139" s="62" t="s">
        <v>10</v>
      </c>
      <c r="I139" s="36">
        <v>0</v>
      </c>
      <c r="J139" s="36">
        <v>2</v>
      </c>
      <c r="K139" s="36">
        <v>2</v>
      </c>
      <c r="M139" s="56">
        <v>98125</v>
      </c>
      <c r="N139" s="62" t="s">
        <v>10</v>
      </c>
      <c r="O139" s="33">
        <v>9</v>
      </c>
      <c r="P139" s="36">
        <v>1</v>
      </c>
      <c r="Q139" s="33">
        <v>3</v>
      </c>
      <c r="S139" s="81">
        <v>98224</v>
      </c>
      <c r="T139" s="62" t="s">
        <v>10</v>
      </c>
      <c r="U139" s="36">
        <v>0</v>
      </c>
      <c r="V139" s="36">
        <v>0</v>
      </c>
      <c r="W139" s="36">
        <v>1</v>
      </c>
    </row>
    <row r="140" spans="1:23" x14ac:dyDescent="0.2">
      <c r="A140" s="81">
        <v>98125</v>
      </c>
      <c r="B140" s="62" t="s">
        <v>10</v>
      </c>
      <c r="C140" s="36">
        <v>11</v>
      </c>
      <c r="D140" s="36">
        <v>14</v>
      </c>
      <c r="E140" s="36">
        <v>11</v>
      </c>
      <c r="G140" s="81">
        <v>98237</v>
      </c>
      <c r="H140" s="62" t="s">
        <v>10</v>
      </c>
      <c r="I140" s="36">
        <v>11</v>
      </c>
      <c r="J140" s="36">
        <v>16</v>
      </c>
      <c r="K140" s="36">
        <v>6</v>
      </c>
      <c r="M140" s="81">
        <v>98126</v>
      </c>
      <c r="N140" s="62" t="s">
        <v>345</v>
      </c>
      <c r="O140" s="36">
        <v>0</v>
      </c>
      <c r="P140" s="36">
        <v>0</v>
      </c>
      <c r="Q140" s="36">
        <v>2</v>
      </c>
      <c r="S140" s="81">
        <v>98225</v>
      </c>
      <c r="T140" s="62" t="s">
        <v>345</v>
      </c>
      <c r="U140" s="33">
        <v>0</v>
      </c>
      <c r="V140" s="36">
        <v>3</v>
      </c>
      <c r="W140" s="33">
        <v>3</v>
      </c>
    </row>
    <row r="141" spans="1:23" x14ac:dyDescent="0.2">
      <c r="A141" s="81">
        <v>98126</v>
      </c>
      <c r="B141" s="62" t="s">
        <v>10</v>
      </c>
      <c r="C141" s="36">
        <v>12</v>
      </c>
      <c r="D141" s="36">
        <v>9</v>
      </c>
      <c r="E141" s="36">
        <v>7</v>
      </c>
      <c r="G141" s="81">
        <v>98239</v>
      </c>
      <c r="H141" s="62" t="s">
        <v>10</v>
      </c>
      <c r="I141" s="33">
        <v>3</v>
      </c>
      <c r="J141" s="33">
        <v>2</v>
      </c>
      <c r="K141" s="36">
        <v>3</v>
      </c>
      <c r="M141" s="81">
        <v>98126</v>
      </c>
      <c r="N141" s="62" t="s">
        <v>10</v>
      </c>
      <c r="O141" s="36">
        <v>7</v>
      </c>
      <c r="P141" s="33">
        <v>3</v>
      </c>
      <c r="Q141" s="33">
        <v>9</v>
      </c>
      <c r="S141" s="56">
        <v>98225</v>
      </c>
      <c r="T141" s="62" t="s">
        <v>10</v>
      </c>
      <c r="U141" s="36">
        <v>22</v>
      </c>
      <c r="V141" s="36">
        <v>14</v>
      </c>
      <c r="W141" s="36">
        <v>19</v>
      </c>
    </row>
    <row r="142" spans="1:23" x14ac:dyDescent="0.2">
      <c r="A142" s="81">
        <v>98133</v>
      </c>
      <c r="B142" s="62" t="s">
        <v>345</v>
      </c>
      <c r="C142" s="36">
        <v>3</v>
      </c>
      <c r="D142" s="36">
        <v>2</v>
      </c>
      <c r="E142" s="36">
        <v>1</v>
      </c>
      <c r="G142" s="81">
        <v>98240</v>
      </c>
      <c r="H142" s="62" t="s">
        <v>10</v>
      </c>
      <c r="I142" s="36">
        <v>1</v>
      </c>
      <c r="J142" s="36">
        <v>0</v>
      </c>
      <c r="K142" s="36">
        <v>1</v>
      </c>
      <c r="M142" s="56">
        <v>98133</v>
      </c>
      <c r="N142" s="62" t="s">
        <v>345</v>
      </c>
      <c r="O142" s="36">
        <v>0</v>
      </c>
      <c r="P142" s="36">
        <v>1</v>
      </c>
      <c r="Q142" s="36">
        <v>1</v>
      </c>
      <c r="S142" s="81">
        <v>98226</v>
      </c>
      <c r="T142" s="62" t="s">
        <v>345</v>
      </c>
      <c r="U142" s="36">
        <v>5</v>
      </c>
      <c r="V142" s="36">
        <v>1</v>
      </c>
      <c r="W142" s="36">
        <v>0</v>
      </c>
    </row>
    <row r="143" spans="1:23" x14ac:dyDescent="0.2">
      <c r="A143" s="56">
        <v>98133</v>
      </c>
      <c r="B143" s="62" t="s">
        <v>10</v>
      </c>
      <c r="C143" s="36">
        <v>17</v>
      </c>
      <c r="D143" s="36">
        <v>16</v>
      </c>
      <c r="E143" s="36">
        <v>23</v>
      </c>
      <c r="G143" s="81">
        <v>98244</v>
      </c>
      <c r="H143" s="62" t="s">
        <v>345</v>
      </c>
      <c r="I143" s="33">
        <v>1</v>
      </c>
      <c r="J143" s="33">
        <v>0</v>
      </c>
      <c r="K143" s="36">
        <v>1</v>
      </c>
      <c r="M143" s="81">
        <v>98133</v>
      </c>
      <c r="N143" s="62" t="s">
        <v>10</v>
      </c>
      <c r="O143" s="36">
        <v>13</v>
      </c>
      <c r="P143" s="33">
        <v>18</v>
      </c>
      <c r="Q143" s="36">
        <v>12</v>
      </c>
      <c r="S143" s="81">
        <v>98226</v>
      </c>
      <c r="T143" s="62" t="s">
        <v>10</v>
      </c>
      <c r="U143" s="36">
        <v>16</v>
      </c>
      <c r="V143" s="33">
        <v>18</v>
      </c>
      <c r="W143" s="33">
        <v>17</v>
      </c>
    </row>
    <row r="144" spans="1:23" x14ac:dyDescent="0.2">
      <c r="A144" s="81">
        <v>98134</v>
      </c>
      <c r="B144" s="62" t="s">
        <v>345</v>
      </c>
      <c r="C144" s="36">
        <v>2</v>
      </c>
      <c r="D144" s="36">
        <v>2</v>
      </c>
      <c r="E144" s="36">
        <v>2</v>
      </c>
      <c r="G144" s="81">
        <v>98244</v>
      </c>
      <c r="H144" s="62" t="s">
        <v>10</v>
      </c>
      <c r="I144" s="36">
        <v>5</v>
      </c>
      <c r="J144" s="36">
        <v>3</v>
      </c>
      <c r="K144" s="36">
        <v>2</v>
      </c>
      <c r="M144" s="56">
        <v>98136</v>
      </c>
      <c r="N144" s="62" t="s">
        <v>10</v>
      </c>
      <c r="O144" s="36">
        <v>3</v>
      </c>
      <c r="P144" s="33">
        <v>5</v>
      </c>
      <c r="Q144" s="36">
        <v>2</v>
      </c>
      <c r="S144" s="81">
        <v>98229</v>
      </c>
      <c r="T144" s="62" t="s">
        <v>345</v>
      </c>
      <c r="U144" s="36">
        <v>0</v>
      </c>
      <c r="V144" s="36">
        <v>1</v>
      </c>
      <c r="W144" s="36">
        <v>0</v>
      </c>
    </row>
    <row r="145" spans="1:23" x14ac:dyDescent="0.2">
      <c r="A145" s="56">
        <v>98136</v>
      </c>
      <c r="B145" s="62" t="s">
        <v>345</v>
      </c>
      <c r="C145" s="36">
        <v>1</v>
      </c>
      <c r="D145" s="36">
        <v>1</v>
      </c>
      <c r="E145" s="36">
        <v>1</v>
      </c>
      <c r="G145" s="81">
        <v>98247</v>
      </c>
      <c r="H145" s="62" t="s">
        <v>10</v>
      </c>
      <c r="I145" s="36">
        <v>1</v>
      </c>
      <c r="J145" s="33">
        <v>4</v>
      </c>
      <c r="K145" s="33">
        <v>2</v>
      </c>
      <c r="M145" s="81">
        <v>98144</v>
      </c>
      <c r="N145" s="62" t="s">
        <v>345</v>
      </c>
      <c r="O145" s="36">
        <v>1</v>
      </c>
      <c r="P145" s="33">
        <v>0</v>
      </c>
      <c r="Q145" s="33">
        <v>0</v>
      </c>
      <c r="S145" s="81">
        <v>98229</v>
      </c>
      <c r="T145" s="62" t="s">
        <v>10</v>
      </c>
      <c r="U145" s="36">
        <v>19</v>
      </c>
      <c r="V145" s="36">
        <v>23</v>
      </c>
      <c r="W145" s="36">
        <v>19</v>
      </c>
    </row>
    <row r="146" spans="1:23" x14ac:dyDescent="0.2">
      <c r="A146" s="81">
        <v>98136</v>
      </c>
      <c r="B146" s="62" t="s">
        <v>10</v>
      </c>
      <c r="C146" s="36">
        <v>7</v>
      </c>
      <c r="D146" s="36">
        <v>5</v>
      </c>
      <c r="E146" s="36">
        <v>8</v>
      </c>
      <c r="G146" s="81">
        <v>98248</v>
      </c>
      <c r="H146" s="62" t="s">
        <v>345</v>
      </c>
      <c r="I146" s="36">
        <v>0</v>
      </c>
      <c r="J146" s="33">
        <v>1</v>
      </c>
      <c r="K146" s="36">
        <v>1</v>
      </c>
      <c r="M146" s="56">
        <v>98144</v>
      </c>
      <c r="N146" s="62" t="s">
        <v>10</v>
      </c>
      <c r="O146" s="36">
        <v>6</v>
      </c>
      <c r="P146" s="36">
        <v>8</v>
      </c>
      <c r="Q146" s="36">
        <v>7</v>
      </c>
      <c r="S146" s="81">
        <v>98230</v>
      </c>
      <c r="T146" s="62" t="s">
        <v>10</v>
      </c>
      <c r="U146" s="33">
        <v>8</v>
      </c>
      <c r="V146" s="36">
        <v>16</v>
      </c>
      <c r="W146" s="33">
        <v>6</v>
      </c>
    </row>
    <row r="147" spans="1:23" x14ac:dyDescent="0.2">
      <c r="A147" s="56">
        <v>98144</v>
      </c>
      <c r="B147" s="62" t="s">
        <v>345</v>
      </c>
      <c r="C147" s="36">
        <v>2</v>
      </c>
      <c r="D147" s="36">
        <v>0</v>
      </c>
      <c r="E147" s="36">
        <v>0</v>
      </c>
      <c r="G147" s="81">
        <v>98248</v>
      </c>
      <c r="H147" s="62" t="s">
        <v>10</v>
      </c>
      <c r="I147" s="36">
        <v>10</v>
      </c>
      <c r="J147" s="36">
        <v>12</v>
      </c>
      <c r="K147" s="36">
        <v>10</v>
      </c>
      <c r="M147" s="81">
        <v>98146</v>
      </c>
      <c r="N147" s="62" t="s">
        <v>345</v>
      </c>
      <c r="O147" s="33">
        <v>1</v>
      </c>
      <c r="P147" s="36">
        <v>0</v>
      </c>
      <c r="Q147" s="36">
        <v>0</v>
      </c>
      <c r="S147" s="81">
        <v>98232</v>
      </c>
      <c r="T147" s="62" t="s">
        <v>345</v>
      </c>
      <c r="U147" s="33">
        <v>1</v>
      </c>
      <c r="V147" s="36">
        <v>0</v>
      </c>
      <c r="W147" s="33">
        <v>0</v>
      </c>
    </row>
    <row r="148" spans="1:23" x14ac:dyDescent="0.2">
      <c r="A148" s="81">
        <v>98144</v>
      </c>
      <c r="B148" s="62" t="s">
        <v>10</v>
      </c>
      <c r="C148" s="36">
        <v>14</v>
      </c>
      <c r="D148" s="36">
        <v>10</v>
      </c>
      <c r="E148" s="36">
        <v>12</v>
      </c>
      <c r="G148" s="81">
        <v>98249</v>
      </c>
      <c r="H148" s="62" t="s">
        <v>10</v>
      </c>
      <c r="I148" s="36">
        <v>1</v>
      </c>
      <c r="J148" s="36">
        <v>1</v>
      </c>
      <c r="K148" s="36">
        <v>2</v>
      </c>
      <c r="M148" s="56">
        <v>98146</v>
      </c>
      <c r="N148" s="62" t="s">
        <v>10</v>
      </c>
      <c r="O148" s="36">
        <v>14</v>
      </c>
      <c r="P148" s="36">
        <v>15</v>
      </c>
      <c r="Q148" s="36">
        <v>7</v>
      </c>
      <c r="S148" s="56">
        <v>98232</v>
      </c>
      <c r="T148" s="62" t="s">
        <v>10</v>
      </c>
      <c r="U148" s="36">
        <v>2</v>
      </c>
      <c r="V148" s="36">
        <v>3</v>
      </c>
      <c r="W148" s="36">
        <v>5</v>
      </c>
    </row>
    <row r="149" spans="1:23" x14ac:dyDescent="0.2">
      <c r="A149" s="56">
        <v>98146</v>
      </c>
      <c r="B149" s="62" t="s">
        <v>345</v>
      </c>
      <c r="C149" s="36">
        <v>1</v>
      </c>
      <c r="D149" s="36">
        <v>2</v>
      </c>
      <c r="E149" s="36">
        <v>0</v>
      </c>
      <c r="G149" s="81">
        <v>98251</v>
      </c>
      <c r="H149" s="62" t="s">
        <v>10</v>
      </c>
      <c r="I149" s="36">
        <v>1</v>
      </c>
      <c r="J149" s="33">
        <v>0</v>
      </c>
      <c r="K149" s="33">
        <v>0</v>
      </c>
      <c r="M149" s="81">
        <v>98148</v>
      </c>
      <c r="N149" s="62" t="s">
        <v>345</v>
      </c>
      <c r="O149" s="36">
        <v>0</v>
      </c>
      <c r="P149" s="36">
        <v>0</v>
      </c>
      <c r="Q149" s="36">
        <v>1</v>
      </c>
      <c r="S149" s="81">
        <v>98233</v>
      </c>
      <c r="T149" s="62" t="s">
        <v>10</v>
      </c>
      <c r="U149" s="36">
        <v>12</v>
      </c>
      <c r="V149" s="36">
        <v>18</v>
      </c>
      <c r="W149" s="36">
        <v>14</v>
      </c>
    </row>
    <row r="150" spans="1:23" x14ac:dyDescent="0.2">
      <c r="A150" s="81">
        <v>98146</v>
      </c>
      <c r="B150" s="62" t="s">
        <v>10</v>
      </c>
      <c r="C150" s="36">
        <v>15</v>
      </c>
      <c r="D150" s="36">
        <v>14</v>
      </c>
      <c r="E150" s="36">
        <v>17</v>
      </c>
      <c r="G150" s="56">
        <v>98252</v>
      </c>
      <c r="H150" s="62" t="s">
        <v>10</v>
      </c>
      <c r="I150" s="36">
        <v>0</v>
      </c>
      <c r="J150" s="36">
        <v>0</v>
      </c>
      <c r="K150" s="36">
        <v>1</v>
      </c>
      <c r="M150" s="81">
        <v>98148</v>
      </c>
      <c r="N150" s="62" t="s">
        <v>10</v>
      </c>
      <c r="O150" s="33">
        <v>27</v>
      </c>
      <c r="P150" s="36">
        <v>20</v>
      </c>
      <c r="Q150" s="36">
        <v>20</v>
      </c>
      <c r="S150" s="81">
        <v>98236</v>
      </c>
      <c r="T150" s="62" t="s">
        <v>345</v>
      </c>
      <c r="U150" s="33">
        <v>0</v>
      </c>
      <c r="V150" s="33">
        <v>0</v>
      </c>
      <c r="W150" s="36">
        <v>1</v>
      </c>
    </row>
    <row r="151" spans="1:23" x14ac:dyDescent="0.2">
      <c r="A151" s="81">
        <v>98148</v>
      </c>
      <c r="B151" s="62" t="s">
        <v>345</v>
      </c>
      <c r="C151" s="36">
        <v>1</v>
      </c>
      <c r="D151" s="36">
        <v>1</v>
      </c>
      <c r="E151" s="36">
        <v>1</v>
      </c>
      <c r="G151" s="81">
        <v>98253</v>
      </c>
      <c r="H151" s="62" t="s">
        <v>10</v>
      </c>
      <c r="I151" s="36">
        <v>1</v>
      </c>
      <c r="J151" s="33">
        <v>1</v>
      </c>
      <c r="K151" s="33">
        <v>0</v>
      </c>
      <c r="M151" s="56">
        <v>98155</v>
      </c>
      <c r="N151" s="62" t="s">
        <v>10</v>
      </c>
      <c r="O151" s="36">
        <v>17</v>
      </c>
      <c r="P151" s="36">
        <v>16</v>
      </c>
      <c r="Q151" s="36">
        <v>12</v>
      </c>
      <c r="S151" s="81">
        <v>98236</v>
      </c>
      <c r="T151" s="62" t="s">
        <v>10</v>
      </c>
      <c r="U151" s="33">
        <v>1</v>
      </c>
      <c r="V151" s="33">
        <v>4</v>
      </c>
      <c r="W151" s="36">
        <v>3</v>
      </c>
    </row>
    <row r="152" spans="1:23" x14ac:dyDescent="0.2">
      <c r="A152" s="56">
        <v>98148</v>
      </c>
      <c r="B152" s="62" t="s">
        <v>10</v>
      </c>
      <c r="C152" s="36">
        <v>30</v>
      </c>
      <c r="D152" s="36">
        <v>38</v>
      </c>
      <c r="E152" s="36">
        <v>38</v>
      </c>
      <c r="G152" s="56">
        <v>98255</v>
      </c>
      <c r="H152" s="62" t="s">
        <v>10</v>
      </c>
      <c r="I152" s="36">
        <v>0</v>
      </c>
      <c r="J152" s="36">
        <v>0</v>
      </c>
      <c r="K152" s="36">
        <v>1</v>
      </c>
      <c r="M152" s="81">
        <v>98166</v>
      </c>
      <c r="N152" s="62" t="s">
        <v>345</v>
      </c>
      <c r="O152" s="36">
        <v>2</v>
      </c>
      <c r="P152" s="36">
        <v>0</v>
      </c>
      <c r="Q152" s="36">
        <v>1</v>
      </c>
      <c r="S152" s="81">
        <v>98237</v>
      </c>
      <c r="T152" s="62" t="s">
        <v>345</v>
      </c>
      <c r="U152" s="36">
        <v>0</v>
      </c>
      <c r="V152" s="36">
        <v>1</v>
      </c>
      <c r="W152" s="36">
        <v>1</v>
      </c>
    </row>
    <row r="153" spans="1:23" x14ac:dyDescent="0.2">
      <c r="A153" s="81">
        <v>98155</v>
      </c>
      <c r="B153" s="62" t="s">
        <v>10</v>
      </c>
      <c r="C153" s="36">
        <v>16</v>
      </c>
      <c r="D153" s="36">
        <v>21</v>
      </c>
      <c r="E153" s="36">
        <v>21</v>
      </c>
      <c r="G153" s="81">
        <v>98257</v>
      </c>
      <c r="H153" s="62" t="s">
        <v>10</v>
      </c>
      <c r="I153" s="33">
        <v>1</v>
      </c>
      <c r="J153" s="36">
        <v>4</v>
      </c>
      <c r="K153" s="33">
        <v>1</v>
      </c>
      <c r="M153" s="81">
        <v>98166</v>
      </c>
      <c r="N153" s="62" t="s">
        <v>10</v>
      </c>
      <c r="O153" s="36">
        <v>22</v>
      </c>
      <c r="P153" s="33">
        <v>18</v>
      </c>
      <c r="Q153" s="33">
        <v>14</v>
      </c>
      <c r="S153" s="81">
        <v>98237</v>
      </c>
      <c r="T153" s="62" t="s">
        <v>10</v>
      </c>
      <c r="U153" s="36">
        <v>11</v>
      </c>
      <c r="V153" s="36">
        <v>9</v>
      </c>
      <c r="W153" s="33">
        <v>10</v>
      </c>
    </row>
    <row r="154" spans="1:23" x14ac:dyDescent="0.2">
      <c r="A154" s="56">
        <v>98166</v>
      </c>
      <c r="B154" s="62" t="s">
        <v>345</v>
      </c>
      <c r="C154" s="36">
        <v>3</v>
      </c>
      <c r="D154" s="36">
        <v>3</v>
      </c>
      <c r="E154" s="36">
        <v>1</v>
      </c>
      <c r="G154" s="56">
        <v>98258</v>
      </c>
      <c r="H154" s="62" t="s">
        <v>10</v>
      </c>
      <c r="I154" s="33">
        <v>7</v>
      </c>
      <c r="J154" s="36">
        <v>5</v>
      </c>
      <c r="K154" s="36">
        <v>4</v>
      </c>
      <c r="M154" s="56">
        <v>98168</v>
      </c>
      <c r="N154" s="62" t="s">
        <v>345</v>
      </c>
      <c r="O154" s="36">
        <v>5</v>
      </c>
      <c r="P154" s="36">
        <v>1</v>
      </c>
      <c r="Q154" s="36">
        <v>4</v>
      </c>
      <c r="S154" s="81">
        <v>98239</v>
      </c>
      <c r="T154" s="62" t="s">
        <v>10</v>
      </c>
      <c r="U154" s="36">
        <v>7</v>
      </c>
      <c r="V154" s="36">
        <v>8</v>
      </c>
      <c r="W154" s="36">
        <v>4</v>
      </c>
    </row>
    <row r="155" spans="1:23" x14ac:dyDescent="0.2">
      <c r="A155" s="81">
        <v>98166</v>
      </c>
      <c r="B155" s="62" t="s">
        <v>10</v>
      </c>
      <c r="C155" s="36">
        <v>12</v>
      </c>
      <c r="D155" s="36">
        <v>24</v>
      </c>
      <c r="E155" s="36">
        <v>18</v>
      </c>
      <c r="G155" s="81">
        <v>98260</v>
      </c>
      <c r="H155" s="62" t="s">
        <v>345</v>
      </c>
      <c r="I155" s="36">
        <v>1</v>
      </c>
      <c r="J155" s="36">
        <v>0</v>
      </c>
      <c r="K155" s="36">
        <v>0</v>
      </c>
      <c r="M155" s="81">
        <v>98168</v>
      </c>
      <c r="N155" s="62" t="s">
        <v>10</v>
      </c>
      <c r="O155" s="36">
        <v>29</v>
      </c>
      <c r="P155" s="36">
        <v>26</v>
      </c>
      <c r="Q155" s="33">
        <v>22</v>
      </c>
      <c r="S155" s="81">
        <v>98240</v>
      </c>
      <c r="T155" s="62" t="s">
        <v>345</v>
      </c>
      <c r="U155" s="36">
        <v>0</v>
      </c>
      <c r="V155" s="36">
        <v>1</v>
      </c>
      <c r="W155" s="36">
        <v>0</v>
      </c>
    </row>
    <row r="156" spans="1:23" x14ac:dyDescent="0.2">
      <c r="A156" s="56">
        <v>98168</v>
      </c>
      <c r="B156" s="62" t="s">
        <v>345</v>
      </c>
      <c r="C156" s="36">
        <v>2</v>
      </c>
      <c r="D156" s="36">
        <v>8</v>
      </c>
      <c r="E156" s="33">
        <v>5</v>
      </c>
      <c r="G156" s="81">
        <v>98260</v>
      </c>
      <c r="H156" s="62" t="s">
        <v>10</v>
      </c>
      <c r="I156" s="36">
        <v>0</v>
      </c>
      <c r="J156" s="36">
        <v>4</v>
      </c>
      <c r="K156" s="36">
        <v>3</v>
      </c>
      <c r="M156" s="56">
        <v>98177</v>
      </c>
      <c r="N156" s="62" t="s">
        <v>10</v>
      </c>
      <c r="O156" s="36">
        <v>2</v>
      </c>
      <c r="P156" s="36">
        <v>3</v>
      </c>
      <c r="Q156" s="36">
        <v>0</v>
      </c>
      <c r="S156" s="81">
        <v>98240</v>
      </c>
      <c r="T156" s="62" t="s">
        <v>10</v>
      </c>
      <c r="U156" s="33">
        <v>0</v>
      </c>
      <c r="V156" s="33">
        <v>1</v>
      </c>
      <c r="W156" s="36">
        <v>3</v>
      </c>
    </row>
    <row r="157" spans="1:23" x14ac:dyDescent="0.2">
      <c r="A157" s="81">
        <v>98168</v>
      </c>
      <c r="B157" s="62" t="s">
        <v>10</v>
      </c>
      <c r="C157" s="36">
        <v>37</v>
      </c>
      <c r="D157" s="36">
        <v>41</v>
      </c>
      <c r="E157" s="36">
        <v>31</v>
      </c>
      <c r="G157" s="81">
        <v>98263</v>
      </c>
      <c r="H157" s="62" t="s">
        <v>10</v>
      </c>
      <c r="I157" s="36">
        <v>0</v>
      </c>
      <c r="J157" s="36">
        <v>1</v>
      </c>
      <c r="K157" s="36">
        <v>1</v>
      </c>
      <c r="M157" s="81">
        <v>98178</v>
      </c>
      <c r="N157" s="62" t="s">
        <v>345</v>
      </c>
      <c r="O157" s="36">
        <v>2</v>
      </c>
      <c r="P157" s="33">
        <v>1</v>
      </c>
      <c r="Q157" s="33">
        <v>0</v>
      </c>
      <c r="S157" s="56">
        <v>98244</v>
      </c>
      <c r="T157" s="62" t="s">
        <v>345</v>
      </c>
      <c r="U157" s="36">
        <v>0</v>
      </c>
      <c r="V157" s="36">
        <v>2</v>
      </c>
      <c r="W157" s="36">
        <v>0</v>
      </c>
    </row>
    <row r="158" spans="1:23" x14ac:dyDescent="0.2">
      <c r="A158" s="56">
        <v>98177</v>
      </c>
      <c r="B158" s="62" t="s">
        <v>10</v>
      </c>
      <c r="C158" s="36">
        <v>6</v>
      </c>
      <c r="D158" s="36">
        <v>6</v>
      </c>
      <c r="E158" s="36">
        <v>4</v>
      </c>
      <c r="G158" s="81">
        <v>98264</v>
      </c>
      <c r="H158" s="62" t="s">
        <v>345</v>
      </c>
      <c r="I158" s="36">
        <v>0</v>
      </c>
      <c r="J158" s="33">
        <v>0</v>
      </c>
      <c r="K158" s="36">
        <v>1</v>
      </c>
      <c r="M158" s="56">
        <v>98178</v>
      </c>
      <c r="N158" s="62" t="s">
        <v>10</v>
      </c>
      <c r="O158" s="36">
        <v>17</v>
      </c>
      <c r="P158" s="36">
        <v>18</v>
      </c>
      <c r="Q158" s="36">
        <v>9</v>
      </c>
      <c r="S158" s="81">
        <v>98244</v>
      </c>
      <c r="T158" s="62" t="s">
        <v>10</v>
      </c>
      <c r="U158" s="36">
        <v>5</v>
      </c>
      <c r="V158" s="33">
        <v>8</v>
      </c>
      <c r="W158" s="33">
        <v>6</v>
      </c>
    </row>
    <row r="159" spans="1:23" x14ac:dyDescent="0.2">
      <c r="A159" s="81">
        <v>98178</v>
      </c>
      <c r="B159" s="62" t="s">
        <v>345</v>
      </c>
      <c r="C159" s="36">
        <v>1</v>
      </c>
      <c r="D159" s="33">
        <v>3</v>
      </c>
      <c r="E159" s="33">
        <v>2</v>
      </c>
      <c r="G159" s="56">
        <v>98264</v>
      </c>
      <c r="H159" s="62" t="s">
        <v>10</v>
      </c>
      <c r="I159" s="36">
        <v>6</v>
      </c>
      <c r="J159" s="36">
        <v>6</v>
      </c>
      <c r="K159" s="36">
        <v>3</v>
      </c>
      <c r="M159" s="81">
        <v>98188</v>
      </c>
      <c r="N159" s="62" t="s">
        <v>345</v>
      </c>
      <c r="O159" s="36">
        <v>0</v>
      </c>
      <c r="P159" s="33">
        <v>3</v>
      </c>
      <c r="Q159" s="36">
        <v>5</v>
      </c>
      <c r="S159" s="56">
        <v>98247</v>
      </c>
      <c r="T159" s="62" t="s">
        <v>345</v>
      </c>
      <c r="U159" s="36">
        <v>0</v>
      </c>
      <c r="V159" s="36">
        <v>0</v>
      </c>
      <c r="W159" s="36">
        <v>1</v>
      </c>
    </row>
    <row r="160" spans="1:23" x14ac:dyDescent="0.2">
      <c r="A160" s="81">
        <v>98178</v>
      </c>
      <c r="B160" s="62" t="s">
        <v>10</v>
      </c>
      <c r="C160" s="36">
        <v>19</v>
      </c>
      <c r="D160" s="36">
        <v>22</v>
      </c>
      <c r="E160" s="36">
        <v>28</v>
      </c>
      <c r="G160" s="81">
        <v>98266</v>
      </c>
      <c r="H160" s="62" t="s">
        <v>10</v>
      </c>
      <c r="I160" s="33">
        <v>4</v>
      </c>
      <c r="J160" s="36">
        <v>6</v>
      </c>
      <c r="K160" s="36">
        <v>3</v>
      </c>
      <c r="M160" s="81">
        <v>98188</v>
      </c>
      <c r="N160" s="62" t="s">
        <v>10</v>
      </c>
      <c r="O160" s="33">
        <v>69</v>
      </c>
      <c r="P160" s="36">
        <v>70</v>
      </c>
      <c r="Q160" s="36">
        <v>61</v>
      </c>
      <c r="S160" s="81">
        <v>98247</v>
      </c>
      <c r="T160" s="62" t="s">
        <v>10</v>
      </c>
      <c r="U160" s="36">
        <v>4</v>
      </c>
      <c r="V160" s="36">
        <v>6</v>
      </c>
      <c r="W160" s="36">
        <v>5</v>
      </c>
    </row>
    <row r="161" spans="1:23" x14ac:dyDescent="0.2">
      <c r="A161" s="56">
        <v>98188</v>
      </c>
      <c r="B161" s="62" t="s">
        <v>345</v>
      </c>
      <c r="C161" s="36">
        <v>5</v>
      </c>
      <c r="D161" s="36">
        <v>3</v>
      </c>
      <c r="E161" s="36">
        <v>5</v>
      </c>
      <c r="G161" s="81">
        <v>98267</v>
      </c>
      <c r="H161" s="62" t="s">
        <v>10</v>
      </c>
      <c r="I161" s="36">
        <v>0</v>
      </c>
      <c r="J161" s="36">
        <v>0</v>
      </c>
      <c r="K161" s="36">
        <v>1</v>
      </c>
      <c r="M161" s="56">
        <v>98198</v>
      </c>
      <c r="N161" s="62" t="s">
        <v>345</v>
      </c>
      <c r="O161" s="36">
        <v>3</v>
      </c>
      <c r="P161" s="36">
        <v>6</v>
      </c>
      <c r="Q161" s="36">
        <v>3</v>
      </c>
      <c r="S161" s="81">
        <v>98248</v>
      </c>
      <c r="T161" s="62" t="s">
        <v>345</v>
      </c>
      <c r="U161" s="36">
        <v>0</v>
      </c>
      <c r="V161" s="36">
        <v>1</v>
      </c>
      <c r="W161" s="36">
        <v>4</v>
      </c>
    </row>
    <row r="162" spans="1:23" x14ac:dyDescent="0.2">
      <c r="A162" s="81">
        <v>98188</v>
      </c>
      <c r="B162" s="62" t="s">
        <v>10</v>
      </c>
      <c r="C162" s="36">
        <v>101</v>
      </c>
      <c r="D162" s="36">
        <v>116</v>
      </c>
      <c r="E162" s="36">
        <v>101</v>
      </c>
      <c r="G162" s="81">
        <v>98270</v>
      </c>
      <c r="H162" s="62" t="s">
        <v>10</v>
      </c>
      <c r="I162" s="36">
        <v>5</v>
      </c>
      <c r="J162" s="33">
        <v>4</v>
      </c>
      <c r="K162" s="36">
        <v>5</v>
      </c>
      <c r="M162" s="81">
        <v>98198</v>
      </c>
      <c r="N162" s="62" t="s">
        <v>10</v>
      </c>
      <c r="O162" s="33">
        <v>141</v>
      </c>
      <c r="P162" s="36">
        <v>129</v>
      </c>
      <c r="Q162" s="36">
        <v>113</v>
      </c>
      <c r="S162" s="81">
        <v>98248</v>
      </c>
      <c r="T162" s="62" t="s">
        <v>10</v>
      </c>
      <c r="U162" s="36">
        <v>9</v>
      </c>
      <c r="V162" s="36">
        <v>12</v>
      </c>
      <c r="W162" s="36">
        <v>9</v>
      </c>
    </row>
    <row r="163" spans="1:23" x14ac:dyDescent="0.2">
      <c r="A163" s="56">
        <v>98198</v>
      </c>
      <c r="B163" s="62" t="s">
        <v>345</v>
      </c>
      <c r="C163" s="36">
        <v>5</v>
      </c>
      <c r="D163" s="36">
        <v>5</v>
      </c>
      <c r="E163" s="36">
        <v>9</v>
      </c>
      <c r="G163" s="56">
        <v>98271</v>
      </c>
      <c r="H163" s="62" t="s">
        <v>345</v>
      </c>
      <c r="I163" s="36">
        <v>0</v>
      </c>
      <c r="J163" s="36">
        <v>0</v>
      </c>
      <c r="K163" s="33">
        <v>1</v>
      </c>
      <c r="M163" s="56">
        <v>98199</v>
      </c>
      <c r="N163" s="62" t="s">
        <v>345</v>
      </c>
      <c r="O163" s="36">
        <v>1</v>
      </c>
      <c r="P163" s="36">
        <v>0</v>
      </c>
      <c r="Q163" s="36">
        <v>0</v>
      </c>
      <c r="S163" s="81">
        <v>98249</v>
      </c>
      <c r="T163" s="62" t="s">
        <v>345</v>
      </c>
      <c r="U163" s="36">
        <v>0</v>
      </c>
      <c r="V163" s="36">
        <v>0</v>
      </c>
      <c r="W163" s="36">
        <v>1</v>
      </c>
    </row>
    <row r="164" spans="1:23" x14ac:dyDescent="0.2">
      <c r="A164" s="81">
        <v>98198</v>
      </c>
      <c r="B164" s="62" t="s">
        <v>10</v>
      </c>
      <c r="C164" s="36">
        <v>182</v>
      </c>
      <c r="D164" s="36">
        <v>195</v>
      </c>
      <c r="E164" s="36">
        <v>168</v>
      </c>
      <c r="G164" s="81">
        <v>98271</v>
      </c>
      <c r="H164" s="62" t="s">
        <v>10</v>
      </c>
      <c r="I164" s="33">
        <v>3</v>
      </c>
      <c r="J164" s="33">
        <v>0</v>
      </c>
      <c r="K164" s="36">
        <v>1</v>
      </c>
      <c r="M164" s="81">
        <v>98199</v>
      </c>
      <c r="N164" s="62" t="s">
        <v>10</v>
      </c>
      <c r="O164" s="36">
        <v>3</v>
      </c>
      <c r="P164" s="36">
        <v>5</v>
      </c>
      <c r="Q164" s="36">
        <v>2</v>
      </c>
      <c r="S164" s="81">
        <v>98249</v>
      </c>
      <c r="T164" s="62" t="s">
        <v>10</v>
      </c>
      <c r="U164" s="36">
        <v>2</v>
      </c>
      <c r="V164" s="33">
        <v>7</v>
      </c>
      <c r="W164" s="33">
        <v>1</v>
      </c>
    </row>
    <row r="165" spans="1:23" x14ac:dyDescent="0.2">
      <c r="A165" s="56">
        <v>98199</v>
      </c>
      <c r="B165" s="62" t="s">
        <v>10</v>
      </c>
      <c r="C165" s="36">
        <v>5</v>
      </c>
      <c r="D165" s="36">
        <v>5</v>
      </c>
      <c r="E165" s="36">
        <v>9</v>
      </c>
      <c r="G165" s="56">
        <v>98272</v>
      </c>
      <c r="H165" s="62" t="s">
        <v>345</v>
      </c>
      <c r="I165" s="36">
        <v>0</v>
      </c>
      <c r="J165" s="36">
        <v>1</v>
      </c>
      <c r="K165" s="36">
        <v>0</v>
      </c>
      <c r="M165" s="56">
        <v>98201</v>
      </c>
      <c r="N165" s="62" t="s">
        <v>345</v>
      </c>
      <c r="O165" s="36">
        <v>0</v>
      </c>
      <c r="P165" s="36">
        <v>1</v>
      </c>
      <c r="Q165" s="36">
        <v>1</v>
      </c>
      <c r="S165" s="56">
        <v>98252</v>
      </c>
      <c r="T165" s="62" t="s">
        <v>345</v>
      </c>
      <c r="U165" s="36">
        <v>0</v>
      </c>
      <c r="V165" s="36">
        <v>1</v>
      </c>
      <c r="W165" s="36">
        <v>0</v>
      </c>
    </row>
    <row r="166" spans="1:23" x14ac:dyDescent="0.2">
      <c r="A166" s="81">
        <v>98201</v>
      </c>
      <c r="B166" s="62" t="s">
        <v>345</v>
      </c>
      <c r="C166" s="36">
        <v>4</v>
      </c>
      <c r="D166" s="36">
        <v>2</v>
      </c>
      <c r="E166" s="36">
        <v>3</v>
      </c>
      <c r="G166" s="81">
        <v>98272</v>
      </c>
      <c r="H166" s="62" t="s">
        <v>10</v>
      </c>
      <c r="I166" s="33">
        <v>1</v>
      </c>
      <c r="J166" s="33">
        <v>0</v>
      </c>
      <c r="K166" s="36">
        <v>0</v>
      </c>
      <c r="M166" s="81">
        <v>98201</v>
      </c>
      <c r="N166" s="62" t="s">
        <v>10</v>
      </c>
      <c r="O166" s="36">
        <v>15</v>
      </c>
      <c r="P166" s="36">
        <v>16</v>
      </c>
      <c r="Q166" s="33">
        <v>9</v>
      </c>
      <c r="S166" s="81">
        <v>98252</v>
      </c>
      <c r="T166" s="62" t="s">
        <v>10</v>
      </c>
      <c r="U166" s="36">
        <v>0</v>
      </c>
      <c r="V166" s="33">
        <v>0</v>
      </c>
      <c r="W166" s="33">
        <v>1</v>
      </c>
    </row>
    <row r="167" spans="1:23" x14ac:dyDescent="0.2">
      <c r="A167" s="81">
        <v>98201</v>
      </c>
      <c r="B167" s="62" t="s">
        <v>10</v>
      </c>
      <c r="C167" s="33">
        <v>20</v>
      </c>
      <c r="D167" s="36">
        <v>19</v>
      </c>
      <c r="E167" s="36">
        <v>20</v>
      </c>
      <c r="G167" s="56">
        <v>98273</v>
      </c>
      <c r="H167" s="62" t="s">
        <v>345</v>
      </c>
      <c r="I167" s="36">
        <v>1</v>
      </c>
      <c r="J167" s="36">
        <v>0</v>
      </c>
      <c r="K167" s="36">
        <v>1</v>
      </c>
      <c r="M167" s="56">
        <v>98203</v>
      </c>
      <c r="N167" s="62" t="s">
        <v>345</v>
      </c>
      <c r="O167" s="36">
        <v>0</v>
      </c>
      <c r="P167" s="36">
        <v>2</v>
      </c>
      <c r="Q167" s="36">
        <v>0</v>
      </c>
      <c r="S167" s="81">
        <v>98253</v>
      </c>
      <c r="T167" s="62" t="s">
        <v>10</v>
      </c>
      <c r="U167" s="36">
        <v>0</v>
      </c>
      <c r="V167" s="36">
        <v>1</v>
      </c>
      <c r="W167" s="36">
        <v>2</v>
      </c>
    </row>
    <row r="168" spans="1:23" x14ac:dyDescent="0.2">
      <c r="A168" s="56">
        <v>98203</v>
      </c>
      <c r="B168" s="62" t="s">
        <v>345</v>
      </c>
      <c r="C168" s="36">
        <v>2</v>
      </c>
      <c r="D168" s="36">
        <v>1</v>
      </c>
      <c r="E168" s="36">
        <v>3</v>
      </c>
      <c r="G168" s="81">
        <v>98273</v>
      </c>
      <c r="H168" s="62" t="s">
        <v>10</v>
      </c>
      <c r="I168" s="36">
        <v>14</v>
      </c>
      <c r="J168" s="36">
        <v>16</v>
      </c>
      <c r="K168" s="36">
        <v>10</v>
      </c>
      <c r="M168" s="81">
        <v>98203</v>
      </c>
      <c r="N168" s="62" t="s">
        <v>10</v>
      </c>
      <c r="O168" s="33">
        <v>22</v>
      </c>
      <c r="P168" s="36">
        <v>8</v>
      </c>
      <c r="Q168" s="36">
        <v>17</v>
      </c>
      <c r="S168" s="81">
        <v>98255</v>
      </c>
      <c r="T168" s="62" t="s">
        <v>10</v>
      </c>
      <c r="U168" s="36">
        <v>0</v>
      </c>
      <c r="V168" s="36">
        <v>1</v>
      </c>
      <c r="W168" s="36">
        <v>0</v>
      </c>
    </row>
    <row r="169" spans="1:23" x14ac:dyDescent="0.2">
      <c r="A169" s="81">
        <v>98203</v>
      </c>
      <c r="B169" s="62" t="s">
        <v>10</v>
      </c>
      <c r="C169" s="36">
        <v>17</v>
      </c>
      <c r="D169" s="36">
        <v>20</v>
      </c>
      <c r="E169" s="36">
        <v>12</v>
      </c>
      <c r="G169" s="81">
        <v>98274</v>
      </c>
      <c r="H169" s="62" t="s">
        <v>10</v>
      </c>
      <c r="I169" s="36">
        <v>5</v>
      </c>
      <c r="J169" s="36">
        <v>10</v>
      </c>
      <c r="K169" s="36">
        <v>11</v>
      </c>
      <c r="M169" s="81">
        <v>98204</v>
      </c>
      <c r="N169" s="62" t="s">
        <v>345</v>
      </c>
      <c r="O169" s="36">
        <v>2</v>
      </c>
      <c r="P169" s="36">
        <v>1</v>
      </c>
      <c r="Q169" s="33">
        <v>0</v>
      </c>
      <c r="S169" s="81">
        <v>98257</v>
      </c>
      <c r="T169" s="62" t="s">
        <v>10</v>
      </c>
      <c r="U169" s="36">
        <v>4</v>
      </c>
      <c r="V169" s="36">
        <v>3</v>
      </c>
      <c r="W169" s="33">
        <v>3</v>
      </c>
    </row>
    <row r="170" spans="1:23" x14ac:dyDescent="0.2">
      <c r="A170" s="81">
        <v>98204</v>
      </c>
      <c r="B170" s="62" t="s">
        <v>10</v>
      </c>
      <c r="C170" s="36">
        <v>14</v>
      </c>
      <c r="D170" s="36">
        <v>18</v>
      </c>
      <c r="E170" s="36">
        <v>11</v>
      </c>
      <c r="G170" s="81">
        <v>98276</v>
      </c>
      <c r="H170" s="62" t="s">
        <v>10</v>
      </c>
      <c r="I170" s="33">
        <v>1</v>
      </c>
      <c r="J170" s="36">
        <v>0</v>
      </c>
      <c r="K170" s="33">
        <v>1</v>
      </c>
      <c r="M170" s="56">
        <v>98204</v>
      </c>
      <c r="N170" s="62" t="s">
        <v>10</v>
      </c>
      <c r="O170" s="36">
        <v>19</v>
      </c>
      <c r="P170" s="36">
        <v>6</v>
      </c>
      <c r="Q170" s="36">
        <v>14</v>
      </c>
      <c r="S170" s="56">
        <v>98258</v>
      </c>
      <c r="T170" s="62" t="s">
        <v>10</v>
      </c>
      <c r="U170" s="36">
        <v>11</v>
      </c>
      <c r="V170" s="36">
        <v>11</v>
      </c>
      <c r="W170" s="36">
        <v>8</v>
      </c>
    </row>
    <row r="171" spans="1:23" x14ac:dyDescent="0.2">
      <c r="A171" s="81">
        <v>98208</v>
      </c>
      <c r="B171" s="62" t="s">
        <v>345</v>
      </c>
      <c r="C171" s="36">
        <v>2</v>
      </c>
      <c r="D171" s="36">
        <v>2</v>
      </c>
      <c r="E171" s="36">
        <v>1</v>
      </c>
      <c r="G171" s="56">
        <v>98277</v>
      </c>
      <c r="H171" s="62" t="s">
        <v>345</v>
      </c>
      <c r="I171" s="36">
        <v>0</v>
      </c>
      <c r="J171" s="36">
        <v>1</v>
      </c>
      <c r="K171" s="36">
        <v>0</v>
      </c>
      <c r="M171" s="81">
        <v>98208</v>
      </c>
      <c r="N171" s="62" t="s">
        <v>10</v>
      </c>
      <c r="O171" s="33">
        <v>32</v>
      </c>
      <c r="P171" s="36">
        <v>26</v>
      </c>
      <c r="Q171" s="33">
        <v>19</v>
      </c>
      <c r="S171" s="81">
        <v>98260</v>
      </c>
      <c r="T171" s="62" t="s">
        <v>10</v>
      </c>
      <c r="U171" s="36">
        <v>2</v>
      </c>
      <c r="V171" s="36">
        <v>2</v>
      </c>
      <c r="W171" s="36">
        <v>2</v>
      </c>
    </row>
    <row r="172" spans="1:23" x14ac:dyDescent="0.2">
      <c r="A172" s="81">
        <v>98208</v>
      </c>
      <c r="B172" s="62" t="s">
        <v>10</v>
      </c>
      <c r="C172" s="36">
        <v>33</v>
      </c>
      <c r="D172" s="36">
        <v>40</v>
      </c>
      <c r="E172" s="36">
        <v>40</v>
      </c>
      <c r="G172" s="81">
        <v>98277</v>
      </c>
      <c r="H172" s="62" t="s">
        <v>10</v>
      </c>
      <c r="I172" s="36">
        <v>17</v>
      </c>
      <c r="J172" s="36">
        <v>30</v>
      </c>
      <c r="K172" s="36">
        <v>4</v>
      </c>
      <c r="M172" s="81">
        <v>98220</v>
      </c>
      <c r="N172" s="62" t="s">
        <v>10</v>
      </c>
      <c r="O172" s="36">
        <v>1</v>
      </c>
      <c r="P172" s="36">
        <v>1</v>
      </c>
      <c r="Q172" s="36">
        <v>0</v>
      </c>
      <c r="S172" s="81">
        <v>98263</v>
      </c>
      <c r="T172" s="62" t="s">
        <v>10</v>
      </c>
      <c r="U172" s="36">
        <v>1</v>
      </c>
      <c r="V172" s="33">
        <v>0</v>
      </c>
      <c r="W172" s="36">
        <v>0</v>
      </c>
    </row>
    <row r="173" spans="1:23" x14ac:dyDescent="0.2">
      <c r="A173" s="56">
        <v>98220</v>
      </c>
      <c r="B173" s="62" t="s">
        <v>10</v>
      </c>
      <c r="C173" s="36">
        <v>4</v>
      </c>
      <c r="D173" s="36">
        <v>2</v>
      </c>
      <c r="E173" s="36">
        <v>2</v>
      </c>
      <c r="G173" s="81">
        <v>98281</v>
      </c>
      <c r="H173" s="62" t="s">
        <v>10</v>
      </c>
      <c r="I173" s="36">
        <v>1</v>
      </c>
      <c r="J173" s="36">
        <v>1</v>
      </c>
      <c r="K173" s="36">
        <v>0</v>
      </c>
      <c r="M173" s="56">
        <v>98221</v>
      </c>
      <c r="N173" s="62" t="s">
        <v>345</v>
      </c>
      <c r="O173" s="36">
        <v>3</v>
      </c>
      <c r="P173" s="36">
        <v>3</v>
      </c>
      <c r="Q173" s="36">
        <v>3</v>
      </c>
      <c r="S173" s="81">
        <v>98264</v>
      </c>
      <c r="T173" s="62" t="s">
        <v>345</v>
      </c>
      <c r="U173" s="33">
        <v>1</v>
      </c>
      <c r="V173" s="36">
        <v>0</v>
      </c>
      <c r="W173" s="36">
        <v>0</v>
      </c>
    </row>
    <row r="174" spans="1:23" x14ac:dyDescent="0.2">
      <c r="A174" s="81">
        <v>98221</v>
      </c>
      <c r="B174" s="62" t="s">
        <v>345</v>
      </c>
      <c r="C174" s="36">
        <v>5</v>
      </c>
      <c r="D174" s="36">
        <v>5</v>
      </c>
      <c r="E174" s="36">
        <v>7</v>
      </c>
      <c r="G174" s="81">
        <v>98283</v>
      </c>
      <c r="H174" s="62" t="s">
        <v>10</v>
      </c>
      <c r="I174" s="36">
        <v>0</v>
      </c>
      <c r="J174" s="36">
        <v>2</v>
      </c>
      <c r="K174" s="36">
        <v>2</v>
      </c>
      <c r="M174" s="81">
        <v>98221</v>
      </c>
      <c r="N174" s="62" t="s">
        <v>10</v>
      </c>
      <c r="O174" s="36">
        <v>18</v>
      </c>
      <c r="P174" s="36">
        <v>33</v>
      </c>
      <c r="Q174" s="36">
        <v>18</v>
      </c>
      <c r="S174" s="81">
        <v>98264</v>
      </c>
      <c r="T174" s="62" t="s">
        <v>10</v>
      </c>
      <c r="U174" s="33">
        <v>8</v>
      </c>
      <c r="V174" s="36">
        <v>8</v>
      </c>
      <c r="W174" s="33">
        <v>8</v>
      </c>
    </row>
    <row r="175" spans="1:23" x14ac:dyDescent="0.2">
      <c r="A175" s="81">
        <v>98221</v>
      </c>
      <c r="B175" s="62" t="s">
        <v>10</v>
      </c>
      <c r="C175" s="36">
        <v>51</v>
      </c>
      <c r="D175" s="36">
        <v>49</v>
      </c>
      <c r="E175" s="36">
        <v>47</v>
      </c>
      <c r="G175" s="81">
        <v>98284</v>
      </c>
      <c r="H175" s="62" t="s">
        <v>10</v>
      </c>
      <c r="I175" s="36">
        <v>18</v>
      </c>
      <c r="J175" s="36">
        <v>18</v>
      </c>
      <c r="K175" s="36">
        <v>14</v>
      </c>
      <c r="M175" s="56">
        <v>98224</v>
      </c>
      <c r="N175" s="62" t="s">
        <v>10</v>
      </c>
      <c r="O175" s="36">
        <v>0</v>
      </c>
      <c r="P175" s="36">
        <v>3</v>
      </c>
      <c r="Q175" s="36">
        <v>2</v>
      </c>
      <c r="S175" s="81">
        <v>98266</v>
      </c>
      <c r="T175" s="62" t="s">
        <v>10</v>
      </c>
      <c r="U175" s="36">
        <v>3</v>
      </c>
      <c r="V175" s="33">
        <v>3</v>
      </c>
      <c r="W175" s="33">
        <v>4</v>
      </c>
    </row>
    <row r="176" spans="1:23" x14ac:dyDescent="0.2">
      <c r="A176" s="56">
        <v>98223</v>
      </c>
      <c r="B176" s="62" t="s">
        <v>10</v>
      </c>
      <c r="C176" s="36">
        <v>1</v>
      </c>
      <c r="D176" s="36">
        <v>1</v>
      </c>
      <c r="E176" s="36">
        <v>0</v>
      </c>
      <c r="G176" s="81">
        <v>98288</v>
      </c>
      <c r="H176" s="62" t="s">
        <v>10</v>
      </c>
      <c r="I176" s="33">
        <v>0</v>
      </c>
      <c r="J176" s="33">
        <v>0</v>
      </c>
      <c r="K176" s="36">
        <v>1</v>
      </c>
      <c r="M176" s="81">
        <v>98225</v>
      </c>
      <c r="N176" s="62" t="s">
        <v>345</v>
      </c>
      <c r="O176" s="36">
        <v>9</v>
      </c>
      <c r="P176" s="33">
        <v>11</v>
      </c>
      <c r="Q176" s="36">
        <v>6</v>
      </c>
      <c r="S176" s="81">
        <v>98267</v>
      </c>
      <c r="T176" s="62" t="s">
        <v>10</v>
      </c>
      <c r="U176" s="36">
        <v>1</v>
      </c>
      <c r="V176" s="33">
        <v>0</v>
      </c>
      <c r="W176" s="36">
        <v>0</v>
      </c>
    </row>
    <row r="177" spans="1:23" x14ac:dyDescent="0.2">
      <c r="A177" s="81">
        <v>98224</v>
      </c>
      <c r="B177" s="62" t="s">
        <v>10</v>
      </c>
      <c r="C177" s="33">
        <v>2</v>
      </c>
      <c r="D177" s="36">
        <v>2</v>
      </c>
      <c r="E177" s="36">
        <v>4</v>
      </c>
      <c r="G177" s="56">
        <v>98290</v>
      </c>
      <c r="H177" s="62" t="s">
        <v>10</v>
      </c>
      <c r="I177" s="36">
        <v>1</v>
      </c>
      <c r="J177" s="36">
        <v>2</v>
      </c>
      <c r="K177" s="36">
        <v>1</v>
      </c>
      <c r="M177" s="56">
        <v>98225</v>
      </c>
      <c r="N177" s="62" t="s">
        <v>10</v>
      </c>
      <c r="O177" s="36">
        <v>80</v>
      </c>
      <c r="P177" s="36">
        <v>68</v>
      </c>
      <c r="Q177" s="36">
        <v>61</v>
      </c>
      <c r="S177" s="81">
        <v>98270</v>
      </c>
      <c r="T177" s="62" t="s">
        <v>10</v>
      </c>
      <c r="U177" s="33">
        <v>15</v>
      </c>
      <c r="V177" s="36">
        <v>15</v>
      </c>
      <c r="W177" s="33">
        <v>10</v>
      </c>
    </row>
    <row r="178" spans="1:23" x14ac:dyDescent="0.2">
      <c r="A178" s="56">
        <v>98225</v>
      </c>
      <c r="B178" s="62" t="s">
        <v>345</v>
      </c>
      <c r="C178" s="36">
        <v>10</v>
      </c>
      <c r="D178" s="36">
        <v>17</v>
      </c>
      <c r="E178" s="36">
        <v>19</v>
      </c>
      <c r="G178" s="81">
        <v>98292</v>
      </c>
      <c r="H178" s="62" t="s">
        <v>10</v>
      </c>
      <c r="I178" s="36">
        <v>0</v>
      </c>
      <c r="J178" s="36">
        <v>2</v>
      </c>
      <c r="K178" s="36">
        <v>0</v>
      </c>
      <c r="M178" s="81">
        <v>98226</v>
      </c>
      <c r="N178" s="62" t="s">
        <v>345</v>
      </c>
      <c r="O178" s="33">
        <v>10</v>
      </c>
      <c r="P178" s="36">
        <v>6</v>
      </c>
      <c r="Q178" s="36">
        <v>4</v>
      </c>
      <c r="S178" s="81">
        <v>98271</v>
      </c>
      <c r="T178" s="62" t="s">
        <v>10</v>
      </c>
      <c r="U178" s="33">
        <v>1</v>
      </c>
      <c r="V178" s="33">
        <v>3</v>
      </c>
      <c r="W178" s="36">
        <v>2</v>
      </c>
    </row>
    <row r="179" spans="1:23" x14ac:dyDescent="0.2">
      <c r="A179" s="81">
        <v>98225</v>
      </c>
      <c r="B179" s="62" t="s">
        <v>10</v>
      </c>
      <c r="C179" s="36">
        <v>111</v>
      </c>
      <c r="D179" s="36">
        <v>122</v>
      </c>
      <c r="E179" s="36">
        <v>104</v>
      </c>
      <c r="G179" s="81">
        <v>98294</v>
      </c>
      <c r="H179" s="62" t="s">
        <v>10</v>
      </c>
      <c r="I179" s="36">
        <v>0</v>
      </c>
      <c r="J179" s="36">
        <v>1</v>
      </c>
      <c r="K179" s="36">
        <v>1</v>
      </c>
      <c r="M179" s="56">
        <v>98226</v>
      </c>
      <c r="N179" s="62" t="s">
        <v>10</v>
      </c>
      <c r="O179" s="36">
        <v>75</v>
      </c>
      <c r="P179" s="36">
        <v>96</v>
      </c>
      <c r="Q179" s="36">
        <v>72</v>
      </c>
      <c r="S179" s="81">
        <v>98272</v>
      </c>
      <c r="T179" s="62" t="s">
        <v>10</v>
      </c>
      <c r="U179" s="33">
        <v>4</v>
      </c>
      <c r="V179" s="33">
        <v>1</v>
      </c>
      <c r="W179" s="36">
        <v>3</v>
      </c>
    </row>
    <row r="180" spans="1:23" x14ac:dyDescent="0.2">
      <c r="A180" s="56">
        <v>98226</v>
      </c>
      <c r="B180" s="62" t="s">
        <v>345</v>
      </c>
      <c r="C180" s="36">
        <v>16</v>
      </c>
      <c r="D180" s="36">
        <v>14</v>
      </c>
      <c r="E180" s="36">
        <v>12</v>
      </c>
      <c r="G180" s="81">
        <v>98296</v>
      </c>
      <c r="H180" s="62" t="s">
        <v>10</v>
      </c>
      <c r="I180" s="33">
        <v>1</v>
      </c>
      <c r="J180" s="36">
        <v>1</v>
      </c>
      <c r="K180" s="33">
        <v>2</v>
      </c>
      <c r="M180" s="81">
        <v>98229</v>
      </c>
      <c r="N180" s="62" t="s">
        <v>345</v>
      </c>
      <c r="O180" s="36">
        <v>0</v>
      </c>
      <c r="P180" s="33">
        <v>1</v>
      </c>
      <c r="Q180" s="33">
        <v>0</v>
      </c>
      <c r="S180" s="81">
        <v>98273</v>
      </c>
      <c r="T180" s="62" t="s">
        <v>345</v>
      </c>
      <c r="U180" s="36">
        <v>2</v>
      </c>
      <c r="V180" s="36">
        <v>4</v>
      </c>
      <c r="W180" s="36">
        <v>1</v>
      </c>
    </row>
    <row r="181" spans="1:23" x14ac:dyDescent="0.2">
      <c r="A181" s="81">
        <v>98226</v>
      </c>
      <c r="B181" s="62" t="s">
        <v>10</v>
      </c>
      <c r="C181" s="36">
        <v>151</v>
      </c>
      <c r="D181" s="36">
        <v>146</v>
      </c>
      <c r="E181" s="36">
        <v>154</v>
      </c>
      <c r="G181" s="56">
        <v>98310</v>
      </c>
      <c r="H181" s="62" t="s">
        <v>345</v>
      </c>
      <c r="I181" s="36">
        <v>0</v>
      </c>
      <c r="J181" s="36">
        <v>0</v>
      </c>
      <c r="K181" s="36">
        <v>1</v>
      </c>
      <c r="M181" s="56">
        <v>98229</v>
      </c>
      <c r="N181" s="62" t="s">
        <v>10</v>
      </c>
      <c r="O181" s="36">
        <v>74</v>
      </c>
      <c r="P181" s="36">
        <v>56</v>
      </c>
      <c r="Q181" s="36">
        <v>59</v>
      </c>
      <c r="S181" s="81">
        <v>98273</v>
      </c>
      <c r="T181" s="62" t="s">
        <v>10</v>
      </c>
      <c r="U181" s="33">
        <v>10</v>
      </c>
      <c r="V181" s="36">
        <v>13</v>
      </c>
      <c r="W181" s="33">
        <v>12</v>
      </c>
    </row>
    <row r="182" spans="1:23" x14ac:dyDescent="0.2">
      <c r="A182" s="56">
        <v>98229</v>
      </c>
      <c r="B182" s="62" t="s">
        <v>345</v>
      </c>
      <c r="C182" s="36">
        <v>4</v>
      </c>
      <c r="D182" s="36">
        <v>3</v>
      </c>
      <c r="E182" s="36">
        <v>2</v>
      </c>
      <c r="G182" s="81">
        <v>98310</v>
      </c>
      <c r="H182" s="62" t="s">
        <v>10</v>
      </c>
      <c r="I182" s="36">
        <v>8</v>
      </c>
      <c r="J182" s="36">
        <v>12</v>
      </c>
      <c r="K182" s="36">
        <v>12</v>
      </c>
      <c r="M182" s="81">
        <v>98230</v>
      </c>
      <c r="N182" s="62" t="s">
        <v>345</v>
      </c>
      <c r="O182" s="36">
        <v>0</v>
      </c>
      <c r="P182" s="36">
        <v>0</v>
      </c>
      <c r="Q182" s="33">
        <v>1</v>
      </c>
      <c r="S182" s="81">
        <v>98274</v>
      </c>
      <c r="T182" s="62" t="s">
        <v>345</v>
      </c>
      <c r="U182" s="36">
        <v>0</v>
      </c>
      <c r="V182" s="36">
        <v>0</v>
      </c>
      <c r="W182" s="33">
        <v>1</v>
      </c>
    </row>
    <row r="183" spans="1:23" x14ac:dyDescent="0.2">
      <c r="A183" s="81">
        <v>98229</v>
      </c>
      <c r="B183" s="62" t="s">
        <v>10</v>
      </c>
      <c r="C183" s="36">
        <v>107</v>
      </c>
      <c r="D183" s="36">
        <v>117</v>
      </c>
      <c r="E183" s="36">
        <v>97</v>
      </c>
      <c r="G183" s="81">
        <v>98311</v>
      </c>
      <c r="H183" s="62" t="s">
        <v>10</v>
      </c>
      <c r="I183" s="36">
        <v>10</v>
      </c>
      <c r="J183" s="33">
        <v>15</v>
      </c>
      <c r="K183" s="36">
        <v>16</v>
      </c>
      <c r="M183" s="56">
        <v>98230</v>
      </c>
      <c r="N183" s="62" t="s">
        <v>10</v>
      </c>
      <c r="O183" s="36">
        <v>28</v>
      </c>
      <c r="P183" s="36">
        <v>35</v>
      </c>
      <c r="Q183" s="36">
        <v>22</v>
      </c>
      <c r="S183" s="81">
        <v>98274</v>
      </c>
      <c r="T183" s="62" t="s">
        <v>10</v>
      </c>
      <c r="U183" s="33">
        <v>16</v>
      </c>
      <c r="V183" s="36">
        <v>10</v>
      </c>
      <c r="W183" s="36">
        <v>11</v>
      </c>
    </row>
    <row r="184" spans="1:23" x14ac:dyDescent="0.2">
      <c r="A184" s="81">
        <v>98230</v>
      </c>
      <c r="B184" s="62" t="s">
        <v>345</v>
      </c>
      <c r="C184" s="33">
        <v>2</v>
      </c>
      <c r="D184" s="36">
        <v>2</v>
      </c>
      <c r="E184" s="36">
        <v>2</v>
      </c>
      <c r="G184" s="81">
        <v>98312</v>
      </c>
      <c r="H184" s="62" t="s">
        <v>345</v>
      </c>
      <c r="I184" s="36">
        <v>1</v>
      </c>
      <c r="J184" s="36">
        <v>0</v>
      </c>
      <c r="K184" s="36">
        <v>1</v>
      </c>
      <c r="M184" s="81">
        <v>98232</v>
      </c>
      <c r="N184" s="62" t="s">
        <v>345</v>
      </c>
      <c r="O184" s="36">
        <v>2</v>
      </c>
      <c r="P184" s="36">
        <v>0</v>
      </c>
      <c r="Q184" s="36">
        <v>0</v>
      </c>
      <c r="S184" s="81">
        <v>98275</v>
      </c>
      <c r="T184" s="62" t="s">
        <v>345</v>
      </c>
      <c r="U184" s="33">
        <v>0</v>
      </c>
      <c r="V184" s="36">
        <v>0</v>
      </c>
      <c r="W184" s="36">
        <v>1</v>
      </c>
    </row>
    <row r="185" spans="1:23" x14ac:dyDescent="0.2">
      <c r="A185" s="81">
        <v>98230</v>
      </c>
      <c r="B185" s="62" t="s">
        <v>10</v>
      </c>
      <c r="C185" s="36">
        <v>59</v>
      </c>
      <c r="D185" s="36">
        <v>57</v>
      </c>
      <c r="E185" s="36">
        <v>56</v>
      </c>
      <c r="G185" s="81">
        <v>98312</v>
      </c>
      <c r="H185" s="62" t="s">
        <v>10</v>
      </c>
      <c r="I185" s="36">
        <v>29</v>
      </c>
      <c r="J185" s="36">
        <v>19</v>
      </c>
      <c r="K185" s="36">
        <v>20</v>
      </c>
      <c r="M185" s="81">
        <v>98232</v>
      </c>
      <c r="N185" s="62" t="s">
        <v>10</v>
      </c>
      <c r="O185" s="36">
        <v>9</v>
      </c>
      <c r="P185" s="36">
        <v>10</v>
      </c>
      <c r="Q185" s="36">
        <v>9</v>
      </c>
      <c r="S185" s="81">
        <v>98275</v>
      </c>
      <c r="T185" s="62" t="s">
        <v>10</v>
      </c>
      <c r="U185" s="33">
        <v>0</v>
      </c>
      <c r="V185" s="36">
        <v>1</v>
      </c>
      <c r="W185" s="33">
        <v>2</v>
      </c>
    </row>
    <row r="186" spans="1:23" x14ac:dyDescent="0.2">
      <c r="A186" s="81">
        <v>98232</v>
      </c>
      <c r="B186" s="62" t="s">
        <v>345</v>
      </c>
      <c r="C186" s="36">
        <v>4</v>
      </c>
      <c r="D186" s="36">
        <v>4</v>
      </c>
      <c r="E186" s="36">
        <v>3</v>
      </c>
      <c r="G186" s="81">
        <v>98321</v>
      </c>
      <c r="H186" s="62" t="s">
        <v>345</v>
      </c>
      <c r="I186" s="36">
        <v>1</v>
      </c>
      <c r="J186" s="36">
        <v>0</v>
      </c>
      <c r="K186" s="33">
        <v>1</v>
      </c>
      <c r="M186" s="81">
        <v>98233</v>
      </c>
      <c r="N186" s="62" t="s">
        <v>345</v>
      </c>
      <c r="O186" s="36">
        <v>1</v>
      </c>
      <c r="P186" s="33">
        <v>3</v>
      </c>
      <c r="Q186" s="36">
        <v>2</v>
      </c>
      <c r="S186" s="81">
        <v>98276</v>
      </c>
      <c r="T186" s="62" t="s">
        <v>10</v>
      </c>
      <c r="U186" s="36">
        <v>2</v>
      </c>
      <c r="V186" s="33">
        <v>2</v>
      </c>
      <c r="W186" s="33">
        <v>2</v>
      </c>
    </row>
    <row r="187" spans="1:23" x14ac:dyDescent="0.2">
      <c r="A187" s="81">
        <v>98232</v>
      </c>
      <c r="B187" s="62" t="s">
        <v>10</v>
      </c>
      <c r="C187" s="36">
        <v>14</v>
      </c>
      <c r="D187" s="36">
        <v>16</v>
      </c>
      <c r="E187" s="33">
        <v>16</v>
      </c>
      <c r="G187" s="81">
        <v>98321</v>
      </c>
      <c r="H187" s="62" t="s">
        <v>10</v>
      </c>
      <c r="I187" s="36">
        <v>9</v>
      </c>
      <c r="J187" s="33">
        <v>7</v>
      </c>
      <c r="K187" s="36">
        <v>4</v>
      </c>
      <c r="M187" s="56">
        <v>98233</v>
      </c>
      <c r="N187" s="62" t="s">
        <v>10</v>
      </c>
      <c r="O187" s="36">
        <v>36</v>
      </c>
      <c r="P187" s="36">
        <v>38</v>
      </c>
      <c r="Q187" s="36">
        <v>48</v>
      </c>
      <c r="S187" s="81">
        <v>98277</v>
      </c>
      <c r="T187" s="62" t="s">
        <v>345</v>
      </c>
      <c r="U187" s="36">
        <v>0</v>
      </c>
      <c r="V187" s="36">
        <v>2</v>
      </c>
      <c r="W187" s="36">
        <v>1</v>
      </c>
    </row>
    <row r="188" spans="1:23" x14ac:dyDescent="0.2">
      <c r="A188" s="81">
        <v>98233</v>
      </c>
      <c r="B188" s="62" t="s">
        <v>345</v>
      </c>
      <c r="C188" s="36">
        <v>2</v>
      </c>
      <c r="D188" s="36">
        <v>2</v>
      </c>
      <c r="E188" s="33">
        <v>3</v>
      </c>
      <c r="G188" s="81">
        <v>98323</v>
      </c>
      <c r="H188" s="62" t="s">
        <v>10</v>
      </c>
      <c r="I188" s="33">
        <v>5</v>
      </c>
      <c r="J188" s="33">
        <v>1</v>
      </c>
      <c r="K188" s="36">
        <v>2</v>
      </c>
      <c r="M188" s="81">
        <v>98235</v>
      </c>
      <c r="N188" s="62" t="s">
        <v>10</v>
      </c>
      <c r="O188" s="36">
        <v>1</v>
      </c>
      <c r="P188" s="36">
        <v>2</v>
      </c>
      <c r="Q188" s="36">
        <v>1</v>
      </c>
      <c r="S188" s="81">
        <v>98277</v>
      </c>
      <c r="T188" s="62" t="s">
        <v>10</v>
      </c>
      <c r="U188" s="36">
        <v>24</v>
      </c>
      <c r="V188" s="36">
        <v>25</v>
      </c>
      <c r="W188" s="36">
        <v>21</v>
      </c>
    </row>
    <row r="189" spans="1:23" x14ac:dyDescent="0.2">
      <c r="A189" s="56">
        <v>98233</v>
      </c>
      <c r="B189" s="62" t="s">
        <v>10</v>
      </c>
      <c r="C189" s="36">
        <v>68</v>
      </c>
      <c r="D189" s="36">
        <v>70</v>
      </c>
      <c r="E189" s="36">
        <v>57</v>
      </c>
      <c r="G189" s="81">
        <v>98327</v>
      </c>
      <c r="H189" s="62" t="s">
        <v>10</v>
      </c>
      <c r="I189" s="36">
        <v>5</v>
      </c>
      <c r="J189" s="36">
        <v>4</v>
      </c>
      <c r="K189" s="36">
        <v>3</v>
      </c>
      <c r="M189" s="81">
        <v>98236</v>
      </c>
      <c r="N189" s="62" t="s">
        <v>345</v>
      </c>
      <c r="O189" s="36">
        <v>0</v>
      </c>
      <c r="P189" s="36">
        <v>0</v>
      </c>
      <c r="Q189" s="36">
        <v>1</v>
      </c>
      <c r="S189" s="81">
        <v>98281</v>
      </c>
      <c r="T189" s="62" t="s">
        <v>10</v>
      </c>
      <c r="U189" s="36">
        <v>1</v>
      </c>
      <c r="V189" s="36">
        <v>2</v>
      </c>
      <c r="W189" s="36">
        <v>1</v>
      </c>
    </row>
    <row r="190" spans="1:23" x14ac:dyDescent="0.2">
      <c r="A190" s="81">
        <v>98235</v>
      </c>
      <c r="B190" s="62" t="s">
        <v>10</v>
      </c>
      <c r="C190" s="36">
        <v>2</v>
      </c>
      <c r="D190" s="36">
        <v>3</v>
      </c>
      <c r="E190" s="36">
        <v>2</v>
      </c>
      <c r="G190" s="81">
        <v>98328</v>
      </c>
      <c r="H190" s="62" t="s">
        <v>10</v>
      </c>
      <c r="I190" s="36">
        <v>0</v>
      </c>
      <c r="J190" s="33">
        <v>0</v>
      </c>
      <c r="K190" s="36">
        <v>1</v>
      </c>
      <c r="M190" s="81">
        <v>98236</v>
      </c>
      <c r="N190" s="62" t="s">
        <v>10</v>
      </c>
      <c r="O190" s="36">
        <v>7</v>
      </c>
      <c r="P190" s="36">
        <v>12</v>
      </c>
      <c r="Q190" s="33">
        <v>5</v>
      </c>
      <c r="S190" s="81">
        <v>98283</v>
      </c>
      <c r="T190" s="62" t="s">
        <v>10</v>
      </c>
      <c r="U190" s="36">
        <v>2</v>
      </c>
      <c r="V190" s="36">
        <v>1</v>
      </c>
      <c r="W190" s="36">
        <v>1</v>
      </c>
    </row>
    <row r="191" spans="1:23" x14ac:dyDescent="0.2">
      <c r="A191" s="81">
        <v>98236</v>
      </c>
      <c r="B191" s="62" t="s">
        <v>345</v>
      </c>
      <c r="C191" s="36">
        <v>1</v>
      </c>
      <c r="D191" s="36">
        <v>1</v>
      </c>
      <c r="E191" s="36">
        <v>0</v>
      </c>
      <c r="G191" s="81">
        <v>98332</v>
      </c>
      <c r="H191" s="62" t="s">
        <v>10</v>
      </c>
      <c r="I191" s="36">
        <v>3</v>
      </c>
      <c r="J191" s="36">
        <v>1</v>
      </c>
      <c r="K191" s="36">
        <v>3</v>
      </c>
      <c r="M191" s="56">
        <v>98237</v>
      </c>
      <c r="N191" s="62" t="s">
        <v>345</v>
      </c>
      <c r="O191" s="36">
        <v>0</v>
      </c>
      <c r="P191" s="36">
        <v>2</v>
      </c>
      <c r="Q191" s="36">
        <v>1</v>
      </c>
      <c r="S191" s="81">
        <v>98284</v>
      </c>
      <c r="T191" s="62" t="s">
        <v>345</v>
      </c>
      <c r="U191" s="36">
        <v>0</v>
      </c>
      <c r="V191" s="33">
        <v>1</v>
      </c>
      <c r="W191" s="33">
        <v>3</v>
      </c>
    </row>
    <row r="192" spans="1:23" x14ac:dyDescent="0.2">
      <c r="A192" s="56">
        <v>98236</v>
      </c>
      <c r="B192" s="62" t="s">
        <v>10</v>
      </c>
      <c r="C192" s="36">
        <v>25</v>
      </c>
      <c r="D192" s="36">
        <v>21</v>
      </c>
      <c r="E192" s="36">
        <v>23</v>
      </c>
      <c r="G192" s="81">
        <v>98335</v>
      </c>
      <c r="H192" s="62" t="s">
        <v>10</v>
      </c>
      <c r="I192" s="36">
        <v>1</v>
      </c>
      <c r="J192" s="36">
        <v>4</v>
      </c>
      <c r="K192" s="33">
        <v>2</v>
      </c>
      <c r="M192" s="81">
        <v>98237</v>
      </c>
      <c r="N192" s="62" t="s">
        <v>10</v>
      </c>
      <c r="O192" s="36">
        <v>32</v>
      </c>
      <c r="P192" s="36">
        <v>24</v>
      </c>
      <c r="Q192" s="33">
        <v>33</v>
      </c>
      <c r="S192" s="56">
        <v>98284</v>
      </c>
      <c r="T192" s="62" t="s">
        <v>10</v>
      </c>
      <c r="U192" s="36">
        <v>25</v>
      </c>
      <c r="V192" s="36">
        <v>39</v>
      </c>
      <c r="W192" s="36">
        <v>30</v>
      </c>
    </row>
    <row r="193" spans="1:23" x14ac:dyDescent="0.2">
      <c r="A193" s="81">
        <v>98237</v>
      </c>
      <c r="B193" s="62" t="s">
        <v>345</v>
      </c>
      <c r="C193" s="36">
        <v>2</v>
      </c>
      <c r="D193" s="36">
        <v>3</v>
      </c>
      <c r="E193" s="36">
        <v>3</v>
      </c>
      <c r="G193" s="81">
        <v>98337</v>
      </c>
      <c r="H193" s="62" t="s">
        <v>10</v>
      </c>
      <c r="I193" s="36">
        <v>3</v>
      </c>
      <c r="J193" s="36">
        <v>3</v>
      </c>
      <c r="K193" s="36">
        <v>3</v>
      </c>
      <c r="M193" s="56">
        <v>98239</v>
      </c>
      <c r="N193" s="62" t="s">
        <v>345</v>
      </c>
      <c r="O193" s="36">
        <v>0</v>
      </c>
      <c r="P193" s="36">
        <v>1</v>
      </c>
      <c r="Q193" s="36">
        <v>0</v>
      </c>
      <c r="S193" s="81">
        <v>98290</v>
      </c>
      <c r="T193" s="62" t="s">
        <v>345</v>
      </c>
      <c r="U193" s="33">
        <v>0</v>
      </c>
      <c r="V193" s="33">
        <v>1</v>
      </c>
      <c r="W193" s="36">
        <v>0</v>
      </c>
    </row>
    <row r="194" spans="1:23" x14ac:dyDescent="0.2">
      <c r="A194" s="81">
        <v>98237</v>
      </c>
      <c r="B194" s="62" t="s">
        <v>10</v>
      </c>
      <c r="C194" s="36">
        <v>66</v>
      </c>
      <c r="D194" s="36">
        <v>63</v>
      </c>
      <c r="E194" s="36">
        <v>55</v>
      </c>
      <c r="G194" s="81">
        <v>98338</v>
      </c>
      <c r="H194" s="62" t="s">
        <v>10</v>
      </c>
      <c r="I194" s="36">
        <v>10</v>
      </c>
      <c r="J194" s="36">
        <v>6</v>
      </c>
      <c r="K194" s="36">
        <v>10</v>
      </c>
      <c r="M194" s="81">
        <v>98239</v>
      </c>
      <c r="N194" s="62" t="s">
        <v>10</v>
      </c>
      <c r="O194" s="36">
        <v>13</v>
      </c>
      <c r="P194" s="36">
        <v>16</v>
      </c>
      <c r="Q194" s="36">
        <v>14</v>
      </c>
      <c r="S194" s="56">
        <v>98290</v>
      </c>
      <c r="T194" s="62" t="s">
        <v>10</v>
      </c>
      <c r="U194" s="33">
        <v>0</v>
      </c>
      <c r="V194" s="36">
        <v>4</v>
      </c>
      <c r="W194" s="36">
        <v>2</v>
      </c>
    </row>
    <row r="195" spans="1:23" x14ac:dyDescent="0.2">
      <c r="A195" s="81">
        <v>98239</v>
      </c>
      <c r="B195" s="62" t="s">
        <v>345</v>
      </c>
      <c r="C195" s="36">
        <v>0</v>
      </c>
      <c r="D195" s="36">
        <v>1</v>
      </c>
      <c r="E195" s="36">
        <v>1</v>
      </c>
      <c r="G195" s="81">
        <v>98340</v>
      </c>
      <c r="H195" s="62" t="s">
        <v>10</v>
      </c>
      <c r="I195" s="36">
        <v>0</v>
      </c>
      <c r="J195" s="36">
        <v>1</v>
      </c>
      <c r="K195" s="36">
        <v>3</v>
      </c>
      <c r="M195" s="56">
        <v>98240</v>
      </c>
      <c r="N195" s="62" t="s">
        <v>345</v>
      </c>
      <c r="O195" s="36">
        <v>0</v>
      </c>
      <c r="P195" s="36">
        <v>1</v>
      </c>
      <c r="Q195" s="36">
        <v>0</v>
      </c>
      <c r="S195" s="81">
        <v>98292</v>
      </c>
      <c r="T195" s="62" t="s">
        <v>10</v>
      </c>
      <c r="U195" s="33">
        <v>0</v>
      </c>
      <c r="V195" s="33">
        <v>1</v>
      </c>
      <c r="W195" s="36">
        <v>1</v>
      </c>
    </row>
    <row r="196" spans="1:23" x14ac:dyDescent="0.2">
      <c r="A196" s="56">
        <v>98239</v>
      </c>
      <c r="B196" s="62" t="s">
        <v>10</v>
      </c>
      <c r="C196" s="36">
        <v>27</v>
      </c>
      <c r="D196" s="36">
        <v>21</v>
      </c>
      <c r="E196" s="36">
        <v>24</v>
      </c>
      <c r="G196" s="81">
        <v>98342</v>
      </c>
      <c r="H196" s="62" t="s">
        <v>10</v>
      </c>
      <c r="I196" s="36">
        <v>0</v>
      </c>
      <c r="J196" s="36">
        <v>0</v>
      </c>
      <c r="K196" s="36">
        <v>1</v>
      </c>
      <c r="M196" s="81">
        <v>98240</v>
      </c>
      <c r="N196" s="62" t="s">
        <v>10</v>
      </c>
      <c r="O196" s="36">
        <v>3</v>
      </c>
      <c r="P196" s="36">
        <v>7</v>
      </c>
      <c r="Q196" s="36">
        <v>5</v>
      </c>
      <c r="S196" s="56">
        <v>98294</v>
      </c>
      <c r="T196" s="62" t="s">
        <v>10</v>
      </c>
      <c r="U196" s="36">
        <v>3</v>
      </c>
      <c r="V196" s="36">
        <v>2</v>
      </c>
      <c r="W196" s="36">
        <v>0</v>
      </c>
    </row>
    <row r="197" spans="1:23" x14ac:dyDescent="0.2">
      <c r="A197" s="81">
        <v>98240</v>
      </c>
      <c r="B197" s="62" t="s">
        <v>345</v>
      </c>
      <c r="C197" s="36">
        <v>1</v>
      </c>
      <c r="D197" s="36">
        <v>0</v>
      </c>
      <c r="E197" s="36">
        <v>1</v>
      </c>
      <c r="G197" s="81">
        <v>98345</v>
      </c>
      <c r="H197" s="62" t="s">
        <v>10</v>
      </c>
      <c r="I197" s="33">
        <v>0</v>
      </c>
      <c r="J197" s="33">
        <v>0</v>
      </c>
      <c r="K197" s="36">
        <v>1</v>
      </c>
      <c r="M197" s="81">
        <v>98244</v>
      </c>
      <c r="N197" s="62" t="s">
        <v>345</v>
      </c>
      <c r="O197" s="36">
        <v>0</v>
      </c>
      <c r="P197" s="36">
        <v>3</v>
      </c>
      <c r="Q197" s="33">
        <v>0</v>
      </c>
      <c r="S197" s="81">
        <v>98295</v>
      </c>
      <c r="T197" s="62" t="s">
        <v>10</v>
      </c>
      <c r="U197" s="36">
        <v>0</v>
      </c>
      <c r="V197" s="36">
        <v>4</v>
      </c>
      <c r="W197" s="36">
        <v>3</v>
      </c>
    </row>
    <row r="198" spans="1:23" x14ac:dyDescent="0.2">
      <c r="A198" s="81">
        <v>98240</v>
      </c>
      <c r="B198" s="62" t="s">
        <v>10</v>
      </c>
      <c r="C198" s="36">
        <v>10</v>
      </c>
      <c r="D198" s="36">
        <v>8</v>
      </c>
      <c r="E198" s="36">
        <v>11</v>
      </c>
      <c r="G198" s="81">
        <v>98346</v>
      </c>
      <c r="H198" s="62" t="s">
        <v>10</v>
      </c>
      <c r="I198" s="33">
        <v>4</v>
      </c>
      <c r="J198" s="36">
        <v>3</v>
      </c>
      <c r="K198" s="33">
        <v>6</v>
      </c>
      <c r="M198" s="81">
        <v>98244</v>
      </c>
      <c r="N198" s="62" t="s">
        <v>10</v>
      </c>
      <c r="O198" s="36">
        <v>21</v>
      </c>
      <c r="P198" s="33">
        <v>23</v>
      </c>
      <c r="Q198" s="36">
        <v>14</v>
      </c>
      <c r="S198" s="81">
        <v>98296</v>
      </c>
      <c r="T198" s="62" t="s">
        <v>10</v>
      </c>
      <c r="U198" s="36">
        <v>2</v>
      </c>
      <c r="V198" s="36">
        <v>3</v>
      </c>
      <c r="W198" s="36">
        <v>2</v>
      </c>
    </row>
    <row r="199" spans="1:23" x14ac:dyDescent="0.2">
      <c r="A199" s="81">
        <v>98244</v>
      </c>
      <c r="B199" s="62" t="s">
        <v>345</v>
      </c>
      <c r="C199" s="36">
        <v>5</v>
      </c>
      <c r="D199" s="36">
        <v>2</v>
      </c>
      <c r="E199" s="36">
        <v>5</v>
      </c>
      <c r="G199" s="81">
        <v>98354</v>
      </c>
      <c r="H199" s="62" t="s">
        <v>10</v>
      </c>
      <c r="I199" s="36">
        <v>0</v>
      </c>
      <c r="J199" s="33">
        <v>2</v>
      </c>
      <c r="K199" s="33">
        <v>1</v>
      </c>
      <c r="M199" s="81">
        <v>98247</v>
      </c>
      <c r="N199" s="62" t="s">
        <v>345</v>
      </c>
      <c r="O199" s="36">
        <v>1</v>
      </c>
      <c r="P199" s="36">
        <v>1</v>
      </c>
      <c r="Q199" s="36">
        <v>1</v>
      </c>
      <c r="S199" s="81">
        <v>98310</v>
      </c>
      <c r="T199" s="62" t="s">
        <v>345</v>
      </c>
      <c r="U199" s="33">
        <v>0</v>
      </c>
      <c r="V199" s="36">
        <v>0</v>
      </c>
      <c r="W199" s="36">
        <v>2</v>
      </c>
    </row>
    <row r="200" spans="1:23" x14ac:dyDescent="0.2">
      <c r="A200" s="56">
        <v>98244</v>
      </c>
      <c r="B200" s="62" t="s">
        <v>10</v>
      </c>
      <c r="C200" s="36">
        <v>32</v>
      </c>
      <c r="D200" s="36">
        <v>31</v>
      </c>
      <c r="E200" s="36">
        <v>28</v>
      </c>
      <c r="G200" s="56">
        <v>98359</v>
      </c>
      <c r="H200" s="62" t="s">
        <v>10</v>
      </c>
      <c r="I200" s="36">
        <v>3</v>
      </c>
      <c r="J200" s="36">
        <v>2</v>
      </c>
      <c r="K200" s="36">
        <v>3</v>
      </c>
      <c r="M200" s="81">
        <v>98247</v>
      </c>
      <c r="N200" s="62" t="s">
        <v>10</v>
      </c>
      <c r="O200" s="36">
        <v>23</v>
      </c>
      <c r="P200" s="36">
        <v>15</v>
      </c>
      <c r="Q200" s="36">
        <v>22</v>
      </c>
      <c r="S200" s="81">
        <v>98310</v>
      </c>
      <c r="T200" s="62" t="s">
        <v>10</v>
      </c>
      <c r="U200" s="33">
        <v>22</v>
      </c>
      <c r="V200" s="36">
        <v>24</v>
      </c>
      <c r="W200" s="36">
        <v>22</v>
      </c>
    </row>
    <row r="201" spans="1:23" x14ac:dyDescent="0.2">
      <c r="A201" s="81">
        <v>98247</v>
      </c>
      <c r="B201" s="62" t="s">
        <v>345</v>
      </c>
      <c r="C201" s="36">
        <v>1</v>
      </c>
      <c r="D201" s="36">
        <v>2</v>
      </c>
      <c r="E201" s="36">
        <v>1</v>
      </c>
      <c r="G201" s="81">
        <v>98360</v>
      </c>
      <c r="H201" s="62" t="s">
        <v>10</v>
      </c>
      <c r="I201" s="36">
        <v>13</v>
      </c>
      <c r="J201" s="36">
        <v>11</v>
      </c>
      <c r="K201" s="36">
        <v>19</v>
      </c>
      <c r="M201" s="81">
        <v>98248</v>
      </c>
      <c r="N201" s="62" t="s">
        <v>345</v>
      </c>
      <c r="O201" s="36">
        <v>3</v>
      </c>
      <c r="P201" s="36">
        <v>9</v>
      </c>
      <c r="Q201" s="36">
        <v>14</v>
      </c>
      <c r="S201" s="81">
        <v>98311</v>
      </c>
      <c r="T201" s="62" t="s">
        <v>10</v>
      </c>
      <c r="U201" s="36">
        <v>27</v>
      </c>
      <c r="V201" s="36">
        <v>29</v>
      </c>
      <c r="W201" s="36">
        <v>21</v>
      </c>
    </row>
    <row r="202" spans="1:23" x14ac:dyDescent="0.2">
      <c r="A202" s="81">
        <v>98247</v>
      </c>
      <c r="B202" s="62" t="s">
        <v>10</v>
      </c>
      <c r="C202" s="36">
        <v>25</v>
      </c>
      <c r="D202" s="36">
        <v>30</v>
      </c>
      <c r="E202" s="36">
        <v>24</v>
      </c>
      <c r="G202" s="81">
        <v>98366</v>
      </c>
      <c r="H202" s="62" t="s">
        <v>10</v>
      </c>
      <c r="I202" s="36">
        <v>23</v>
      </c>
      <c r="J202" s="33">
        <v>26</v>
      </c>
      <c r="K202" s="33">
        <v>16</v>
      </c>
      <c r="M202" s="81">
        <v>98248</v>
      </c>
      <c r="N202" s="62" t="s">
        <v>10</v>
      </c>
      <c r="O202" s="33">
        <v>37</v>
      </c>
      <c r="P202" s="36">
        <v>47</v>
      </c>
      <c r="Q202" s="33">
        <v>46</v>
      </c>
      <c r="S202" s="81">
        <v>98312</v>
      </c>
      <c r="T202" s="62" t="s">
        <v>345</v>
      </c>
      <c r="U202" s="33">
        <v>0</v>
      </c>
      <c r="V202" s="36">
        <v>0</v>
      </c>
      <c r="W202" s="36">
        <v>1</v>
      </c>
    </row>
    <row r="203" spans="1:23" x14ac:dyDescent="0.2">
      <c r="A203" s="56">
        <v>98248</v>
      </c>
      <c r="B203" s="62" t="s">
        <v>345</v>
      </c>
      <c r="C203" s="36">
        <v>12</v>
      </c>
      <c r="D203" s="36">
        <v>9</v>
      </c>
      <c r="E203" s="36">
        <v>8</v>
      </c>
      <c r="G203" s="56">
        <v>98367</v>
      </c>
      <c r="H203" s="62" t="s">
        <v>10</v>
      </c>
      <c r="I203" s="36">
        <v>17</v>
      </c>
      <c r="J203" s="36">
        <v>16</v>
      </c>
      <c r="K203" s="36">
        <v>21</v>
      </c>
      <c r="M203" s="56">
        <v>98249</v>
      </c>
      <c r="N203" s="62" t="s">
        <v>345</v>
      </c>
      <c r="O203" s="36">
        <v>1</v>
      </c>
      <c r="P203" s="36">
        <v>0</v>
      </c>
      <c r="Q203" s="36">
        <v>1</v>
      </c>
      <c r="S203" s="81">
        <v>98312</v>
      </c>
      <c r="T203" s="62" t="s">
        <v>10</v>
      </c>
      <c r="U203" s="33">
        <v>29</v>
      </c>
      <c r="V203" s="36">
        <v>35</v>
      </c>
      <c r="W203" s="33">
        <v>33</v>
      </c>
    </row>
    <row r="204" spans="1:23" x14ac:dyDescent="0.2">
      <c r="A204" s="81">
        <v>98248</v>
      </c>
      <c r="B204" s="62" t="s">
        <v>10</v>
      </c>
      <c r="C204" s="36">
        <v>82</v>
      </c>
      <c r="D204" s="36">
        <v>76</v>
      </c>
      <c r="E204" s="36">
        <v>68</v>
      </c>
      <c r="G204" s="81">
        <v>98370</v>
      </c>
      <c r="H204" s="62" t="s">
        <v>345</v>
      </c>
      <c r="I204" s="36">
        <v>2</v>
      </c>
      <c r="J204" s="36">
        <v>0</v>
      </c>
      <c r="K204" s="36">
        <v>0</v>
      </c>
      <c r="M204" s="81">
        <v>98249</v>
      </c>
      <c r="N204" s="62" t="s">
        <v>10</v>
      </c>
      <c r="O204" s="36">
        <v>7</v>
      </c>
      <c r="P204" s="36">
        <v>7</v>
      </c>
      <c r="Q204" s="36">
        <v>5</v>
      </c>
      <c r="S204" s="56">
        <v>98321</v>
      </c>
      <c r="T204" s="62" t="s">
        <v>345</v>
      </c>
      <c r="U204" s="36">
        <v>1</v>
      </c>
      <c r="V204" s="36">
        <v>2</v>
      </c>
      <c r="W204" s="36">
        <v>0</v>
      </c>
    </row>
    <row r="205" spans="1:23" x14ac:dyDescent="0.2">
      <c r="A205" s="56">
        <v>98249</v>
      </c>
      <c r="B205" s="62" t="s">
        <v>345</v>
      </c>
      <c r="C205" s="36">
        <v>0</v>
      </c>
      <c r="D205" s="36">
        <v>1</v>
      </c>
      <c r="E205" s="36">
        <v>0</v>
      </c>
      <c r="G205" s="81">
        <v>98370</v>
      </c>
      <c r="H205" s="62" t="s">
        <v>10</v>
      </c>
      <c r="I205" s="36">
        <v>16</v>
      </c>
      <c r="J205" s="33">
        <v>14</v>
      </c>
      <c r="K205" s="36">
        <v>6</v>
      </c>
      <c r="M205" s="81">
        <v>98251</v>
      </c>
      <c r="N205" s="62" t="s">
        <v>10</v>
      </c>
      <c r="O205" s="33">
        <v>1</v>
      </c>
      <c r="P205" s="36">
        <v>2</v>
      </c>
      <c r="Q205" s="36">
        <v>1</v>
      </c>
      <c r="S205" s="81">
        <v>98321</v>
      </c>
      <c r="T205" s="62" t="s">
        <v>10</v>
      </c>
      <c r="U205" s="36">
        <v>12</v>
      </c>
      <c r="V205" s="36">
        <v>18</v>
      </c>
      <c r="W205" s="33">
        <v>12</v>
      </c>
    </row>
    <row r="206" spans="1:23" x14ac:dyDescent="0.2">
      <c r="A206" s="81">
        <v>98249</v>
      </c>
      <c r="B206" s="62" t="s">
        <v>10</v>
      </c>
      <c r="C206" s="33">
        <v>20</v>
      </c>
      <c r="D206" s="36">
        <v>18</v>
      </c>
      <c r="E206" s="36">
        <v>17</v>
      </c>
      <c r="G206" s="56">
        <v>98371</v>
      </c>
      <c r="H206" s="62" t="s">
        <v>10</v>
      </c>
      <c r="I206" s="36">
        <v>12</v>
      </c>
      <c r="J206" s="36">
        <v>16</v>
      </c>
      <c r="K206" s="36">
        <v>12</v>
      </c>
      <c r="M206" s="81">
        <v>98252</v>
      </c>
      <c r="N206" s="62" t="s">
        <v>345</v>
      </c>
      <c r="O206" s="36">
        <v>0</v>
      </c>
      <c r="P206" s="36">
        <v>1</v>
      </c>
      <c r="Q206" s="36">
        <v>0</v>
      </c>
      <c r="S206" s="81">
        <v>98323</v>
      </c>
      <c r="T206" s="62" t="s">
        <v>10</v>
      </c>
      <c r="U206" s="33">
        <v>3</v>
      </c>
      <c r="V206" s="33">
        <v>5</v>
      </c>
      <c r="W206" s="36">
        <v>2</v>
      </c>
    </row>
    <row r="207" spans="1:23" x14ac:dyDescent="0.2">
      <c r="A207" s="56">
        <v>98251</v>
      </c>
      <c r="B207" s="62" t="s">
        <v>10</v>
      </c>
      <c r="C207" s="36">
        <v>3</v>
      </c>
      <c r="D207" s="36">
        <v>2</v>
      </c>
      <c r="E207" s="36">
        <v>2</v>
      </c>
      <c r="G207" s="81">
        <v>98372</v>
      </c>
      <c r="H207" s="62" t="s">
        <v>10</v>
      </c>
      <c r="I207" s="36">
        <v>16</v>
      </c>
      <c r="J207" s="36">
        <v>16</v>
      </c>
      <c r="K207" s="36">
        <v>19</v>
      </c>
      <c r="M207" s="81">
        <v>98252</v>
      </c>
      <c r="N207" s="62" t="s">
        <v>10</v>
      </c>
      <c r="O207" s="36">
        <v>3</v>
      </c>
      <c r="P207" s="36">
        <v>10</v>
      </c>
      <c r="Q207" s="36">
        <v>3</v>
      </c>
      <c r="S207" s="56">
        <v>98327</v>
      </c>
      <c r="T207" s="62" t="s">
        <v>10</v>
      </c>
      <c r="U207" s="36">
        <v>9</v>
      </c>
      <c r="V207" s="36">
        <v>6</v>
      </c>
      <c r="W207" s="36">
        <v>7</v>
      </c>
    </row>
    <row r="208" spans="1:23" x14ac:dyDescent="0.2">
      <c r="A208" s="81">
        <v>98252</v>
      </c>
      <c r="B208" s="62" t="s">
        <v>345</v>
      </c>
      <c r="C208" s="33">
        <v>1</v>
      </c>
      <c r="D208" s="36">
        <v>0</v>
      </c>
      <c r="E208" s="36">
        <v>1</v>
      </c>
      <c r="G208" s="81">
        <v>98373</v>
      </c>
      <c r="H208" s="62" t="s">
        <v>10</v>
      </c>
      <c r="I208" s="33">
        <v>26</v>
      </c>
      <c r="J208" s="36">
        <v>14</v>
      </c>
      <c r="K208" s="36">
        <v>27</v>
      </c>
      <c r="M208" s="56">
        <v>98253</v>
      </c>
      <c r="N208" s="62" t="s">
        <v>10</v>
      </c>
      <c r="O208" s="36">
        <v>0</v>
      </c>
      <c r="P208" s="36">
        <v>3</v>
      </c>
      <c r="Q208" s="36">
        <v>4</v>
      </c>
      <c r="S208" s="81">
        <v>98328</v>
      </c>
      <c r="T208" s="62" t="s">
        <v>10</v>
      </c>
      <c r="U208" s="33">
        <v>1</v>
      </c>
      <c r="V208" s="36">
        <v>2</v>
      </c>
      <c r="W208" s="36">
        <v>0</v>
      </c>
    </row>
    <row r="209" spans="1:23" x14ac:dyDescent="0.2">
      <c r="A209" s="56">
        <v>98252</v>
      </c>
      <c r="B209" s="62" t="s">
        <v>10</v>
      </c>
      <c r="C209" s="36">
        <v>8</v>
      </c>
      <c r="D209" s="36">
        <v>9</v>
      </c>
      <c r="E209" s="36">
        <v>11</v>
      </c>
      <c r="G209" s="56">
        <v>98374</v>
      </c>
      <c r="H209" s="62" t="s">
        <v>10</v>
      </c>
      <c r="I209" s="36">
        <v>33</v>
      </c>
      <c r="J209" s="36">
        <v>26</v>
      </c>
      <c r="K209" s="36">
        <v>34</v>
      </c>
      <c r="M209" s="81">
        <v>98255</v>
      </c>
      <c r="N209" s="62" t="s">
        <v>345</v>
      </c>
      <c r="O209" s="36">
        <v>0</v>
      </c>
      <c r="P209" s="36">
        <v>0</v>
      </c>
      <c r="Q209" s="36">
        <v>1</v>
      </c>
      <c r="S209" s="81">
        <v>98332</v>
      </c>
      <c r="T209" s="62" t="s">
        <v>10</v>
      </c>
      <c r="U209" s="33">
        <v>1</v>
      </c>
      <c r="V209" s="36">
        <v>0</v>
      </c>
      <c r="W209" s="33">
        <v>0</v>
      </c>
    </row>
    <row r="210" spans="1:23" x14ac:dyDescent="0.2">
      <c r="A210" s="81">
        <v>98253</v>
      </c>
      <c r="B210" s="62" t="s">
        <v>10</v>
      </c>
      <c r="C210" s="36">
        <v>9</v>
      </c>
      <c r="D210" s="36">
        <v>7</v>
      </c>
      <c r="E210" s="36">
        <v>6</v>
      </c>
      <c r="G210" s="81">
        <v>98375</v>
      </c>
      <c r="H210" s="62" t="s">
        <v>10</v>
      </c>
      <c r="I210" s="36">
        <v>10</v>
      </c>
      <c r="J210" s="36">
        <v>16</v>
      </c>
      <c r="K210" s="36">
        <v>14</v>
      </c>
      <c r="M210" s="81">
        <v>98255</v>
      </c>
      <c r="N210" s="62" t="s">
        <v>10</v>
      </c>
      <c r="O210" s="36">
        <v>1</v>
      </c>
      <c r="P210" s="36">
        <v>1</v>
      </c>
      <c r="Q210" s="33">
        <v>1</v>
      </c>
      <c r="S210" s="81">
        <v>98335</v>
      </c>
      <c r="T210" s="62" t="s">
        <v>10</v>
      </c>
      <c r="U210" s="36">
        <v>1</v>
      </c>
      <c r="V210" s="33">
        <v>0</v>
      </c>
      <c r="W210" s="33">
        <v>2</v>
      </c>
    </row>
    <row r="211" spans="1:23" x14ac:dyDescent="0.2">
      <c r="A211" s="81">
        <v>98255</v>
      </c>
      <c r="B211" s="62" t="s">
        <v>10</v>
      </c>
      <c r="C211" s="36">
        <v>2</v>
      </c>
      <c r="D211" s="36">
        <v>2</v>
      </c>
      <c r="E211" s="36">
        <v>3</v>
      </c>
      <c r="G211" s="81">
        <v>98380</v>
      </c>
      <c r="H211" s="62" t="s">
        <v>345</v>
      </c>
      <c r="I211" s="33">
        <v>1</v>
      </c>
      <c r="J211" s="33">
        <v>1</v>
      </c>
      <c r="K211" s="36">
        <v>2</v>
      </c>
      <c r="M211" s="81">
        <v>98257</v>
      </c>
      <c r="N211" s="62" t="s">
        <v>10</v>
      </c>
      <c r="O211" s="33">
        <v>8</v>
      </c>
      <c r="P211" s="33">
        <v>13</v>
      </c>
      <c r="Q211" s="36">
        <v>9</v>
      </c>
      <c r="S211" s="81">
        <v>98337</v>
      </c>
      <c r="T211" s="62" t="s">
        <v>345</v>
      </c>
      <c r="U211" s="33">
        <v>1</v>
      </c>
      <c r="V211" s="36">
        <v>1</v>
      </c>
      <c r="W211" s="36">
        <v>0</v>
      </c>
    </row>
    <row r="212" spans="1:23" x14ac:dyDescent="0.2">
      <c r="A212" s="56">
        <v>98257</v>
      </c>
      <c r="B212" s="62" t="s">
        <v>345</v>
      </c>
      <c r="C212" s="36">
        <v>1</v>
      </c>
      <c r="D212" s="36">
        <v>1</v>
      </c>
      <c r="E212" s="36">
        <v>1</v>
      </c>
      <c r="G212" s="56">
        <v>98380</v>
      </c>
      <c r="H212" s="62" t="s">
        <v>10</v>
      </c>
      <c r="I212" s="36">
        <v>3</v>
      </c>
      <c r="J212" s="36">
        <v>15</v>
      </c>
      <c r="K212" s="36">
        <v>5</v>
      </c>
      <c r="M212" s="56">
        <v>98258</v>
      </c>
      <c r="N212" s="62" t="s">
        <v>10</v>
      </c>
      <c r="O212" s="36">
        <v>49</v>
      </c>
      <c r="P212" s="36">
        <v>28</v>
      </c>
      <c r="Q212" s="36">
        <v>22</v>
      </c>
      <c r="S212" s="81">
        <v>98337</v>
      </c>
      <c r="T212" s="62" t="s">
        <v>10</v>
      </c>
      <c r="U212" s="77">
        <v>7</v>
      </c>
      <c r="V212" s="77">
        <v>5</v>
      </c>
      <c r="W212" s="77">
        <v>8</v>
      </c>
    </row>
    <row r="213" spans="1:23" x14ac:dyDescent="0.2">
      <c r="A213" s="81">
        <v>98257</v>
      </c>
      <c r="B213" s="62" t="s">
        <v>10</v>
      </c>
      <c r="C213" s="36">
        <v>14</v>
      </c>
      <c r="D213" s="36">
        <v>13</v>
      </c>
      <c r="E213" s="36">
        <v>13</v>
      </c>
      <c r="G213" s="81">
        <v>98383</v>
      </c>
      <c r="H213" s="62" t="s">
        <v>345</v>
      </c>
      <c r="I213" s="36">
        <v>1</v>
      </c>
      <c r="J213" s="33">
        <v>0</v>
      </c>
      <c r="K213" s="36">
        <v>1</v>
      </c>
      <c r="M213" s="81">
        <v>98260</v>
      </c>
      <c r="N213" s="62" t="s">
        <v>345</v>
      </c>
      <c r="O213" s="33">
        <v>0</v>
      </c>
      <c r="P213" s="33">
        <v>0</v>
      </c>
      <c r="Q213" s="36">
        <v>1</v>
      </c>
      <c r="S213" s="81">
        <v>98338</v>
      </c>
      <c r="T213" s="62" t="s">
        <v>10</v>
      </c>
      <c r="U213" s="82">
        <v>25</v>
      </c>
      <c r="V213" s="82">
        <v>17</v>
      </c>
      <c r="W213" s="77">
        <v>13</v>
      </c>
    </row>
    <row r="214" spans="1:23" x14ac:dyDescent="0.2">
      <c r="A214" s="81">
        <v>98258</v>
      </c>
      <c r="B214" s="62" t="s">
        <v>10</v>
      </c>
      <c r="C214" s="36">
        <v>70</v>
      </c>
      <c r="D214" s="36">
        <v>80</v>
      </c>
      <c r="E214" s="36">
        <v>66</v>
      </c>
      <c r="G214" s="81">
        <v>98383</v>
      </c>
      <c r="H214" s="62" t="s">
        <v>10</v>
      </c>
      <c r="I214" s="36">
        <v>12</v>
      </c>
      <c r="J214" s="36">
        <v>11</v>
      </c>
      <c r="K214" s="36">
        <v>11</v>
      </c>
      <c r="M214" s="56">
        <v>98260</v>
      </c>
      <c r="N214" s="62" t="s">
        <v>10</v>
      </c>
      <c r="O214" s="36">
        <v>6</v>
      </c>
      <c r="P214" s="36">
        <v>9</v>
      </c>
      <c r="Q214" s="36">
        <v>10</v>
      </c>
      <c r="S214" s="81">
        <v>98340</v>
      </c>
      <c r="T214" s="62" t="s">
        <v>10</v>
      </c>
      <c r="U214" s="82">
        <v>0</v>
      </c>
      <c r="V214" s="82">
        <v>6</v>
      </c>
      <c r="W214" s="82">
        <v>1</v>
      </c>
    </row>
    <row r="215" spans="1:23" x14ac:dyDescent="0.2">
      <c r="A215" s="81">
        <v>98260</v>
      </c>
      <c r="B215" s="62" t="s">
        <v>345</v>
      </c>
      <c r="C215" s="36">
        <v>2</v>
      </c>
      <c r="D215" s="36">
        <v>0</v>
      </c>
      <c r="E215" s="36">
        <v>0</v>
      </c>
      <c r="G215" s="81">
        <v>98387</v>
      </c>
      <c r="H215" s="62" t="s">
        <v>10</v>
      </c>
      <c r="I215" s="36">
        <v>14</v>
      </c>
      <c r="J215" s="33">
        <v>21</v>
      </c>
      <c r="K215" s="36">
        <v>9</v>
      </c>
      <c r="M215" s="81">
        <v>98262</v>
      </c>
      <c r="N215" s="62" t="s">
        <v>10</v>
      </c>
      <c r="O215" s="36">
        <v>1</v>
      </c>
      <c r="P215" s="36">
        <v>0</v>
      </c>
      <c r="Q215" s="33">
        <v>1</v>
      </c>
      <c r="S215" s="81">
        <v>98342</v>
      </c>
      <c r="T215" s="62" t="s">
        <v>10</v>
      </c>
      <c r="U215" s="82">
        <v>1</v>
      </c>
      <c r="V215" s="82">
        <v>1</v>
      </c>
      <c r="W215" s="82">
        <v>0</v>
      </c>
    </row>
    <row r="216" spans="1:23" x14ac:dyDescent="0.2">
      <c r="A216" s="56">
        <v>98260</v>
      </c>
      <c r="B216" s="62" t="s">
        <v>10</v>
      </c>
      <c r="C216" s="36">
        <v>10</v>
      </c>
      <c r="D216" s="36">
        <v>12</v>
      </c>
      <c r="E216" s="36">
        <v>10</v>
      </c>
      <c r="G216" s="81">
        <v>98388</v>
      </c>
      <c r="H216" s="62" t="s">
        <v>10</v>
      </c>
      <c r="I216" s="36">
        <v>0</v>
      </c>
      <c r="J216" s="36">
        <v>1</v>
      </c>
      <c r="K216" s="36">
        <v>1</v>
      </c>
      <c r="M216" s="56">
        <v>98263</v>
      </c>
      <c r="N216" s="62" t="s">
        <v>10</v>
      </c>
      <c r="O216" s="36">
        <v>3</v>
      </c>
      <c r="P216" s="36">
        <v>1</v>
      </c>
      <c r="Q216" s="36">
        <v>1</v>
      </c>
      <c r="S216" s="81">
        <v>98345</v>
      </c>
      <c r="T216" s="62" t="s">
        <v>10</v>
      </c>
      <c r="U216" s="77">
        <v>2</v>
      </c>
      <c r="V216" s="82">
        <v>1</v>
      </c>
      <c r="W216" s="82">
        <v>1</v>
      </c>
    </row>
    <row r="217" spans="1:23" x14ac:dyDescent="0.2">
      <c r="A217" s="81">
        <v>98262</v>
      </c>
      <c r="B217" s="62" t="s">
        <v>10</v>
      </c>
      <c r="C217" s="36">
        <v>1</v>
      </c>
      <c r="D217" s="36">
        <v>2</v>
      </c>
      <c r="E217" s="36">
        <v>1</v>
      </c>
      <c r="G217" s="81">
        <v>98390</v>
      </c>
      <c r="H217" s="62" t="s">
        <v>345</v>
      </c>
      <c r="I217" s="36">
        <v>2</v>
      </c>
      <c r="J217" s="33">
        <v>1</v>
      </c>
      <c r="K217" s="33">
        <v>1</v>
      </c>
      <c r="M217" s="81">
        <v>98264</v>
      </c>
      <c r="N217" s="62" t="s">
        <v>345</v>
      </c>
      <c r="O217" s="36">
        <v>1</v>
      </c>
      <c r="P217" s="36">
        <v>5</v>
      </c>
      <c r="Q217" s="36">
        <v>2</v>
      </c>
      <c r="S217" s="81">
        <v>98346</v>
      </c>
      <c r="T217" s="62" t="s">
        <v>345</v>
      </c>
      <c r="U217" s="77">
        <v>0</v>
      </c>
      <c r="V217" s="77">
        <v>1</v>
      </c>
      <c r="W217" s="82">
        <v>0</v>
      </c>
    </row>
    <row r="218" spans="1:23" x14ac:dyDescent="0.2">
      <c r="A218" s="81">
        <v>98263</v>
      </c>
      <c r="B218" s="62" t="s">
        <v>10</v>
      </c>
      <c r="C218" s="36">
        <v>4</v>
      </c>
      <c r="D218" s="36">
        <v>6</v>
      </c>
      <c r="E218" s="36">
        <v>4</v>
      </c>
      <c r="G218" s="56">
        <v>98390</v>
      </c>
      <c r="H218" s="62" t="s">
        <v>10</v>
      </c>
      <c r="I218" s="36">
        <v>10</v>
      </c>
      <c r="J218" s="36">
        <v>10</v>
      </c>
      <c r="K218" s="36">
        <v>9</v>
      </c>
      <c r="M218" s="56">
        <v>98264</v>
      </c>
      <c r="N218" s="62" t="s">
        <v>10</v>
      </c>
      <c r="O218" s="36">
        <v>30</v>
      </c>
      <c r="P218" s="36">
        <v>41</v>
      </c>
      <c r="Q218" s="36">
        <v>29</v>
      </c>
      <c r="S218" s="81">
        <v>98346</v>
      </c>
      <c r="T218" s="62" t="s">
        <v>10</v>
      </c>
      <c r="U218" s="77">
        <v>5</v>
      </c>
      <c r="V218" s="82">
        <v>9</v>
      </c>
      <c r="W218" s="82">
        <v>8</v>
      </c>
    </row>
    <row r="219" spans="1:23" x14ac:dyDescent="0.2">
      <c r="A219" s="81">
        <v>98264</v>
      </c>
      <c r="B219" s="62" t="s">
        <v>345</v>
      </c>
      <c r="C219" s="33">
        <v>2</v>
      </c>
      <c r="D219" s="36">
        <v>1</v>
      </c>
      <c r="E219" s="36">
        <v>6</v>
      </c>
      <c r="G219" s="81">
        <v>98391</v>
      </c>
      <c r="H219" s="62" t="s">
        <v>10</v>
      </c>
      <c r="I219" s="36">
        <v>26</v>
      </c>
      <c r="J219" s="33">
        <v>28</v>
      </c>
      <c r="K219" s="33">
        <v>24</v>
      </c>
      <c r="M219" s="81">
        <v>98266</v>
      </c>
      <c r="N219" s="62" t="s">
        <v>10</v>
      </c>
      <c r="O219" s="36">
        <v>18</v>
      </c>
      <c r="P219" s="33">
        <v>17</v>
      </c>
      <c r="Q219" s="33">
        <v>13</v>
      </c>
      <c r="S219" s="56">
        <v>98354</v>
      </c>
      <c r="T219" s="62" t="s">
        <v>10</v>
      </c>
      <c r="U219" s="77">
        <v>1</v>
      </c>
      <c r="V219" s="77">
        <v>1</v>
      </c>
      <c r="W219" s="77">
        <v>3</v>
      </c>
    </row>
    <row r="220" spans="1:23" x14ac:dyDescent="0.2">
      <c r="A220" s="56">
        <v>98264</v>
      </c>
      <c r="B220" s="62" t="s">
        <v>10</v>
      </c>
      <c r="C220" s="36">
        <v>50</v>
      </c>
      <c r="D220" s="36">
        <v>58</v>
      </c>
      <c r="E220" s="36">
        <v>60</v>
      </c>
      <c r="G220" s="56">
        <v>98392</v>
      </c>
      <c r="H220" s="62" t="s">
        <v>10</v>
      </c>
      <c r="I220" s="36">
        <v>1</v>
      </c>
      <c r="J220" s="36">
        <v>3</v>
      </c>
      <c r="K220" s="36">
        <v>1</v>
      </c>
      <c r="M220" s="56">
        <v>98267</v>
      </c>
      <c r="N220" s="62" t="s">
        <v>10</v>
      </c>
      <c r="O220" s="36">
        <v>3</v>
      </c>
      <c r="P220" s="36">
        <v>2</v>
      </c>
      <c r="Q220" s="36">
        <v>0</v>
      </c>
      <c r="S220" s="81">
        <v>98359</v>
      </c>
      <c r="T220" s="62" t="s">
        <v>10</v>
      </c>
      <c r="U220" s="77">
        <v>0</v>
      </c>
      <c r="V220" s="77">
        <v>5</v>
      </c>
      <c r="W220" s="77">
        <v>2</v>
      </c>
    </row>
    <row r="221" spans="1:23" x14ac:dyDescent="0.2">
      <c r="A221" s="81">
        <v>98266</v>
      </c>
      <c r="B221" s="62" t="s">
        <v>10</v>
      </c>
      <c r="C221" s="36">
        <v>23</v>
      </c>
      <c r="D221" s="36">
        <v>33</v>
      </c>
      <c r="E221" s="36">
        <v>20</v>
      </c>
      <c r="G221" s="81">
        <v>98396</v>
      </c>
      <c r="H221" s="62" t="s">
        <v>10</v>
      </c>
      <c r="I221" s="36">
        <v>2</v>
      </c>
      <c r="J221" s="36">
        <v>1</v>
      </c>
      <c r="K221" s="36">
        <v>1</v>
      </c>
      <c r="M221" s="81">
        <v>98270</v>
      </c>
      <c r="N221" s="62" t="s">
        <v>10</v>
      </c>
      <c r="O221" s="36">
        <v>45</v>
      </c>
      <c r="P221" s="33">
        <v>50</v>
      </c>
      <c r="Q221" s="33">
        <v>37</v>
      </c>
      <c r="S221" s="81">
        <v>98360</v>
      </c>
      <c r="T221" s="62" t="s">
        <v>10</v>
      </c>
      <c r="U221" s="77">
        <v>29</v>
      </c>
      <c r="V221" s="77">
        <v>25</v>
      </c>
      <c r="W221" s="77">
        <v>28</v>
      </c>
    </row>
    <row r="222" spans="1:23" x14ac:dyDescent="0.2">
      <c r="A222" s="81">
        <v>98267</v>
      </c>
      <c r="B222" s="62" t="s">
        <v>10</v>
      </c>
      <c r="C222" s="36">
        <v>2</v>
      </c>
      <c r="D222" s="36">
        <v>3</v>
      </c>
      <c r="E222" s="36">
        <v>3</v>
      </c>
      <c r="G222" s="81">
        <v>98403</v>
      </c>
      <c r="H222" s="62" t="s">
        <v>10</v>
      </c>
      <c r="I222" s="36">
        <v>0</v>
      </c>
      <c r="J222" s="33">
        <v>1</v>
      </c>
      <c r="K222" s="33">
        <v>1</v>
      </c>
      <c r="M222" s="56">
        <v>98271</v>
      </c>
      <c r="N222" s="62" t="s">
        <v>345</v>
      </c>
      <c r="O222" s="36">
        <v>0</v>
      </c>
      <c r="P222" s="36">
        <v>1</v>
      </c>
      <c r="Q222" s="36">
        <v>0</v>
      </c>
      <c r="S222" s="81">
        <v>98366</v>
      </c>
      <c r="T222" s="62" t="s">
        <v>345</v>
      </c>
      <c r="U222" s="82">
        <v>2</v>
      </c>
      <c r="V222" s="77">
        <v>1</v>
      </c>
      <c r="W222" s="82">
        <v>1</v>
      </c>
    </row>
    <row r="223" spans="1:23" x14ac:dyDescent="0.2">
      <c r="A223" s="81">
        <v>98270</v>
      </c>
      <c r="B223" s="62" t="s">
        <v>345</v>
      </c>
      <c r="C223" s="36">
        <v>3</v>
      </c>
      <c r="D223" s="36">
        <v>2</v>
      </c>
      <c r="E223" s="36">
        <v>1</v>
      </c>
      <c r="G223" s="56">
        <v>98404</v>
      </c>
      <c r="H223" s="62" t="s">
        <v>10</v>
      </c>
      <c r="I223" s="36">
        <v>4</v>
      </c>
      <c r="J223" s="36">
        <v>1</v>
      </c>
      <c r="K223" s="36">
        <v>3</v>
      </c>
      <c r="M223" s="81">
        <v>98271</v>
      </c>
      <c r="N223" s="62" t="s">
        <v>10</v>
      </c>
      <c r="O223" s="33">
        <v>11</v>
      </c>
      <c r="P223" s="33">
        <v>8</v>
      </c>
      <c r="Q223" s="36">
        <v>5</v>
      </c>
      <c r="S223" s="81">
        <v>98366</v>
      </c>
      <c r="T223" s="62" t="s">
        <v>10</v>
      </c>
      <c r="U223" s="77">
        <v>31</v>
      </c>
      <c r="V223" s="77">
        <v>33</v>
      </c>
      <c r="W223" s="82">
        <v>39</v>
      </c>
    </row>
    <row r="224" spans="1:23" x14ac:dyDescent="0.2">
      <c r="A224" s="81">
        <v>98270</v>
      </c>
      <c r="B224" s="62" t="s">
        <v>10</v>
      </c>
      <c r="C224" s="36">
        <v>76</v>
      </c>
      <c r="D224" s="36">
        <v>71</v>
      </c>
      <c r="E224" s="36">
        <v>70</v>
      </c>
      <c r="G224" s="81">
        <v>98405</v>
      </c>
      <c r="H224" s="62" t="s">
        <v>10</v>
      </c>
      <c r="I224" s="36">
        <v>2</v>
      </c>
      <c r="J224" s="33">
        <v>3</v>
      </c>
      <c r="K224" s="33">
        <v>3</v>
      </c>
      <c r="M224" s="56">
        <v>98272</v>
      </c>
      <c r="N224" s="62" t="s">
        <v>345</v>
      </c>
      <c r="O224" s="36">
        <v>0</v>
      </c>
      <c r="P224" s="36">
        <v>3</v>
      </c>
      <c r="Q224" s="36">
        <v>0</v>
      </c>
      <c r="S224" s="81">
        <v>98367</v>
      </c>
      <c r="T224" s="62" t="s">
        <v>10</v>
      </c>
      <c r="U224" s="82">
        <v>22</v>
      </c>
      <c r="V224" s="82">
        <v>28</v>
      </c>
      <c r="W224" s="77">
        <v>27</v>
      </c>
    </row>
    <row r="225" spans="1:23" x14ac:dyDescent="0.2">
      <c r="A225" s="56">
        <v>98271</v>
      </c>
      <c r="B225" s="62" t="s">
        <v>345</v>
      </c>
      <c r="C225" s="36">
        <v>0</v>
      </c>
      <c r="D225" s="36">
        <v>0</v>
      </c>
      <c r="E225" s="36">
        <v>1</v>
      </c>
      <c r="G225" s="56">
        <v>98406</v>
      </c>
      <c r="H225" s="62" t="s">
        <v>10</v>
      </c>
      <c r="I225" s="36">
        <v>2</v>
      </c>
      <c r="J225" s="36">
        <v>2</v>
      </c>
      <c r="K225" s="36">
        <v>3</v>
      </c>
      <c r="M225" s="81">
        <v>98272</v>
      </c>
      <c r="N225" s="62" t="s">
        <v>10</v>
      </c>
      <c r="O225" s="36">
        <v>14</v>
      </c>
      <c r="P225" s="36">
        <v>10</v>
      </c>
      <c r="Q225" s="33">
        <v>9</v>
      </c>
      <c r="S225" s="81">
        <v>98370</v>
      </c>
      <c r="T225" s="62" t="s">
        <v>345</v>
      </c>
      <c r="U225" s="77">
        <v>2</v>
      </c>
      <c r="V225" s="77">
        <v>0</v>
      </c>
      <c r="W225" s="82">
        <v>0</v>
      </c>
    </row>
    <row r="226" spans="1:23" x14ac:dyDescent="0.2">
      <c r="A226" s="81">
        <v>98271</v>
      </c>
      <c r="B226" s="62" t="s">
        <v>10</v>
      </c>
      <c r="C226" s="36">
        <v>16</v>
      </c>
      <c r="D226" s="36">
        <v>16</v>
      </c>
      <c r="E226" s="36">
        <v>9</v>
      </c>
      <c r="G226" s="81">
        <v>98407</v>
      </c>
      <c r="H226" s="62" t="s">
        <v>10</v>
      </c>
      <c r="I226" s="33">
        <v>2</v>
      </c>
      <c r="J226" s="36">
        <v>2</v>
      </c>
      <c r="K226" s="36">
        <v>0</v>
      </c>
      <c r="M226" s="56">
        <v>98273</v>
      </c>
      <c r="N226" s="62" t="s">
        <v>345</v>
      </c>
      <c r="O226" s="36">
        <v>7</v>
      </c>
      <c r="P226" s="36">
        <v>9</v>
      </c>
      <c r="Q226" s="36">
        <v>3</v>
      </c>
      <c r="S226" s="81">
        <v>98370</v>
      </c>
      <c r="T226" s="62" t="s">
        <v>10</v>
      </c>
      <c r="U226" s="82">
        <v>16</v>
      </c>
      <c r="V226" s="82">
        <v>16</v>
      </c>
      <c r="W226" s="82">
        <v>21</v>
      </c>
    </row>
    <row r="227" spans="1:23" x14ac:dyDescent="0.2">
      <c r="A227" s="81">
        <v>98272</v>
      </c>
      <c r="B227" s="62" t="s">
        <v>345</v>
      </c>
      <c r="C227" s="36">
        <v>1</v>
      </c>
      <c r="D227" s="36">
        <v>0</v>
      </c>
      <c r="E227" s="36">
        <v>2</v>
      </c>
      <c r="G227" s="56">
        <v>98408</v>
      </c>
      <c r="H227" s="62" t="s">
        <v>10</v>
      </c>
      <c r="I227" s="36">
        <v>5</v>
      </c>
      <c r="J227" s="36">
        <v>2</v>
      </c>
      <c r="K227" s="36">
        <v>3</v>
      </c>
      <c r="M227" s="81">
        <v>98273</v>
      </c>
      <c r="N227" s="62" t="s">
        <v>10</v>
      </c>
      <c r="O227" s="36">
        <v>49</v>
      </c>
      <c r="P227" s="36">
        <v>57</v>
      </c>
      <c r="Q227" s="36">
        <v>52</v>
      </c>
      <c r="S227" s="81">
        <v>98371</v>
      </c>
      <c r="T227" s="62" t="s">
        <v>345</v>
      </c>
      <c r="U227" s="82">
        <v>0</v>
      </c>
      <c r="V227" s="82">
        <v>0</v>
      </c>
      <c r="W227" s="82">
        <v>1</v>
      </c>
    </row>
    <row r="228" spans="1:23" x14ac:dyDescent="0.2">
      <c r="A228" s="56">
        <v>98272</v>
      </c>
      <c r="B228" s="62" t="s">
        <v>10</v>
      </c>
      <c r="C228" s="36">
        <v>16</v>
      </c>
      <c r="D228" s="36">
        <v>19</v>
      </c>
      <c r="E228" s="36">
        <v>15</v>
      </c>
      <c r="G228" s="81">
        <v>98409</v>
      </c>
      <c r="H228" s="62" t="s">
        <v>345</v>
      </c>
      <c r="I228" s="36">
        <v>1</v>
      </c>
      <c r="J228" s="36">
        <v>0</v>
      </c>
      <c r="K228" s="36">
        <v>1</v>
      </c>
      <c r="M228" s="81">
        <v>98274</v>
      </c>
      <c r="N228" s="62" t="s">
        <v>345</v>
      </c>
      <c r="O228" s="33">
        <v>0</v>
      </c>
      <c r="P228" s="33">
        <v>1</v>
      </c>
      <c r="Q228" s="36">
        <v>1</v>
      </c>
      <c r="S228" s="81">
        <v>98371</v>
      </c>
      <c r="T228" s="62" t="s">
        <v>10</v>
      </c>
      <c r="U228" s="77">
        <v>26</v>
      </c>
      <c r="V228" s="82">
        <v>29</v>
      </c>
      <c r="W228" s="82">
        <v>24</v>
      </c>
    </row>
    <row r="229" spans="1:23" x14ac:dyDescent="0.2">
      <c r="A229" s="81">
        <v>98273</v>
      </c>
      <c r="B229" s="62" t="s">
        <v>345</v>
      </c>
      <c r="C229" s="36">
        <v>11</v>
      </c>
      <c r="D229" s="33">
        <v>9</v>
      </c>
      <c r="E229" s="33">
        <v>15</v>
      </c>
      <c r="G229" s="81">
        <v>98409</v>
      </c>
      <c r="H229" s="62" t="s">
        <v>10</v>
      </c>
      <c r="I229" s="33">
        <v>3</v>
      </c>
      <c r="J229" s="33">
        <v>1</v>
      </c>
      <c r="K229" s="36">
        <v>3</v>
      </c>
      <c r="M229" s="56">
        <v>98274</v>
      </c>
      <c r="N229" s="62" t="s">
        <v>10</v>
      </c>
      <c r="O229" s="36">
        <v>43</v>
      </c>
      <c r="P229" s="36">
        <v>46</v>
      </c>
      <c r="Q229" s="36">
        <v>31</v>
      </c>
      <c r="S229" s="81">
        <v>98372</v>
      </c>
      <c r="T229" s="62" t="s">
        <v>345</v>
      </c>
      <c r="U229" s="77">
        <v>0</v>
      </c>
      <c r="V229" s="82">
        <v>1</v>
      </c>
      <c r="W229" s="82">
        <v>1</v>
      </c>
    </row>
    <row r="230" spans="1:23" x14ac:dyDescent="0.2">
      <c r="A230" s="56">
        <v>98273</v>
      </c>
      <c r="B230" s="62" t="s">
        <v>10</v>
      </c>
      <c r="C230" s="36">
        <v>101</v>
      </c>
      <c r="D230" s="36">
        <v>98</v>
      </c>
      <c r="E230" s="36">
        <v>91</v>
      </c>
      <c r="G230" s="81">
        <v>98418</v>
      </c>
      <c r="H230" s="62" t="s">
        <v>345</v>
      </c>
      <c r="I230" s="36">
        <v>0</v>
      </c>
      <c r="J230" s="33">
        <v>0</v>
      </c>
      <c r="K230" s="33">
        <v>1</v>
      </c>
      <c r="M230" s="81">
        <v>98275</v>
      </c>
      <c r="N230" s="62" t="s">
        <v>345</v>
      </c>
      <c r="O230" s="36">
        <v>0</v>
      </c>
      <c r="P230" s="36">
        <v>0</v>
      </c>
      <c r="Q230" s="36">
        <v>1</v>
      </c>
      <c r="S230" s="83">
        <v>98372</v>
      </c>
      <c r="T230" s="15" t="s">
        <v>10</v>
      </c>
      <c r="U230" s="53">
        <v>38</v>
      </c>
      <c r="V230" s="53">
        <v>52</v>
      </c>
      <c r="W230" s="53">
        <v>36</v>
      </c>
    </row>
    <row r="231" spans="1:23" x14ac:dyDescent="0.2">
      <c r="A231" s="81">
        <v>98274</v>
      </c>
      <c r="B231" s="62" t="s">
        <v>345</v>
      </c>
      <c r="C231" s="36">
        <v>2</v>
      </c>
      <c r="D231" s="36">
        <v>1</v>
      </c>
      <c r="E231" s="36">
        <v>1</v>
      </c>
      <c r="G231" s="56">
        <v>98418</v>
      </c>
      <c r="H231" s="62" t="s">
        <v>10</v>
      </c>
      <c r="I231" s="33">
        <v>1</v>
      </c>
      <c r="J231" s="33">
        <v>1</v>
      </c>
      <c r="K231" s="36">
        <v>1</v>
      </c>
      <c r="M231" s="56">
        <v>98275</v>
      </c>
      <c r="N231" s="62" t="s">
        <v>10</v>
      </c>
      <c r="O231" s="36">
        <v>3</v>
      </c>
      <c r="P231" s="36">
        <v>5</v>
      </c>
      <c r="Q231" s="36">
        <v>5</v>
      </c>
      <c r="S231" s="83">
        <v>98373</v>
      </c>
      <c r="T231" s="15" t="s">
        <v>345</v>
      </c>
      <c r="U231" s="53">
        <v>1</v>
      </c>
      <c r="V231" s="53">
        <v>0</v>
      </c>
      <c r="W231" s="53">
        <v>0</v>
      </c>
    </row>
    <row r="232" spans="1:23" x14ac:dyDescent="0.2">
      <c r="A232" s="81">
        <v>98274</v>
      </c>
      <c r="B232" s="62" t="s">
        <v>10</v>
      </c>
      <c r="C232" s="36">
        <v>59</v>
      </c>
      <c r="D232" s="36">
        <v>70</v>
      </c>
      <c r="E232" s="36">
        <v>71</v>
      </c>
      <c r="G232" s="81">
        <v>98422</v>
      </c>
      <c r="H232" s="62" t="s">
        <v>10</v>
      </c>
      <c r="I232" s="33">
        <v>0</v>
      </c>
      <c r="J232" s="36">
        <v>3</v>
      </c>
      <c r="K232" s="33">
        <v>2</v>
      </c>
      <c r="M232" s="81">
        <v>98276</v>
      </c>
      <c r="N232" s="62" t="s">
        <v>10</v>
      </c>
      <c r="O232" s="33">
        <v>5</v>
      </c>
      <c r="P232" s="36">
        <v>4</v>
      </c>
      <c r="Q232" s="33">
        <v>3</v>
      </c>
      <c r="S232" s="83">
        <v>98373</v>
      </c>
      <c r="T232" s="15" t="s">
        <v>10</v>
      </c>
      <c r="U232" s="53">
        <v>22</v>
      </c>
      <c r="V232" s="53">
        <v>31</v>
      </c>
      <c r="W232" s="53">
        <v>29</v>
      </c>
    </row>
    <row r="233" spans="1:23" x14ac:dyDescent="0.2">
      <c r="A233" s="81">
        <v>98275</v>
      </c>
      <c r="B233" s="62" t="s">
        <v>345</v>
      </c>
      <c r="C233" s="36">
        <v>1</v>
      </c>
      <c r="D233" s="36">
        <v>1</v>
      </c>
      <c r="E233" s="36">
        <v>0</v>
      </c>
      <c r="G233" s="81">
        <v>98424</v>
      </c>
      <c r="H233" s="62" t="s">
        <v>10</v>
      </c>
      <c r="I233" s="33">
        <v>1</v>
      </c>
      <c r="J233" s="36">
        <v>0</v>
      </c>
      <c r="K233" s="33">
        <v>2</v>
      </c>
      <c r="M233" s="81">
        <v>98277</v>
      </c>
      <c r="N233" s="62" t="s">
        <v>345</v>
      </c>
      <c r="O233" s="36">
        <v>1</v>
      </c>
      <c r="P233" s="36">
        <v>7</v>
      </c>
      <c r="Q233" s="36">
        <v>4</v>
      </c>
      <c r="S233" s="83">
        <v>98374</v>
      </c>
      <c r="T233" s="15" t="s">
        <v>345</v>
      </c>
      <c r="U233" s="53">
        <v>0</v>
      </c>
      <c r="V233" s="53">
        <v>1</v>
      </c>
      <c r="W233" s="53">
        <v>0</v>
      </c>
    </row>
    <row r="234" spans="1:23" x14ac:dyDescent="0.2">
      <c r="A234" s="81">
        <v>98275</v>
      </c>
      <c r="B234" s="62" t="s">
        <v>10</v>
      </c>
      <c r="C234" s="33">
        <v>7</v>
      </c>
      <c r="D234" s="36">
        <v>6</v>
      </c>
      <c r="E234" s="36">
        <v>7</v>
      </c>
      <c r="G234" s="81">
        <v>98439</v>
      </c>
      <c r="H234" s="62" t="s">
        <v>10</v>
      </c>
      <c r="I234" s="36">
        <v>3</v>
      </c>
      <c r="J234" s="33">
        <v>2</v>
      </c>
      <c r="K234" s="33">
        <v>5</v>
      </c>
      <c r="M234" s="81">
        <v>98277</v>
      </c>
      <c r="N234" s="62" t="s">
        <v>10</v>
      </c>
      <c r="O234" s="36">
        <v>74</v>
      </c>
      <c r="P234" s="33">
        <v>77</v>
      </c>
      <c r="Q234" s="33">
        <v>60</v>
      </c>
      <c r="S234" s="83">
        <v>98374</v>
      </c>
      <c r="T234" s="15" t="s">
        <v>10</v>
      </c>
      <c r="U234" s="53">
        <v>65</v>
      </c>
      <c r="V234" s="53">
        <v>67</v>
      </c>
      <c r="W234" s="53">
        <v>62</v>
      </c>
    </row>
    <row r="235" spans="1:23" x14ac:dyDescent="0.2">
      <c r="A235" s="81">
        <v>98276</v>
      </c>
      <c r="B235" s="62" t="s">
        <v>10</v>
      </c>
      <c r="C235" s="36">
        <v>5</v>
      </c>
      <c r="D235" s="36">
        <v>4</v>
      </c>
      <c r="E235" s="36">
        <v>4</v>
      </c>
      <c r="G235" s="81">
        <v>98444</v>
      </c>
      <c r="H235" s="62" t="s">
        <v>10</v>
      </c>
      <c r="I235" s="33">
        <v>1</v>
      </c>
      <c r="J235" s="36">
        <v>5</v>
      </c>
      <c r="K235" s="33">
        <v>0</v>
      </c>
      <c r="M235" s="56">
        <v>98281</v>
      </c>
      <c r="N235" s="62" t="s">
        <v>10</v>
      </c>
      <c r="O235" s="36">
        <v>7</v>
      </c>
      <c r="P235" s="33">
        <v>5</v>
      </c>
      <c r="Q235" s="33">
        <v>4</v>
      </c>
      <c r="S235" s="83">
        <v>98375</v>
      </c>
      <c r="T235" s="15" t="s">
        <v>10</v>
      </c>
      <c r="U235" s="53">
        <v>48</v>
      </c>
      <c r="V235" s="53">
        <v>42</v>
      </c>
      <c r="W235" s="53">
        <v>33</v>
      </c>
    </row>
    <row r="236" spans="1:23" x14ac:dyDescent="0.2">
      <c r="A236" s="81">
        <v>98277</v>
      </c>
      <c r="B236" s="62" t="s">
        <v>345</v>
      </c>
      <c r="C236" s="36">
        <v>9</v>
      </c>
      <c r="D236" s="36">
        <v>12</v>
      </c>
      <c r="E236" s="36">
        <v>10</v>
      </c>
      <c r="G236" s="81">
        <v>98445</v>
      </c>
      <c r="H236" s="62" t="s">
        <v>10</v>
      </c>
      <c r="I236" s="33">
        <v>2</v>
      </c>
      <c r="J236" s="36">
        <v>7</v>
      </c>
      <c r="K236" s="33">
        <v>4</v>
      </c>
      <c r="M236" s="81">
        <v>98283</v>
      </c>
      <c r="N236" s="62" t="s">
        <v>10</v>
      </c>
      <c r="O236" s="36">
        <v>2</v>
      </c>
      <c r="P236" s="36">
        <v>2</v>
      </c>
      <c r="Q236" s="36">
        <v>1</v>
      </c>
      <c r="S236" s="83">
        <v>98380</v>
      </c>
      <c r="T236" s="15" t="s">
        <v>10</v>
      </c>
      <c r="U236" s="53">
        <v>12</v>
      </c>
      <c r="V236" s="53">
        <v>12</v>
      </c>
      <c r="W236" s="53">
        <v>7</v>
      </c>
    </row>
    <row r="237" spans="1:23" x14ac:dyDescent="0.2">
      <c r="A237" s="56">
        <v>98277</v>
      </c>
      <c r="B237" s="62" t="s">
        <v>10</v>
      </c>
      <c r="C237" s="36">
        <v>145</v>
      </c>
      <c r="D237" s="36">
        <v>142</v>
      </c>
      <c r="E237" s="36">
        <v>134</v>
      </c>
      <c r="G237" s="81">
        <v>98446</v>
      </c>
      <c r="H237" s="62" t="s">
        <v>10</v>
      </c>
      <c r="I237" s="36">
        <v>2</v>
      </c>
      <c r="J237" s="33">
        <v>5</v>
      </c>
      <c r="K237" s="33">
        <v>7</v>
      </c>
      <c r="M237" s="81">
        <v>98284</v>
      </c>
      <c r="N237" s="62" t="s">
        <v>345</v>
      </c>
      <c r="O237" s="36">
        <v>2</v>
      </c>
      <c r="P237" s="36">
        <v>3</v>
      </c>
      <c r="Q237" s="36">
        <v>4</v>
      </c>
      <c r="S237" s="83">
        <v>98383</v>
      </c>
      <c r="T237" s="15" t="s">
        <v>10</v>
      </c>
      <c r="U237" s="53">
        <v>18</v>
      </c>
      <c r="V237" s="53">
        <v>15</v>
      </c>
      <c r="W237" s="53">
        <v>23</v>
      </c>
    </row>
    <row r="238" spans="1:23" x14ac:dyDescent="0.2">
      <c r="A238" s="81">
        <v>98281</v>
      </c>
      <c r="B238" s="62" t="s">
        <v>10</v>
      </c>
      <c r="C238" s="36">
        <v>6</v>
      </c>
      <c r="D238" s="36">
        <v>6</v>
      </c>
      <c r="E238" s="36">
        <v>5</v>
      </c>
      <c r="G238" s="81">
        <v>98465</v>
      </c>
      <c r="H238" s="62" t="s">
        <v>10</v>
      </c>
      <c r="I238" s="33">
        <v>0</v>
      </c>
      <c r="J238" s="33">
        <v>1</v>
      </c>
      <c r="K238" s="36">
        <v>2</v>
      </c>
      <c r="M238" s="81">
        <v>98284</v>
      </c>
      <c r="N238" s="62" t="s">
        <v>10</v>
      </c>
      <c r="O238" s="36">
        <v>92</v>
      </c>
      <c r="P238" s="36">
        <v>105</v>
      </c>
      <c r="Q238" s="36">
        <v>68</v>
      </c>
      <c r="S238" s="83">
        <v>98385</v>
      </c>
      <c r="T238" s="15" t="s">
        <v>345</v>
      </c>
      <c r="U238" s="53">
        <v>0</v>
      </c>
      <c r="V238" s="53">
        <v>1</v>
      </c>
      <c r="W238" s="53">
        <v>0</v>
      </c>
    </row>
    <row r="239" spans="1:23" x14ac:dyDescent="0.2">
      <c r="A239" s="56">
        <v>98283</v>
      </c>
      <c r="B239" s="62" t="s">
        <v>10</v>
      </c>
      <c r="C239" s="36">
        <v>1</v>
      </c>
      <c r="D239" s="36">
        <v>3</v>
      </c>
      <c r="E239" s="36">
        <v>2</v>
      </c>
      <c r="G239" s="81">
        <v>98466</v>
      </c>
      <c r="H239" s="62" t="s">
        <v>10</v>
      </c>
      <c r="I239" s="36">
        <v>0</v>
      </c>
      <c r="J239" s="33">
        <v>1</v>
      </c>
      <c r="K239" s="33">
        <v>4</v>
      </c>
      <c r="M239" s="81">
        <v>98288</v>
      </c>
      <c r="N239" s="62" t="s">
        <v>10</v>
      </c>
      <c r="O239" s="36">
        <v>0</v>
      </c>
      <c r="P239" s="36">
        <v>1</v>
      </c>
      <c r="Q239" s="36">
        <v>0</v>
      </c>
      <c r="S239" s="83">
        <v>98385</v>
      </c>
      <c r="T239" s="15" t="s">
        <v>10</v>
      </c>
      <c r="U239" s="53">
        <v>0</v>
      </c>
      <c r="V239" s="53">
        <v>0</v>
      </c>
      <c r="W239" s="53">
        <v>2</v>
      </c>
    </row>
    <row r="240" spans="1:23" x14ac:dyDescent="0.2">
      <c r="A240" s="81">
        <v>98284</v>
      </c>
      <c r="B240" s="62" t="s">
        <v>345</v>
      </c>
      <c r="C240" s="36">
        <v>4</v>
      </c>
      <c r="D240" s="36">
        <v>6</v>
      </c>
      <c r="E240" s="36">
        <v>5</v>
      </c>
      <c r="G240" s="81">
        <v>98467</v>
      </c>
      <c r="H240" s="62" t="s">
        <v>10</v>
      </c>
      <c r="I240" s="33">
        <v>3</v>
      </c>
      <c r="J240" s="33">
        <v>0</v>
      </c>
      <c r="K240" s="36">
        <v>1</v>
      </c>
      <c r="M240" s="56">
        <v>98290</v>
      </c>
      <c r="N240" s="62" t="s">
        <v>345</v>
      </c>
      <c r="O240" s="36">
        <v>0</v>
      </c>
      <c r="P240" s="36">
        <v>1</v>
      </c>
      <c r="Q240" s="36">
        <v>0</v>
      </c>
      <c r="S240" s="83">
        <v>98387</v>
      </c>
      <c r="T240" s="15" t="s">
        <v>10</v>
      </c>
      <c r="U240" s="53">
        <v>29</v>
      </c>
      <c r="V240" s="53">
        <v>20</v>
      </c>
      <c r="W240" s="53">
        <v>25</v>
      </c>
    </row>
    <row r="241" spans="1:23" x14ac:dyDescent="0.2">
      <c r="A241" s="81">
        <v>98284</v>
      </c>
      <c r="B241" s="62" t="s">
        <v>10</v>
      </c>
      <c r="C241" s="36">
        <v>153</v>
      </c>
      <c r="D241" s="36">
        <v>162</v>
      </c>
      <c r="E241" s="36">
        <v>146</v>
      </c>
      <c r="G241" s="81">
        <v>98498</v>
      </c>
      <c r="H241" s="62" t="s">
        <v>345</v>
      </c>
      <c r="I241" s="33">
        <v>1</v>
      </c>
      <c r="J241" s="33">
        <v>0</v>
      </c>
      <c r="K241" s="36">
        <v>0</v>
      </c>
      <c r="M241" s="81">
        <v>98290</v>
      </c>
      <c r="N241" s="62" t="s">
        <v>10</v>
      </c>
      <c r="O241" s="36">
        <v>6</v>
      </c>
      <c r="P241" s="36">
        <v>8</v>
      </c>
      <c r="Q241" s="36">
        <v>8</v>
      </c>
      <c r="S241" s="83">
        <v>98388</v>
      </c>
      <c r="T241" s="15" t="s">
        <v>10</v>
      </c>
      <c r="U241" s="53">
        <v>2</v>
      </c>
      <c r="V241" s="53">
        <v>0</v>
      </c>
      <c r="W241" s="53">
        <v>0</v>
      </c>
    </row>
    <row r="242" spans="1:23" x14ac:dyDescent="0.2">
      <c r="A242" s="81">
        <v>98288</v>
      </c>
      <c r="B242" s="62" t="s">
        <v>10</v>
      </c>
      <c r="C242" s="36">
        <v>2</v>
      </c>
      <c r="D242" s="36">
        <v>2</v>
      </c>
      <c r="E242" s="36">
        <v>2</v>
      </c>
      <c r="G242" s="81">
        <v>98498</v>
      </c>
      <c r="H242" s="62" t="s">
        <v>10</v>
      </c>
      <c r="I242" s="77">
        <v>9</v>
      </c>
      <c r="J242" s="77">
        <v>13</v>
      </c>
      <c r="K242" s="77">
        <v>15</v>
      </c>
      <c r="M242" s="81">
        <v>98292</v>
      </c>
      <c r="N242" s="62" t="s">
        <v>10</v>
      </c>
      <c r="O242" s="36">
        <v>1</v>
      </c>
      <c r="P242" s="36">
        <v>1</v>
      </c>
      <c r="Q242" s="36">
        <v>1</v>
      </c>
      <c r="S242" s="83">
        <v>98390</v>
      </c>
      <c r="T242" s="15" t="s">
        <v>345</v>
      </c>
      <c r="U242" s="53">
        <v>1</v>
      </c>
      <c r="V242" s="53">
        <v>1</v>
      </c>
      <c r="W242" s="53">
        <v>1</v>
      </c>
    </row>
    <row r="243" spans="1:23" x14ac:dyDescent="0.2">
      <c r="A243" s="81">
        <v>98290</v>
      </c>
      <c r="B243" s="62" t="s">
        <v>345</v>
      </c>
      <c r="C243" s="36">
        <v>1</v>
      </c>
      <c r="D243" s="36">
        <v>1</v>
      </c>
      <c r="E243" s="36">
        <v>1</v>
      </c>
      <c r="G243" s="81">
        <v>98499</v>
      </c>
      <c r="H243" s="62" t="s">
        <v>10</v>
      </c>
      <c r="I243" s="77">
        <v>5</v>
      </c>
      <c r="J243" s="77">
        <v>6</v>
      </c>
      <c r="K243" s="77">
        <v>3</v>
      </c>
      <c r="M243" s="56">
        <v>98294</v>
      </c>
      <c r="N243" s="62" t="s">
        <v>10</v>
      </c>
      <c r="O243" s="36">
        <v>7</v>
      </c>
      <c r="P243" s="36">
        <v>4</v>
      </c>
      <c r="Q243" s="36">
        <v>3</v>
      </c>
      <c r="S243" s="83">
        <v>98390</v>
      </c>
      <c r="T243" s="15" t="s">
        <v>10</v>
      </c>
      <c r="U243" s="53">
        <v>19</v>
      </c>
      <c r="V243" s="53">
        <v>20</v>
      </c>
      <c r="W243" s="53">
        <v>17</v>
      </c>
    </row>
    <row r="244" spans="1:23" x14ac:dyDescent="0.2">
      <c r="A244" s="81">
        <v>98290</v>
      </c>
      <c r="B244" s="62" t="s">
        <v>10</v>
      </c>
      <c r="C244" s="36">
        <v>12</v>
      </c>
      <c r="D244" s="36">
        <v>14</v>
      </c>
      <c r="E244" s="36">
        <v>8</v>
      </c>
      <c r="G244" s="81">
        <v>98501</v>
      </c>
      <c r="H244" s="62" t="s">
        <v>345</v>
      </c>
      <c r="I244" s="77">
        <v>1</v>
      </c>
      <c r="J244" s="82">
        <v>2</v>
      </c>
      <c r="K244" s="82">
        <v>0</v>
      </c>
      <c r="M244" s="81">
        <v>98295</v>
      </c>
      <c r="N244" s="62" t="s">
        <v>10</v>
      </c>
      <c r="O244" s="36">
        <v>4</v>
      </c>
      <c r="P244" s="36">
        <v>6</v>
      </c>
      <c r="Q244" s="36">
        <v>5</v>
      </c>
      <c r="S244" s="83">
        <v>98391</v>
      </c>
      <c r="T244" s="15" t="s">
        <v>345</v>
      </c>
      <c r="U244" s="53">
        <v>0</v>
      </c>
      <c r="V244" s="53">
        <v>1</v>
      </c>
      <c r="W244" s="53">
        <v>3</v>
      </c>
    </row>
    <row r="245" spans="1:23" x14ac:dyDescent="0.2">
      <c r="A245" s="81">
        <v>98292</v>
      </c>
      <c r="B245" s="62" t="s">
        <v>10</v>
      </c>
      <c r="C245" s="36">
        <v>4</v>
      </c>
      <c r="D245" s="36">
        <v>4</v>
      </c>
      <c r="E245" s="36">
        <v>3</v>
      </c>
      <c r="G245" s="56">
        <v>98501</v>
      </c>
      <c r="H245" s="62" t="s">
        <v>10</v>
      </c>
      <c r="I245" s="77">
        <v>24</v>
      </c>
      <c r="J245" s="82">
        <v>20</v>
      </c>
      <c r="K245" s="82">
        <v>20</v>
      </c>
      <c r="M245" s="56">
        <v>98296</v>
      </c>
      <c r="N245" s="62" t="s">
        <v>10</v>
      </c>
      <c r="O245" s="36">
        <v>8</v>
      </c>
      <c r="P245" s="36">
        <v>6</v>
      </c>
      <c r="Q245" s="36">
        <v>5</v>
      </c>
      <c r="S245" s="83">
        <v>98391</v>
      </c>
      <c r="T245" s="15" t="s">
        <v>10</v>
      </c>
      <c r="U245" s="53">
        <v>69</v>
      </c>
      <c r="V245" s="53">
        <v>61</v>
      </c>
      <c r="W245" s="53">
        <v>58</v>
      </c>
    </row>
    <row r="246" spans="1:23" x14ac:dyDescent="0.2">
      <c r="A246" s="56">
        <v>98294</v>
      </c>
      <c r="B246" s="62" t="s">
        <v>10</v>
      </c>
      <c r="C246" s="36">
        <v>7</v>
      </c>
      <c r="D246" s="36">
        <v>12</v>
      </c>
      <c r="E246" s="36">
        <v>7</v>
      </c>
      <c r="G246" s="81">
        <v>98502</v>
      </c>
      <c r="H246" s="62" t="s">
        <v>10</v>
      </c>
      <c r="I246" s="77">
        <v>21</v>
      </c>
      <c r="J246" s="77">
        <v>24</v>
      </c>
      <c r="K246" s="77">
        <v>21</v>
      </c>
      <c r="M246" s="81">
        <v>98310</v>
      </c>
      <c r="N246" s="62" t="s">
        <v>345</v>
      </c>
      <c r="O246" s="36">
        <v>1</v>
      </c>
      <c r="P246" s="33">
        <v>3</v>
      </c>
      <c r="Q246" s="33">
        <v>3</v>
      </c>
      <c r="S246" s="83">
        <v>98392</v>
      </c>
      <c r="T246" s="15" t="s">
        <v>10</v>
      </c>
      <c r="U246" s="53">
        <v>2</v>
      </c>
      <c r="V246" s="53">
        <v>1</v>
      </c>
      <c r="W246" s="53">
        <v>3</v>
      </c>
    </row>
    <row r="247" spans="1:23" x14ac:dyDescent="0.2">
      <c r="A247" s="81">
        <v>98295</v>
      </c>
      <c r="B247" s="62" t="s">
        <v>10</v>
      </c>
      <c r="C247" s="33">
        <v>5</v>
      </c>
      <c r="D247" s="36">
        <v>2</v>
      </c>
      <c r="E247" s="36">
        <v>6</v>
      </c>
      <c r="G247" s="81">
        <v>98503</v>
      </c>
      <c r="H247" s="62" t="s">
        <v>10</v>
      </c>
      <c r="I247" s="82">
        <v>29</v>
      </c>
      <c r="J247" s="77">
        <v>31</v>
      </c>
      <c r="K247" s="77">
        <v>24</v>
      </c>
      <c r="M247" s="56">
        <v>98310</v>
      </c>
      <c r="N247" s="62" t="s">
        <v>10</v>
      </c>
      <c r="O247" s="36">
        <v>94</v>
      </c>
      <c r="P247" s="36">
        <v>74</v>
      </c>
      <c r="Q247" s="36">
        <v>79</v>
      </c>
      <c r="S247" s="83">
        <v>98396</v>
      </c>
      <c r="T247" s="15" t="s">
        <v>10</v>
      </c>
      <c r="U247" s="53">
        <v>0</v>
      </c>
      <c r="V247" s="53">
        <v>3</v>
      </c>
      <c r="W247" s="53">
        <v>1</v>
      </c>
    </row>
    <row r="248" spans="1:23" x14ac:dyDescent="0.2">
      <c r="A248" s="56">
        <v>98296</v>
      </c>
      <c r="B248" s="62" t="s">
        <v>10</v>
      </c>
      <c r="C248" s="36">
        <v>12</v>
      </c>
      <c r="D248" s="36">
        <v>15</v>
      </c>
      <c r="E248" s="36">
        <v>12</v>
      </c>
      <c r="G248" s="81">
        <v>98506</v>
      </c>
      <c r="H248" s="62" t="s">
        <v>345</v>
      </c>
      <c r="I248" s="77">
        <v>1</v>
      </c>
      <c r="J248" s="82">
        <v>1</v>
      </c>
      <c r="K248" s="82">
        <v>0</v>
      </c>
      <c r="M248" s="81">
        <v>98311</v>
      </c>
      <c r="N248" s="62" t="s">
        <v>345</v>
      </c>
      <c r="O248" s="36">
        <v>1</v>
      </c>
      <c r="P248" s="36">
        <v>0</v>
      </c>
      <c r="Q248" s="36">
        <v>2</v>
      </c>
      <c r="S248" s="83">
        <v>98403</v>
      </c>
      <c r="T248" s="15" t="s">
        <v>10</v>
      </c>
      <c r="U248" s="53">
        <v>0</v>
      </c>
      <c r="V248" s="53">
        <v>0</v>
      </c>
      <c r="W248" s="53">
        <v>1</v>
      </c>
    </row>
    <row r="249" spans="1:23" x14ac:dyDescent="0.2">
      <c r="A249" s="81">
        <v>98310</v>
      </c>
      <c r="B249" s="62" t="s">
        <v>345</v>
      </c>
      <c r="C249" s="36">
        <v>6</v>
      </c>
      <c r="D249" s="36">
        <v>6</v>
      </c>
      <c r="E249" s="36">
        <v>7</v>
      </c>
      <c r="G249" s="81">
        <v>98506</v>
      </c>
      <c r="H249" s="62" t="s">
        <v>10</v>
      </c>
      <c r="I249" s="82">
        <v>2</v>
      </c>
      <c r="J249" s="82">
        <v>7</v>
      </c>
      <c r="K249" s="77">
        <v>4</v>
      </c>
      <c r="M249" s="81">
        <v>98311</v>
      </c>
      <c r="N249" s="62" t="s">
        <v>10</v>
      </c>
      <c r="O249" s="33">
        <v>84</v>
      </c>
      <c r="P249" s="33">
        <v>86</v>
      </c>
      <c r="Q249" s="36">
        <v>65</v>
      </c>
      <c r="S249" s="83">
        <v>98404</v>
      </c>
      <c r="T249" s="15" t="s">
        <v>10</v>
      </c>
      <c r="U249" s="53">
        <v>13</v>
      </c>
      <c r="V249" s="53">
        <v>10</v>
      </c>
      <c r="W249" s="53">
        <v>8</v>
      </c>
    </row>
    <row r="250" spans="1:23" x14ac:dyDescent="0.2">
      <c r="A250" s="56">
        <v>98310</v>
      </c>
      <c r="B250" s="62" t="s">
        <v>10</v>
      </c>
      <c r="C250" s="36">
        <v>113</v>
      </c>
      <c r="D250" s="36">
        <v>130</v>
      </c>
      <c r="E250" s="36">
        <v>117</v>
      </c>
      <c r="G250" s="81">
        <v>98512</v>
      </c>
      <c r="H250" s="62" t="s">
        <v>345</v>
      </c>
      <c r="I250" s="82">
        <v>0</v>
      </c>
      <c r="J250" s="82">
        <v>1</v>
      </c>
      <c r="K250" s="77">
        <v>1</v>
      </c>
      <c r="M250" s="56">
        <v>98312</v>
      </c>
      <c r="N250" s="62" t="s">
        <v>345</v>
      </c>
      <c r="O250" s="36">
        <v>5</v>
      </c>
      <c r="P250" s="36">
        <v>5</v>
      </c>
      <c r="Q250" s="36">
        <v>3</v>
      </c>
      <c r="S250" s="83">
        <v>98405</v>
      </c>
      <c r="T250" s="15" t="s">
        <v>345</v>
      </c>
      <c r="U250" s="53">
        <v>0</v>
      </c>
      <c r="V250" s="53">
        <v>1</v>
      </c>
      <c r="W250" s="53">
        <v>0</v>
      </c>
    </row>
    <row r="251" spans="1:23" x14ac:dyDescent="0.2">
      <c r="A251" s="81">
        <v>98311</v>
      </c>
      <c r="B251" s="62" t="s">
        <v>345</v>
      </c>
      <c r="C251" s="36">
        <v>1</v>
      </c>
      <c r="D251" s="36">
        <v>1</v>
      </c>
      <c r="E251" s="36">
        <v>0</v>
      </c>
      <c r="G251" s="83">
        <v>98512</v>
      </c>
      <c r="H251" s="15" t="s">
        <v>10</v>
      </c>
      <c r="I251" s="53">
        <v>31</v>
      </c>
      <c r="J251" s="53">
        <v>15</v>
      </c>
      <c r="K251" s="53">
        <v>23</v>
      </c>
      <c r="M251" s="81">
        <v>98312</v>
      </c>
      <c r="N251" s="62" t="s">
        <v>10</v>
      </c>
      <c r="O251" s="36">
        <v>111</v>
      </c>
      <c r="P251" s="36">
        <v>134</v>
      </c>
      <c r="Q251" s="36">
        <v>103</v>
      </c>
      <c r="S251" s="83">
        <v>98405</v>
      </c>
      <c r="T251" s="15" t="s">
        <v>10</v>
      </c>
      <c r="U251" s="53">
        <v>3</v>
      </c>
      <c r="V251" s="53">
        <v>8</v>
      </c>
      <c r="W251" s="53">
        <v>2</v>
      </c>
    </row>
    <row r="252" spans="1:23" x14ac:dyDescent="0.2">
      <c r="A252" s="56">
        <v>98311</v>
      </c>
      <c r="B252" s="62" t="s">
        <v>10</v>
      </c>
      <c r="C252" s="36">
        <v>138</v>
      </c>
      <c r="D252" s="36">
        <v>144</v>
      </c>
      <c r="E252" s="36">
        <v>137</v>
      </c>
      <c r="G252" s="83">
        <v>98513</v>
      </c>
      <c r="H252" s="15" t="s">
        <v>345</v>
      </c>
      <c r="I252" s="53">
        <v>1</v>
      </c>
      <c r="J252" s="53">
        <v>0</v>
      </c>
      <c r="K252" s="53">
        <v>0</v>
      </c>
      <c r="M252" s="81">
        <v>98321</v>
      </c>
      <c r="N252" s="62" t="s">
        <v>345</v>
      </c>
      <c r="O252" s="36">
        <v>2</v>
      </c>
      <c r="P252" s="36">
        <v>2</v>
      </c>
      <c r="Q252" s="36">
        <v>1</v>
      </c>
      <c r="S252" s="83">
        <v>98406</v>
      </c>
      <c r="T252" s="15" t="s">
        <v>345</v>
      </c>
      <c r="U252" s="53">
        <v>0</v>
      </c>
      <c r="V252" s="53">
        <v>0</v>
      </c>
      <c r="W252" s="53">
        <v>1</v>
      </c>
    </row>
    <row r="253" spans="1:23" x14ac:dyDescent="0.2">
      <c r="A253" s="81">
        <v>98312</v>
      </c>
      <c r="B253" s="62" t="s">
        <v>345</v>
      </c>
      <c r="C253" s="36">
        <v>5</v>
      </c>
      <c r="D253" s="36">
        <v>4</v>
      </c>
      <c r="E253" s="36">
        <v>6</v>
      </c>
      <c r="G253" s="83">
        <v>98513</v>
      </c>
      <c r="H253" s="15" t="s">
        <v>10</v>
      </c>
      <c r="I253" s="53">
        <v>16</v>
      </c>
      <c r="J253" s="53">
        <v>19</v>
      </c>
      <c r="K253" s="53">
        <v>10</v>
      </c>
      <c r="M253" s="81">
        <v>98321</v>
      </c>
      <c r="N253" s="62" t="s">
        <v>10</v>
      </c>
      <c r="O253" s="36">
        <v>47</v>
      </c>
      <c r="P253" s="36">
        <v>50</v>
      </c>
      <c r="Q253" s="36">
        <v>55</v>
      </c>
      <c r="S253" s="83">
        <v>98406</v>
      </c>
      <c r="T253" s="15" t="s">
        <v>10</v>
      </c>
      <c r="U253" s="53">
        <v>2</v>
      </c>
      <c r="V253" s="53">
        <v>4</v>
      </c>
      <c r="W253" s="53">
        <v>3</v>
      </c>
    </row>
    <row r="254" spans="1:23" x14ac:dyDescent="0.2">
      <c r="A254" s="56">
        <v>98312</v>
      </c>
      <c r="B254" s="62" t="s">
        <v>10</v>
      </c>
      <c r="C254" s="36">
        <v>204</v>
      </c>
      <c r="D254" s="36">
        <v>209</v>
      </c>
      <c r="E254" s="36">
        <v>198</v>
      </c>
      <c r="G254" s="83">
        <v>98516</v>
      </c>
      <c r="H254" s="15" t="s">
        <v>345</v>
      </c>
      <c r="I254" s="53">
        <v>1</v>
      </c>
      <c r="J254" s="53">
        <v>0</v>
      </c>
      <c r="K254" s="53">
        <v>1</v>
      </c>
      <c r="M254" s="56">
        <v>98323</v>
      </c>
      <c r="N254" s="62" t="s">
        <v>345</v>
      </c>
      <c r="O254" s="36">
        <v>0</v>
      </c>
      <c r="P254" s="36">
        <v>1</v>
      </c>
      <c r="Q254" s="36">
        <v>0</v>
      </c>
      <c r="S254" s="83">
        <v>98407</v>
      </c>
      <c r="T254" s="15" t="s">
        <v>10</v>
      </c>
      <c r="U254" s="53">
        <v>6</v>
      </c>
      <c r="V254" s="53">
        <v>5</v>
      </c>
      <c r="W254" s="53">
        <v>4</v>
      </c>
    </row>
    <row r="255" spans="1:23" x14ac:dyDescent="0.2">
      <c r="A255" s="81">
        <v>98321</v>
      </c>
      <c r="B255" s="62" t="s">
        <v>345</v>
      </c>
      <c r="C255" s="36">
        <v>4</v>
      </c>
      <c r="D255" s="36">
        <v>2</v>
      </c>
      <c r="E255" s="36">
        <v>4</v>
      </c>
      <c r="G255" s="83">
        <v>98516</v>
      </c>
      <c r="H255" s="15" t="s">
        <v>10</v>
      </c>
      <c r="I255" s="53">
        <v>12</v>
      </c>
      <c r="J255" s="53">
        <v>18</v>
      </c>
      <c r="K255" s="53">
        <v>11</v>
      </c>
      <c r="M255" s="81">
        <v>98323</v>
      </c>
      <c r="N255" s="62" t="s">
        <v>10</v>
      </c>
      <c r="O255" s="36">
        <v>6</v>
      </c>
      <c r="P255" s="36">
        <v>11</v>
      </c>
      <c r="Q255" s="33">
        <v>4</v>
      </c>
      <c r="S255" s="83">
        <v>98408</v>
      </c>
      <c r="T255" s="15" t="s">
        <v>10</v>
      </c>
      <c r="U255" s="53">
        <v>10</v>
      </c>
      <c r="V255" s="53">
        <v>6</v>
      </c>
      <c r="W255" s="53">
        <v>2</v>
      </c>
    </row>
    <row r="256" spans="1:23" x14ac:dyDescent="0.2">
      <c r="A256" s="56">
        <v>98321</v>
      </c>
      <c r="B256" s="62" t="s">
        <v>10</v>
      </c>
      <c r="C256" s="36">
        <v>81</v>
      </c>
      <c r="D256" s="36">
        <v>79</v>
      </c>
      <c r="E256" s="36">
        <v>78</v>
      </c>
      <c r="G256" s="83">
        <v>98530</v>
      </c>
      <c r="H256" s="15" t="s">
        <v>10</v>
      </c>
      <c r="I256" s="53">
        <v>1</v>
      </c>
      <c r="J256" s="53">
        <v>2</v>
      </c>
      <c r="K256" s="53">
        <v>0</v>
      </c>
      <c r="M256" s="56">
        <v>98327</v>
      </c>
      <c r="N256" s="62" t="s">
        <v>10</v>
      </c>
      <c r="O256" s="36">
        <v>26</v>
      </c>
      <c r="P256" s="36">
        <v>15</v>
      </c>
      <c r="Q256" s="36">
        <v>21</v>
      </c>
      <c r="S256" s="83">
        <v>98409</v>
      </c>
      <c r="T256" s="15" t="s">
        <v>345</v>
      </c>
      <c r="U256" s="53">
        <v>0</v>
      </c>
      <c r="V256" s="53">
        <v>1</v>
      </c>
      <c r="W256" s="53">
        <v>0</v>
      </c>
    </row>
    <row r="257" spans="1:23" x14ac:dyDescent="0.2">
      <c r="A257" s="81">
        <v>98323</v>
      </c>
      <c r="B257" s="62" t="s">
        <v>345</v>
      </c>
      <c r="C257" s="36">
        <v>1</v>
      </c>
      <c r="D257" s="36">
        <v>0</v>
      </c>
      <c r="E257" s="36">
        <v>1</v>
      </c>
      <c r="G257" s="83">
        <v>98531</v>
      </c>
      <c r="H257" s="15" t="s">
        <v>10</v>
      </c>
      <c r="I257" s="53">
        <v>9</v>
      </c>
      <c r="J257" s="53">
        <v>3</v>
      </c>
      <c r="K257" s="53">
        <v>5</v>
      </c>
      <c r="M257" s="81">
        <v>98328</v>
      </c>
      <c r="N257" s="62" t="s">
        <v>345</v>
      </c>
      <c r="O257" s="33">
        <v>0</v>
      </c>
      <c r="P257" s="36">
        <v>2</v>
      </c>
      <c r="Q257" s="33">
        <v>0</v>
      </c>
      <c r="S257" s="83">
        <v>98409</v>
      </c>
      <c r="T257" s="15" t="s">
        <v>10</v>
      </c>
      <c r="U257" s="53">
        <v>5</v>
      </c>
      <c r="V257" s="53">
        <v>3</v>
      </c>
      <c r="W257" s="53">
        <v>1</v>
      </c>
    </row>
    <row r="258" spans="1:23" x14ac:dyDescent="0.2">
      <c r="A258" s="56">
        <v>98323</v>
      </c>
      <c r="B258" s="62" t="s">
        <v>10</v>
      </c>
      <c r="C258" s="36">
        <v>20</v>
      </c>
      <c r="D258" s="36">
        <v>11</v>
      </c>
      <c r="E258" s="36">
        <v>14</v>
      </c>
      <c r="G258" s="83">
        <v>98532</v>
      </c>
      <c r="H258" s="15" t="s">
        <v>10</v>
      </c>
      <c r="I258" s="53">
        <v>0</v>
      </c>
      <c r="J258" s="53">
        <v>1</v>
      </c>
      <c r="K258" s="53">
        <v>1</v>
      </c>
      <c r="M258" s="56">
        <v>98328</v>
      </c>
      <c r="N258" s="62" t="s">
        <v>10</v>
      </c>
      <c r="O258" s="36">
        <v>2</v>
      </c>
      <c r="P258" s="36">
        <v>3</v>
      </c>
      <c r="Q258" s="36">
        <v>2</v>
      </c>
      <c r="S258" s="83">
        <v>98418</v>
      </c>
      <c r="T258" s="15" t="s">
        <v>10</v>
      </c>
      <c r="U258" s="53">
        <v>4</v>
      </c>
      <c r="V258" s="53">
        <v>4</v>
      </c>
      <c r="W258" s="53">
        <v>4</v>
      </c>
    </row>
    <row r="259" spans="1:23" x14ac:dyDescent="0.2">
      <c r="A259" s="81">
        <v>98327</v>
      </c>
      <c r="B259" s="62" t="s">
        <v>10</v>
      </c>
      <c r="C259" s="36">
        <v>43</v>
      </c>
      <c r="D259" s="33">
        <v>44</v>
      </c>
      <c r="E259" s="33">
        <v>29</v>
      </c>
      <c r="G259" s="83">
        <v>98568</v>
      </c>
      <c r="H259" s="15" t="s">
        <v>10</v>
      </c>
      <c r="I259" s="53">
        <v>0</v>
      </c>
      <c r="J259" s="53">
        <v>0</v>
      </c>
      <c r="K259" s="53">
        <v>1</v>
      </c>
      <c r="M259" s="81">
        <v>98329</v>
      </c>
      <c r="N259" s="62" t="s">
        <v>10</v>
      </c>
      <c r="O259" s="36">
        <v>0</v>
      </c>
      <c r="P259" s="36">
        <v>1</v>
      </c>
      <c r="Q259" s="36">
        <v>0</v>
      </c>
      <c r="S259" s="83">
        <v>98422</v>
      </c>
      <c r="T259" s="15" t="s">
        <v>10</v>
      </c>
      <c r="U259" s="53">
        <v>5</v>
      </c>
      <c r="V259" s="53">
        <v>3</v>
      </c>
      <c r="W259" s="53">
        <v>3</v>
      </c>
    </row>
    <row r="260" spans="1:23" x14ac:dyDescent="0.2">
      <c r="A260" s="56">
        <v>98328</v>
      </c>
      <c r="B260" s="62" t="s">
        <v>345</v>
      </c>
      <c r="C260" s="36">
        <v>0</v>
      </c>
      <c r="D260" s="36">
        <v>0</v>
      </c>
      <c r="E260" s="36">
        <v>2</v>
      </c>
      <c r="G260" s="83">
        <v>98576</v>
      </c>
      <c r="H260" s="15" t="s">
        <v>10</v>
      </c>
      <c r="I260" s="53">
        <v>7</v>
      </c>
      <c r="J260" s="53">
        <v>4</v>
      </c>
      <c r="K260" s="53">
        <v>3</v>
      </c>
      <c r="M260" s="81">
        <v>98332</v>
      </c>
      <c r="N260" s="62" t="s">
        <v>10</v>
      </c>
      <c r="O260" s="36">
        <v>7</v>
      </c>
      <c r="P260" s="36">
        <v>6</v>
      </c>
      <c r="Q260" s="36">
        <v>4</v>
      </c>
      <c r="S260" s="83">
        <v>98424</v>
      </c>
      <c r="T260" s="15" t="s">
        <v>345</v>
      </c>
      <c r="U260" s="53">
        <v>0</v>
      </c>
      <c r="V260" s="53">
        <v>1</v>
      </c>
      <c r="W260" s="53">
        <v>1</v>
      </c>
    </row>
    <row r="261" spans="1:23" x14ac:dyDescent="0.2">
      <c r="A261" s="81">
        <v>98328</v>
      </c>
      <c r="B261" s="62" t="s">
        <v>10</v>
      </c>
      <c r="C261" s="36">
        <v>8</v>
      </c>
      <c r="D261" s="36">
        <v>9</v>
      </c>
      <c r="E261" s="36">
        <v>7</v>
      </c>
      <c r="G261" s="83">
        <v>98579</v>
      </c>
      <c r="H261" s="15" t="s">
        <v>10</v>
      </c>
      <c r="I261" s="53">
        <v>13</v>
      </c>
      <c r="J261" s="53">
        <v>11</v>
      </c>
      <c r="K261" s="53">
        <v>12</v>
      </c>
      <c r="M261" s="81">
        <v>98335</v>
      </c>
      <c r="N261" s="62" t="s">
        <v>10</v>
      </c>
      <c r="O261" s="36">
        <v>15</v>
      </c>
      <c r="P261" s="36">
        <v>5</v>
      </c>
      <c r="Q261" s="36">
        <v>5</v>
      </c>
      <c r="S261" s="83">
        <v>98424</v>
      </c>
      <c r="T261" s="15" t="s">
        <v>10</v>
      </c>
      <c r="U261" s="53">
        <v>4</v>
      </c>
      <c r="V261" s="53">
        <v>2</v>
      </c>
      <c r="W261" s="53">
        <v>3</v>
      </c>
    </row>
    <row r="262" spans="1:23" x14ac:dyDescent="0.2">
      <c r="A262" s="56">
        <v>98329</v>
      </c>
      <c r="B262" s="62" t="s">
        <v>10</v>
      </c>
      <c r="C262" s="36">
        <v>2</v>
      </c>
      <c r="D262" s="36">
        <v>1</v>
      </c>
      <c r="E262" s="36">
        <v>1</v>
      </c>
      <c r="G262" s="83">
        <v>98580</v>
      </c>
      <c r="H262" s="15" t="s">
        <v>345</v>
      </c>
      <c r="I262" s="53">
        <v>0</v>
      </c>
      <c r="J262" s="53">
        <v>1</v>
      </c>
      <c r="K262" s="53">
        <v>0</v>
      </c>
      <c r="M262" s="81">
        <v>98337</v>
      </c>
      <c r="N262" s="62" t="s">
        <v>345</v>
      </c>
      <c r="O262" s="33">
        <v>1</v>
      </c>
      <c r="P262" s="36">
        <v>4</v>
      </c>
      <c r="Q262" s="33">
        <v>1</v>
      </c>
      <c r="S262" s="83">
        <v>98439</v>
      </c>
      <c r="T262" s="15" t="s">
        <v>10</v>
      </c>
      <c r="U262" s="53">
        <v>7</v>
      </c>
      <c r="V262" s="53">
        <v>7</v>
      </c>
      <c r="W262" s="53">
        <v>7</v>
      </c>
    </row>
    <row r="263" spans="1:23" x14ac:dyDescent="0.2">
      <c r="A263" s="81">
        <v>98332</v>
      </c>
      <c r="B263" s="62" t="s">
        <v>10</v>
      </c>
      <c r="C263" s="36">
        <v>11</v>
      </c>
      <c r="D263" s="36">
        <v>12</v>
      </c>
      <c r="E263" s="36">
        <v>15</v>
      </c>
      <c r="G263" s="83">
        <v>98580</v>
      </c>
      <c r="H263" s="15" t="s">
        <v>10</v>
      </c>
      <c r="I263" s="53">
        <v>2</v>
      </c>
      <c r="J263" s="53">
        <v>5</v>
      </c>
      <c r="K263" s="53">
        <v>6</v>
      </c>
      <c r="M263" s="56">
        <v>98337</v>
      </c>
      <c r="N263" s="62" t="s">
        <v>10</v>
      </c>
      <c r="O263" s="36">
        <v>30</v>
      </c>
      <c r="P263" s="36">
        <v>33</v>
      </c>
      <c r="Q263" s="33">
        <v>24</v>
      </c>
      <c r="S263" s="83">
        <v>98444</v>
      </c>
      <c r="T263" s="15" t="s">
        <v>10</v>
      </c>
      <c r="U263" s="53">
        <v>2</v>
      </c>
      <c r="V263" s="53">
        <v>1</v>
      </c>
      <c r="W263" s="53">
        <v>8</v>
      </c>
    </row>
    <row r="264" spans="1:23" x14ac:dyDescent="0.2">
      <c r="A264" s="56">
        <v>98335</v>
      </c>
      <c r="B264" s="62" t="s">
        <v>345</v>
      </c>
      <c r="C264" s="36">
        <v>1</v>
      </c>
      <c r="D264" s="36">
        <v>1</v>
      </c>
      <c r="E264" s="36">
        <v>1</v>
      </c>
      <c r="G264" s="83">
        <v>98589</v>
      </c>
      <c r="H264" s="15" t="s">
        <v>345</v>
      </c>
      <c r="I264" s="53">
        <v>1</v>
      </c>
      <c r="J264" s="53">
        <v>0</v>
      </c>
      <c r="K264" s="53">
        <v>0</v>
      </c>
      <c r="M264" s="81">
        <v>98338</v>
      </c>
      <c r="N264" s="62" t="s">
        <v>345</v>
      </c>
      <c r="O264" s="36">
        <v>1</v>
      </c>
      <c r="P264" s="36">
        <v>1</v>
      </c>
      <c r="Q264" s="36">
        <v>0</v>
      </c>
      <c r="S264" s="83">
        <v>98445</v>
      </c>
      <c r="T264" s="15" t="s">
        <v>10</v>
      </c>
      <c r="U264" s="53">
        <v>11</v>
      </c>
      <c r="V264" s="53">
        <v>8</v>
      </c>
      <c r="W264" s="53">
        <v>6</v>
      </c>
    </row>
    <row r="265" spans="1:23" x14ac:dyDescent="0.2">
      <c r="A265" s="81">
        <v>98335</v>
      </c>
      <c r="B265" s="62" t="s">
        <v>10</v>
      </c>
      <c r="C265" s="36">
        <v>9</v>
      </c>
      <c r="D265" s="36">
        <v>22</v>
      </c>
      <c r="E265" s="36">
        <v>15</v>
      </c>
      <c r="G265" s="83">
        <v>98589</v>
      </c>
      <c r="H265" s="15" t="s">
        <v>10</v>
      </c>
      <c r="I265" s="53">
        <v>12</v>
      </c>
      <c r="J265" s="53">
        <v>12</v>
      </c>
      <c r="K265" s="53">
        <v>8</v>
      </c>
      <c r="M265" s="56">
        <v>98338</v>
      </c>
      <c r="N265" s="62" t="s">
        <v>10</v>
      </c>
      <c r="O265" s="36">
        <v>72</v>
      </c>
      <c r="P265" s="36">
        <v>44</v>
      </c>
      <c r="Q265" s="36">
        <v>37</v>
      </c>
      <c r="S265" s="83">
        <v>98446</v>
      </c>
      <c r="T265" s="15" t="s">
        <v>10</v>
      </c>
      <c r="U265" s="53">
        <v>11</v>
      </c>
      <c r="V265" s="53">
        <v>10</v>
      </c>
      <c r="W265" s="53">
        <v>17</v>
      </c>
    </row>
    <row r="266" spans="1:23" x14ac:dyDescent="0.2">
      <c r="A266" s="81">
        <v>98337</v>
      </c>
      <c r="B266" s="62" t="s">
        <v>345</v>
      </c>
      <c r="C266" s="36">
        <v>4</v>
      </c>
      <c r="D266" s="36">
        <v>3</v>
      </c>
      <c r="E266" s="36">
        <v>5</v>
      </c>
      <c r="G266" s="83">
        <v>98591</v>
      </c>
      <c r="H266" s="15" t="s">
        <v>10</v>
      </c>
      <c r="I266" s="53">
        <v>0</v>
      </c>
      <c r="J266" s="53">
        <v>0</v>
      </c>
      <c r="K266" s="53">
        <v>1</v>
      </c>
      <c r="M266" s="81">
        <v>98340</v>
      </c>
      <c r="N266" s="62" t="s">
        <v>345</v>
      </c>
      <c r="O266" s="36">
        <v>1</v>
      </c>
      <c r="P266" s="33">
        <v>0</v>
      </c>
      <c r="Q266" s="36">
        <v>0</v>
      </c>
      <c r="S266" s="83">
        <v>98465</v>
      </c>
      <c r="T266" s="15" t="s">
        <v>10</v>
      </c>
      <c r="U266" s="53">
        <v>0</v>
      </c>
      <c r="V266" s="53">
        <v>2</v>
      </c>
      <c r="W266" s="53">
        <v>1</v>
      </c>
    </row>
    <row r="267" spans="1:23" x14ac:dyDescent="0.2">
      <c r="A267" s="56">
        <v>98337</v>
      </c>
      <c r="B267" s="62" t="s">
        <v>10</v>
      </c>
      <c r="C267" s="36">
        <v>32</v>
      </c>
      <c r="D267" s="36">
        <v>41</v>
      </c>
      <c r="E267" s="36">
        <v>36</v>
      </c>
      <c r="G267" s="83">
        <v>98597</v>
      </c>
      <c r="H267" s="15" t="s">
        <v>345</v>
      </c>
      <c r="I267" s="53">
        <v>1</v>
      </c>
      <c r="J267" s="53">
        <v>1</v>
      </c>
      <c r="K267" s="53">
        <v>2</v>
      </c>
      <c r="M267" s="56">
        <v>98340</v>
      </c>
      <c r="N267" s="62" t="s">
        <v>10</v>
      </c>
      <c r="O267" s="36">
        <v>7</v>
      </c>
      <c r="P267" s="36">
        <v>8</v>
      </c>
      <c r="Q267" s="36">
        <v>4</v>
      </c>
      <c r="S267" s="83">
        <v>98466</v>
      </c>
      <c r="T267" s="15" t="s">
        <v>10</v>
      </c>
      <c r="U267" s="53">
        <v>2</v>
      </c>
      <c r="V267" s="53">
        <v>3</v>
      </c>
      <c r="W267" s="53">
        <v>1</v>
      </c>
    </row>
    <row r="268" spans="1:23" x14ac:dyDescent="0.2">
      <c r="A268" s="81">
        <v>98338</v>
      </c>
      <c r="B268" s="62" t="s">
        <v>345</v>
      </c>
      <c r="C268" s="36">
        <v>2</v>
      </c>
      <c r="D268" s="36">
        <v>2</v>
      </c>
      <c r="E268" s="36">
        <v>2</v>
      </c>
      <c r="G268" s="83">
        <v>98597</v>
      </c>
      <c r="H268" s="15" t="s">
        <v>10</v>
      </c>
      <c r="I268" s="53">
        <v>21</v>
      </c>
      <c r="J268" s="53">
        <v>21</v>
      </c>
      <c r="K268" s="53">
        <v>17</v>
      </c>
      <c r="M268" s="81">
        <v>98342</v>
      </c>
      <c r="N268" s="62" t="s">
        <v>10</v>
      </c>
      <c r="O268" s="36">
        <v>2</v>
      </c>
      <c r="P268" s="33">
        <v>3</v>
      </c>
      <c r="Q268" s="36">
        <v>4</v>
      </c>
      <c r="S268" s="83">
        <v>98467</v>
      </c>
      <c r="T268" s="15" t="s">
        <v>10</v>
      </c>
      <c r="U268" s="53">
        <v>5</v>
      </c>
      <c r="V268" s="53">
        <v>2</v>
      </c>
      <c r="W268" s="53">
        <v>1</v>
      </c>
    </row>
    <row r="269" spans="1:23" x14ac:dyDescent="0.2">
      <c r="A269" s="81">
        <v>98338</v>
      </c>
      <c r="B269" s="62" t="s">
        <v>10</v>
      </c>
      <c r="C269" s="36">
        <v>106</v>
      </c>
      <c r="D269" s="36">
        <v>109</v>
      </c>
      <c r="E269" s="36">
        <v>97</v>
      </c>
      <c r="G269" s="83">
        <v>98922</v>
      </c>
      <c r="H269" s="15" t="s">
        <v>345</v>
      </c>
      <c r="I269" s="53">
        <v>0</v>
      </c>
      <c r="J269" s="53">
        <v>0</v>
      </c>
      <c r="K269" s="53">
        <v>1</v>
      </c>
      <c r="M269" s="56">
        <v>98345</v>
      </c>
      <c r="N269" s="62" t="s">
        <v>10</v>
      </c>
      <c r="O269" s="36">
        <v>7</v>
      </c>
      <c r="P269" s="36">
        <v>3</v>
      </c>
      <c r="Q269" s="36">
        <v>4</v>
      </c>
      <c r="S269" s="83">
        <v>98498</v>
      </c>
      <c r="T269" s="15" t="s">
        <v>345</v>
      </c>
      <c r="U269" s="53">
        <v>0</v>
      </c>
      <c r="V269" s="53">
        <v>1</v>
      </c>
      <c r="W269" s="53">
        <v>2</v>
      </c>
    </row>
    <row r="270" spans="1:23" x14ac:dyDescent="0.2">
      <c r="A270" s="81">
        <v>98340</v>
      </c>
      <c r="B270" s="62" t="s">
        <v>345</v>
      </c>
      <c r="C270" s="36">
        <v>1</v>
      </c>
      <c r="D270" s="36">
        <v>2</v>
      </c>
      <c r="E270" s="36">
        <v>2</v>
      </c>
      <c r="G270" s="83">
        <v>98922</v>
      </c>
      <c r="H270" s="15" t="s">
        <v>10</v>
      </c>
      <c r="I270" s="53">
        <v>11</v>
      </c>
      <c r="J270" s="53">
        <v>7</v>
      </c>
      <c r="K270" s="53">
        <v>6</v>
      </c>
      <c r="M270" s="81">
        <v>98346</v>
      </c>
      <c r="N270" s="62" t="s">
        <v>345</v>
      </c>
      <c r="O270" s="36">
        <v>3</v>
      </c>
      <c r="P270" s="36">
        <v>2</v>
      </c>
      <c r="Q270" s="36">
        <v>1</v>
      </c>
      <c r="S270" s="83">
        <v>98498</v>
      </c>
      <c r="T270" s="15" t="s">
        <v>10</v>
      </c>
      <c r="U270" s="53">
        <v>26</v>
      </c>
      <c r="V270" s="53">
        <v>29</v>
      </c>
      <c r="W270" s="53">
        <v>44</v>
      </c>
    </row>
    <row r="271" spans="1:23" x14ac:dyDescent="0.2">
      <c r="A271" s="81">
        <v>98340</v>
      </c>
      <c r="B271" s="62" t="s">
        <v>10</v>
      </c>
      <c r="C271" s="36">
        <v>15</v>
      </c>
      <c r="D271" s="36">
        <v>17</v>
      </c>
      <c r="E271" s="36">
        <v>14</v>
      </c>
      <c r="G271" s="83">
        <v>98926</v>
      </c>
      <c r="H271" s="15" t="s">
        <v>10</v>
      </c>
      <c r="I271" s="53">
        <v>3</v>
      </c>
      <c r="J271" s="53">
        <v>6</v>
      </c>
      <c r="K271" s="53">
        <v>2</v>
      </c>
      <c r="M271" s="56">
        <v>98346</v>
      </c>
      <c r="N271" s="62" t="s">
        <v>10</v>
      </c>
      <c r="O271" s="36">
        <v>33</v>
      </c>
      <c r="P271" s="36">
        <v>31</v>
      </c>
      <c r="Q271" s="36">
        <v>29</v>
      </c>
      <c r="S271" s="83">
        <v>98499</v>
      </c>
      <c r="T271" s="15" t="s">
        <v>345</v>
      </c>
      <c r="U271" s="53">
        <v>2</v>
      </c>
      <c r="V271" s="53">
        <v>0</v>
      </c>
      <c r="W271" s="53">
        <v>0</v>
      </c>
    </row>
    <row r="272" spans="1:23" x14ac:dyDescent="0.2">
      <c r="A272" s="56">
        <v>98342</v>
      </c>
      <c r="B272" s="62" t="s">
        <v>10</v>
      </c>
      <c r="C272" s="36">
        <v>7</v>
      </c>
      <c r="D272" s="36">
        <v>5</v>
      </c>
      <c r="E272" s="36">
        <v>5</v>
      </c>
      <c r="G272" s="83">
        <v>98934</v>
      </c>
      <c r="H272" s="15" t="s">
        <v>10</v>
      </c>
      <c r="I272" s="53">
        <v>0</v>
      </c>
      <c r="J272" s="53">
        <v>1</v>
      </c>
      <c r="K272" s="53">
        <v>0</v>
      </c>
      <c r="M272" s="81">
        <v>98354</v>
      </c>
      <c r="N272" s="62" t="s">
        <v>10</v>
      </c>
      <c r="O272" s="36">
        <v>8</v>
      </c>
      <c r="P272" s="33">
        <v>3</v>
      </c>
      <c r="Q272" s="36">
        <v>3</v>
      </c>
      <c r="S272" s="83">
        <v>98499</v>
      </c>
      <c r="T272" s="15" t="s">
        <v>10</v>
      </c>
      <c r="U272" s="53">
        <v>7</v>
      </c>
      <c r="V272" s="53">
        <v>3</v>
      </c>
      <c r="W272" s="53">
        <v>7</v>
      </c>
    </row>
    <row r="273" spans="1:23" x14ac:dyDescent="0.2">
      <c r="A273" s="81">
        <v>98345</v>
      </c>
      <c r="B273" s="62" t="s">
        <v>10</v>
      </c>
      <c r="C273" s="36">
        <v>6</v>
      </c>
      <c r="D273" s="36">
        <v>10</v>
      </c>
      <c r="E273" s="33">
        <v>7</v>
      </c>
      <c r="G273" s="83">
        <v>98940</v>
      </c>
      <c r="H273" s="15" t="s">
        <v>10</v>
      </c>
      <c r="I273" s="53">
        <v>1</v>
      </c>
      <c r="J273" s="53">
        <v>0</v>
      </c>
      <c r="K273" s="53">
        <v>0</v>
      </c>
      <c r="M273" s="56">
        <v>98359</v>
      </c>
      <c r="N273" s="62" t="s">
        <v>345</v>
      </c>
      <c r="O273" s="36">
        <v>1</v>
      </c>
      <c r="P273" s="36">
        <v>0</v>
      </c>
      <c r="Q273" s="36">
        <v>2</v>
      </c>
      <c r="S273" s="83">
        <v>98501</v>
      </c>
      <c r="T273" s="15" t="s">
        <v>345</v>
      </c>
      <c r="U273" s="53">
        <v>2</v>
      </c>
      <c r="V273" s="53">
        <v>0</v>
      </c>
      <c r="W273" s="53">
        <v>1</v>
      </c>
    </row>
    <row r="274" spans="1:23" x14ac:dyDescent="0.2">
      <c r="A274" s="56">
        <v>98346</v>
      </c>
      <c r="B274" s="62" t="s">
        <v>345</v>
      </c>
      <c r="C274" s="36">
        <v>0</v>
      </c>
      <c r="D274" s="36">
        <v>3</v>
      </c>
      <c r="E274" s="36">
        <v>3</v>
      </c>
      <c r="G274" s="83">
        <v>98941</v>
      </c>
      <c r="H274" s="15" t="s">
        <v>10</v>
      </c>
      <c r="I274" s="53">
        <v>0</v>
      </c>
      <c r="J274" s="53">
        <v>1</v>
      </c>
      <c r="K274" s="53">
        <v>0</v>
      </c>
      <c r="M274" s="81">
        <v>98359</v>
      </c>
      <c r="N274" s="62" t="s">
        <v>10</v>
      </c>
      <c r="O274" s="36">
        <v>11</v>
      </c>
      <c r="P274" s="36">
        <v>14</v>
      </c>
      <c r="Q274" s="33">
        <v>9</v>
      </c>
      <c r="S274" s="83">
        <v>98501</v>
      </c>
      <c r="T274" s="15" t="s">
        <v>10</v>
      </c>
      <c r="U274" s="53">
        <v>43</v>
      </c>
      <c r="V274" s="53">
        <v>45</v>
      </c>
      <c r="W274" s="53">
        <v>34</v>
      </c>
    </row>
    <row r="275" spans="1:23" x14ac:dyDescent="0.2">
      <c r="A275" s="81">
        <v>98346</v>
      </c>
      <c r="B275" s="62" t="s">
        <v>10</v>
      </c>
      <c r="C275" s="33">
        <v>49</v>
      </c>
      <c r="D275" s="36">
        <v>56</v>
      </c>
      <c r="E275" s="36">
        <v>54</v>
      </c>
      <c r="G275" s="83">
        <v>98943</v>
      </c>
      <c r="H275" s="15" t="s">
        <v>10</v>
      </c>
      <c r="I275" s="53">
        <v>0</v>
      </c>
      <c r="J275" s="53">
        <v>1</v>
      </c>
      <c r="K275" s="53">
        <v>0</v>
      </c>
      <c r="M275" s="56">
        <v>98360</v>
      </c>
      <c r="N275" s="62" t="s">
        <v>345</v>
      </c>
      <c r="O275" s="36">
        <v>1</v>
      </c>
      <c r="P275" s="36">
        <v>3</v>
      </c>
      <c r="Q275" s="36">
        <v>2</v>
      </c>
      <c r="S275" s="83">
        <v>98502</v>
      </c>
      <c r="T275" s="15" t="s">
        <v>345</v>
      </c>
      <c r="U275" s="53">
        <v>3</v>
      </c>
      <c r="V275" s="53">
        <v>1</v>
      </c>
      <c r="W275" s="53">
        <v>6</v>
      </c>
    </row>
    <row r="276" spans="1:23" ht="16" thickBot="1" x14ac:dyDescent="0.25">
      <c r="A276" s="56">
        <v>98354</v>
      </c>
      <c r="B276" s="62" t="s">
        <v>10</v>
      </c>
      <c r="C276" s="36">
        <v>7</v>
      </c>
      <c r="D276" s="36">
        <v>10</v>
      </c>
      <c r="E276" s="36">
        <v>6</v>
      </c>
      <c r="G276" s="123">
        <v>98946</v>
      </c>
      <c r="H276" s="124" t="s">
        <v>10</v>
      </c>
      <c r="I276" s="125">
        <v>0</v>
      </c>
      <c r="J276" s="125">
        <v>1</v>
      </c>
      <c r="K276" s="125">
        <v>0</v>
      </c>
      <c r="M276" s="81">
        <v>98360</v>
      </c>
      <c r="N276" s="62" t="s">
        <v>10</v>
      </c>
      <c r="O276" s="36">
        <v>79</v>
      </c>
      <c r="P276" s="36">
        <v>68</v>
      </c>
      <c r="Q276" s="36">
        <v>71</v>
      </c>
      <c r="S276" s="83">
        <v>98502</v>
      </c>
      <c r="T276" s="15" t="s">
        <v>10</v>
      </c>
      <c r="U276" s="53">
        <v>37</v>
      </c>
      <c r="V276" s="53">
        <v>33</v>
      </c>
      <c r="W276" s="53">
        <v>35</v>
      </c>
    </row>
    <row r="277" spans="1:23" x14ac:dyDescent="0.2">
      <c r="A277" s="81">
        <v>98359</v>
      </c>
      <c r="B277" s="62" t="s">
        <v>345</v>
      </c>
      <c r="C277" s="36">
        <v>2</v>
      </c>
      <c r="D277" s="36">
        <v>3</v>
      </c>
      <c r="E277" s="36">
        <v>2</v>
      </c>
      <c r="G277" s="126"/>
      <c r="H277" s="87"/>
      <c r="I277" s="87"/>
      <c r="J277" s="87"/>
      <c r="K277" s="87"/>
      <c r="M277" s="56">
        <v>98366</v>
      </c>
      <c r="N277" s="62" t="s">
        <v>345</v>
      </c>
      <c r="O277" s="36">
        <v>4</v>
      </c>
      <c r="P277" s="36">
        <v>7</v>
      </c>
      <c r="Q277" s="36">
        <v>3</v>
      </c>
      <c r="S277" s="83">
        <v>98503</v>
      </c>
      <c r="T277" s="15" t="s">
        <v>345</v>
      </c>
      <c r="U277" s="53">
        <v>0</v>
      </c>
      <c r="V277" s="53">
        <v>0</v>
      </c>
      <c r="W277" s="53">
        <v>1</v>
      </c>
    </row>
    <row r="278" spans="1:23" x14ac:dyDescent="0.2">
      <c r="A278" s="81">
        <v>98359</v>
      </c>
      <c r="B278" s="62" t="s">
        <v>10</v>
      </c>
      <c r="C278" s="36">
        <v>17</v>
      </c>
      <c r="D278" s="36">
        <v>21</v>
      </c>
      <c r="E278" s="36">
        <v>19</v>
      </c>
      <c r="G278" s="127"/>
      <c r="H278" s="3"/>
      <c r="I278" s="3"/>
      <c r="J278" s="3"/>
      <c r="K278" s="3"/>
      <c r="M278" s="81">
        <v>98366</v>
      </c>
      <c r="N278" s="62" t="s">
        <v>10</v>
      </c>
      <c r="O278" s="33">
        <v>136</v>
      </c>
      <c r="P278" s="33">
        <v>141</v>
      </c>
      <c r="Q278" s="36">
        <v>128</v>
      </c>
      <c r="S278" s="83">
        <v>98503</v>
      </c>
      <c r="T278" s="15" t="s">
        <v>10</v>
      </c>
      <c r="U278" s="53">
        <v>45</v>
      </c>
      <c r="V278" s="53">
        <v>49</v>
      </c>
      <c r="W278" s="53">
        <v>36</v>
      </c>
    </row>
    <row r="279" spans="1:23" x14ac:dyDescent="0.2">
      <c r="A279" s="81">
        <v>98360</v>
      </c>
      <c r="B279" s="62" t="s">
        <v>345</v>
      </c>
      <c r="C279" s="33">
        <v>3</v>
      </c>
      <c r="D279" s="36">
        <v>2</v>
      </c>
      <c r="E279" s="36">
        <v>3</v>
      </c>
      <c r="G279" s="127"/>
      <c r="H279" s="3"/>
      <c r="I279" s="3"/>
      <c r="J279" s="3"/>
      <c r="K279" s="3"/>
      <c r="M279" s="56">
        <v>98367</v>
      </c>
      <c r="N279" s="62" t="s">
        <v>345</v>
      </c>
      <c r="O279" s="36">
        <v>1</v>
      </c>
      <c r="P279" s="36">
        <v>0</v>
      </c>
      <c r="Q279" s="36">
        <v>1</v>
      </c>
      <c r="S279" s="83">
        <v>98506</v>
      </c>
      <c r="T279" s="15" t="s">
        <v>345</v>
      </c>
      <c r="U279" s="53">
        <v>1</v>
      </c>
      <c r="V279" s="53">
        <v>3</v>
      </c>
      <c r="W279" s="53">
        <v>0</v>
      </c>
    </row>
    <row r="280" spans="1:23" x14ac:dyDescent="0.2">
      <c r="A280" s="81">
        <v>98360</v>
      </c>
      <c r="B280" s="62" t="s">
        <v>10</v>
      </c>
      <c r="C280" s="36">
        <v>120</v>
      </c>
      <c r="D280" s="36">
        <v>119</v>
      </c>
      <c r="E280" s="36">
        <v>119</v>
      </c>
      <c r="G280" s="127"/>
      <c r="H280" s="3"/>
      <c r="I280" s="3"/>
      <c r="J280" s="3"/>
      <c r="K280" s="3"/>
      <c r="M280" s="81">
        <v>98367</v>
      </c>
      <c r="N280" s="62" t="s">
        <v>10</v>
      </c>
      <c r="O280" s="36">
        <v>102</v>
      </c>
      <c r="P280" s="33">
        <v>87</v>
      </c>
      <c r="Q280" s="33">
        <v>82</v>
      </c>
      <c r="S280" s="83">
        <v>98506</v>
      </c>
      <c r="T280" s="15" t="s">
        <v>10</v>
      </c>
      <c r="U280" s="53">
        <v>22</v>
      </c>
      <c r="V280" s="53">
        <v>19</v>
      </c>
      <c r="W280" s="53">
        <v>16</v>
      </c>
    </row>
    <row r="281" spans="1:23" x14ac:dyDescent="0.2">
      <c r="A281" s="81">
        <v>98366</v>
      </c>
      <c r="B281" s="62" t="s">
        <v>345</v>
      </c>
      <c r="C281" s="36">
        <v>3</v>
      </c>
      <c r="D281" s="36">
        <v>4</v>
      </c>
      <c r="E281" s="36">
        <v>7</v>
      </c>
      <c r="G281" s="127"/>
      <c r="H281" s="3"/>
      <c r="I281" s="3"/>
      <c r="J281" s="3"/>
      <c r="K281" s="3"/>
      <c r="M281" s="56">
        <v>98370</v>
      </c>
      <c r="N281" s="62" t="s">
        <v>345</v>
      </c>
      <c r="O281" s="36">
        <v>6</v>
      </c>
      <c r="P281" s="36">
        <v>2</v>
      </c>
      <c r="Q281" s="36">
        <v>3</v>
      </c>
      <c r="S281" s="83">
        <v>98512</v>
      </c>
      <c r="T281" s="15" t="s">
        <v>345</v>
      </c>
      <c r="U281" s="53">
        <v>3</v>
      </c>
      <c r="V281" s="53">
        <v>2</v>
      </c>
      <c r="W281" s="53">
        <v>1</v>
      </c>
    </row>
    <row r="282" spans="1:23" x14ac:dyDescent="0.2">
      <c r="A282" s="81">
        <v>98366</v>
      </c>
      <c r="B282" s="62" t="s">
        <v>10</v>
      </c>
      <c r="C282" s="36">
        <v>214</v>
      </c>
      <c r="D282" s="33">
        <v>214</v>
      </c>
      <c r="E282" s="33">
        <v>211</v>
      </c>
      <c r="G282" s="127"/>
      <c r="H282" s="3"/>
      <c r="I282" s="3"/>
      <c r="J282" s="3"/>
      <c r="K282" s="3"/>
      <c r="M282" s="81">
        <v>98370</v>
      </c>
      <c r="N282" s="62" t="s">
        <v>10</v>
      </c>
      <c r="O282" s="33">
        <v>74</v>
      </c>
      <c r="P282" s="36">
        <v>57</v>
      </c>
      <c r="Q282" s="36">
        <v>64</v>
      </c>
      <c r="S282" s="83">
        <v>98512</v>
      </c>
      <c r="T282" s="15" t="s">
        <v>10</v>
      </c>
      <c r="U282" s="53">
        <v>31</v>
      </c>
      <c r="V282" s="53">
        <v>28</v>
      </c>
      <c r="W282" s="53">
        <v>27</v>
      </c>
    </row>
    <row r="283" spans="1:23" x14ac:dyDescent="0.2">
      <c r="A283" s="56">
        <v>98367</v>
      </c>
      <c r="B283" s="62" t="s">
        <v>345</v>
      </c>
      <c r="C283" s="36">
        <v>2</v>
      </c>
      <c r="D283" s="36">
        <v>3</v>
      </c>
      <c r="E283" s="36">
        <v>1</v>
      </c>
      <c r="G283" s="127"/>
      <c r="H283" s="3"/>
      <c r="I283" s="3"/>
      <c r="J283" s="3"/>
      <c r="K283" s="3"/>
      <c r="M283" s="56">
        <v>98371</v>
      </c>
      <c r="N283" s="62" t="s">
        <v>345</v>
      </c>
      <c r="O283" s="36">
        <v>3</v>
      </c>
      <c r="P283" s="36">
        <v>1</v>
      </c>
      <c r="Q283" s="36">
        <v>3</v>
      </c>
      <c r="S283" s="83">
        <v>98513</v>
      </c>
      <c r="T283" s="15" t="s">
        <v>345</v>
      </c>
      <c r="U283" s="53">
        <v>1</v>
      </c>
      <c r="V283" s="53">
        <v>0</v>
      </c>
      <c r="W283" s="53">
        <v>1</v>
      </c>
    </row>
    <row r="284" spans="1:23" x14ac:dyDescent="0.2">
      <c r="A284" s="81">
        <v>98367</v>
      </c>
      <c r="B284" s="62" t="s">
        <v>10</v>
      </c>
      <c r="C284" s="36">
        <v>143</v>
      </c>
      <c r="D284" s="36">
        <v>164</v>
      </c>
      <c r="E284" s="36">
        <v>140</v>
      </c>
      <c r="M284" s="81">
        <v>98371</v>
      </c>
      <c r="N284" s="62" t="s">
        <v>10</v>
      </c>
      <c r="O284" s="33">
        <v>88</v>
      </c>
      <c r="P284" s="36">
        <v>90</v>
      </c>
      <c r="Q284" s="33">
        <v>83</v>
      </c>
      <c r="S284" s="83">
        <v>98513</v>
      </c>
      <c r="T284" s="15" t="s">
        <v>10</v>
      </c>
      <c r="U284" s="53">
        <v>36</v>
      </c>
      <c r="V284" s="53">
        <v>28</v>
      </c>
      <c r="W284" s="53">
        <v>24</v>
      </c>
    </row>
    <row r="285" spans="1:23" x14ac:dyDescent="0.2">
      <c r="A285" s="81">
        <v>98370</v>
      </c>
      <c r="B285" s="62" t="s">
        <v>345</v>
      </c>
      <c r="C285" s="36">
        <v>9</v>
      </c>
      <c r="D285" s="36">
        <v>10</v>
      </c>
      <c r="E285" s="36">
        <v>6</v>
      </c>
      <c r="M285" s="56">
        <v>98372</v>
      </c>
      <c r="N285" s="62" t="s">
        <v>345</v>
      </c>
      <c r="O285" s="36">
        <v>0</v>
      </c>
      <c r="P285" s="36">
        <v>2</v>
      </c>
      <c r="Q285" s="36">
        <v>6</v>
      </c>
      <c r="S285" s="83">
        <v>98516</v>
      </c>
      <c r="T285" s="15" t="s">
        <v>345</v>
      </c>
      <c r="U285" s="53">
        <v>0</v>
      </c>
      <c r="V285" s="53">
        <v>1</v>
      </c>
      <c r="W285" s="53">
        <v>1</v>
      </c>
    </row>
    <row r="286" spans="1:23" x14ac:dyDescent="0.2">
      <c r="A286" s="81">
        <v>98370</v>
      </c>
      <c r="B286" s="62" t="s">
        <v>10</v>
      </c>
      <c r="C286" s="36">
        <v>110</v>
      </c>
      <c r="D286" s="36">
        <v>122</v>
      </c>
      <c r="E286" s="36">
        <v>108</v>
      </c>
      <c r="M286" s="81">
        <v>98372</v>
      </c>
      <c r="N286" s="62" t="s">
        <v>10</v>
      </c>
      <c r="O286" s="36">
        <v>154</v>
      </c>
      <c r="P286" s="36">
        <v>141</v>
      </c>
      <c r="Q286" s="36">
        <v>132</v>
      </c>
      <c r="S286" s="83">
        <v>98516</v>
      </c>
      <c r="T286" s="15" t="s">
        <v>10</v>
      </c>
      <c r="U286" s="53">
        <v>30</v>
      </c>
      <c r="V286" s="53">
        <v>22</v>
      </c>
      <c r="W286" s="53">
        <v>19</v>
      </c>
    </row>
    <row r="287" spans="1:23" x14ac:dyDescent="0.2">
      <c r="A287" s="81">
        <v>98371</v>
      </c>
      <c r="B287" s="62" t="s">
        <v>345</v>
      </c>
      <c r="C287" s="33">
        <v>3</v>
      </c>
      <c r="D287" s="36">
        <v>4</v>
      </c>
      <c r="E287" s="36">
        <v>2</v>
      </c>
      <c r="M287" s="81">
        <v>98373</v>
      </c>
      <c r="N287" s="62" t="s">
        <v>345</v>
      </c>
      <c r="O287" s="36">
        <v>5</v>
      </c>
      <c r="P287" s="36">
        <v>1</v>
      </c>
      <c r="Q287" s="36">
        <v>2</v>
      </c>
      <c r="S287" s="83">
        <v>98530</v>
      </c>
      <c r="T287" s="15" t="s">
        <v>10</v>
      </c>
      <c r="U287" s="53">
        <v>1</v>
      </c>
      <c r="V287" s="53">
        <v>1</v>
      </c>
      <c r="W287" s="53">
        <v>1</v>
      </c>
    </row>
    <row r="288" spans="1:23" x14ac:dyDescent="0.2">
      <c r="A288" s="56">
        <v>98371</v>
      </c>
      <c r="B288" s="62" t="s">
        <v>10</v>
      </c>
      <c r="C288" s="36">
        <v>135</v>
      </c>
      <c r="D288" s="36">
        <v>130</v>
      </c>
      <c r="E288" s="36">
        <v>126</v>
      </c>
      <c r="M288" s="81">
        <v>98373</v>
      </c>
      <c r="N288" s="62" t="s">
        <v>10</v>
      </c>
      <c r="O288" s="33">
        <v>119</v>
      </c>
      <c r="P288" s="36">
        <v>108</v>
      </c>
      <c r="Q288" s="33">
        <v>115</v>
      </c>
      <c r="S288" s="83">
        <v>98531</v>
      </c>
      <c r="T288" s="15" t="s">
        <v>345</v>
      </c>
      <c r="U288" s="53">
        <v>0</v>
      </c>
      <c r="V288" s="53">
        <v>1</v>
      </c>
      <c r="W288" s="53">
        <v>0</v>
      </c>
    </row>
    <row r="289" spans="1:23" x14ac:dyDescent="0.2">
      <c r="A289" s="81">
        <v>98372</v>
      </c>
      <c r="B289" s="62" t="s">
        <v>345</v>
      </c>
      <c r="C289" s="36">
        <v>3</v>
      </c>
      <c r="D289" s="36">
        <v>2</v>
      </c>
      <c r="E289" s="36">
        <v>2</v>
      </c>
      <c r="M289" s="56">
        <v>98374</v>
      </c>
      <c r="N289" s="62" t="s">
        <v>345</v>
      </c>
      <c r="O289" s="36">
        <v>2</v>
      </c>
      <c r="P289" s="36">
        <v>1</v>
      </c>
      <c r="Q289" s="36">
        <v>0</v>
      </c>
      <c r="S289" s="83">
        <v>98531</v>
      </c>
      <c r="T289" s="15" t="s">
        <v>10</v>
      </c>
      <c r="U289" s="53">
        <v>10</v>
      </c>
      <c r="V289" s="53">
        <v>3</v>
      </c>
      <c r="W289" s="53">
        <v>5</v>
      </c>
    </row>
    <row r="290" spans="1:23" x14ac:dyDescent="0.2">
      <c r="A290" s="81">
        <v>98372</v>
      </c>
      <c r="B290" s="62" t="s">
        <v>10</v>
      </c>
      <c r="C290" s="36">
        <v>173</v>
      </c>
      <c r="D290" s="36">
        <v>193</v>
      </c>
      <c r="E290" s="36">
        <v>184</v>
      </c>
      <c r="M290" s="81">
        <v>98374</v>
      </c>
      <c r="N290" s="62" t="s">
        <v>10</v>
      </c>
      <c r="O290" s="36">
        <v>203</v>
      </c>
      <c r="P290" s="36">
        <v>173</v>
      </c>
      <c r="Q290" s="36">
        <v>161</v>
      </c>
      <c r="S290" s="83">
        <v>98532</v>
      </c>
      <c r="T290" s="15" t="s">
        <v>10</v>
      </c>
      <c r="U290" s="53">
        <v>4</v>
      </c>
      <c r="V290" s="53">
        <v>1</v>
      </c>
      <c r="W290" s="53">
        <v>2</v>
      </c>
    </row>
    <row r="291" spans="1:23" x14ac:dyDescent="0.2">
      <c r="A291" s="81">
        <v>98373</v>
      </c>
      <c r="B291" s="62" t="s">
        <v>345</v>
      </c>
      <c r="C291" s="36">
        <v>3</v>
      </c>
      <c r="D291" s="36">
        <v>6</v>
      </c>
      <c r="E291" s="36">
        <v>2</v>
      </c>
      <c r="M291" s="81">
        <v>98375</v>
      </c>
      <c r="N291" s="62" t="s">
        <v>10</v>
      </c>
      <c r="O291" s="36">
        <v>127</v>
      </c>
      <c r="P291" s="36">
        <v>114</v>
      </c>
      <c r="Q291" s="36">
        <v>113</v>
      </c>
      <c r="S291" s="83">
        <v>98576</v>
      </c>
      <c r="T291" s="15" t="s">
        <v>10</v>
      </c>
      <c r="U291" s="53">
        <v>3</v>
      </c>
      <c r="V291" s="53">
        <v>3</v>
      </c>
      <c r="W291" s="53">
        <v>3</v>
      </c>
    </row>
    <row r="292" spans="1:23" x14ac:dyDescent="0.2">
      <c r="A292" s="81">
        <v>98373</v>
      </c>
      <c r="B292" s="62" t="s">
        <v>10</v>
      </c>
      <c r="C292" s="36">
        <v>170</v>
      </c>
      <c r="D292" s="36">
        <v>173</v>
      </c>
      <c r="E292" s="36">
        <v>162</v>
      </c>
      <c r="M292" s="56">
        <v>98380</v>
      </c>
      <c r="N292" s="62" t="s">
        <v>345</v>
      </c>
      <c r="O292" s="36">
        <v>1</v>
      </c>
      <c r="P292" s="36">
        <v>1</v>
      </c>
      <c r="Q292" s="36">
        <v>0</v>
      </c>
      <c r="S292" s="83">
        <v>98579</v>
      </c>
      <c r="T292" s="15" t="s">
        <v>345</v>
      </c>
      <c r="U292" s="53">
        <v>0</v>
      </c>
      <c r="V292" s="53">
        <v>1</v>
      </c>
      <c r="W292" s="53">
        <v>0</v>
      </c>
    </row>
    <row r="293" spans="1:23" x14ac:dyDescent="0.2">
      <c r="A293" s="81">
        <v>98374</v>
      </c>
      <c r="B293" s="62" t="s">
        <v>345</v>
      </c>
      <c r="C293" s="36">
        <v>1</v>
      </c>
      <c r="D293" s="36">
        <v>2</v>
      </c>
      <c r="E293" s="36">
        <v>2</v>
      </c>
      <c r="M293" s="81">
        <v>98380</v>
      </c>
      <c r="N293" s="62" t="s">
        <v>10</v>
      </c>
      <c r="O293" s="36">
        <v>31</v>
      </c>
      <c r="P293" s="36">
        <v>31</v>
      </c>
      <c r="Q293" s="36">
        <v>21</v>
      </c>
      <c r="S293" s="83">
        <v>98579</v>
      </c>
      <c r="T293" s="15" t="s">
        <v>10</v>
      </c>
      <c r="U293" s="53">
        <v>19</v>
      </c>
      <c r="V293" s="53">
        <v>16</v>
      </c>
      <c r="W293" s="53">
        <v>17</v>
      </c>
    </row>
    <row r="294" spans="1:23" x14ac:dyDescent="0.2">
      <c r="A294" s="81">
        <v>98374</v>
      </c>
      <c r="B294" s="62" t="s">
        <v>10</v>
      </c>
      <c r="C294" s="36">
        <v>271</v>
      </c>
      <c r="D294" s="36">
        <v>300</v>
      </c>
      <c r="E294" s="36">
        <v>272</v>
      </c>
      <c r="M294" s="56">
        <v>98383</v>
      </c>
      <c r="N294" s="62" t="s">
        <v>345</v>
      </c>
      <c r="O294" s="36">
        <v>0</v>
      </c>
      <c r="P294" s="36">
        <v>1</v>
      </c>
      <c r="Q294" s="36">
        <v>2</v>
      </c>
      <c r="S294" s="83">
        <v>98580</v>
      </c>
      <c r="T294" s="15" t="s">
        <v>345</v>
      </c>
      <c r="U294" s="53">
        <v>1</v>
      </c>
      <c r="V294" s="53">
        <v>1</v>
      </c>
      <c r="W294" s="53">
        <v>0</v>
      </c>
    </row>
    <row r="295" spans="1:23" x14ac:dyDescent="0.2">
      <c r="A295" s="81">
        <v>98375</v>
      </c>
      <c r="B295" s="62" t="s">
        <v>345</v>
      </c>
      <c r="C295" s="36">
        <v>1</v>
      </c>
      <c r="D295" s="36">
        <v>0</v>
      </c>
      <c r="E295" s="36">
        <v>0</v>
      </c>
      <c r="M295" s="81">
        <v>98383</v>
      </c>
      <c r="N295" s="62" t="s">
        <v>10</v>
      </c>
      <c r="O295" s="36">
        <v>58</v>
      </c>
      <c r="P295" s="33">
        <v>52</v>
      </c>
      <c r="Q295" s="33">
        <v>61</v>
      </c>
      <c r="S295" s="83">
        <v>98580</v>
      </c>
      <c r="T295" s="15" t="s">
        <v>10</v>
      </c>
      <c r="U295" s="53">
        <v>8</v>
      </c>
      <c r="V295" s="53">
        <v>12</v>
      </c>
      <c r="W295" s="53">
        <v>8</v>
      </c>
    </row>
    <row r="296" spans="1:23" x14ac:dyDescent="0.2">
      <c r="A296" s="81">
        <v>98375</v>
      </c>
      <c r="B296" s="62" t="s">
        <v>10</v>
      </c>
      <c r="C296" s="36">
        <v>151</v>
      </c>
      <c r="D296" s="36">
        <v>181</v>
      </c>
      <c r="E296" s="36">
        <v>167</v>
      </c>
      <c r="M296" s="56">
        <v>98385</v>
      </c>
      <c r="N296" s="62" t="s">
        <v>345</v>
      </c>
      <c r="O296" s="36">
        <v>1</v>
      </c>
      <c r="P296" s="36">
        <v>1</v>
      </c>
      <c r="Q296" s="36">
        <v>0</v>
      </c>
      <c r="S296" s="83">
        <v>98589</v>
      </c>
      <c r="T296" s="15" t="s">
        <v>345</v>
      </c>
      <c r="U296" s="53">
        <v>0</v>
      </c>
      <c r="V296" s="53">
        <v>1</v>
      </c>
      <c r="W296" s="53">
        <v>1</v>
      </c>
    </row>
    <row r="297" spans="1:23" x14ac:dyDescent="0.2">
      <c r="A297" s="81">
        <v>98380</v>
      </c>
      <c r="B297" s="62" t="s">
        <v>345</v>
      </c>
      <c r="C297" s="36">
        <v>2</v>
      </c>
      <c r="D297" s="36">
        <v>1</v>
      </c>
      <c r="E297" s="36">
        <v>2</v>
      </c>
      <c r="M297" s="81">
        <v>98385</v>
      </c>
      <c r="N297" s="62" t="s">
        <v>10</v>
      </c>
      <c r="O297" s="36">
        <v>2</v>
      </c>
      <c r="P297" s="36">
        <v>1</v>
      </c>
      <c r="Q297" s="36">
        <v>3</v>
      </c>
      <c r="S297" s="83">
        <v>98589</v>
      </c>
      <c r="T297" s="15" t="s">
        <v>10</v>
      </c>
      <c r="U297" s="53">
        <v>13</v>
      </c>
      <c r="V297" s="53">
        <v>18</v>
      </c>
      <c r="W297" s="53">
        <v>15</v>
      </c>
    </row>
    <row r="298" spans="1:23" x14ac:dyDescent="0.2">
      <c r="A298" s="81">
        <v>98380</v>
      </c>
      <c r="B298" s="62" t="s">
        <v>10</v>
      </c>
      <c r="C298" s="36">
        <v>40</v>
      </c>
      <c r="D298" s="36">
        <v>44</v>
      </c>
      <c r="E298" s="36">
        <v>39</v>
      </c>
      <c r="M298" s="81">
        <v>98387</v>
      </c>
      <c r="N298" s="62" t="s">
        <v>345</v>
      </c>
      <c r="O298" s="36">
        <v>1</v>
      </c>
      <c r="P298" s="36">
        <v>1</v>
      </c>
      <c r="Q298" s="33">
        <v>1</v>
      </c>
      <c r="S298" s="83">
        <v>98597</v>
      </c>
      <c r="T298" s="15" t="s">
        <v>345</v>
      </c>
      <c r="U298" s="53">
        <v>0</v>
      </c>
      <c r="V298" s="53">
        <v>3</v>
      </c>
      <c r="W298" s="53">
        <v>3</v>
      </c>
    </row>
    <row r="299" spans="1:23" x14ac:dyDescent="0.2">
      <c r="A299" s="81">
        <v>98383</v>
      </c>
      <c r="B299" s="62" t="s">
        <v>345</v>
      </c>
      <c r="C299" s="33">
        <v>3</v>
      </c>
      <c r="D299" s="36">
        <v>2</v>
      </c>
      <c r="E299" s="36">
        <v>2</v>
      </c>
      <c r="M299" s="56">
        <v>98387</v>
      </c>
      <c r="N299" s="62" t="s">
        <v>10</v>
      </c>
      <c r="O299" s="36">
        <v>108</v>
      </c>
      <c r="P299" s="33">
        <v>83</v>
      </c>
      <c r="Q299" s="33">
        <v>88</v>
      </c>
      <c r="S299" s="83">
        <v>98597</v>
      </c>
      <c r="T299" s="15" t="s">
        <v>10</v>
      </c>
      <c r="U299" s="53">
        <v>32</v>
      </c>
      <c r="V299" s="53">
        <v>33</v>
      </c>
      <c r="W299" s="53">
        <v>25</v>
      </c>
    </row>
    <row r="300" spans="1:23" x14ac:dyDescent="0.2">
      <c r="A300" s="56">
        <v>98383</v>
      </c>
      <c r="B300" s="62" t="s">
        <v>10</v>
      </c>
      <c r="C300" s="36">
        <v>88</v>
      </c>
      <c r="D300" s="36">
        <v>83</v>
      </c>
      <c r="E300" s="36">
        <v>77</v>
      </c>
      <c r="M300" s="81">
        <v>98388</v>
      </c>
      <c r="N300" s="62" t="s">
        <v>10</v>
      </c>
      <c r="O300" s="33">
        <v>4</v>
      </c>
      <c r="P300" s="33">
        <v>6</v>
      </c>
      <c r="Q300" s="36">
        <v>2</v>
      </c>
      <c r="S300" s="83">
        <v>98922</v>
      </c>
      <c r="T300" s="15" t="s">
        <v>345</v>
      </c>
      <c r="U300" s="53">
        <v>0</v>
      </c>
      <c r="V300" s="53">
        <v>0</v>
      </c>
      <c r="W300" s="53">
        <v>1</v>
      </c>
    </row>
    <row r="301" spans="1:23" x14ac:dyDescent="0.2">
      <c r="A301" s="81">
        <v>98385</v>
      </c>
      <c r="B301" s="62" t="s">
        <v>10</v>
      </c>
      <c r="C301" s="36">
        <v>1</v>
      </c>
      <c r="D301" s="36">
        <v>3</v>
      </c>
      <c r="E301" s="36">
        <v>0</v>
      </c>
      <c r="M301" s="56">
        <v>98390</v>
      </c>
      <c r="N301" s="62" t="s">
        <v>345</v>
      </c>
      <c r="O301" s="36">
        <v>3</v>
      </c>
      <c r="P301" s="36">
        <v>4</v>
      </c>
      <c r="Q301" s="36">
        <v>1</v>
      </c>
      <c r="S301" s="83">
        <v>98922</v>
      </c>
      <c r="T301" s="15" t="s">
        <v>10</v>
      </c>
      <c r="U301" s="53">
        <v>7</v>
      </c>
      <c r="V301" s="53">
        <v>3</v>
      </c>
      <c r="W301" s="53">
        <v>8</v>
      </c>
    </row>
    <row r="302" spans="1:23" x14ac:dyDescent="0.2">
      <c r="A302" s="56">
        <v>98387</v>
      </c>
      <c r="B302" s="62" t="s">
        <v>345</v>
      </c>
      <c r="C302" s="36">
        <v>0</v>
      </c>
      <c r="D302" s="36">
        <v>1</v>
      </c>
      <c r="E302" s="36">
        <v>1</v>
      </c>
      <c r="M302" s="81">
        <v>98390</v>
      </c>
      <c r="N302" s="62" t="s">
        <v>10</v>
      </c>
      <c r="O302" s="36">
        <v>58</v>
      </c>
      <c r="P302" s="36">
        <v>58</v>
      </c>
      <c r="Q302" s="36">
        <v>55</v>
      </c>
      <c r="S302" s="83">
        <v>98925</v>
      </c>
      <c r="T302" s="15" t="s">
        <v>10</v>
      </c>
      <c r="U302" s="53">
        <v>0</v>
      </c>
      <c r="V302" s="53">
        <v>0</v>
      </c>
      <c r="W302" s="53">
        <v>1</v>
      </c>
    </row>
    <row r="303" spans="1:23" x14ac:dyDescent="0.2">
      <c r="A303" s="81">
        <v>98387</v>
      </c>
      <c r="B303" s="62" t="s">
        <v>10</v>
      </c>
      <c r="C303" s="36">
        <v>140</v>
      </c>
      <c r="D303" s="36">
        <v>146</v>
      </c>
      <c r="E303" s="36">
        <v>136</v>
      </c>
      <c r="M303" s="81">
        <v>98391</v>
      </c>
      <c r="N303" s="62" t="s">
        <v>345</v>
      </c>
      <c r="O303" s="33">
        <v>1</v>
      </c>
      <c r="P303" s="33">
        <v>1</v>
      </c>
      <c r="Q303" s="36">
        <v>6</v>
      </c>
      <c r="S303" s="83">
        <v>98926</v>
      </c>
      <c r="T303" s="15" t="s">
        <v>345</v>
      </c>
      <c r="U303" s="53">
        <v>1</v>
      </c>
      <c r="V303" s="53">
        <v>2</v>
      </c>
      <c r="W303" s="53">
        <v>1</v>
      </c>
    </row>
    <row r="304" spans="1:23" x14ac:dyDescent="0.2">
      <c r="A304" s="56">
        <v>98388</v>
      </c>
      <c r="B304" s="62" t="s">
        <v>10</v>
      </c>
      <c r="C304" s="36">
        <v>8</v>
      </c>
      <c r="D304" s="36">
        <v>9</v>
      </c>
      <c r="E304" s="36">
        <v>14</v>
      </c>
      <c r="M304" s="56">
        <v>98391</v>
      </c>
      <c r="N304" s="62" t="s">
        <v>10</v>
      </c>
      <c r="O304" s="36">
        <v>183</v>
      </c>
      <c r="P304" s="36">
        <v>172</v>
      </c>
      <c r="Q304" s="36">
        <v>174</v>
      </c>
      <c r="S304" s="83">
        <v>98926</v>
      </c>
      <c r="T304" s="15" t="s">
        <v>10</v>
      </c>
      <c r="U304" s="53">
        <v>3</v>
      </c>
      <c r="V304" s="53">
        <v>4</v>
      </c>
      <c r="W304" s="53">
        <v>5</v>
      </c>
    </row>
    <row r="305" spans="1:23" x14ac:dyDescent="0.2">
      <c r="A305" s="81">
        <v>98390</v>
      </c>
      <c r="B305" s="62" t="s">
        <v>345</v>
      </c>
      <c r="C305" s="36">
        <v>9</v>
      </c>
      <c r="D305" s="36">
        <v>9</v>
      </c>
      <c r="E305" s="36">
        <v>8</v>
      </c>
      <c r="M305" s="81">
        <v>98392</v>
      </c>
      <c r="N305" s="62" t="s">
        <v>345</v>
      </c>
      <c r="O305" s="33">
        <v>0</v>
      </c>
      <c r="P305" s="36">
        <v>1</v>
      </c>
      <c r="Q305" s="36">
        <v>0</v>
      </c>
      <c r="S305" s="83">
        <v>98934</v>
      </c>
      <c r="T305" s="15" t="s">
        <v>10</v>
      </c>
      <c r="U305" s="53">
        <v>1</v>
      </c>
      <c r="V305" s="53">
        <v>1</v>
      </c>
      <c r="W305" s="53">
        <v>1</v>
      </c>
    </row>
    <row r="306" spans="1:23" x14ac:dyDescent="0.2">
      <c r="A306" s="56">
        <v>98390</v>
      </c>
      <c r="B306" s="62" t="s">
        <v>10</v>
      </c>
      <c r="C306" s="36">
        <v>81</v>
      </c>
      <c r="D306" s="36">
        <v>100</v>
      </c>
      <c r="E306" s="36">
        <v>88</v>
      </c>
      <c r="M306" s="56">
        <v>98392</v>
      </c>
      <c r="N306" s="62" t="s">
        <v>10</v>
      </c>
      <c r="O306" s="36">
        <v>17</v>
      </c>
      <c r="P306" s="36">
        <v>7</v>
      </c>
      <c r="Q306" s="36">
        <v>13</v>
      </c>
      <c r="S306" s="83">
        <v>98940</v>
      </c>
      <c r="T306" s="15" t="s">
        <v>10</v>
      </c>
      <c r="U306" s="53">
        <v>1</v>
      </c>
      <c r="V306" s="53">
        <v>2</v>
      </c>
      <c r="W306" s="53">
        <v>0</v>
      </c>
    </row>
    <row r="307" spans="1:23" x14ac:dyDescent="0.2">
      <c r="A307" s="81">
        <v>98391</v>
      </c>
      <c r="B307" s="62" t="s">
        <v>345</v>
      </c>
      <c r="C307" s="36">
        <v>6</v>
      </c>
      <c r="D307" s="36">
        <v>5</v>
      </c>
      <c r="E307" s="36">
        <v>3</v>
      </c>
      <c r="M307" s="81">
        <v>98396</v>
      </c>
      <c r="N307" s="62" t="s">
        <v>10</v>
      </c>
      <c r="O307" s="36">
        <v>4</v>
      </c>
      <c r="P307" s="36">
        <v>6</v>
      </c>
      <c r="Q307" s="36">
        <v>3</v>
      </c>
      <c r="S307" s="83">
        <v>98941</v>
      </c>
      <c r="T307" s="15" t="s">
        <v>345</v>
      </c>
      <c r="U307" s="53">
        <v>0</v>
      </c>
      <c r="V307" s="53">
        <v>1</v>
      </c>
      <c r="W307" s="53">
        <v>0</v>
      </c>
    </row>
    <row r="308" spans="1:23" x14ac:dyDescent="0.2">
      <c r="A308" s="56">
        <v>98391</v>
      </c>
      <c r="B308" s="62" t="s">
        <v>10</v>
      </c>
      <c r="C308" s="36">
        <v>303</v>
      </c>
      <c r="D308" s="36">
        <v>326</v>
      </c>
      <c r="E308" s="36">
        <v>304</v>
      </c>
      <c r="M308" s="81">
        <v>98402</v>
      </c>
      <c r="N308" s="62" t="s">
        <v>345</v>
      </c>
      <c r="O308" s="36">
        <v>0</v>
      </c>
      <c r="P308" s="36">
        <v>0</v>
      </c>
      <c r="Q308" s="36">
        <v>1</v>
      </c>
      <c r="S308" s="83">
        <v>98941</v>
      </c>
      <c r="T308" s="15" t="s">
        <v>10</v>
      </c>
      <c r="U308" s="53">
        <v>1</v>
      </c>
      <c r="V308" s="53">
        <v>0</v>
      </c>
      <c r="W308" s="53">
        <v>2</v>
      </c>
    </row>
    <row r="309" spans="1:23" x14ac:dyDescent="0.2">
      <c r="A309" s="81">
        <v>98392</v>
      </c>
      <c r="B309" s="62" t="s">
        <v>345</v>
      </c>
      <c r="C309" s="36">
        <v>0</v>
      </c>
      <c r="D309" s="36">
        <v>0</v>
      </c>
      <c r="E309" s="36">
        <v>1</v>
      </c>
      <c r="M309" s="81">
        <v>98402</v>
      </c>
      <c r="N309" s="62" t="s">
        <v>10</v>
      </c>
      <c r="O309" s="36">
        <v>0</v>
      </c>
      <c r="P309" s="33">
        <v>2</v>
      </c>
      <c r="Q309" s="33">
        <v>0</v>
      </c>
      <c r="S309" s="83"/>
      <c r="T309" s="15" t="s">
        <v>345</v>
      </c>
      <c r="U309" s="53">
        <v>1</v>
      </c>
      <c r="V309" s="53">
        <v>0</v>
      </c>
      <c r="W309" s="53">
        <v>0</v>
      </c>
    </row>
    <row r="310" spans="1:23" ht="16" thickBot="1" x14ac:dyDescent="0.25">
      <c r="A310" s="81">
        <v>98392</v>
      </c>
      <c r="B310" s="62" t="s">
        <v>10</v>
      </c>
      <c r="C310" s="36">
        <v>18</v>
      </c>
      <c r="D310" s="36">
        <v>27</v>
      </c>
      <c r="E310" s="36">
        <v>14</v>
      </c>
      <c r="M310" s="56">
        <v>98403</v>
      </c>
      <c r="N310" s="62" t="s">
        <v>345</v>
      </c>
      <c r="O310" s="36">
        <v>0</v>
      </c>
      <c r="P310" s="36">
        <v>0</v>
      </c>
      <c r="Q310" s="36">
        <v>1</v>
      </c>
      <c r="S310" s="123"/>
      <c r="T310" s="124" t="s">
        <v>10</v>
      </c>
      <c r="U310" s="125">
        <v>2</v>
      </c>
      <c r="V310" s="125">
        <v>1</v>
      </c>
      <c r="W310" s="125">
        <v>1</v>
      </c>
    </row>
    <row r="311" spans="1:23" x14ac:dyDescent="0.2">
      <c r="A311" s="56">
        <v>98396</v>
      </c>
      <c r="B311" s="62" t="s">
        <v>10</v>
      </c>
      <c r="C311" s="36">
        <v>10</v>
      </c>
      <c r="D311" s="36">
        <v>8</v>
      </c>
      <c r="E311" s="36">
        <v>9</v>
      </c>
      <c r="M311" s="81">
        <v>98403</v>
      </c>
      <c r="N311" s="62" t="s">
        <v>10</v>
      </c>
      <c r="O311" s="36">
        <v>5</v>
      </c>
      <c r="P311" s="33">
        <v>2</v>
      </c>
      <c r="Q311" s="33">
        <v>3</v>
      </c>
      <c r="S311" s="126"/>
      <c r="T311" s="87"/>
      <c r="U311" s="87"/>
      <c r="V311" s="87"/>
      <c r="W311" s="87"/>
    </row>
    <row r="312" spans="1:23" x14ac:dyDescent="0.2">
      <c r="A312" s="81">
        <v>98402</v>
      </c>
      <c r="B312" s="62" t="s">
        <v>345</v>
      </c>
      <c r="C312" s="36">
        <v>1</v>
      </c>
      <c r="D312" s="36">
        <v>1</v>
      </c>
      <c r="E312" s="36">
        <v>1</v>
      </c>
      <c r="M312" s="56">
        <v>98404</v>
      </c>
      <c r="N312" s="62" t="s">
        <v>345</v>
      </c>
      <c r="O312" s="36">
        <v>0</v>
      </c>
      <c r="P312" s="36">
        <v>1</v>
      </c>
      <c r="Q312" s="36">
        <v>0</v>
      </c>
      <c r="S312" s="127"/>
      <c r="T312" s="3"/>
      <c r="U312" s="3"/>
      <c r="V312" s="3"/>
      <c r="W312" s="3"/>
    </row>
    <row r="313" spans="1:23" x14ac:dyDescent="0.2">
      <c r="A313" s="56">
        <v>98402</v>
      </c>
      <c r="B313" s="62" t="s">
        <v>10</v>
      </c>
      <c r="C313" s="36">
        <v>2</v>
      </c>
      <c r="D313" s="36">
        <v>1</v>
      </c>
      <c r="E313" s="36">
        <v>2</v>
      </c>
      <c r="M313" s="81">
        <v>98404</v>
      </c>
      <c r="N313" s="62" t="s">
        <v>10</v>
      </c>
      <c r="O313" s="33">
        <v>28</v>
      </c>
      <c r="P313" s="33">
        <v>25</v>
      </c>
      <c r="Q313" s="36">
        <v>21</v>
      </c>
      <c r="S313" s="127"/>
      <c r="T313" s="3"/>
      <c r="U313" s="3"/>
      <c r="V313" s="3"/>
      <c r="W313" s="3"/>
    </row>
    <row r="314" spans="1:23" x14ac:dyDescent="0.2">
      <c r="A314" s="81">
        <v>98403</v>
      </c>
      <c r="B314" s="62" t="s">
        <v>345</v>
      </c>
      <c r="C314" s="36">
        <v>1</v>
      </c>
      <c r="D314" s="36">
        <v>1</v>
      </c>
      <c r="E314" s="36">
        <v>0</v>
      </c>
      <c r="M314" s="81">
        <v>98405</v>
      </c>
      <c r="N314" s="62" t="s">
        <v>345</v>
      </c>
      <c r="O314" s="36">
        <v>1</v>
      </c>
      <c r="P314" s="36">
        <v>1</v>
      </c>
      <c r="Q314" s="36">
        <v>2</v>
      </c>
      <c r="S314" s="127"/>
      <c r="T314" s="3"/>
      <c r="U314" s="3"/>
      <c r="V314" s="3"/>
      <c r="W314" s="3"/>
    </row>
    <row r="315" spans="1:23" x14ac:dyDescent="0.2">
      <c r="A315" s="56">
        <v>98403</v>
      </c>
      <c r="B315" s="62" t="s">
        <v>10</v>
      </c>
      <c r="C315" s="36">
        <v>7</v>
      </c>
      <c r="D315" s="36">
        <v>10</v>
      </c>
      <c r="E315" s="36">
        <v>6</v>
      </c>
      <c r="M315" s="81">
        <v>98405</v>
      </c>
      <c r="N315" s="62" t="s">
        <v>10</v>
      </c>
      <c r="O315" s="36">
        <v>18</v>
      </c>
      <c r="P315" s="33">
        <v>23</v>
      </c>
      <c r="Q315" s="33">
        <v>7</v>
      </c>
      <c r="S315" s="127"/>
      <c r="T315" s="3"/>
      <c r="U315" s="3"/>
      <c r="V315" s="3"/>
      <c r="W315" s="3"/>
    </row>
    <row r="316" spans="1:23" x14ac:dyDescent="0.2">
      <c r="A316" s="81">
        <v>98404</v>
      </c>
      <c r="B316" s="62" t="s">
        <v>10</v>
      </c>
      <c r="C316" s="36">
        <v>34</v>
      </c>
      <c r="D316" s="36">
        <v>37</v>
      </c>
      <c r="E316" s="36">
        <v>37</v>
      </c>
      <c r="M316" s="56">
        <v>98406</v>
      </c>
      <c r="N316" s="62" t="s">
        <v>345</v>
      </c>
      <c r="O316" s="36">
        <v>0</v>
      </c>
      <c r="P316" s="36">
        <v>2</v>
      </c>
      <c r="Q316" s="36">
        <v>1</v>
      </c>
    </row>
    <row r="317" spans="1:23" x14ac:dyDescent="0.2">
      <c r="A317" s="81">
        <v>98405</v>
      </c>
      <c r="B317" s="62" t="s">
        <v>345</v>
      </c>
      <c r="C317" s="36">
        <v>3</v>
      </c>
      <c r="D317" s="33">
        <v>3</v>
      </c>
      <c r="E317" s="33">
        <v>3</v>
      </c>
      <c r="M317" s="81">
        <v>98406</v>
      </c>
      <c r="N317" s="62" t="s">
        <v>10</v>
      </c>
      <c r="O317" s="36">
        <v>18</v>
      </c>
      <c r="P317" s="36">
        <v>9</v>
      </c>
      <c r="Q317" s="36">
        <v>7</v>
      </c>
    </row>
    <row r="318" spans="1:23" x14ac:dyDescent="0.2">
      <c r="A318" s="56">
        <v>98405</v>
      </c>
      <c r="B318" s="62" t="s">
        <v>10</v>
      </c>
      <c r="C318" s="36">
        <v>31</v>
      </c>
      <c r="D318" s="36">
        <v>34</v>
      </c>
      <c r="E318" s="36">
        <v>30</v>
      </c>
      <c r="M318" s="81">
        <v>98407</v>
      </c>
      <c r="N318" s="62" t="s">
        <v>10</v>
      </c>
      <c r="O318" s="36">
        <v>15</v>
      </c>
      <c r="P318" s="33">
        <v>17</v>
      </c>
      <c r="Q318" s="33">
        <v>13</v>
      </c>
    </row>
    <row r="319" spans="1:23" x14ac:dyDescent="0.2">
      <c r="A319" s="81">
        <v>98406</v>
      </c>
      <c r="B319" s="62" t="s">
        <v>345</v>
      </c>
      <c r="C319" s="36">
        <v>2</v>
      </c>
      <c r="D319" s="36">
        <v>1</v>
      </c>
      <c r="E319" s="36">
        <v>3</v>
      </c>
      <c r="M319" s="81">
        <v>98408</v>
      </c>
      <c r="N319" s="62" t="s">
        <v>10</v>
      </c>
      <c r="O319" s="33">
        <v>19</v>
      </c>
      <c r="P319" s="33">
        <v>26</v>
      </c>
      <c r="Q319" s="36">
        <v>16</v>
      </c>
    </row>
    <row r="320" spans="1:23" x14ac:dyDescent="0.2">
      <c r="A320" s="81">
        <v>98406</v>
      </c>
      <c r="B320" s="62" t="s">
        <v>10</v>
      </c>
      <c r="C320" s="36">
        <v>25</v>
      </c>
      <c r="D320" s="36">
        <v>29</v>
      </c>
      <c r="E320" s="36">
        <v>23</v>
      </c>
      <c r="M320" s="56">
        <v>98409</v>
      </c>
      <c r="N320" s="62" t="s">
        <v>345</v>
      </c>
      <c r="O320" s="36">
        <v>1</v>
      </c>
      <c r="P320" s="36">
        <v>3</v>
      </c>
      <c r="Q320" s="36">
        <v>0</v>
      </c>
    </row>
    <row r="321" spans="1:17" x14ac:dyDescent="0.2">
      <c r="A321" s="81">
        <v>98407</v>
      </c>
      <c r="B321" s="62" t="s">
        <v>10</v>
      </c>
      <c r="C321" s="36">
        <v>14</v>
      </c>
      <c r="D321" s="36">
        <v>12</v>
      </c>
      <c r="E321" s="36">
        <v>16</v>
      </c>
      <c r="M321" s="81">
        <v>98409</v>
      </c>
      <c r="N321" s="62" t="s">
        <v>10</v>
      </c>
      <c r="O321" s="36">
        <v>22</v>
      </c>
      <c r="P321" s="36">
        <v>15</v>
      </c>
      <c r="Q321" s="36">
        <v>13</v>
      </c>
    </row>
    <row r="322" spans="1:17" x14ac:dyDescent="0.2">
      <c r="A322" s="81">
        <v>98408</v>
      </c>
      <c r="B322" s="62" t="s">
        <v>345</v>
      </c>
      <c r="C322" s="36">
        <v>2</v>
      </c>
      <c r="D322" s="36">
        <v>2</v>
      </c>
      <c r="E322" s="36">
        <v>2</v>
      </c>
      <c r="M322" s="81">
        <v>98418</v>
      </c>
      <c r="N322" s="62" t="s">
        <v>10</v>
      </c>
      <c r="O322" s="36">
        <v>14</v>
      </c>
      <c r="P322" s="36">
        <v>9</v>
      </c>
      <c r="Q322" s="36">
        <v>10</v>
      </c>
    </row>
    <row r="323" spans="1:17" x14ac:dyDescent="0.2">
      <c r="A323" s="56">
        <v>98408</v>
      </c>
      <c r="B323" s="62" t="s">
        <v>10</v>
      </c>
      <c r="C323" s="36">
        <v>29</v>
      </c>
      <c r="D323" s="36">
        <v>35</v>
      </c>
      <c r="E323" s="36">
        <v>32</v>
      </c>
      <c r="M323" s="81">
        <v>98421</v>
      </c>
      <c r="N323" s="62" t="s">
        <v>345</v>
      </c>
      <c r="O323" s="36">
        <v>0</v>
      </c>
      <c r="P323" s="33">
        <v>4</v>
      </c>
      <c r="Q323" s="33">
        <v>0</v>
      </c>
    </row>
    <row r="324" spans="1:17" x14ac:dyDescent="0.2">
      <c r="A324" s="81">
        <v>98409</v>
      </c>
      <c r="B324" s="62" t="s">
        <v>345</v>
      </c>
      <c r="C324" s="36">
        <v>4</v>
      </c>
      <c r="D324" s="36">
        <v>3</v>
      </c>
      <c r="E324" s="36">
        <v>6</v>
      </c>
      <c r="M324" s="81">
        <v>98422</v>
      </c>
      <c r="N324" s="62" t="s">
        <v>10</v>
      </c>
      <c r="O324" s="36">
        <v>21</v>
      </c>
      <c r="P324" s="36">
        <v>11</v>
      </c>
      <c r="Q324" s="36">
        <v>9</v>
      </c>
    </row>
    <row r="325" spans="1:17" x14ac:dyDescent="0.2">
      <c r="A325" s="56">
        <v>98409</v>
      </c>
      <c r="B325" s="62" t="s">
        <v>10</v>
      </c>
      <c r="C325" s="36">
        <v>28</v>
      </c>
      <c r="D325" s="36">
        <v>36</v>
      </c>
      <c r="E325" s="36">
        <v>25</v>
      </c>
      <c r="M325" s="81">
        <v>98424</v>
      </c>
      <c r="N325" s="62" t="s">
        <v>345</v>
      </c>
      <c r="O325" s="36">
        <v>0</v>
      </c>
      <c r="P325" s="36">
        <v>2</v>
      </c>
      <c r="Q325" s="36">
        <v>1</v>
      </c>
    </row>
    <row r="326" spans="1:17" x14ac:dyDescent="0.2">
      <c r="A326" s="81">
        <v>98418</v>
      </c>
      <c r="B326" s="62" t="s">
        <v>345</v>
      </c>
      <c r="C326" s="36">
        <v>1</v>
      </c>
      <c r="D326" s="36">
        <v>1</v>
      </c>
      <c r="E326" s="36">
        <v>1</v>
      </c>
      <c r="M326" s="81">
        <v>98424</v>
      </c>
      <c r="N326" s="62" t="s">
        <v>10</v>
      </c>
      <c r="O326" s="36">
        <v>19</v>
      </c>
      <c r="P326" s="36">
        <v>12</v>
      </c>
      <c r="Q326" s="36">
        <v>8</v>
      </c>
    </row>
    <row r="327" spans="1:17" x14ac:dyDescent="0.2">
      <c r="A327" s="56">
        <v>98418</v>
      </c>
      <c r="B327" s="62" t="s">
        <v>10</v>
      </c>
      <c r="C327" s="36">
        <v>24</v>
      </c>
      <c r="D327" s="36">
        <v>25</v>
      </c>
      <c r="E327" s="36">
        <v>22</v>
      </c>
      <c r="M327" s="56">
        <v>98439</v>
      </c>
      <c r="N327" s="62" t="s">
        <v>10</v>
      </c>
      <c r="O327" s="36">
        <v>24</v>
      </c>
      <c r="P327" s="36">
        <v>23</v>
      </c>
      <c r="Q327" s="36">
        <v>26</v>
      </c>
    </row>
    <row r="328" spans="1:17" x14ac:dyDescent="0.2">
      <c r="A328" s="81">
        <v>98421</v>
      </c>
      <c r="B328" s="62" t="s">
        <v>345</v>
      </c>
      <c r="C328" s="36">
        <v>2</v>
      </c>
      <c r="D328" s="36">
        <v>2</v>
      </c>
      <c r="E328" s="36">
        <v>4</v>
      </c>
      <c r="M328" s="81">
        <v>98443</v>
      </c>
      <c r="N328" s="62" t="s">
        <v>10</v>
      </c>
      <c r="O328" s="36">
        <v>2</v>
      </c>
      <c r="P328" s="36">
        <v>1</v>
      </c>
      <c r="Q328" s="36">
        <v>0</v>
      </c>
    </row>
    <row r="329" spans="1:17" x14ac:dyDescent="0.2">
      <c r="A329" s="56">
        <v>98422</v>
      </c>
      <c r="B329" s="62" t="s">
        <v>10</v>
      </c>
      <c r="C329" s="36">
        <v>20</v>
      </c>
      <c r="D329" s="36">
        <v>23</v>
      </c>
      <c r="E329" s="36">
        <v>22</v>
      </c>
      <c r="M329" s="56">
        <v>98444</v>
      </c>
      <c r="N329" s="62" t="s">
        <v>345</v>
      </c>
      <c r="O329" s="36">
        <v>0</v>
      </c>
      <c r="P329" s="36">
        <v>1</v>
      </c>
      <c r="Q329" s="36">
        <v>0</v>
      </c>
    </row>
    <row r="330" spans="1:17" x14ac:dyDescent="0.2">
      <c r="A330" s="81">
        <v>98424</v>
      </c>
      <c r="B330" s="62" t="s">
        <v>345</v>
      </c>
      <c r="C330" s="36">
        <v>4</v>
      </c>
      <c r="D330" s="36">
        <v>2</v>
      </c>
      <c r="E330" s="36">
        <v>2</v>
      </c>
      <c r="M330" s="81">
        <v>98444</v>
      </c>
      <c r="N330" s="62" t="s">
        <v>10</v>
      </c>
      <c r="O330" s="36">
        <v>15</v>
      </c>
      <c r="P330" s="36">
        <v>14</v>
      </c>
      <c r="Q330" s="36">
        <v>15</v>
      </c>
    </row>
    <row r="331" spans="1:17" x14ac:dyDescent="0.2">
      <c r="A331" s="56">
        <v>98424</v>
      </c>
      <c r="B331" s="62" t="s">
        <v>10</v>
      </c>
      <c r="C331" s="36">
        <v>24</v>
      </c>
      <c r="D331" s="36">
        <v>22</v>
      </c>
      <c r="E331" s="36">
        <v>23</v>
      </c>
      <c r="M331" s="56">
        <v>98445</v>
      </c>
      <c r="N331" s="62" t="s">
        <v>10</v>
      </c>
      <c r="O331" s="36">
        <v>34</v>
      </c>
      <c r="P331" s="36">
        <v>32</v>
      </c>
      <c r="Q331" s="36">
        <v>29</v>
      </c>
    </row>
    <row r="332" spans="1:17" x14ac:dyDescent="0.2">
      <c r="A332" s="81">
        <v>98439</v>
      </c>
      <c r="B332" s="62" t="s">
        <v>10</v>
      </c>
      <c r="C332" s="36">
        <v>27</v>
      </c>
      <c r="D332" s="36">
        <v>29</v>
      </c>
      <c r="E332" s="36">
        <v>27</v>
      </c>
      <c r="M332" s="81">
        <v>98446</v>
      </c>
      <c r="N332" s="62" t="s">
        <v>10</v>
      </c>
      <c r="O332" s="36">
        <v>25</v>
      </c>
      <c r="P332" s="36">
        <v>34</v>
      </c>
      <c r="Q332" s="36">
        <v>38</v>
      </c>
    </row>
    <row r="333" spans="1:17" x14ac:dyDescent="0.2">
      <c r="A333" s="81">
        <v>98443</v>
      </c>
      <c r="B333" s="62" t="s">
        <v>10</v>
      </c>
      <c r="C333" s="36">
        <v>2</v>
      </c>
      <c r="D333" s="36">
        <v>3</v>
      </c>
      <c r="E333" s="36">
        <v>1</v>
      </c>
      <c r="M333" s="56">
        <v>98465</v>
      </c>
      <c r="N333" s="62" t="s">
        <v>10</v>
      </c>
      <c r="O333" s="36">
        <v>1</v>
      </c>
      <c r="P333" s="36">
        <v>4</v>
      </c>
      <c r="Q333" s="36">
        <v>4</v>
      </c>
    </row>
    <row r="334" spans="1:17" x14ac:dyDescent="0.2">
      <c r="A334" s="56">
        <v>98444</v>
      </c>
      <c r="B334" s="62" t="s">
        <v>10</v>
      </c>
      <c r="C334" s="36">
        <v>19</v>
      </c>
      <c r="D334" s="36">
        <v>25</v>
      </c>
      <c r="E334" s="36">
        <v>17</v>
      </c>
      <c r="M334" s="81">
        <v>98466</v>
      </c>
      <c r="N334" s="62" t="s">
        <v>10</v>
      </c>
      <c r="O334" s="36">
        <v>17</v>
      </c>
      <c r="P334" s="36">
        <v>7</v>
      </c>
      <c r="Q334" s="36">
        <v>13</v>
      </c>
    </row>
    <row r="335" spans="1:17" x14ac:dyDescent="0.2">
      <c r="A335" s="81">
        <v>98445</v>
      </c>
      <c r="B335" s="62" t="s">
        <v>10</v>
      </c>
      <c r="C335" s="36">
        <v>55</v>
      </c>
      <c r="D335" s="36">
        <v>55</v>
      </c>
      <c r="E335" s="36">
        <v>48</v>
      </c>
      <c r="M335" s="56">
        <v>98467</v>
      </c>
      <c r="N335" s="62" t="s">
        <v>10</v>
      </c>
      <c r="O335" s="36">
        <v>10</v>
      </c>
      <c r="P335" s="36">
        <v>7</v>
      </c>
      <c r="Q335" s="36">
        <v>6</v>
      </c>
    </row>
    <row r="336" spans="1:17" x14ac:dyDescent="0.2">
      <c r="A336" s="81">
        <v>98446</v>
      </c>
      <c r="B336" s="62" t="s">
        <v>10</v>
      </c>
      <c r="C336" s="36">
        <v>40</v>
      </c>
      <c r="D336" s="36">
        <v>41</v>
      </c>
      <c r="E336" s="36">
        <v>35</v>
      </c>
      <c r="M336" s="81">
        <v>98498</v>
      </c>
      <c r="N336" s="62" t="s">
        <v>345</v>
      </c>
      <c r="O336" s="36">
        <v>2</v>
      </c>
      <c r="P336" s="36">
        <v>3</v>
      </c>
      <c r="Q336" s="36">
        <v>2</v>
      </c>
    </row>
    <row r="337" spans="1:17" x14ac:dyDescent="0.2">
      <c r="A337" s="81">
        <v>98465</v>
      </c>
      <c r="B337" s="62" t="s">
        <v>10</v>
      </c>
      <c r="C337" s="36">
        <v>4</v>
      </c>
      <c r="D337" s="36">
        <v>6</v>
      </c>
      <c r="E337" s="36">
        <v>8</v>
      </c>
      <c r="M337" s="56">
        <v>98498</v>
      </c>
      <c r="N337" s="62" t="s">
        <v>10</v>
      </c>
      <c r="O337" s="36">
        <v>103</v>
      </c>
      <c r="P337" s="36">
        <v>99</v>
      </c>
      <c r="Q337" s="36">
        <v>102</v>
      </c>
    </row>
    <row r="338" spans="1:17" x14ac:dyDescent="0.2">
      <c r="A338" s="81">
        <v>98466</v>
      </c>
      <c r="B338" s="62" t="s">
        <v>345</v>
      </c>
      <c r="C338" s="36">
        <v>1</v>
      </c>
      <c r="D338" s="36">
        <v>1</v>
      </c>
      <c r="E338" s="36">
        <v>1</v>
      </c>
      <c r="M338" s="81">
        <v>98499</v>
      </c>
      <c r="N338" s="62" t="s">
        <v>345</v>
      </c>
      <c r="O338" s="36">
        <v>3</v>
      </c>
      <c r="P338" s="36">
        <v>0</v>
      </c>
      <c r="Q338" s="36">
        <v>1</v>
      </c>
    </row>
    <row r="339" spans="1:17" x14ac:dyDescent="0.2">
      <c r="A339" s="81">
        <v>98466</v>
      </c>
      <c r="B339" s="62" t="s">
        <v>10</v>
      </c>
      <c r="C339" s="36">
        <v>25</v>
      </c>
      <c r="D339" s="36">
        <v>28</v>
      </c>
      <c r="E339" s="36">
        <v>20</v>
      </c>
      <c r="M339" s="56">
        <v>98499</v>
      </c>
      <c r="N339" s="62" t="s">
        <v>10</v>
      </c>
      <c r="O339" s="36">
        <v>29</v>
      </c>
      <c r="P339" s="36">
        <v>18</v>
      </c>
      <c r="Q339" s="36">
        <v>23</v>
      </c>
    </row>
    <row r="340" spans="1:17" x14ac:dyDescent="0.2">
      <c r="A340" s="81">
        <v>98467</v>
      </c>
      <c r="B340" s="62" t="s">
        <v>10</v>
      </c>
      <c r="C340" s="77">
        <v>20</v>
      </c>
      <c r="D340" s="77">
        <v>19</v>
      </c>
      <c r="E340" s="77">
        <v>15</v>
      </c>
      <c r="M340" s="81">
        <v>98501</v>
      </c>
      <c r="N340" s="62" t="s">
        <v>345</v>
      </c>
      <c r="O340" s="36">
        <v>7</v>
      </c>
      <c r="P340" s="36">
        <v>5</v>
      </c>
      <c r="Q340" s="33">
        <v>3</v>
      </c>
    </row>
    <row r="341" spans="1:17" x14ac:dyDescent="0.2">
      <c r="A341" s="56">
        <v>98498</v>
      </c>
      <c r="B341" s="62" t="s">
        <v>345</v>
      </c>
      <c r="C341" s="82">
        <v>6</v>
      </c>
      <c r="D341" s="82">
        <v>5</v>
      </c>
      <c r="E341" s="77">
        <v>6</v>
      </c>
      <c r="M341" s="56">
        <v>98501</v>
      </c>
      <c r="N341" s="62" t="s">
        <v>10</v>
      </c>
      <c r="O341" s="36">
        <v>129</v>
      </c>
      <c r="P341" s="36">
        <v>133</v>
      </c>
      <c r="Q341" s="36">
        <v>119</v>
      </c>
    </row>
    <row r="342" spans="1:17" x14ac:dyDescent="0.2">
      <c r="A342" s="83">
        <v>98498</v>
      </c>
      <c r="B342" s="15" t="s">
        <v>10</v>
      </c>
      <c r="C342" s="53">
        <v>154</v>
      </c>
      <c r="D342" s="53">
        <v>177</v>
      </c>
      <c r="E342" s="53">
        <v>145</v>
      </c>
      <c r="M342" s="81">
        <v>98502</v>
      </c>
      <c r="N342" s="62" t="s">
        <v>345</v>
      </c>
      <c r="O342" s="36">
        <v>4</v>
      </c>
      <c r="P342" s="36">
        <v>2</v>
      </c>
      <c r="Q342" s="33">
        <v>6</v>
      </c>
    </row>
    <row r="343" spans="1:17" x14ac:dyDescent="0.2">
      <c r="A343" s="83">
        <v>98499</v>
      </c>
      <c r="B343" s="15" t="s">
        <v>345</v>
      </c>
      <c r="C343" s="53">
        <v>5</v>
      </c>
      <c r="D343" s="53">
        <v>7</v>
      </c>
      <c r="E343" s="53">
        <v>6</v>
      </c>
      <c r="M343" s="56">
        <v>98502</v>
      </c>
      <c r="N343" s="62" t="s">
        <v>10</v>
      </c>
      <c r="O343" s="36">
        <v>118</v>
      </c>
      <c r="P343" s="36">
        <v>122</v>
      </c>
      <c r="Q343" s="36">
        <v>98</v>
      </c>
    </row>
    <row r="344" spans="1:17" x14ac:dyDescent="0.2">
      <c r="A344" s="83">
        <v>98499</v>
      </c>
      <c r="B344" s="15" t="s">
        <v>10</v>
      </c>
      <c r="C344" s="53">
        <v>45</v>
      </c>
      <c r="D344" s="53">
        <v>48</v>
      </c>
      <c r="E344" s="53">
        <v>39</v>
      </c>
      <c r="M344" s="81">
        <v>98503</v>
      </c>
      <c r="N344" s="62" t="s">
        <v>345</v>
      </c>
      <c r="O344" s="36">
        <v>1</v>
      </c>
      <c r="P344" s="36">
        <v>2</v>
      </c>
      <c r="Q344" s="36">
        <v>3</v>
      </c>
    </row>
    <row r="345" spans="1:17" x14ac:dyDescent="0.2">
      <c r="A345" s="83">
        <v>98501</v>
      </c>
      <c r="B345" s="15" t="s">
        <v>345</v>
      </c>
      <c r="C345" s="53">
        <v>12</v>
      </c>
      <c r="D345" s="53">
        <v>16</v>
      </c>
      <c r="E345" s="53">
        <v>13</v>
      </c>
      <c r="M345" s="81">
        <v>98503</v>
      </c>
      <c r="N345" s="62" t="s">
        <v>10</v>
      </c>
      <c r="O345" s="33">
        <v>166</v>
      </c>
      <c r="P345" s="33">
        <v>152</v>
      </c>
      <c r="Q345" s="36">
        <v>151</v>
      </c>
    </row>
    <row r="346" spans="1:17" x14ac:dyDescent="0.2">
      <c r="A346" s="83">
        <v>98501</v>
      </c>
      <c r="B346" s="15" t="s">
        <v>10</v>
      </c>
      <c r="C346" s="53">
        <v>229</v>
      </c>
      <c r="D346" s="53">
        <v>231</v>
      </c>
      <c r="E346" s="53">
        <v>224</v>
      </c>
      <c r="M346" s="56">
        <v>98506</v>
      </c>
      <c r="N346" s="62" t="s">
        <v>345</v>
      </c>
      <c r="O346" s="36">
        <v>3</v>
      </c>
      <c r="P346" s="36">
        <v>5</v>
      </c>
      <c r="Q346" s="36">
        <v>5</v>
      </c>
    </row>
    <row r="347" spans="1:17" x14ac:dyDescent="0.2">
      <c r="A347" s="83">
        <v>98502</v>
      </c>
      <c r="B347" s="15" t="s">
        <v>345</v>
      </c>
      <c r="C347" s="53">
        <v>5</v>
      </c>
      <c r="D347" s="53">
        <v>9</v>
      </c>
      <c r="E347" s="53">
        <v>5</v>
      </c>
      <c r="M347" s="81">
        <v>98506</v>
      </c>
      <c r="N347" s="62" t="s">
        <v>10</v>
      </c>
      <c r="O347" s="33">
        <v>69</v>
      </c>
      <c r="P347" s="36">
        <v>41</v>
      </c>
      <c r="Q347" s="33">
        <v>43</v>
      </c>
    </row>
    <row r="348" spans="1:17" x14ac:dyDescent="0.2">
      <c r="A348" s="83">
        <v>98502</v>
      </c>
      <c r="B348" s="15" t="s">
        <v>10</v>
      </c>
      <c r="C348" s="53">
        <v>171</v>
      </c>
      <c r="D348" s="53">
        <v>198</v>
      </c>
      <c r="E348" s="53">
        <v>195</v>
      </c>
      <c r="M348" s="56">
        <v>98512</v>
      </c>
      <c r="N348" s="62" t="s">
        <v>345</v>
      </c>
      <c r="O348" s="36">
        <v>5</v>
      </c>
      <c r="P348" s="36">
        <v>3</v>
      </c>
      <c r="Q348" s="36">
        <v>4</v>
      </c>
    </row>
    <row r="349" spans="1:17" x14ac:dyDescent="0.2">
      <c r="A349" s="83">
        <v>98503</v>
      </c>
      <c r="B349" s="15" t="s">
        <v>345</v>
      </c>
      <c r="C349" s="53">
        <v>1</v>
      </c>
      <c r="D349" s="53">
        <v>1</v>
      </c>
      <c r="E349" s="53">
        <v>3</v>
      </c>
      <c r="M349" s="81">
        <v>98512</v>
      </c>
      <c r="N349" s="62" t="s">
        <v>10</v>
      </c>
      <c r="O349" s="36">
        <v>134</v>
      </c>
      <c r="P349" s="36">
        <v>93</v>
      </c>
      <c r="Q349" s="36">
        <v>88</v>
      </c>
    </row>
    <row r="350" spans="1:17" x14ac:dyDescent="0.2">
      <c r="A350" s="83">
        <v>98503</v>
      </c>
      <c r="B350" s="15" t="s">
        <v>10</v>
      </c>
      <c r="C350" s="53">
        <v>291</v>
      </c>
      <c r="D350" s="53">
        <v>296</v>
      </c>
      <c r="E350" s="53">
        <v>259</v>
      </c>
      <c r="M350" s="81">
        <v>98513</v>
      </c>
      <c r="N350" s="62" t="s">
        <v>345</v>
      </c>
      <c r="O350" s="36">
        <v>2</v>
      </c>
      <c r="P350" s="36">
        <v>0</v>
      </c>
      <c r="Q350" s="36">
        <v>1</v>
      </c>
    </row>
    <row r="351" spans="1:17" x14ac:dyDescent="0.2">
      <c r="A351" s="83">
        <v>98506</v>
      </c>
      <c r="B351" s="15" t="s">
        <v>345</v>
      </c>
      <c r="C351" s="53">
        <v>4</v>
      </c>
      <c r="D351" s="53">
        <v>3</v>
      </c>
      <c r="E351" s="53">
        <v>5</v>
      </c>
      <c r="M351" s="56">
        <v>98513</v>
      </c>
      <c r="N351" s="62" t="s">
        <v>10</v>
      </c>
      <c r="O351" s="36">
        <v>124</v>
      </c>
      <c r="P351" s="36">
        <v>94</v>
      </c>
      <c r="Q351" s="36">
        <v>94</v>
      </c>
    </row>
    <row r="352" spans="1:17" x14ac:dyDescent="0.2">
      <c r="A352" s="83">
        <v>98506</v>
      </c>
      <c r="B352" s="15" t="s">
        <v>10</v>
      </c>
      <c r="C352" s="53">
        <v>77</v>
      </c>
      <c r="D352" s="53">
        <v>102</v>
      </c>
      <c r="E352" s="53">
        <v>81</v>
      </c>
      <c r="M352" s="81">
        <v>98516</v>
      </c>
      <c r="N352" s="62" t="s">
        <v>345</v>
      </c>
      <c r="O352" s="36">
        <v>5</v>
      </c>
      <c r="P352" s="36">
        <v>4</v>
      </c>
      <c r="Q352" s="33">
        <v>5</v>
      </c>
    </row>
    <row r="353" spans="1:17" x14ac:dyDescent="0.2">
      <c r="A353" s="83">
        <v>98512</v>
      </c>
      <c r="B353" s="15" t="s">
        <v>345</v>
      </c>
      <c r="C353" s="53">
        <v>13</v>
      </c>
      <c r="D353" s="53">
        <v>12</v>
      </c>
      <c r="E353" s="53">
        <v>10</v>
      </c>
      <c r="M353" s="56">
        <v>98516</v>
      </c>
      <c r="N353" s="62" t="s">
        <v>10</v>
      </c>
      <c r="O353" s="36">
        <v>91</v>
      </c>
      <c r="P353" s="36">
        <v>75</v>
      </c>
      <c r="Q353" s="36">
        <v>71</v>
      </c>
    </row>
    <row r="354" spans="1:17" x14ac:dyDescent="0.2">
      <c r="A354" s="83">
        <v>98512</v>
      </c>
      <c r="B354" s="15" t="s">
        <v>10</v>
      </c>
      <c r="C354" s="53">
        <v>175</v>
      </c>
      <c r="D354" s="53">
        <v>196</v>
      </c>
      <c r="E354" s="53">
        <v>185</v>
      </c>
      <c r="M354" s="81">
        <v>98530</v>
      </c>
      <c r="N354" s="62" t="s">
        <v>10</v>
      </c>
      <c r="O354" s="36">
        <v>4</v>
      </c>
      <c r="P354" s="33">
        <v>3</v>
      </c>
      <c r="Q354" s="33">
        <v>5</v>
      </c>
    </row>
    <row r="355" spans="1:17" x14ac:dyDescent="0.2">
      <c r="A355" s="83">
        <v>98513</v>
      </c>
      <c r="B355" s="15" t="s">
        <v>345</v>
      </c>
      <c r="C355" s="53">
        <v>1</v>
      </c>
      <c r="D355" s="53">
        <v>1</v>
      </c>
      <c r="E355" s="53">
        <v>0</v>
      </c>
      <c r="M355" s="56">
        <v>98531</v>
      </c>
      <c r="N355" s="62" t="s">
        <v>345</v>
      </c>
      <c r="O355" s="36">
        <v>3</v>
      </c>
      <c r="P355" s="36">
        <v>1</v>
      </c>
      <c r="Q355" s="36">
        <v>0</v>
      </c>
    </row>
    <row r="356" spans="1:17" x14ac:dyDescent="0.2">
      <c r="A356" s="83">
        <v>98513</v>
      </c>
      <c r="B356" s="15" t="s">
        <v>10</v>
      </c>
      <c r="C356" s="53">
        <v>193</v>
      </c>
      <c r="D356" s="53">
        <v>208</v>
      </c>
      <c r="E356" s="53">
        <v>172</v>
      </c>
      <c r="M356" s="81">
        <v>98531</v>
      </c>
      <c r="N356" s="62" t="s">
        <v>10</v>
      </c>
      <c r="O356" s="36">
        <v>26</v>
      </c>
      <c r="P356" s="33">
        <v>14</v>
      </c>
      <c r="Q356" s="36">
        <v>16</v>
      </c>
    </row>
    <row r="357" spans="1:17" x14ac:dyDescent="0.2">
      <c r="A357" s="83">
        <v>98516</v>
      </c>
      <c r="B357" s="15" t="s">
        <v>345</v>
      </c>
      <c r="C357" s="53">
        <v>4</v>
      </c>
      <c r="D357" s="53">
        <v>5</v>
      </c>
      <c r="E357" s="53">
        <v>5</v>
      </c>
      <c r="M357" s="81">
        <v>98532</v>
      </c>
      <c r="N357" s="62" t="s">
        <v>10</v>
      </c>
      <c r="O357" s="36">
        <v>11</v>
      </c>
      <c r="P357" s="36">
        <v>1</v>
      </c>
      <c r="Q357" s="36">
        <v>5</v>
      </c>
    </row>
    <row r="358" spans="1:17" x14ac:dyDescent="0.2">
      <c r="A358" s="83">
        <v>98516</v>
      </c>
      <c r="B358" s="15" t="s">
        <v>10</v>
      </c>
      <c r="C358" s="53">
        <v>139</v>
      </c>
      <c r="D358" s="53">
        <v>146</v>
      </c>
      <c r="E358" s="53">
        <v>134</v>
      </c>
      <c r="M358" s="56">
        <v>98568</v>
      </c>
      <c r="N358" s="62" t="s">
        <v>10</v>
      </c>
      <c r="O358" s="36">
        <v>0</v>
      </c>
      <c r="P358" s="36">
        <v>0</v>
      </c>
      <c r="Q358" s="36">
        <v>1</v>
      </c>
    </row>
    <row r="359" spans="1:17" x14ac:dyDescent="0.2">
      <c r="A359" s="83">
        <v>98530</v>
      </c>
      <c r="B359" s="15" t="s">
        <v>10</v>
      </c>
      <c r="C359" s="53">
        <v>6</v>
      </c>
      <c r="D359" s="53">
        <v>6</v>
      </c>
      <c r="E359" s="53">
        <v>5</v>
      </c>
      <c r="M359" s="81">
        <v>98576</v>
      </c>
      <c r="N359" s="62" t="s">
        <v>345</v>
      </c>
      <c r="O359" s="36">
        <v>1</v>
      </c>
      <c r="P359" s="36">
        <v>0</v>
      </c>
      <c r="Q359" s="36">
        <v>1</v>
      </c>
    </row>
    <row r="360" spans="1:17" x14ac:dyDescent="0.2">
      <c r="A360" s="83">
        <v>98531</v>
      </c>
      <c r="B360" s="15" t="s">
        <v>345</v>
      </c>
      <c r="C360" s="53">
        <v>2</v>
      </c>
      <c r="D360" s="53">
        <v>4</v>
      </c>
      <c r="E360" s="53">
        <v>3</v>
      </c>
      <c r="M360" s="56">
        <v>98576</v>
      </c>
      <c r="N360" s="62" t="s">
        <v>10</v>
      </c>
      <c r="O360" s="36">
        <v>14</v>
      </c>
      <c r="P360" s="36">
        <v>21</v>
      </c>
      <c r="Q360" s="36">
        <v>13</v>
      </c>
    </row>
    <row r="361" spans="1:17" x14ac:dyDescent="0.2">
      <c r="A361" s="83">
        <v>98531</v>
      </c>
      <c r="B361" s="15" t="s">
        <v>10</v>
      </c>
      <c r="C361" s="53">
        <v>38</v>
      </c>
      <c r="D361" s="53">
        <v>35</v>
      </c>
      <c r="E361" s="53">
        <v>29</v>
      </c>
      <c r="M361" s="81">
        <v>98579</v>
      </c>
      <c r="N361" s="62" t="s">
        <v>345</v>
      </c>
      <c r="O361" s="33">
        <v>1</v>
      </c>
      <c r="P361" s="36">
        <v>1</v>
      </c>
      <c r="Q361" s="33">
        <v>1</v>
      </c>
    </row>
    <row r="362" spans="1:17" x14ac:dyDescent="0.2">
      <c r="A362" s="83">
        <v>98532</v>
      </c>
      <c r="B362" s="15" t="s">
        <v>345</v>
      </c>
      <c r="C362" s="53">
        <v>1</v>
      </c>
      <c r="D362" s="53">
        <v>1</v>
      </c>
      <c r="E362" s="53">
        <v>1</v>
      </c>
      <c r="M362" s="56">
        <v>98579</v>
      </c>
      <c r="N362" s="62" t="s">
        <v>10</v>
      </c>
      <c r="O362" s="33">
        <v>52</v>
      </c>
      <c r="P362" s="36">
        <v>43</v>
      </c>
      <c r="Q362" s="36">
        <v>53</v>
      </c>
    </row>
    <row r="363" spans="1:17" x14ac:dyDescent="0.2">
      <c r="A363" s="83">
        <v>98532</v>
      </c>
      <c r="B363" s="15" t="s">
        <v>10</v>
      </c>
      <c r="C363" s="53">
        <v>11</v>
      </c>
      <c r="D363" s="53">
        <v>17</v>
      </c>
      <c r="E363" s="53">
        <v>10</v>
      </c>
      <c r="M363" s="81">
        <v>98580</v>
      </c>
      <c r="N363" s="62" t="s">
        <v>345</v>
      </c>
      <c r="O363" s="36">
        <v>3</v>
      </c>
      <c r="P363" s="36">
        <v>3</v>
      </c>
      <c r="Q363" s="36">
        <v>3</v>
      </c>
    </row>
    <row r="364" spans="1:17" x14ac:dyDescent="0.2">
      <c r="A364" s="83">
        <v>98576</v>
      </c>
      <c r="B364" s="15" t="s">
        <v>345</v>
      </c>
      <c r="C364" s="53">
        <v>1</v>
      </c>
      <c r="D364" s="53">
        <v>0</v>
      </c>
      <c r="E364" s="53">
        <v>0</v>
      </c>
      <c r="M364" s="56">
        <v>98580</v>
      </c>
      <c r="N364" s="62" t="s">
        <v>10</v>
      </c>
      <c r="O364" s="36">
        <v>29</v>
      </c>
      <c r="P364" s="36">
        <v>33</v>
      </c>
      <c r="Q364" s="36">
        <v>24</v>
      </c>
    </row>
    <row r="365" spans="1:17" x14ac:dyDescent="0.2">
      <c r="A365" s="83">
        <v>98576</v>
      </c>
      <c r="B365" s="15" t="s">
        <v>10</v>
      </c>
      <c r="C365" s="53">
        <v>30</v>
      </c>
      <c r="D365" s="53">
        <v>31</v>
      </c>
      <c r="E365" s="53">
        <v>32</v>
      </c>
      <c r="M365" s="81">
        <v>98589</v>
      </c>
      <c r="N365" s="62" t="s">
        <v>345</v>
      </c>
      <c r="O365" s="36">
        <v>2</v>
      </c>
      <c r="P365" s="36">
        <v>1</v>
      </c>
      <c r="Q365" s="36">
        <v>2</v>
      </c>
    </row>
    <row r="366" spans="1:17" x14ac:dyDescent="0.2">
      <c r="A366" s="83">
        <v>98579</v>
      </c>
      <c r="B366" s="15" t="s">
        <v>345</v>
      </c>
      <c r="C366" s="53">
        <v>4</v>
      </c>
      <c r="D366" s="53">
        <v>5</v>
      </c>
      <c r="E366" s="53">
        <v>4</v>
      </c>
      <c r="M366" s="81">
        <v>98589</v>
      </c>
      <c r="N366" s="62" t="s">
        <v>10</v>
      </c>
      <c r="O366" s="33">
        <v>48</v>
      </c>
      <c r="P366" s="36">
        <v>42</v>
      </c>
      <c r="Q366" s="33">
        <v>44</v>
      </c>
    </row>
    <row r="367" spans="1:17" x14ac:dyDescent="0.2">
      <c r="A367" s="83">
        <v>98579</v>
      </c>
      <c r="B367" s="15" t="s">
        <v>10</v>
      </c>
      <c r="C367" s="53">
        <v>98</v>
      </c>
      <c r="D367" s="53">
        <v>94</v>
      </c>
      <c r="E367" s="53">
        <v>88</v>
      </c>
      <c r="M367" s="56">
        <v>98596</v>
      </c>
      <c r="N367" s="62" t="s">
        <v>10</v>
      </c>
      <c r="O367" s="33">
        <v>2</v>
      </c>
      <c r="P367" s="36">
        <v>0</v>
      </c>
      <c r="Q367" s="33">
        <v>0</v>
      </c>
    </row>
    <row r="368" spans="1:17" x14ac:dyDescent="0.2">
      <c r="A368" s="83">
        <v>98580</v>
      </c>
      <c r="B368" s="15" t="s">
        <v>345</v>
      </c>
      <c r="C368" s="53">
        <v>3</v>
      </c>
      <c r="D368" s="53">
        <v>6</v>
      </c>
      <c r="E368" s="53">
        <v>6</v>
      </c>
      <c r="M368" s="81">
        <v>98597</v>
      </c>
      <c r="N368" s="62" t="s">
        <v>345</v>
      </c>
      <c r="O368" s="36">
        <v>5</v>
      </c>
      <c r="P368" s="36">
        <v>4</v>
      </c>
      <c r="Q368" s="33">
        <v>4</v>
      </c>
    </row>
    <row r="369" spans="1:17" x14ac:dyDescent="0.2">
      <c r="A369" s="83">
        <v>98580</v>
      </c>
      <c r="B369" s="15" t="s">
        <v>10</v>
      </c>
      <c r="C369" s="53">
        <v>47</v>
      </c>
      <c r="D369" s="53">
        <v>55</v>
      </c>
      <c r="E369" s="53">
        <v>56</v>
      </c>
      <c r="M369" s="56">
        <v>98597</v>
      </c>
      <c r="N369" s="62" t="s">
        <v>10</v>
      </c>
      <c r="O369" s="36">
        <v>112</v>
      </c>
      <c r="P369" s="36">
        <v>93</v>
      </c>
      <c r="Q369" s="36">
        <v>83</v>
      </c>
    </row>
    <row r="370" spans="1:17" x14ac:dyDescent="0.2">
      <c r="A370" s="83">
        <v>98589</v>
      </c>
      <c r="B370" s="15" t="s">
        <v>345</v>
      </c>
      <c r="C370" s="53">
        <v>1</v>
      </c>
      <c r="D370" s="53">
        <v>2</v>
      </c>
      <c r="E370" s="53">
        <v>2</v>
      </c>
      <c r="M370" s="81">
        <v>98922</v>
      </c>
      <c r="N370" s="62" t="s">
        <v>345</v>
      </c>
      <c r="O370" s="36">
        <v>2</v>
      </c>
      <c r="P370" s="33">
        <v>1</v>
      </c>
      <c r="Q370" s="36">
        <v>3</v>
      </c>
    </row>
    <row r="371" spans="1:17" x14ac:dyDescent="0.2">
      <c r="A371" s="83">
        <v>98589</v>
      </c>
      <c r="B371" s="15" t="s">
        <v>10</v>
      </c>
      <c r="C371" s="53">
        <v>77</v>
      </c>
      <c r="D371" s="53">
        <v>74</v>
      </c>
      <c r="E371" s="53">
        <v>69</v>
      </c>
      <c r="M371" s="81">
        <v>98922</v>
      </c>
      <c r="N371" s="62" t="s">
        <v>10</v>
      </c>
      <c r="O371" s="33">
        <v>22</v>
      </c>
      <c r="P371" s="36">
        <v>19</v>
      </c>
      <c r="Q371" s="36">
        <v>23</v>
      </c>
    </row>
    <row r="372" spans="1:17" x14ac:dyDescent="0.2">
      <c r="A372" s="83">
        <v>98591</v>
      </c>
      <c r="B372" s="15" t="s">
        <v>10</v>
      </c>
      <c r="C372" s="53">
        <v>1</v>
      </c>
      <c r="D372" s="53">
        <v>1</v>
      </c>
      <c r="E372" s="53">
        <v>1</v>
      </c>
      <c r="M372" s="85">
        <v>98925</v>
      </c>
      <c r="N372" s="54" t="s">
        <v>10</v>
      </c>
      <c r="O372" s="86">
        <v>1</v>
      </c>
      <c r="P372" s="86">
        <v>5</v>
      </c>
      <c r="Q372" s="55">
        <v>1</v>
      </c>
    </row>
    <row r="373" spans="1:17" x14ac:dyDescent="0.2">
      <c r="A373" s="83">
        <v>98596</v>
      </c>
      <c r="B373" s="15" t="s">
        <v>345</v>
      </c>
      <c r="C373" s="53">
        <v>1</v>
      </c>
      <c r="D373" s="53">
        <v>0</v>
      </c>
      <c r="E373" s="53">
        <v>0</v>
      </c>
      <c r="M373" s="83">
        <v>98926</v>
      </c>
      <c r="N373" s="15" t="s">
        <v>345</v>
      </c>
      <c r="O373" s="53">
        <v>2</v>
      </c>
      <c r="P373" s="53">
        <v>3</v>
      </c>
      <c r="Q373" s="53">
        <v>3</v>
      </c>
    </row>
    <row r="374" spans="1:17" x14ac:dyDescent="0.2">
      <c r="A374" s="83">
        <v>98596</v>
      </c>
      <c r="B374" s="15" t="s">
        <v>10</v>
      </c>
      <c r="C374" s="53">
        <v>0</v>
      </c>
      <c r="D374" s="53">
        <v>1</v>
      </c>
      <c r="E374" s="53">
        <v>1</v>
      </c>
      <c r="M374" s="83">
        <v>98926</v>
      </c>
      <c r="N374" s="15" t="s">
        <v>10</v>
      </c>
      <c r="O374" s="53">
        <v>19</v>
      </c>
      <c r="P374" s="53">
        <v>11</v>
      </c>
      <c r="Q374" s="53">
        <v>14</v>
      </c>
    </row>
    <row r="375" spans="1:17" x14ac:dyDescent="0.2">
      <c r="A375" s="83">
        <v>98597</v>
      </c>
      <c r="B375" s="15" t="s">
        <v>345</v>
      </c>
      <c r="C375" s="53">
        <v>14</v>
      </c>
      <c r="D375" s="53">
        <v>10</v>
      </c>
      <c r="E375" s="53">
        <v>9</v>
      </c>
      <c r="M375" s="83">
        <v>98934</v>
      </c>
      <c r="N375" s="15" t="s">
        <v>10</v>
      </c>
      <c r="O375" s="53">
        <v>3</v>
      </c>
      <c r="P375" s="53">
        <v>3</v>
      </c>
      <c r="Q375" s="53">
        <v>3</v>
      </c>
    </row>
    <row r="376" spans="1:17" x14ac:dyDescent="0.2">
      <c r="A376" s="83">
        <v>98597</v>
      </c>
      <c r="B376" s="15" t="s">
        <v>10</v>
      </c>
      <c r="C376" s="53">
        <v>206</v>
      </c>
      <c r="D376" s="53">
        <v>218</v>
      </c>
      <c r="E376" s="53">
        <v>196</v>
      </c>
      <c r="M376" s="83">
        <v>98940</v>
      </c>
      <c r="N376" s="15" t="s">
        <v>10</v>
      </c>
      <c r="O376" s="53">
        <v>2</v>
      </c>
      <c r="P376" s="53">
        <v>5</v>
      </c>
      <c r="Q376" s="53">
        <v>2</v>
      </c>
    </row>
    <row r="377" spans="1:17" x14ac:dyDescent="0.2">
      <c r="A377" s="83">
        <v>98922</v>
      </c>
      <c r="B377" s="15" t="s">
        <v>345</v>
      </c>
      <c r="C377" s="53">
        <v>3</v>
      </c>
      <c r="D377" s="53">
        <v>4</v>
      </c>
      <c r="E377" s="53">
        <v>3</v>
      </c>
      <c r="M377" s="83">
        <v>98941</v>
      </c>
      <c r="N377" s="15" t="s">
        <v>345</v>
      </c>
      <c r="O377" s="53">
        <v>0</v>
      </c>
      <c r="P377" s="53">
        <v>2</v>
      </c>
      <c r="Q377" s="53">
        <v>0</v>
      </c>
    </row>
    <row r="378" spans="1:17" x14ac:dyDescent="0.2">
      <c r="A378" s="83">
        <v>98922</v>
      </c>
      <c r="B378" s="15" t="s">
        <v>10</v>
      </c>
      <c r="C378" s="53">
        <v>41</v>
      </c>
      <c r="D378" s="53">
        <v>44</v>
      </c>
      <c r="E378" s="53">
        <v>33</v>
      </c>
      <c r="M378" s="83">
        <v>98941</v>
      </c>
      <c r="N378" s="15" t="s">
        <v>10</v>
      </c>
      <c r="O378" s="53">
        <v>4</v>
      </c>
      <c r="P378" s="53">
        <v>6</v>
      </c>
      <c r="Q378" s="53">
        <v>2</v>
      </c>
    </row>
    <row r="379" spans="1:17" x14ac:dyDescent="0.2">
      <c r="A379" s="83">
        <v>98925</v>
      </c>
      <c r="B379" s="15" t="s">
        <v>10</v>
      </c>
      <c r="C379" s="53">
        <v>2</v>
      </c>
      <c r="D379" s="53">
        <v>3</v>
      </c>
      <c r="E379" s="53">
        <v>7</v>
      </c>
      <c r="M379" s="83">
        <v>98943</v>
      </c>
      <c r="N379" s="15" t="s">
        <v>10</v>
      </c>
      <c r="O379" s="53">
        <v>1</v>
      </c>
      <c r="P379" s="53">
        <v>0</v>
      </c>
      <c r="Q379" s="53">
        <v>0</v>
      </c>
    </row>
    <row r="380" spans="1:17" x14ac:dyDescent="0.2">
      <c r="A380" s="83">
        <v>98926</v>
      </c>
      <c r="B380" s="15" t="s">
        <v>345</v>
      </c>
      <c r="C380" s="53">
        <v>5</v>
      </c>
      <c r="D380" s="53">
        <v>2</v>
      </c>
      <c r="E380" s="53">
        <v>4</v>
      </c>
      <c r="M380" s="83">
        <v>98946</v>
      </c>
      <c r="N380" s="15" t="s">
        <v>345</v>
      </c>
      <c r="O380" s="53">
        <v>0</v>
      </c>
      <c r="P380" s="53">
        <v>2</v>
      </c>
      <c r="Q380" s="53">
        <v>0</v>
      </c>
    </row>
    <row r="381" spans="1:17" x14ac:dyDescent="0.2">
      <c r="A381" s="83">
        <v>98926</v>
      </c>
      <c r="B381" s="15" t="s">
        <v>10</v>
      </c>
      <c r="C381" s="53">
        <v>35</v>
      </c>
      <c r="D381" s="53">
        <v>37</v>
      </c>
      <c r="E381" s="53">
        <v>33</v>
      </c>
      <c r="M381" s="83">
        <v>98946</v>
      </c>
      <c r="N381" s="15" t="s">
        <v>10</v>
      </c>
      <c r="O381" s="53">
        <v>3</v>
      </c>
      <c r="P381" s="53">
        <v>2</v>
      </c>
      <c r="Q381" s="53">
        <v>0</v>
      </c>
    </row>
    <row r="382" spans="1:17" x14ac:dyDescent="0.2">
      <c r="A382" s="83">
        <v>98934</v>
      </c>
      <c r="B382" s="15" t="s">
        <v>10</v>
      </c>
      <c r="C382" s="53">
        <v>6</v>
      </c>
      <c r="D382" s="53">
        <v>6</v>
      </c>
      <c r="E382" s="53">
        <v>7</v>
      </c>
      <c r="M382" s="83"/>
      <c r="N382" s="15" t="s">
        <v>345</v>
      </c>
      <c r="O382" s="53">
        <v>1</v>
      </c>
      <c r="P382" s="53">
        <v>1</v>
      </c>
      <c r="Q382" s="53">
        <v>1</v>
      </c>
    </row>
    <row r="383" spans="1:17" ht="16" thickBot="1" x14ac:dyDescent="0.25">
      <c r="A383" s="83">
        <v>98940</v>
      </c>
      <c r="B383" s="15" t="s">
        <v>10</v>
      </c>
      <c r="C383" s="53">
        <v>6</v>
      </c>
      <c r="D383" s="53">
        <v>6</v>
      </c>
      <c r="E383" s="53">
        <v>8</v>
      </c>
      <c r="M383" s="123"/>
      <c r="N383" s="124" t="s">
        <v>10</v>
      </c>
      <c r="O383" s="125">
        <v>7</v>
      </c>
      <c r="P383" s="125">
        <v>6</v>
      </c>
      <c r="Q383" s="125">
        <v>4</v>
      </c>
    </row>
    <row r="384" spans="1:17" x14ac:dyDescent="0.2">
      <c r="A384" s="83">
        <v>98941</v>
      </c>
      <c r="B384" s="15" t="s">
        <v>345</v>
      </c>
      <c r="C384" s="53">
        <v>2</v>
      </c>
      <c r="D384" s="53">
        <v>2</v>
      </c>
      <c r="E384" s="53">
        <v>3</v>
      </c>
      <c r="M384" s="126"/>
      <c r="N384" s="87"/>
      <c r="O384" s="87"/>
      <c r="P384" s="87"/>
      <c r="Q384" s="87"/>
    </row>
    <row r="385" spans="1:17" x14ac:dyDescent="0.2">
      <c r="A385" s="83">
        <v>98941</v>
      </c>
      <c r="B385" s="15" t="s">
        <v>10</v>
      </c>
      <c r="C385" s="53">
        <v>5</v>
      </c>
      <c r="D385" s="53">
        <v>5</v>
      </c>
      <c r="E385" s="53">
        <v>9</v>
      </c>
      <c r="M385" s="127"/>
      <c r="N385" s="3"/>
      <c r="O385" s="3"/>
      <c r="P385" s="3"/>
      <c r="Q385" s="3"/>
    </row>
    <row r="386" spans="1:17" x14ac:dyDescent="0.2">
      <c r="A386" s="83">
        <v>98943</v>
      </c>
      <c r="B386" s="15" t="s">
        <v>10</v>
      </c>
      <c r="C386" s="53">
        <v>5</v>
      </c>
      <c r="D386" s="53">
        <v>6</v>
      </c>
      <c r="E386" s="53">
        <v>4</v>
      </c>
      <c r="M386" s="127"/>
      <c r="N386" s="3"/>
      <c r="O386" s="3"/>
      <c r="P386" s="3"/>
      <c r="Q386" s="3"/>
    </row>
    <row r="387" spans="1:17" x14ac:dyDescent="0.2">
      <c r="A387" s="83">
        <v>98946</v>
      </c>
      <c r="B387" s="15" t="s">
        <v>345</v>
      </c>
      <c r="C387" s="53">
        <v>0</v>
      </c>
      <c r="D387" s="53">
        <v>0</v>
      </c>
      <c r="E387" s="53">
        <v>2</v>
      </c>
      <c r="M387" s="127"/>
      <c r="N387" s="3"/>
      <c r="O387" s="3"/>
      <c r="P387" s="3"/>
      <c r="Q387" s="3"/>
    </row>
    <row r="388" spans="1:17" x14ac:dyDescent="0.2">
      <c r="A388" s="83">
        <v>98946</v>
      </c>
      <c r="B388" s="15" t="s">
        <v>10</v>
      </c>
      <c r="C388" s="53">
        <v>3</v>
      </c>
      <c r="D388" s="53">
        <v>5</v>
      </c>
      <c r="E388" s="53">
        <v>5</v>
      </c>
      <c r="M388" s="127"/>
      <c r="N388" s="3"/>
      <c r="O388" s="3"/>
      <c r="P388" s="3"/>
      <c r="Q388" s="3"/>
    </row>
    <row r="389" spans="1:17" x14ac:dyDescent="0.2">
      <c r="A389" s="83"/>
      <c r="B389" s="15" t="s">
        <v>345</v>
      </c>
      <c r="C389" s="53">
        <v>1</v>
      </c>
      <c r="D389" s="53">
        <v>1</v>
      </c>
      <c r="E389" s="53">
        <v>1</v>
      </c>
      <c r="M389" s="127"/>
      <c r="N389" s="3"/>
      <c r="O389" s="3"/>
      <c r="P389" s="3"/>
      <c r="Q389" s="3"/>
    </row>
    <row r="390" spans="1:17" ht="16" thickBot="1" x14ac:dyDescent="0.25">
      <c r="A390" s="123"/>
      <c r="B390" s="124" t="s">
        <v>10</v>
      </c>
      <c r="C390" s="125">
        <v>1</v>
      </c>
      <c r="D390" s="125">
        <v>4</v>
      </c>
      <c r="E390" s="125">
        <v>5</v>
      </c>
      <c r="M390" s="127"/>
      <c r="N390" s="3"/>
      <c r="O390" s="3"/>
      <c r="P390" s="3"/>
      <c r="Q390" s="3"/>
    </row>
    <row r="391" spans="1:17" ht="16" thickBot="1" x14ac:dyDescent="0.25">
      <c r="A391" s="186"/>
      <c r="B391" s="187"/>
      <c r="C391" s="188">
        <f>SUMIF($B$11:$B$390,$B$12,C11:C390)</f>
        <v>12464</v>
      </c>
      <c r="D391" s="188">
        <f t="shared" ref="D391:E391" si="0">SUMIF($B$11:$B$390,$B$12,D11:D390)</f>
        <v>13298</v>
      </c>
      <c r="E391" s="188">
        <f t="shared" si="0"/>
        <v>12182</v>
      </c>
      <c r="M391" s="127"/>
      <c r="N391" s="3"/>
      <c r="O391" s="3"/>
      <c r="P391" s="3"/>
      <c r="Q391" s="3"/>
    </row>
    <row r="392" spans="1:17" x14ac:dyDescent="0.2">
      <c r="A392" s="127"/>
      <c r="B392" s="3"/>
      <c r="C392" s="3"/>
      <c r="D392" s="3"/>
      <c r="E392" s="3"/>
      <c r="M392" s="127"/>
      <c r="N392" s="3"/>
      <c r="O392" s="3"/>
      <c r="P392" s="3"/>
      <c r="Q392" s="3"/>
    </row>
    <row r="393" spans="1:17" x14ac:dyDescent="0.2">
      <c r="A393" s="127"/>
      <c r="B393" s="3"/>
      <c r="C393" s="3"/>
      <c r="D393" s="3"/>
      <c r="E393" s="3"/>
    </row>
    <row r="394" spans="1:17" x14ac:dyDescent="0.2">
      <c r="A394" s="127"/>
      <c r="B394" s="3"/>
      <c r="C394" s="3"/>
      <c r="D394" s="3"/>
      <c r="E394" s="3"/>
    </row>
    <row r="395" spans="1:17" x14ac:dyDescent="0.2">
      <c r="A395" s="127"/>
      <c r="B395" s="3"/>
      <c r="C395" s="3"/>
      <c r="D395" s="3"/>
      <c r="E395" s="3"/>
    </row>
    <row r="396" spans="1:17" x14ac:dyDescent="0.2">
      <c r="A396" s="127"/>
      <c r="B396" s="3"/>
      <c r="C396" s="3"/>
      <c r="D396" s="3"/>
      <c r="E396" s="3"/>
    </row>
    <row r="397" spans="1:17" x14ac:dyDescent="0.2">
      <c r="A397" s="127"/>
      <c r="B397" s="3"/>
      <c r="C397" s="3"/>
      <c r="D397" s="3"/>
      <c r="E397" s="3"/>
    </row>
    <row r="398" spans="1:17" x14ac:dyDescent="0.2">
      <c r="A398" s="127"/>
      <c r="B398" s="3"/>
      <c r="C398" s="3"/>
      <c r="D398" s="3"/>
      <c r="E398" s="3"/>
    </row>
    <row r="399" spans="1:17" x14ac:dyDescent="0.2">
      <c r="A399" s="127"/>
      <c r="B399" s="3"/>
      <c r="C399" s="3"/>
      <c r="D399" s="3"/>
      <c r="E399"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40" t="s">
        <v>0</v>
      </c>
      <c r="B1" s="141"/>
      <c r="C1" s="141"/>
      <c r="D1" s="141"/>
      <c r="E1" s="141"/>
      <c r="F1" s="141"/>
      <c r="G1" s="141"/>
      <c r="H1" s="141"/>
      <c r="I1" s="14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46" t="s">
        <v>86</v>
      </c>
      <c r="B11" s="146"/>
      <c r="C11" s="143" t="s">
        <v>14</v>
      </c>
      <c r="D11" s="144"/>
      <c r="E11" s="145"/>
      <c r="G11" s="156" t="s">
        <v>15</v>
      </c>
      <c r="H11" s="156"/>
      <c r="I11" s="156"/>
      <c r="J11" s="156"/>
      <c r="K11" s="156"/>
      <c r="M11" s="156" t="s">
        <v>16</v>
      </c>
      <c r="N11" s="156"/>
      <c r="O11" s="156"/>
      <c r="P11" s="156"/>
      <c r="Q11" s="156"/>
      <c r="S11" s="156" t="s">
        <v>17</v>
      </c>
      <c r="T11" s="156"/>
      <c r="U11" s="156"/>
      <c r="V11" s="156"/>
      <c r="W11" s="156"/>
    </row>
    <row r="12" spans="1:23" ht="16" thickBot="1" x14ac:dyDescent="0.25">
      <c r="A12" s="18" t="s">
        <v>8</v>
      </c>
      <c r="B12" s="18" t="s">
        <v>9</v>
      </c>
      <c r="C12" s="12">
        <v>44743</v>
      </c>
      <c r="D12" s="12">
        <v>44774</v>
      </c>
      <c r="E12" s="12">
        <v>44805</v>
      </c>
      <c r="G12" s="19" t="s">
        <v>8</v>
      </c>
      <c r="H12" s="19" t="s">
        <v>9</v>
      </c>
      <c r="I12" s="12">
        <v>44743</v>
      </c>
      <c r="J12" s="12">
        <v>44774</v>
      </c>
      <c r="K12" s="12">
        <v>44805</v>
      </c>
      <c r="M12" s="19" t="s">
        <v>8</v>
      </c>
      <c r="N12" s="19" t="s">
        <v>9</v>
      </c>
      <c r="O12" s="12">
        <v>44743</v>
      </c>
      <c r="P12" s="12">
        <v>44774</v>
      </c>
      <c r="Q12" s="12">
        <v>44805</v>
      </c>
      <c r="S12" s="19" t="s">
        <v>8</v>
      </c>
      <c r="T12" s="19" t="s">
        <v>9</v>
      </c>
      <c r="U12" s="12">
        <v>44743</v>
      </c>
      <c r="V12" s="12">
        <v>44774</v>
      </c>
      <c r="W12" s="12">
        <v>44805</v>
      </c>
    </row>
    <row r="13" spans="1:23" ht="16" thickBot="1" x14ac:dyDescent="0.25">
      <c r="A13" s="99">
        <v>98110</v>
      </c>
      <c r="B13" s="99" t="s">
        <v>10</v>
      </c>
      <c r="C13" s="97">
        <v>1</v>
      </c>
      <c r="D13" s="97">
        <v>1</v>
      </c>
      <c r="E13" s="97">
        <v>1</v>
      </c>
      <c r="G13" s="121">
        <v>98233</v>
      </c>
      <c r="H13" s="121" t="s">
        <v>10</v>
      </c>
      <c r="I13" s="118"/>
      <c r="J13" s="118">
        <v>1</v>
      </c>
      <c r="K13" s="118"/>
      <c r="M13" s="85">
        <v>98366</v>
      </c>
      <c r="N13" s="54" t="s">
        <v>10</v>
      </c>
      <c r="O13" s="122">
        <v>1</v>
      </c>
      <c r="P13" s="122"/>
      <c r="Q13" s="122"/>
      <c r="S13" s="158" t="s">
        <v>352</v>
      </c>
      <c r="T13" s="159"/>
      <c r="U13" s="159"/>
      <c r="V13" s="159"/>
      <c r="W13" s="160"/>
    </row>
    <row r="14" spans="1:23" x14ac:dyDescent="0.2">
      <c r="A14" s="112">
        <v>98233</v>
      </c>
      <c r="B14" s="112" t="s">
        <v>10</v>
      </c>
      <c r="C14" s="113">
        <v>1</v>
      </c>
      <c r="D14" s="113"/>
      <c r="E14" s="113"/>
      <c r="G14" s="116"/>
      <c r="H14" s="116"/>
      <c r="I14" s="116"/>
      <c r="J14" s="116"/>
      <c r="K14" s="116"/>
      <c r="M14" s="119"/>
      <c r="N14" s="37"/>
      <c r="O14" s="43"/>
      <c r="P14" s="43"/>
      <c r="Q14" s="43"/>
      <c r="S14" s="161"/>
      <c r="T14" s="162"/>
      <c r="U14" s="162"/>
      <c r="V14" s="162"/>
      <c r="W14" s="163"/>
    </row>
    <row r="15" spans="1:23" ht="16" thickBot="1" x14ac:dyDescent="0.25">
      <c r="A15" s="115">
        <v>98310</v>
      </c>
      <c r="B15" s="115" t="s">
        <v>10</v>
      </c>
      <c r="C15" s="114">
        <v>1</v>
      </c>
      <c r="D15" s="114"/>
      <c r="E15" s="114"/>
      <c r="G15" s="117"/>
      <c r="H15" s="117"/>
      <c r="I15" s="117"/>
      <c r="J15" s="117"/>
      <c r="K15" s="117"/>
      <c r="M15" s="120"/>
      <c r="N15" s="39"/>
      <c r="O15" s="44"/>
      <c r="P15" s="44"/>
      <c r="Q15" s="44"/>
      <c r="S15" s="164"/>
      <c r="T15" s="165"/>
      <c r="U15" s="165"/>
      <c r="V15" s="165"/>
      <c r="W15" s="166"/>
    </row>
  </sheetData>
  <mergeCells count="7">
    <mergeCell ref="S13:W15"/>
    <mergeCell ref="A1:I1"/>
    <mergeCell ref="A11:B11"/>
    <mergeCell ref="C11:E11"/>
    <mergeCell ref="G11:K11"/>
    <mergeCell ref="M11:Q11"/>
    <mergeCell ref="S11:W1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48"/>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40" t="s">
        <v>0</v>
      </c>
      <c r="B1" s="141"/>
      <c r="C1" s="141"/>
      <c r="D1" s="141"/>
      <c r="E1" s="141"/>
      <c r="F1" s="141"/>
      <c r="G1" s="141"/>
      <c r="H1" s="141"/>
      <c r="I1" s="142"/>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9" t="s">
        <v>48</v>
      </c>
    </row>
    <row r="10" spans="1:23" x14ac:dyDescent="0.2">
      <c r="A10" s="3">
        <v>9</v>
      </c>
      <c r="B10" s="6" t="s">
        <v>5</v>
      </c>
    </row>
    <row r="11" spans="1:23" ht="16" thickBot="1" x14ac:dyDescent="0.25"/>
    <row r="12" spans="1:23" ht="30" customHeight="1" thickBot="1" x14ac:dyDescent="0.25">
      <c r="A12" s="146" t="s">
        <v>89</v>
      </c>
      <c r="B12" s="146"/>
      <c r="C12" s="143" t="s">
        <v>49</v>
      </c>
      <c r="D12" s="144"/>
      <c r="E12" s="145"/>
      <c r="G12" s="143" t="s">
        <v>50</v>
      </c>
      <c r="H12" s="144"/>
      <c r="I12" s="144"/>
      <c r="J12" s="144"/>
      <c r="K12" s="145"/>
      <c r="M12" s="143" t="s">
        <v>52</v>
      </c>
      <c r="N12" s="144"/>
      <c r="O12" s="144"/>
      <c r="P12" s="144"/>
      <c r="Q12" s="145"/>
      <c r="S12" s="143" t="s">
        <v>53</v>
      </c>
      <c r="T12" s="144"/>
      <c r="U12" s="144"/>
      <c r="V12" s="144"/>
      <c r="W12" s="145"/>
    </row>
    <row r="13" spans="1:23" ht="16" thickBot="1" x14ac:dyDescent="0.25">
      <c r="A13" s="34" t="s">
        <v>8</v>
      </c>
      <c r="B13" s="7" t="s">
        <v>9</v>
      </c>
      <c r="C13" s="76">
        <v>44743</v>
      </c>
      <c r="D13" s="76">
        <v>44774</v>
      </c>
      <c r="E13" s="76">
        <v>44805</v>
      </c>
      <c r="G13" s="34" t="s">
        <v>8</v>
      </c>
      <c r="H13" s="7" t="s">
        <v>9</v>
      </c>
      <c r="I13" s="76">
        <v>44743</v>
      </c>
      <c r="J13" s="76">
        <v>44774</v>
      </c>
      <c r="K13" s="76">
        <v>44805</v>
      </c>
      <c r="M13" s="34" t="s">
        <v>8</v>
      </c>
      <c r="N13" s="7" t="s">
        <v>9</v>
      </c>
      <c r="O13" s="76">
        <v>44743</v>
      </c>
      <c r="P13" s="76">
        <v>44774</v>
      </c>
      <c r="Q13" s="76">
        <v>44805</v>
      </c>
      <c r="S13" s="34" t="s">
        <v>8</v>
      </c>
      <c r="T13" s="7" t="s">
        <v>9</v>
      </c>
      <c r="U13" s="76">
        <v>44743</v>
      </c>
      <c r="V13" s="76">
        <v>44774</v>
      </c>
      <c r="W13" s="76">
        <v>44805</v>
      </c>
    </row>
    <row r="14" spans="1:23" x14ac:dyDescent="0.2">
      <c r="A14" s="57">
        <v>98001</v>
      </c>
      <c r="B14" s="63" t="s">
        <v>345</v>
      </c>
      <c r="C14" s="45">
        <v>6</v>
      </c>
      <c r="D14" s="45">
        <v>6</v>
      </c>
      <c r="E14" s="45">
        <v>6</v>
      </c>
      <c r="G14" s="150" t="s">
        <v>51</v>
      </c>
      <c r="H14" s="151"/>
      <c r="I14" s="151"/>
      <c r="J14" s="151"/>
      <c r="K14" s="152"/>
      <c r="M14" s="80">
        <v>98001</v>
      </c>
      <c r="N14" s="63" t="s">
        <v>345</v>
      </c>
      <c r="O14" s="35">
        <v>14</v>
      </c>
      <c r="P14" s="35">
        <v>17</v>
      </c>
      <c r="Q14" s="35">
        <v>10</v>
      </c>
      <c r="S14" s="91">
        <v>98001</v>
      </c>
      <c r="T14" s="92" t="s">
        <v>345</v>
      </c>
      <c r="U14" s="93">
        <v>0</v>
      </c>
      <c r="V14" s="93">
        <v>0</v>
      </c>
      <c r="W14" s="94">
        <v>1</v>
      </c>
    </row>
    <row r="15" spans="1:23" ht="16" thickBot="1" x14ac:dyDescent="0.25">
      <c r="A15" s="58">
        <v>98001</v>
      </c>
      <c r="B15" s="62" t="s">
        <v>10</v>
      </c>
      <c r="C15" s="46">
        <v>138</v>
      </c>
      <c r="D15" s="46">
        <v>130</v>
      </c>
      <c r="E15" s="46">
        <v>116</v>
      </c>
      <c r="G15" s="153"/>
      <c r="H15" s="154"/>
      <c r="I15" s="154"/>
      <c r="J15" s="154"/>
      <c r="K15" s="155"/>
      <c r="M15" s="56">
        <v>98001</v>
      </c>
      <c r="N15" s="62" t="s">
        <v>10</v>
      </c>
      <c r="O15" s="36">
        <v>107</v>
      </c>
      <c r="P15" s="36">
        <v>149</v>
      </c>
      <c r="Q15" s="36">
        <v>148</v>
      </c>
      <c r="S15" s="56">
        <v>98001</v>
      </c>
      <c r="T15" s="62" t="s">
        <v>10</v>
      </c>
      <c r="U15" s="36">
        <v>10</v>
      </c>
      <c r="V15" s="36">
        <v>14</v>
      </c>
      <c r="W15" s="36">
        <v>14</v>
      </c>
    </row>
    <row r="16" spans="1:23" x14ac:dyDescent="0.2">
      <c r="A16" s="59">
        <v>98002</v>
      </c>
      <c r="B16" s="62" t="s">
        <v>345</v>
      </c>
      <c r="C16" s="46">
        <v>9</v>
      </c>
      <c r="D16" s="46">
        <v>8</v>
      </c>
      <c r="E16" s="46">
        <v>8</v>
      </c>
      <c r="M16" s="81">
        <v>98002</v>
      </c>
      <c r="N16" s="62" t="s">
        <v>345</v>
      </c>
      <c r="O16" s="36">
        <v>16</v>
      </c>
      <c r="P16" s="36">
        <v>13</v>
      </c>
      <c r="Q16" s="36">
        <v>18</v>
      </c>
      <c r="S16" s="81">
        <v>98002</v>
      </c>
      <c r="T16" s="62" t="s">
        <v>345</v>
      </c>
      <c r="U16" s="33">
        <v>1</v>
      </c>
      <c r="V16" s="33">
        <v>0</v>
      </c>
      <c r="W16" s="36">
        <v>1</v>
      </c>
    </row>
    <row r="17" spans="1:23" x14ac:dyDescent="0.2">
      <c r="A17" s="58">
        <v>98002</v>
      </c>
      <c r="B17" s="62" t="s">
        <v>10</v>
      </c>
      <c r="C17" s="46">
        <v>152</v>
      </c>
      <c r="D17" s="46">
        <v>144</v>
      </c>
      <c r="E17" s="46">
        <v>130</v>
      </c>
      <c r="M17" s="56">
        <v>98002</v>
      </c>
      <c r="N17" s="62" t="s">
        <v>10</v>
      </c>
      <c r="O17" s="36">
        <v>183</v>
      </c>
      <c r="P17" s="36">
        <v>188</v>
      </c>
      <c r="Q17" s="36">
        <v>207</v>
      </c>
      <c r="S17" s="56">
        <v>98002</v>
      </c>
      <c r="T17" s="62" t="s">
        <v>10</v>
      </c>
      <c r="U17" s="36">
        <v>7</v>
      </c>
      <c r="V17" s="36">
        <v>12</v>
      </c>
      <c r="W17" s="36">
        <v>12</v>
      </c>
    </row>
    <row r="18" spans="1:23" x14ac:dyDescent="0.2">
      <c r="A18" s="59">
        <v>98003</v>
      </c>
      <c r="B18" s="62" t="s">
        <v>345</v>
      </c>
      <c r="C18" s="46">
        <v>6</v>
      </c>
      <c r="D18" s="46">
        <v>6</v>
      </c>
      <c r="E18" s="46">
        <v>6</v>
      </c>
      <c r="M18" s="81">
        <v>98003</v>
      </c>
      <c r="N18" s="62" t="s">
        <v>345</v>
      </c>
      <c r="O18" s="36">
        <v>41</v>
      </c>
      <c r="P18" s="36">
        <v>22</v>
      </c>
      <c r="Q18" s="36">
        <v>18</v>
      </c>
      <c r="S18" s="81">
        <v>98003</v>
      </c>
      <c r="T18" s="62" t="s">
        <v>345</v>
      </c>
      <c r="U18" s="33">
        <v>1</v>
      </c>
      <c r="V18" s="36">
        <v>0</v>
      </c>
      <c r="W18" s="33">
        <v>1</v>
      </c>
    </row>
    <row r="19" spans="1:23" x14ac:dyDescent="0.2">
      <c r="A19" s="58">
        <v>98003</v>
      </c>
      <c r="B19" s="62" t="s">
        <v>10</v>
      </c>
      <c r="C19" s="46">
        <v>201</v>
      </c>
      <c r="D19" s="46">
        <v>191</v>
      </c>
      <c r="E19" s="46">
        <v>172</v>
      </c>
      <c r="M19" s="56">
        <v>98003</v>
      </c>
      <c r="N19" s="62" t="s">
        <v>10</v>
      </c>
      <c r="O19" s="36">
        <v>214</v>
      </c>
      <c r="P19" s="36">
        <v>240</v>
      </c>
      <c r="Q19" s="36">
        <v>269</v>
      </c>
      <c r="S19" s="56">
        <v>98003</v>
      </c>
      <c r="T19" s="62" t="s">
        <v>10</v>
      </c>
      <c r="U19" s="36">
        <v>10</v>
      </c>
      <c r="V19" s="36">
        <v>19</v>
      </c>
      <c r="W19" s="36">
        <v>29</v>
      </c>
    </row>
    <row r="20" spans="1:23" x14ac:dyDescent="0.2">
      <c r="A20" s="59">
        <v>98004</v>
      </c>
      <c r="B20" s="62" t="s">
        <v>345</v>
      </c>
      <c r="C20" s="46">
        <v>1</v>
      </c>
      <c r="D20" s="46">
        <v>1</v>
      </c>
      <c r="E20" s="46">
        <v>1</v>
      </c>
      <c r="M20" s="81">
        <v>98004</v>
      </c>
      <c r="N20" s="62" t="s">
        <v>345</v>
      </c>
      <c r="O20" s="36">
        <v>12</v>
      </c>
      <c r="P20" s="36">
        <v>20</v>
      </c>
      <c r="Q20" s="36">
        <v>17</v>
      </c>
      <c r="S20" s="81">
        <v>98004</v>
      </c>
      <c r="T20" s="62" t="s">
        <v>10</v>
      </c>
      <c r="U20" s="33">
        <v>2</v>
      </c>
      <c r="V20" s="36">
        <v>7</v>
      </c>
      <c r="W20" s="33">
        <v>5</v>
      </c>
    </row>
    <row r="21" spans="1:23" x14ac:dyDescent="0.2">
      <c r="A21" s="58">
        <v>98004</v>
      </c>
      <c r="B21" s="62" t="s">
        <v>10</v>
      </c>
      <c r="C21" s="46">
        <v>50</v>
      </c>
      <c r="D21" s="46">
        <v>48</v>
      </c>
      <c r="E21" s="46">
        <v>41</v>
      </c>
      <c r="M21" s="56">
        <v>98004</v>
      </c>
      <c r="N21" s="62" t="s">
        <v>10</v>
      </c>
      <c r="O21" s="36">
        <v>382</v>
      </c>
      <c r="P21" s="36">
        <v>416</v>
      </c>
      <c r="Q21" s="36">
        <v>354</v>
      </c>
      <c r="S21" s="56">
        <v>98005</v>
      </c>
      <c r="T21" s="62" t="s">
        <v>10</v>
      </c>
      <c r="U21" s="36">
        <v>3</v>
      </c>
      <c r="V21" s="36">
        <v>1</v>
      </c>
      <c r="W21" s="36">
        <v>2</v>
      </c>
    </row>
    <row r="22" spans="1:23" x14ac:dyDescent="0.2">
      <c r="A22" s="59">
        <v>98005</v>
      </c>
      <c r="B22" s="62" t="s">
        <v>345</v>
      </c>
      <c r="C22" s="46">
        <v>1</v>
      </c>
      <c r="D22" s="46">
        <v>1</v>
      </c>
      <c r="E22" s="46">
        <v>1</v>
      </c>
      <c r="M22" s="81">
        <v>98005</v>
      </c>
      <c r="N22" s="62" t="s">
        <v>345</v>
      </c>
      <c r="O22" s="36">
        <v>13</v>
      </c>
      <c r="P22" s="36">
        <v>19</v>
      </c>
      <c r="Q22" s="36">
        <v>16</v>
      </c>
      <c r="S22" s="81">
        <v>98006</v>
      </c>
      <c r="T22" s="62" t="s">
        <v>345</v>
      </c>
      <c r="U22" s="36">
        <v>0</v>
      </c>
      <c r="V22" s="33">
        <v>1</v>
      </c>
      <c r="W22" s="33">
        <v>0</v>
      </c>
    </row>
    <row r="23" spans="1:23" x14ac:dyDescent="0.2">
      <c r="A23" s="58">
        <v>98005</v>
      </c>
      <c r="B23" s="62" t="s">
        <v>10</v>
      </c>
      <c r="C23" s="46">
        <v>27</v>
      </c>
      <c r="D23" s="46">
        <v>24</v>
      </c>
      <c r="E23" s="46">
        <v>22</v>
      </c>
      <c r="M23" s="56">
        <v>98005</v>
      </c>
      <c r="N23" s="62" t="s">
        <v>10</v>
      </c>
      <c r="O23" s="36">
        <v>127</v>
      </c>
      <c r="P23" s="36">
        <v>164</v>
      </c>
      <c r="Q23" s="36">
        <v>141</v>
      </c>
      <c r="S23" s="56">
        <v>98006</v>
      </c>
      <c r="T23" s="62" t="s">
        <v>10</v>
      </c>
      <c r="U23" s="36">
        <v>3</v>
      </c>
      <c r="V23" s="36">
        <v>5</v>
      </c>
      <c r="W23" s="36">
        <v>3</v>
      </c>
    </row>
    <row r="24" spans="1:23" x14ac:dyDescent="0.2">
      <c r="A24" s="59">
        <v>98006</v>
      </c>
      <c r="B24" s="62" t="s">
        <v>345</v>
      </c>
      <c r="C24" s="46">
        <v>3</v>
      </c>
      <c r="D24" s="46">
        <v>3</v>
      </c>
      <c r="E24" s="46">
        <v>3</v>
      </c>
      <c r="M24" s="81">
        <v>98006</v>
      </c>
      <c r="N24" s="62" t="s">
        <v>345</v>
      </c>
      <c r="O24" s="36">
        <v>41</v>
      </c>
      <c r="P24" s="36">
        <v>18</v>
      </c>
      <c r="Q24" s="36">
        <v>8</v>
      </c>
      <c r="S24" s="81">
        <v>98007</v>
      </c>
      <c r="T24" s="62" t="s">
        <v>345</v>
      </c>
      <c r="U24" s="36">
        <v>0</v>
      </c>
      <c r="V24" s="33">
        <v>1</v>
      </c>
      <c r="W24" s="36">
        <v>0</v>
      </c>
    </row>
    <row r="25" spans="1:23" x14ac:dyDescent="0.2">
      <c r="A25" s="58">
        <v>98006</v>
      </c>
      <c r="B25" s="62" t="s">
        <v>10</v>
      </c>
      <c r="C25" s="46">
        <v>58</v>
      </c>
      <c r="D25" s="46">
        <v>54</v>
      </c>
      <c r="E25" s="46">
        <v>49</v>
      </c>
      <c r="M25" s="56">
        <v>98006</v>
      </c>
      <c r="N25" s="62" t="s">
        <v>10</v>
      </c>
      <c r="O25" s="36">
        <v>144</v>
      </c>
      <c r="P25" s="36">
        <v>163</v>
      </c>
      <c r="Q25" s="36">
        <v>114</v>
      </c>
      <c r="S25" s="56">
        <v>98007</v>
      </c>
      <c r="T25" s="62" t="s">
        <v>10</v>
      </c>
      <c r="U25" s="36">
        <v>4</v>
      </c>
      <c r="V25" s="36">
        <v>2</v>
      </c>
      <c r="W25" s="36">
        <v>5</v>
      </c>
    </row>
    <row r="26" spans="1:23" x14ac:dyDescent="0.2">
      <c r="A26" s="59">
        <v>98007</v>
      </c>
      <c r="B26" s="62" t="s">
        <v>345</v>
      </c>
      <c r="C26" s="46">
        <v>2</v>
      </c>
      <c r="D26" s="46">
        <v>2</v>
      </c>
      <c r="E26" s="46">
        <v>2</v>
      </c>
      <c r="M26" s="81">
        <v>98007</v>
      </c>
      <c r="N26" s="62" t="s">
        <v>345</v>
      </c>
      <c r="O26" s="36">
        <v>5</v>
      </c>
      <c r="P26" s="36">
        <v>14</v>
      </c>
      <c r="Q26" s="36">
        <v>8</v>
      </c>
      <c r="S26" s="81">
        <v>98008</v>
      </c>
      <c r="T26" s="62" t="s">
        <v>10</v>
      </c>
      <c r="U26" s="33">
        <v>0</v>
      </c>
      <c r="V26" s="36">
        <v>1</v>
      </c>
      <c r="W26" s="33">
        <v>4</v>
      </c>
    </row>
    <row r="27" spans="1:23" x14ac:dyDescent="0.2">
      <c r="A27" s="58">
        <v>98007</v>
      </c>
      <c r="B27" s="62" t="s">
        <v>10</v>
      </c>
      <c r="C27" s="46">
        <v>42</v>
      </c>
      <c r="D27" s="46">
        <v>34</v>
      </c>
      <c r="E27" s="46">
        <v>31</v>
      </c>
      <c r="M27" s="56">
        <v>98007</v>
      </c>
      <c r="N27" s="62" t="s">
        <v>10</v>
      </c>
      <c r="O27" s="36">
        <v>251</v>
      </c>
      <c r="P27" s="36">
        <v>256</v>
      </c>
      <c r="Q27" s="36">
        <v>203</v>
      </c>
      <c r="S27" s="56">
        <v>98010</v>
      </c>
      <c r="T27" s="62" t="s">
        <v>10</v>
      </c>
      <c r="U27" s="36">
        <v>1</v>
      </c>
      <c r="V27" s="36">
        <v>1</v>
      </c>
      <c r="W27" s="36">
        <v>0</v>
      </c>
    </row>
    <row r="28" spans="1:23" x14ac:dyDescent="0.2">
      <c r="A28" s="59">
        <v>98008</v>
      </c>
      <c r="B28" s="62" t="s">
        <v>345</v>
      </c>
      <c r="C28" s="46">
        <v>1</v>
      </c>
      <c r="D28" s="46">
        <v>1</v>
      </c>
      <c r="E28" s="46">
        <v>1</v>
      </c>
      <c r="M28" s="81">
        <v>98008</v>
      </c>
      <c r="N28" s="62" t="s">
        <v>345</v>
      </c>
      <c r="O28" s="36">
        <v>5</v>
      </c>
      <c r="P28" s="36">
        <v>3</v>
      </c>
      <c r="Q28" s="36">
        <v>3</v>
      </c>
      <c r="S28" s="81">
        <v>98011</v>
      </c>
      <c r="T28" s="62" t="s">
        <v>345</v>
      </c>
      <c r="U28" s="33">
        <v>0</v>
      </c>
      <c r="V28" s="36">
        <v>0</v>
      </c>
      <c r="W28" s="33">
        <v>1</v>
      </c>
    </row>
    <row r="29" spans="1:23" x14ac:dyDescent="0.2">
      <c r="A29" s="58">
        <v>98008</v>
      </c>
      <c r="B29" s="62" t="s">
        <v>10</v>
      </c>
      <c r="C29" s="46">
        <v>28</v>
      </c>
      <c r="D29" s="46">
        <v>28</v>
      </c>
      <c r="E29" s="46">
        <v>26</v>
      </c>
      <c r="M29" s="56">
        <v>98008</v>
      </c>
      <c r="N29" s="62" t="s">
        <v>10</v>
      </c>
      <c r="O29" s="36">
        <v>92</v>
      </c>
      <c r="P29" s="36">
        <v>103</v>
      </c>
      <c r="Q29" s="36">
        <v>80</v>
      </c>
      <c r="S29" s="56">
        <v>98011</v>
      </c>
      <c r="T29" s="62" t="s">
        <v>10</v>
      </c>
      <c r="U29" s="36">
        <v>6</v>
      </c>
      <c r="V29" s="36">
        <v>2</v>
      </c>
      <c r="W29" s="36">
        <v>9</v>
      </c>
    </row>
    <row r="30" spans="1:23" x14ac:dyDescent="0.2">
      <c r="A30" s="59">
        <v>98010</v>
      </c>
      <c r="B30" s="62" t="s">
        <v>345</v>
      </c>
      <c r="C30" s="46">
        <v>1</v>
      </c>
      <c r="D30" s="46">
        <v>1</v>
      </c>
      <c r="E30" s="46">
        <v>1</v>
      </c>
      <c r="M30" s="81">
        <v>98010</v>
      </c>
      <c r="N30" s="62" t="s">
        <v>345</v>
      </c>
      <c r="O30" s="36">
        <v>6</v>
      </c>
      <c r="P30" s="36">
        <v>15</v>
      </c>
      <c r="Q30" s="36">
        <v>9</v>
      </c>
      <c r="S30" s="81">
        <v>98012</v>
      </c>
      <c r="T30" s="62" t="s">
        <v>10</v>
      </c>
      <c r="U30" s="36">
        <v>2</v>
      </c>
      <c r="V30" s="33">
        <v>4</v>
      </c>
      <c r="W30" s="36">
        <v>3</v>
      </c>
    </row>
    <row r="31" spans="1:23" x14ac:dyDescent="0.2">
      <c r="A31" s="58">
        <v>98010</v>
      </c>
      <c r="B31" s="62" t="s">
        <v>10</v>
      </c>
      <c r="C31" s="46">
        <v>18</v>
      </c>
      <c r="D31" s="46">
        <v>17</v>
      </c>
      <c r="E31" s="46">
        <v>16</v>
      </c>
      <c r="M31" s="56">
        <v>98010</v>
      </c>
      <c r="N31" s="62" t="s">
        <v>10</v>
      </c>
      <c r="O31" s="36">
        <v>58</v>
      </c>
      <c r="P31" s="36">
        <v>51</v>
      </c>
      <c r="Q31" s="36">
        <v>64</v>
      </c>
      <c r="S31" s="81">
        <v>98014</v>
      </c>
      <c r="T31" s="62" t="s">
        <v>10</v>
      </c>
      <c r="U31" s="36">
        <v>1</v>
      </c>
      <c r="V31" s="36">
        <v>0</v>
      </c>
      <c r="W31" s="36">
        <v>3</v>
      </c>
    </row>
    <row r="32" spans="1:23" x14ac:dyDescent="0.2">
      <c r="A32" s="59">
        <v>98011</v>
      </c>
      <c r="B32" s="62" t="s">
        <v>345</v>
      </c>
      <c r="C32" s="46">
        <v>3</v>
      </c>
      <c r="D32" s="46">
        <v>3</v>
      </c>
      <c r="E32" s="46">
        <v>3</v>
      </c>
      <c r="M32" s="81">
        <v>98011</v>
      </c>
      <c r="N32" s="62" t="s">
        <v>345</v>
      </c>
      <c r="O32" s="36">
        <v>7</v>
      </c>
      <c r="P32" s="36">
        <v>14</v>
      </c>
      <c r="Q32" s="36">
        <v>5</v>
      </c>
      <c r="S32" s="81">
        <v>98019</v>
      </c>
      <c r="T32" s="62" t="s">
        <v>10</v>
      </c>
      <c r="U32" s="36">
        <v>2</v>
      </c>
      <c r="V32" s="36">
        <v>4</v>
      </c>
      <c r="W32" s="36">
        <v>4</v>
      </c>
    </row>
    <row r="33" spans="1:23" x14ac:dyDescent="0.2">
      <c r="A33" s="58">
        <v>98011</v>
      </c>
      <c r="B33" s="62" t="s">
        <v>10</v>
      </c>
      <c r="C33" s="46">
        <v>47</v>
      </c>
      <c r="D33" s="46">
        <v>41</v>
      </c>
      <c r="E33" s="46">
        <v>39</v>
      </c>
      <c r="M33" s="56">
        <v>98011</v>
      </c>
      <c r="N33" s="62" t="s">
        <v>10</v>
      </c>
      <c r="O33" s="36">
        <v>142</v>
      </c>
      <c r="P33" s="36">
        <v>176</v>
      </c>
      <c r="Q33" s="36">
        <v>148</v>
      </c>
      <c r="S33" s="81">
        <v>98020</v>
      </c>
      <c r="T33" s="62" t="s">
        <v>10</v>
      </c>
      <c r="U33" s="36">
        <v>0</v>
      </c>
      <c r="V33" s="36">
        <v>0</v>
      </c>
      <c r="W33" s="36">
        <v>1</v>
      </c>
    </row>
    <row r="34" spans="1:23" x14ac:dyDescent="0.2">
      <c r="A34" s="59">
        <v>98012</v>
      </c>
      <c r="B34" s="62" t="s">
        <v>10</v>
      </c>
      <c r="C34" s="46">
        <v>36</v>
      </c>
      <c r="D34" s="46">
        <v>35</v>
      </c>
      <c r="E34" s="46">
        <v>30</v>
      </c>
      <c r="M34" s="81">
        <v>98012</v>
      </c>
      <c r="N34" s="62" t="s">
        <v>345</v>
      </c>
      <c r="O34" s="36">
        <v>2</v>
      </c>
      <c r="P34" s="36">
        <v>4</v>
      </c>
      <c r="Q34" s="36">
        <v>2</v>
      </c>
      <c r="S34" s="81">
        <v>98021</v>
      </c>
      <c r="T34" s="62" t="s">
        <v>10</v>
      </c>
      <c r="U34" s="36">
        <v>2</v>
      </c>
      <c r="V34" s="36">
        <v>1</v>
      </c>
      <c r="W34" s="36">
        <v>4</v>
      </c>
    </row>
    <row r="35" spans="1:23" x14ac:dyDescent="0.2">
      <c r="A35" s="58">
        <v>98014</v>
      </c>
      <c r="B35" s="62" t="s">
        <v>10</v>
      </c>
      <c r="C35" s="46">
        <v>15</v>
      </c>
      <c r="D35" s="46">
        <v>14</v>
      </c>
      <c r="E35" s="46">
        <v>14</v>
      </c>
      <c r="M35" s="56">
        <v>98012</v>
      </c>
      <c r="N35" s="62" t="s">
        <v>10</v>
      </c>
      <c r="O35" s="36">
        <v>167</v>
      </c>
      <c r="P35" s="36">
        <v>156</v>
      </c>
      <c r="Q35" s="36">
        <v>138</v>
      </c>
      <c r="S35" s="81">
        <v>98022</v>
      </c>
      <c r="T35" s="62" t="s">
        <v>10</v>
      </c>
      <c r="U35" s="33">
        <v>5</v>
      </c>
      <c r="V35" s="36">
        <v>5</v>
      </c>
      <c r="W35" s="33">
        <v>14</v>
      </c>
    </row>
    <row r="36" spans="1:23" x14ac:dyDescent="0.2">
      <c r="A36" s="59">
        <v>98019</v>
      </c>
      <c r="B36" s="62" t="s">
        <v>10</v>
      </c>
      <c r="C36" s="46">
        <v>37</v>
      </c>
      <c r="D36" s="46">
        <v>35</v>
      </c>
      <c r="E36" s="46">
        <v>30</v>
      </c>
      <c r="M36" s="81">
        <v>98014</v>
      </c>
      <c r="N36" s="62" t="s">
        <v>345</v>
      </c>
      <c r="O36" s="36">
        <v>3</v>
      </c>
      <c r="P36" s="36">
        <v>4</v>
      </c>
      <c r="Q36" s="36">
        <v>1</v>
      </c>
      <c r="S36" s="81">
        <v>98023</v>
      </c>
      <c r="T36" s="62" t="s">
        <v>345</v>
      </c>
      <c r="U36" s="36">
        <v>0</v>
      </c>
      <c r="V36" s="33">
        <v>1</v>
      </c>
      <c r="W36" s="36">
        <v>0</v>
      </c>
    </row>
    <row r="37" spans="1:23" x14ac:dyDescent="0.2">
      <c r="A37" s="59">
        <v>98020</v>
      </c>
      <c r="B37" s="62" t="s">
        <v>10</v>
      </c>
      <c r="C37" s="46">
        <v>5</v>
      </c>
      <c r="D37" s="46">
        <v>5</v>
      </c>
      <c r="E37" s="46">
        <v>5</v>
      </c>
      <c r="M37" s="56">
        <v>98014</v>
      </c>
      <c r="N37" s="62" t="s">
        <v>10</v>
      </c>
      <c r="O37" s="36">
        <v>17</v>
      </c>
      <c r="P37" s="36">
        <v>25</v>
      </c>
      <c r="Q37" s="36">
        <v>12</v>
      </c>
      <c r="S37" s="81">
        <v>98023</v>
      </c>
      <c r="T37" s="62" t="s">
        <v>10</v>
      </c>
      <c r="U37" s="36">
        <v>11</v>
      </c>
      <c r="V37" s="36">
        <v>24</v>
      </c>
      <c r="W37" s="36">
        <v>28</v>
      </c>
    </row>
    <row r="38" spans="1:23" x14ac:dyDescent="0.2">
      <c r="A38" s="59">
        <v>98021</v>
      </c>
      <c r="B38" s="62" t="s">
        <v>345</v>
      </c>
      <c r="C38" s="46">
        <v>1</v>
      </c>
      <c r="D38" s="46">
        <v>1</v>
      </c>
      <c r="E38" s="71">
        <v>1</v>
      </c>
      <c r="M38" s="81">
        <v>98019</v>
      </c>
      <c r="N38" s="62" t="s">
        <v>345</v>
      </c>
      <c r="O38" s="36">
        <v>2</v>
      </c>
      <c r="P38" s="36">
        <v>3</v>
      </c>
      <c r="Q38" s="36">
        <v>14</v>
      </c>
      <c r="S38" s="81">
        <v>98024</v>
      </c>
      <c r="T38" s="62" t="s">
        <v>10</v>
      </c>
      <c r="U38" s="36">
        <v>0</v>
      </c>
      <c r="V38" s="36">
        <v>2</v>
      </c>
      <c r="W38" s="36">
        <v>1</v>
      </c>
    </row>
    <row r="39" spans="1:23" x14ac:dyDescent="0.2">
      <c r="A39" s="58">
        <v>98021</v>
      </c>
      <c r="B39" s="62" t="s">
        <v>10</v>
      </c>
      <c r="C39" s="46">
        <v>13</v>
      </c>
      <c r="D39" s="46">
        <v>11</v>
      </c>
      <c r="E39" s="46">
        <v>10</v>
      </c>
      <c r="M39" s="56">
        <v>98019</v>
      </c>
      <c r="N39" s="62" t="s">
        <v>10</v>
      </c>
      <c r="O39" s="36">
        <v>39</v>
      </c>
      <c r="P39" s="36">
        <v>25</v>
      </c>
      <c r="Q39" s="36">
        <v>47</v>
      </c>
      <c r="S39" s="81">
        <v>98026</v>
      </c>
      <c r="T39" s="62" t="s">
        <v>10</v>
      </c>
      <c r="U39" s="33">
        <v>1</v>
      </c>
      <c r="V39" s="33">
        <v>1</v>
      </c>
      <c r="W39" s="36">
        <v>1</v>
      </c>
    </row>
    <row r="40" spans="1:23" x14ac:dyDescent="0.2">
      <c r="A40" s="59">
        <v>98022</v>
      </c>
      <c r="B40" s="62" t="s">
        <v>10</v>
      </c>
      <c r="C40" s="46">
        <v>75</v>
      </c>
      <c r="D40" s="46">
        <v>71</v>
      </c>
      <c r="E40" s="46">
        <v>66</v>
      </c>
      <c r="M40" s="81">
        <v>98020</v>
      </c>
      <c r="N40" s="62" t="s">
        <v>345</v>
      </c>
      <c r="O40" s="36">
        <v>2</v>
      </c>
      <c r="P40" s="36">
        <v>1</v>
      </c>
      <c r="Q40" s="36">
        <v>0</v>
      </c>
      <c r="S40" s="81">
        <v>98027</v>
      </c>
      <c r="T40" s="62" t="s">
        <v>10</v>
      </c>
      <c r="U40" s="36">
        <v>3</v>
      </c>
      <c r="V40" s="33">
        <v>3</v>
      </c>
      <c r="W40" s="36">
        <v>5</v>
      </c>
    </row>
    <row r="41" spans="1:23" x14ac:dyDescent="0.2">
      <c r="A41" s="58">
        <v>98023</v>
      </c>
      <c r="B41" s="62" t="s">
        <v>345</v>
      </c>
      <c r="C41" s="46">
        <v>5</v>
      </c>
      <c r="D41" s="46">
        <v>5</v>
      </c>
      <c r="E41" s="46">
        <v>4</v>
      </c>
      <c r="M41" s="56">
        <v>98020</v>
      </c>
      <c r="N41" s="62" t="s">
        <v>10</v>
      </c>
      <c r="O41" s="36">
        <v>23</v>
      </c>
      <c r="P41" s="36">
        <v>20</v>
      </c>
      <c r="Q41" s="36">
        <v>16</v>
      </c>
      <c r="S41" s="81">
        <v>98028</v>
      </c>
      <c r="T41" s="62" t="s">
        <v>10</v>
      </c>
      <c r="U41" s="36">
        <v>5</v>
      </c>
      <c r="V41" s="36">
        <v>4</v>
      </c>
      <c r="W41" s="36">
        <v>4</v>
      </c>
    </row>
    <row r="42" spans="1:23" x14ac:dyDescent="0.2">
      <c r="A42" s="59">
        <v>98023</v>
      </c>
      <c r="B42" s="62" t="s">
        <v>10</v>
      </c>
      <c r="C42" s="46">
        <v>244</v>
      </c>
      <c r="D42" s="46">
        <v>233</v>
      </c>
      <c r="E42" s="46">
        <v>207</v>
      </c>
      <c r="M42" s="81">
        <v>98021</v>
      </c>
      <c r="N42" s="62" t="s">
        <v>345</v>
      </c>
      <c r="O42" s="36">
        <v>3</v>
      </c>
      <c r="P42" s="36">
        <v>1</v>
      </c>
      <c r="Q42" s="36">
        <v>0</v>
      </c>
      <c r="S42" s="81">
        <v>98029</v>
      </c>
      <c r="T42" s="62" t="s">
        <v>10</v>
      </c>
      <c r="U42" s="36">
        <v>4</v>
      </c>
      <c r="V42" s="36">
        <v>5</v>
      </c>
      <c r="W42" s="36">
        <v>5</v>
      </c>
    </row>
    <row r="43" spans="1:23" x14ac:dyDescent="0.2">
      <c r="A43" s="58">
        <v>98024</v>
      </c>
      <c r="B43" s="62" t="s">
        <v>10</v>
      </c>
      <c r="C43" s="46">
        <v>13</v>
      </c>
      <c r="D43" s="46">
        <v>13</v>
      </c>
      <c r="E43" s="46">
        <v>12</v>
      </c>
      <c r="M43" s="56">
        <v>98021</v>
      </c>
      <c r="N43" s="62" t="s">
        <v>10</v>
      </c>
      <c r="O43" s="36">
        <v>55</v>
      </c>
      <c r="P43" s="36">
        <v>84</v>
      </c>
      <c r="Q43" s="36">
        <v>56</v>
      </c>
      <c r="S43" s="81">
        <v>98030</v>
      </c>
      <c r="T43" s="62" t="s">
        <v>345</v>
      </c>
      <c r="U43" s="33">
        <v>1</v>
      </c>
      <c r="V43" s="33">
        <v>0</v>
      </c>
      <c r="W43" s="36">
        <v>0</v>
      </c>
    </row>
    <row r="44" spans="1:23" x14ac:dyDescent="0.2">
      <c r="A44" s="59">
        <v>98026</v>
      </c>
      <c r="B44" s="62" t="s">
        <v>10</v>
      </c>
      <c r="C44" s="46">
        <v>18</v>
      </c>
      <c r="D44" s="46">
        <v>18</v>
      </c>
      <c r="E44" s="46">
        <v>17</v>
      </c>
      <c r="M44" s="81">
        <v>98022</v>
      </c>
      <c r="N44" s="62" t="s">
        <v>345</v>
      </c>
      <c r="O44" s="36">
        <v>7</v>
      </c>
      <c r="P44" s="36">
        <v>14</v>
      </c>
      <c r="Q44" s="36">
        <v>14</v>
      </c>
      <c r="S44" s="56">
        <v>98030</v>
      </c>
      <c r="T44" s="62" t="s">
        <v>10</v>
      </c>
      <c r="U44" s="36">
        <v>9</v>
      </c>
      <c r="V44" s="36">
        <v>7</v>
      </c>
      <c r="W44" s="36">
        <v>16</v>
      </c>
    </row>
    <row r="45" spans="1:23" x14ac:dyDescent="0.2">
      <c r="A45" s="58">
        <v>98027</v>
      </c>
      <c r="B45" s="62" t="s">
        <v>345</v>
      </c>
      <c r="C45" s="46">
        <v>1</v>
      </c>
      <c r="D45" s="46">
        <v>1</v>
      </c>
      <c r="E45" s="46">
        <v>1</v>
      </c>
      <c r="M45" s="56">
        <v>98022</v>
      </c>
      <c r="N45" s="62" t="s">
        <v>346</v>
      </c>
      <c r="O45" s="36">
        <v>0</v>
      </c>
      <c r="P45" s="36">
        <v>0</v>
      </c>
      <c r="Q45" s="36">
        <v>1</v>
      </c>
      <c r="S45" s="81">
        <v>98031</v>
      </c>
      <c r="T45" s="62" t="s">
        <v>10</v>
      </c>
      <c r="U45" s="33">
        <v>4</v>
      </c>
      <c r="V45" s="36">
        <v>12</v>
      </c>
      <c r="W45" s="33">
        <v>19</v>
      </c>
    </row>
    <row r="46" spans="1:23" x14ac:dyDescent="0.2">
      <c r="A46" s="59">
        <v>98027</v>
      </c>
      <c r="B46" s="62" t="s">
        <v>10</v>
      </c>
      <c r="C46" s="46">
        <v>59</v>
      </c>
      <c r="D46" s="46">
        <v>57</v>
      </c>
      <c r="E46" s="46">
        <v>55</v>
      </c>
      <c r="M46" s="81">
        <v>98022</v>
      </c>
      <c r="N46" s="62" t="s">
        <v>10</v>
      </c>
      <c r="O46" s="36">
        <v>58</v>
      </c>
      <c r="P46" s="36">
        <v>81</v>
      </c>
      <c r="Q46" s="36">
        <v>76</v>
      </c>
      <c r="S46" s="56">
        <v>98032</v>
      </c>
      <c r="T46" s="62" t="s">
        <v>345</v>
      </c>
      <c r="U46" s="36">
        <v>1</v>
      </c>
      <c r="V46" s="36">
        <v>3</v>
      </c>
      <c r="W46" s="36">
        <v>0</v>
      </c>
    </row>
    <row r="47" spans="1:23" x14ac:dyDescent="0.2">
      <c r="A47" s="59">
        <v>98028</v>
      </c>
      <c r="B47" s="62" t="s">
        <v>10</v>
      </c>
      <c r="C47" s="46">
        <v>57</v>
      </c>
      <c r="D47" s="46">
        <v>52</v>
      </c>
      <c r="E47" s="46">
        <v>49</v>
      </c>
      <c r="M47" s="56">
        <v>98023</v>
      </c>
      <c r="N47" s="62" t="s">
        <v>345</v>
      </c>
      <c r="O47" s="36">
        <v>17</v>
      </c>
      <c r="P47" s="36">
        <v>3</v>
      </c>
      <c r="Q47" s="36">
        <v>4</v>
      </c>
      <c r="S47" s="81">
        <v>98032</v>
      </c>
      <c r="T47" s="62" t="s">
        <v>10</v>
      </c>
      <c r="U47" s="33">
        <v>10</v>
      </c>
      <c r="V47" s="36">
        <v>16</v>
      </c>
      <c r="W47" s="33">
        <v>35</v>
      </c>
    </row>
    <row r="48" spans="1:23" x14ac:dyDescent="0.2">
      <c r="A48" s="58">
        <v>98029</v>
      </c>
      <c r="B48" s="62" t="s">
        <v>10</v>
      </c>
      <c r="C48" s="46">
        <v>33</v>
      </c>
      <c r="D48" s="46">
        <v>29</v>
      </c>
      <c r="E48" s="46">
        <v>25</v>
      </c>
      <c r="M48" s="81">
        <v>98023</v>
      </c>
      <c r="N48" s="62" t="s">
        <v>10</v>
      </c>
      <c r="O48" s="36">
        <v>208</v>
      </c>
      <c r="P48" s="36">
        <v>230</v>
      </c>
      <c r="Q48" s="36">
        <v>181</v>
      </c>
      <c r="S48" s="56">
        <v>98033</v>
      </c>
      <c r="T48" s="62" t="s">
        <v>345</v>
      </c>
      <c r="U48" s="36">
        <v>0</v>
      </c>
      <c r="V48" s="36">
        <v>0</v>
      </c>
      <c r="W48" s="36">
        <v>2</v>
      </c>
    </row>
    <row r="49" spans="1:23" x14ac:dyDescent="0.2">
      <c r="A49" s="59">
        <v>98030</v>
      </c>
      <c r="B49" s="62" t="s">
        <v>345</v>
      </c>
      <c r="C49" s="46">
        <v>8</v>
      </c>
      <c r="D49" s="46">
        <v>8</v>
      </c>
      <c r="E49" s="46">
        <v>8</v>
      </c>
      <c r="M49" s="81">
        <v>98024</v>
      </c>
      <c r="N49" s="62" t="s">
        <v>345</v>
      </c>
      <c r="O49" s="36">
        <v>3</v>
      </c>
      <c r="P49" s="36">
        <v>3</v>
      </c>
      <c r="Q49" s="36">
        <v>1</v>
      </c>
      <c r="S49" s="81">
        <v>98033</v>
      </c>
      <c r="T49" s="62" t="s">
        <v>10</v>
      </c>
      <c r="U49" s="36">
        <v>6</v>
      </c>
      <c r="V49" s="36">
        <v>8</v>
      </c>
      <c r="W49" s="36">
        <v>6</v>
      </c>
    </row>
    <row r="50" spans="1:23" x14ac:dyDescent="0.2">
      <c r="A50" s="58">
        <v>98030</v>
      </c>
      <c r="B50" s="62" t="s">
        <v>10</v>
      </c>
      <c r="C50" s="46">
        <v>121</v>
      </c>
      <c r="D50" s="46">
        <v>112</v>
      </c>
      <c r="E50" s="46">
        <v>104</v>
      </c>
      <c r="M50" s="56">
        <v>98024</v>
      </c>
      <c r="N50" s="62" t="s">
        <v>10</v>
      </c>
      <c r="O50" s="36">
        <v>11</v>
      </c>
      <c r="P50" s="36">
        <v>10</v>
      </c>
      <c r="Q50" s="36">
        <v>8</v>
      </c>
      <c r="S50" s="81">
        <v>98034</v>
      </c>
      <c r="T50" s="62" t="s">
        <v>10</v>
      </c>
      <c r="U50" s="36">
        <v>13</v>
      </c>
      <c r="V50" s="33">
        <v>10</v>
      </c>
      <c r="W50" s="33">
        <v>10</v>
      </c>
    </row>
    <row r="51" spans="1:23" x14ac:dyDescent="0.2">
      <c r="A51" s="59">
        <v>98031</v>
      </c>
      <c r="B51" s="62" t="s">
        <v>345</v>
      </c>
      <c r="C51" s="46">
        <v>3</v>
      </c>
      <c r="D51" s="46">
        <v>3</v>
      </c>
      <c r="E51" s="71">
        <v>3</v>
      </c>
      <c r="M51" s="81">
        <v>98026</v>
      </c>
      <c r="N51" s="62" t="s">
        <v>345</v>
      </c>
      <c r="O51" s="36">
        <v>0</v>
      </c>
      <c r="P51" s="36">
        <v>1</v>
      </c>
      <c r="Q51" s="36">
        <v>1</v>
      </c>
      <c r="S51" s="56">
        <v>98036</v>
      </c>
      <c r="T51" s="62" t="s">
        <v>345</v>
      </c>
      <c r="U51" s="36">
        <v>0</v>
      </c>
      <c r="V51" s="36">
        <v>1</v>
      </c>
      <c r="W51" s="36">
        <v>0</v>
      </c>
    </row>
    <row r="52" spans="1:23" x14ac:dyDescent="0.2">
      <c r="A52" s="58">
        <v>98031</v>
      </c>
      <c r="B52" s="62" t="s">
        <v>10</v>
      </c>
      <c r="C52" s="46">
        <v>129</v>
      </c>
      <c r="D52" s="46">
        <v>126</v>
      </c>
      <c r="E52" s="46">
        <v>115</v>
      </c>
      <c r="M52" s="56">
        <v>98026</v>
      </c>
      <c r="N52" s="62" t="s">
        <v>10</v>
      </c>
      <c r="O52" s="36">
        <v>40</v>
      </c>
      <c r="P52" s="36">
        <v>39</v>
      </c>
      <c r="Q52" s="36">
        <v>32</v>
      </c>
      <c r="S52" s="81">
        <v>98036</v>
      </c>
      <c r="T52" s="62" t="s">
        <v>10</v>
      </c>
      <c r="U52" s="33">
        <v>1</v>
      </c>
      <c r="V52" s="33">
        <v>3</v>
      </c>
      <c r="W52" s="36">
        <v>1</v>
      </c>
    </row>
    <row r="53" spans="1:23" x14ac:dyDescent="0.2">
      <c r="A53" s="59">
        <v>98032</v>
      </c>
      <c r="B53" s="62" t="s">
        <v>345</v>
      </c>
      <c r="C53" s="46">
        <v>19</v>
      </c>
      <c r="D53" s="46">
        <v>18</v>
      </c>
      <c r="E53" s="46">
        <v>16</v>
      </c>
      <c r="M53" s="81">
        <v>98027</v>
      </c>
      <c r="N53" s="62" t="s">
        <v>345</v>
      </c>
      <c r="O53" s="36">
        <v>9</v>
      </c>
      <c r="P53" s="36">
        <v>14</v>
      </c>
      <c r="Q53" s="36">
        <v>12</v>
      </c>
      <c r="S53" s="56">
        <v>98037</v>
      </c>
      <c r="T53" s="62" t="s">
        <v>10</v>
      </c>
      <c r="U53" s="36">
        <v>0</v>
      </c>
      <c r="V53" s="36">
        <v>1</v>
      </c>
      <c r="W53" s="36">
        <v>2</v>
      </c>
    </row>
    <row r="54" spans="1:23" x14ac:dyDescent="0.2">
      <c r="A54" s="58">
        <v>98032</v>
      </c>
      <c r="B54" s="62" t="s">
        <v>10</v>
      </c>
      <c r="C54" s="46">
        <v>158</v>
      </c>
      <c r="D54" s="46">
        <v>148</v>
      </c>
      <c r="E54" s="46">
        <v>132</v>
      </c>
      <c r="M54" s="56">
        <v>98027</v>
      </c>
      <c r="N54" s="62" t="s">
        <v>10</v>
      </c>
      <c r="O54" s="36">
        <v>122</v>
      </c>
      <c r="P54" s="36">
        <v>129</v>
      </c>
      <c r="Q54" s="36">
        <v>103</v>
      </c>
      <c r="S54" s="81">
        <v>98038</v>
      </c>
      <c r="T54" s="62" t="s">
        <v>345</v>
      </c>
      <c r="U54" s="36">
        <v>0</v>
      </c>
      <c r="V54" s="36">
        <v>2</v>
      </c>
      <c r="W54" s="36">
        <v>0</v>
      </c>
    </row>
    <row r="55" spans="1:23" x14ac:dyDescent="0.2">
      <c r="A55" s="59">
        <v>98033</v>
      </c>
      <c r="B55" s="62" t="s">
        <v>345</v>
      </c>
      <c r="C55" s="46">
        <v>2</v>
      </c>
      <c r="D55" s="46">
        <v>2</v>
      </c>
      <c r="E55" s="46">
        <v>2</v>
      </c>
      <c r="M55" s="81">
        <v>98028</v>
      </c>
      <c r="N55" s="62" t="s">
        <v>345</v>
      </c>
      <c r="O55" s="36">
        <v>2</v>
      </c>
      <c r="P55" s="36">
        <v>9</v>
      </c>
      <c r="Q55" s="36">
        <v>6</v>
      </c>
      <c r="S55" s="81">
        <v>98038</v>
      </c>
      <c r="T55" s="62" t="s">
        <v>10</v>
      </c>
      <c r="U55" s="36">
        <v>9</v>
      </c>
      <c r="V55" s="36">
        <v>10</v>
      </c>
      <c r="W55" s="36">
        <v>7</v>
      </c>
    </row>
    <row r="56" spans="1:23" x14ac:dyDescent="0.2">
      <c r="A56" s="58">
        <v>98033</v>
      </c>
      <c r="B56" s="62" t="s">
        <v>10</v>
      </c>
      <c r="C56" s="46">
        <v>57</v>
      </c>
      <c r="D56" s="46">
        <v>53</v>
      </c>
      <c r="E56" s="46">
        <v>46</v>
      </c>
      <c r="M56" s="56">
        <v>98028</v>
      </c>
      <c r="N56" s="62" t="s">
        <v>10</v>
      </c>
      <c r="O56" s="36">
        <v>87</v>
      </c>
      <c r="P56" s="36">
        <v>96</v>
      </c>
      <c r="Q56" s="36">
        <v>94</v>
      </c>
      <c r="S56" s="81">
        <v>98040</v>
      </c>
      <c r="T56" s="62" t="s">
        <v>10</v>
      </c>
      <c r="U56" s="36">
        <v>2</v>
      </c>
      <c r="V56" s="36">
        <v>4</v>
      </c>
      <c r="W56" s="36">
        <v>2</v>
      </c>
    </row>
    <row r="57" spans="1:23" x14ac:dyDescent="0.2">
      <c r="A57" s="59">
        <v>98034</v>
      </c>
      <c r="B57" s="62" t="s">
        <v>345</v>
      </c>
      <c r="C57" s="46">
        <v>1</v>
      </c>
      <c r="D57" s="46">
        <v>1</v>
      </c>
      <c r="E57" s="46">
        <v>1</v>
      </c>
      <c r="M57" s="81">
        <v>98029</v>
      </c>
      <c r="N57" s="62" t="s">
        <v>345</v>
      </c>
      <c r="O57" s="36">
        <v>2</v>
      </c>
      <c r="P57" s="36">
        <v>6</v>
      </c>
      <c r="Q57" s="36">
        <v>1</v>
      </c>
      <c r="S57" s="81">
        <v>98042</v>
      </c>
      <c r="T57" s="62" t="s">
        <v>10</v>
      </c>
      <c r="U57" s="33">
        <v>15</v>
      </c>
      <c r="V57" s="36">
        <v>14</v>
      </c>
      <c r="W57" s="33">
        <v>19</v>
      </c>
    </row>
    <row r="58" spans="1:23" x14ac:dyDescent="0.2">
      <c r="A58" s="58">
        <v>98034</v>
      </c>
      <c r="B58" s="62" t="s">
        <v>10</v>
      </c>
      <c r="C58" s="46">
        <v>112</v>
      </c>
      <c r="D58" s="46">
        <v>97</v>
      </c>
      <c r="E58" s="46">
        <v>86</v>
      </c>
      <c r="M58" s="56">
        <v>98029</v>
      </c>
      <c r="N58" s="62" t="s">
        <v>10</v>
      </c>
      <c r="O58" s="36">
        <v>151</v>
      </c>
      <c r="P58" s="36">
        <v>190</v>
      </c>
      <c r="Q58" s="36">
        <v>143</v>
      </c>
      <c r="S58" s="81">
        <v>98043</v>
      </c>
      <c r="T58" s="62" t="s">
        <v>10</v>
      </c>
      <c r="U58" s="36">
        <v>1</v>
      </c>
      <c r="V58" s="36">
        <v>5</v>
      </c>
      <c r="W58" s="36">
        <v>3</v>
      </c>
    </row>
    <row r="59" spans="1:23" x14ac:dyDescent="0.2">
      <c r="A59" s="59">
        <v>98036</v>
      </c>
      <c r="B59" s="62" t="s">
        <v>345</v>
      </c>
      <c r="C59" s="46">
        <v>2</v>
      </c>
      <c r="D59" s="46">
        <v>2</v>
      </c>
      <c r="E59" s="46">
        <v>2</v>
      </c>
      <c r="M59" s="81">
        <v>98030</v>
      </c>
      <c r="N59" s="62" t="s">
        <v>345</v>
      </c>
      <c r="O59" s="36">
        <v>9</v>
      </c>
      <c r="P59" s="36">
        <v>4</v>
      </c>
      <c r="Q59" s="36">
        <v>6</v>
      </c>
      <c r="S59" s="81">
        <v>98045</v>
      </c>
      <c r="T59" s="62" t="s">
        <v>10</v>
      </c>
      <c r="U59" s="36">
        <v>2</v>
      </c>
      <c r="V59" s="36">
        <v>3</v>
      </c>
      <c r="W59" s="36">
        <v>6</v>
      </c>
    </row>
    <row r="60" spans="1:23" x14ac:dyDescent="0.2">
      <c r="A60" s="58">
        <v>98036</v>
      </c>
      <c r="B60" s="62" t="s">
        <v>10</v>
      </c>
      <c r="C60" s="46">
        <v>31</v>
      </c>
      <c r="D60" s="46">
        <v>31</v>
      </c>
      <c r="E60" s="46">
        <v>28</v>
      </c>
      <c r="M60" s="56">
        <v>98030</v>
      </c>
      <c r="N60" s="62" t="s">
        <v>10</v>
      </c>
      <c r="O60" s="36">
        <v>158</v>
      </c>
      <c r="P60" s="36">
        <v>161</v>
      </c>
      <c r="Q60" s="36">
        <v>180</v>
      </c>
      <c r="S60" s="81">
        <v>98047</v>
      </c>
      <c r="T60" s="62" t="s">
        <v>345</v>
      </c>
      <c r="U60" s="36">
        <v>0</v>
      </c>
      <c r="V60" s="36">
        <v>1</v>
      </c>
      <c r="W60" s="36">
        <v>0</v>
      </c>
    </row>
    <row r="61" spans="1:23" x14ac:dyDescent="0.2">
      <c r="A61" s="59">
        <v>98037</v>
      </c>
      <c r="B61" s="62" t="s">
        <v>345</v>
      </c>
      <c r="C61" s="46">
        <v>1</v>
      </c>
      <c r="D61" s="46">
        <v>1</v>
      </c>
      <c r="E61" s="46">
        <v>1</v>
      </c>
      <c r="M61" s="81">
        <v>98031</v>
      </c>
      <c r="N61" s="62" t="s">
        <v>345</v>
      </c>
      <c r="O61" s="36">
        <v>4</v>
      </c>
      <c r="P61" s="36">
        <v>10</v>
      </c>
      <c r="Q61" s="36">
        <v>14</v>
      </c>
      <c r="S61" s="81">
        <v>98047</v>
      </c>
      <c r="T61" s="62" t="s">
        <v>10</v>
      </c>
      <c r="U61" s="36">
        <v>2</v>
      </c>
      <c r="V61" s="36">
        <v>1</v>
      </c>
      <c r="W61" s="36">
        <v>3</v>
      </c>
    </row>
    <row r="62" spans="1:23" x14ac:dyDescent="0.2">
      <c r="A62" s="58">
        <v>98037</v>
      </c>
      <c r="B62" s="62" t="s">
        <v>10</v>
      </c>
      <c r="C62" s="46">
        <v>18</v>
      </c>
      <c r="D62" s="46">
        <v>18</v>
      </c>
      <c r="E62" s="46">
        <v>17</v>
      </c>
      <c r="M62" s="56">
        <v>98031</v>
      </c>
      <c r="N62" s="62" t="s">
        <v>10</v>
      </c>
      <c r="O62" s="36">
        <v>144</v>
      </c>
      <c r="P62" s="36">
        <v>174</v>
      </c>
      <c r="Q62" s="36">
        <v>167</v>
      </c>
      <c r="S62" s="81">
        <v>98050</v>
      </c>
      <c r="T62" s="62" t="s">
        <v>10</v>
      </c>
      <c r="U62" s="36">
        <v>0</v>
      </c>
      <c r="V62" s="36">
        <v>0</v>
      </c>
      <c r="W62" s="36">
        <v>1</v>
      </c>
    </row>
    <row r="63" spans="1:23" x14ac:dyDescent="0.2">
      <c r="A63" s="59">
        <v>98038</v>
      </c>
      <c r="B63" s="62" t="s">
        <v>345</v>
      </c>
      <c r="C63" s="46">
        <v>4</v>
      </c>
      <c r="D63" s="46">
        <v>4</v>
      </c>
      <c r="E63" s="46">
        <v>2</v>
      </c>
      <c r="M63" s="81">
        <v>98032</v>
      </c>
      <c r="N63" s="62" t="s">
        <v>345</v>
      </c>
      <c r="O63" s="36">
        <v>54</v>
      </c>
      <c r="P63" s="36">
        <v>50</v>
      </c>
      <c r="Q63" s="36">
        <v>32</v>
      </c>
      <c r="S63" s="81">
        <v>98051</v>
      </c>
      <c r="T63" s="62" t="s">
        <v>10</v>
      </c>
      <c r="U63" s="33">
        <v>2</v>
      </c>
      <c r="V63" s="33">
        <v>1</v>
      </c>
      <c r="W63" s="36">
        <v>2</v>
      </c>
    </row>
    <row r="64" spans="1:23" x14ac:dyDescent="0.2">
      <c r="A64" s="58">
        <v>98038</v>
      </c>
      <c r="B64" s="62" t="s">
        <v>10</v>
      </c>
      <c r="C64" s="46">
        <v>109</v>
      </c>
      <c r="D64" s="46">
        <v>100</v>
      </c>
      <c r="E64" s="46">
        <v>91</v>
      </c>
      <c r="M64" s="56">
        <v>98032</v>
      </c>
      <c r="N64" s="62" t="s">
        <v>10</v>
      </c>
      <c r="O64" s="36">
        <v>329</v>
      </c>
      <c r="P64" s="36">
        <v>491</v>
      </c>
      <c r="Q64" s="36">
        <v>290</v>
      </c>
      <c r="S64" s="81">
        <v>98052</v>
      </c>
      <c r="T64" s="62" t="s">
        <v>345</v>
      </c>
      <c r="U64" s="36">
        <v>0</v>
      </c>
      <c r="V64" s="36">
        <v>1</v>
      </c>
      <c r="W64" s="36">
        <v>2</v>
      </c>
    </row>
    <row r="65" spans="1:23" x14ac:dyDescent="0.2">
      <c r="A65" s="59">
        <v>98039</v>
      </c>
      <c r="B65" s="62" t="s">
        <v>10</v>
      </c>
      <c r="C65" s="46">
        <v>4</v>
      </c>
      <c r="D65" s="46">
        <v>4</v>
      </c>
      <c r="E65" s="46">
        <v>4</v>
      </c>
      <c r="M65" s="81">
        <v>98033</v>
      </c>
      <c r="N65" s="62" t="s">
        <v>345</v>
      </c>
      <c r="O65" s="36">
        <v>12</v>
      </c>
      <c r="P65" s="36">
        <v>19</v>
      </c>
      <c r="Q65" s="36">
        <v>17</v>
      </c>
      <c r="S65" s="81">
        <v>98052</v>
      </c>
      <c r="T65" s="62" t="s">
        <v>10</v>
      </c>
      <c r="U65" s="33">
        <v>4</v>
      </c>
      <c r="V65" s="33">
        <v>9</v>
      </c>
      <c r="W65" s="36">
        <v>12</v>
      </c>
    </row>
    <row r="66" spans="1:23" x14ac:dyDescent="0.2">
      <c r="A66" s="58">
        <v>98040</v>
      </c>
      <c r="B66" s="62" t="s">
        <v>345</v>
      </c>
      <c r="C66" s="46">
        <v>1</v>
      </c>
      <c r="D66" s="46">
        <v>1</v>
      </c>
      <c r="E66" s="46">
        <v>1</v>
      </c>
      <c r="M66" s="56">
        <v>98033</v>
      </c>
      <c r="N66" s="62" t="s">
        <v>10</v>
      </c>
      <c r="O66" s="36">
        <v>234</v>
      </c>
      <c r="P66" s="36">
        <v>221</v>
      </c>
      <c r="Q66" s="36">
        <v>200</v>
      </c>
      <c r="S66" s="56">
        <v>98053</v>
      </c>
      <c r="T66" s="62" t="s">
        <v>10</v>
      </c>
      <c r="U66" s="36">
        <v>2</v>
      </c>
      <c r="V66" s="36">
        <v>2</v>
      </c>
      <c r="W66" s="36">
        <v>5</v>
      </c>
    </row>
    <row r="67" spans="1:23" x14ac:dyDescent="0.2">
      <c r="A67" s="59">
        <v>98040</v>
      </c>
      <c r="B67" s="62" t="s">
        <v>10</v>
      </c>
      <c r="C67" s="46">
        <v>27</v>
      </c>
      <c r="D67" s="46">
        <v>24</v>
      </c>
      <c r="E67" s="46">
        <v>19</v>
      </c>
      <c r="M67" s="81">
        <v>98034</v>
      </c>
      <c r="N67" s="62" t="s">
        <v>345</v>
      </c>
      <c r="O67" s="36">
        <v>19</v>
      </c>
      <c r="P67" s="36">
        <v>8</v>
      </c>
      <c r="Q67" s="36">
        <v>17</v>
      </c>
      <c r="S67" s="81">
        <v>98055</v>
      </c>
      <c r="T67" s="62" t="s">
        <v>10</v>
      </c>
      <c r="U67" s="33">
        <v>10</v>
      </c>
      <c r="V67" s="36">
        <v>14</v>
      </c>
      <c r="W67" s="36">
        <v>9</v>
      </c>
    </row>
    <row r="68" spans="1:23" x14ac:dyDescent="0.2">
      <c r="A68" s="58">
        <v>98042</v>
      </c>
      <c r="B68" s="62" t="s">
        <v>345</v>
      </c>
      <c r="C68" s="46">
        <v>3</v>
      </c>
      <c r="D68" s="46">
        <v>3</v>
      </c>
      <c r="E68" s="46">
        <v>3</v>
      </c>
      <c r="M68" s="56">
        <v>98034</v>
      </c>
      <c r="N68" s="62" t="s">
        <v>10</v>
      </c>
      <c r="O68" s="36">
        <v>390</v>
      </c>
      <c r="P68" s="36">
        <v>359</v>
      </c>
      <c r="Q68" s="36">
        <v>302</v>
      </c>
      <c r="S68" s="81">
        <v>98056</v>
      </c>
      <c r="T68" s="62" t="s">
        <v>10</v>
      </c>
      <c r="U68" s="36">
        <v>12</v>
      </c>
      <c r="V68" s="36">
        <v>9</v>
      </c>
      <c r="W68" s="36">
        <v>10</v>
      </c>
    </row>
    <row r="69" spans="1:23" x14ac:dyDescent="0.2">
      <c r="A69" s="59">
        <v>98042</v>
      </c>
      <c r="B69" s="62" t="s">
        <v>10</v>
      </c>
      <c r="C69" s="46">
        <v>192</v>
      </c>
      <c r="D69" s="46">
        <v>178</v>
      </c>
      <c r="E69" s="46">
        <v>166</v>
      </c>
      <c r="M69" s="81">
        <v>98036</v>
      </c>
      <c r="N69" s="62" t="s">
        <v>345</v>
      </c>
      <c r="O69" s="36">
        <v>6</v>
      </c>
      <c r="P69" s="36">
        <v>3</v>
      </c>
      <c r="Q69" s="33">
        <v>6</v>
      </c>
      <c r="S69" s="81">
        <v>98057</v>
      </c>
      <c r="T69" s="62" t="s">
        <v>345</v>
      </c>
      <c r="U69" s="33">
        <v>1</v>
      </c>
      <c r="V69" s="33">
        <v>0</v>
      </c>
      <c r="W69" s="36">
        <v>0</v>
      </c>
    </row>
    <row r="70" spans="1:23" x14ac:dyDescent="0.2">
      <c r="A70" s="58">
        <v>98043</v>
      </c>
      <c r="B70" s="62" t="s">
        <v>10</v>
      </c>
      <c r="C70" s="46">
        <v>19</v>
      </c>
      <c r="D70" s="46">
        <v>19</v>
      </c>
      <c r="E70" s="46">
        <v>13</v>
      </c>
      <c r="M70" s="56">
        <v>98036</v>
      </c>
      <c r="N70" s="62" t="s">
        <v>10</v>
      </c>
      <c r="O70" s="36">
        <v>54</v>
      </c>
      <c r="P70" s="36">
        <v>56</v>
      </c>
      <c r="Q70" s="36">
        <v>44</v>
      </c>
      <c r="S70" s="56">
        <v>98057</v>
      </c>
      <c r="T70" s="62" t="s">
        <v>10</v>
      </c>
      <c r="U70" s="36">
        <v>6</v>
      </c>
      <c r="V70" s="36">
        <v>4</v>
      </c>
      <c r="W70" s="36">
        <v>4</v>
      </c>
    </row>
    <row r="71" spans="1:23" x14ac:dyDescent="0.2">
      <c r="A71" s="59">
        <v>98045</v>
      </c>
      <c r="B71" s="62" t="s">
        <v>345</v>
      </c>
      <c r="C71" s="46">
        <v>3</v>
      </c>
      <c r="D71" s="46">
        <v>3</v>
      </c>
      <c r="E71" s="46">
        <v>3</v>
      </c>
      <c r="M71" s="81">
        <v>98037</v>
      </c>
      <c r="N71" s="62" t="s">
        <v>345</v>
      </c>
      <c r="O71" s="36">
        <v>2</v>
      </c>
      <c r="P71" s="36">
        <v>1</v>
      </c>
      <c r="Q71" s="36">
        <v>1</v>
      </c>
      <c r="S71" s="81">
        <v>98058</v>
      </c>
      <c r="T71" s="62" t="s">
        <v>10</v>
      </c>
      <c r="U71" s="36">
        <v>6</v>
      </c>
      <c r="V71" s="36">
        <v>12</v>
      </c>
      <c r="W71" s="36">
        <v>19</v>
      </c>
    </row>
    <row r="72" spans="1:23" x14ac:dyDescent="0.2">
      <c r="A72" s="59">
        <v>98045</v>
      </c>
      <c r="B72" s="62" t="s">
        <v>10</v>
      </c>
      <c r="C72" s="46">
        <v>27</v>
      </c>
      <c r="D72" s="46">
        <v>26</v>
      </c>
      <c r="E72" s="46">
        <v>25</v>
      </c>
      <c r="M72" s="56">
        <v>98037</v>
      </c>
      <c r="N72" s="62" t="s">
        <v>10</v>
      </c>
      <c r="O72" s="36">
        <v>28</v>
      </c>
      <c r="P72" s="36">
        <v>38</v>
      </c>
      <c r="Q72" s="36">
        <v>32</v>
      </c>
      <c r="S72" s="56">
        <v>98059</v>
      </c>
      <c r="T72" s="62" t="s">
        <v>10</v>
      </c>
      <c r="U72" s="36">
        <v>2</v>
      </c>
      <c r="V72" s="36">
        <v>11</v>
      </c>
      <c r="W72" s="36">
        <v>11</v>
      </c>
    </row>
    <row r="73" spans="1:23" x14ac:dyDescent="0.2">
      <c r="A73" s="58">
        <v>98047</v>
      </c>
      <c r="B73" s="62" t="s">
        <v>345</v>
      </c>
      <c r="C73" s="46">
        <v>3</v>
      </c>
      <c r="D73" s="46">
        <v>3</v>
      </c>
      <c r="E73" s="46">
        <v>2</v>
      </c>
      <c r="M73" s="81">
        <v>98038</v>
      </c>
      <c r="N73" s="62" t="s">
        <v>345</v>
      </c>
      <c r="O73" s="33">
        <v>5</v>
      </c>
      <c r="P73" s="33">
        <v>9</v>
      </c>
      <c r="Q73" s="36">
        <v>14</v>
      </c>
      <c r="S73" s="81">
        <v>98065</v>
      </c>
      <c r="T73" s="62" t="s">
        <v>10</v>
      </c>
      <c r="U73" s="36">
        <v>0</v>
      </c>
      <c r="V73" s="36">
        <v>1</v>
      </c>
      <c r="W73" s="36">
        <v>0</v>
      </c>
    </row>
    <row r="74" spans="1:23" x14ac:dyDescent="0.2">
      <c r="A74" s="59">
        <v>98047</v>
      </c>
      <c r="B74" s="62" t="s">
        <v>10</v>
      </c>
      <c r="C74" s="46">
        <v>30</v>
      </c>
      <c r="D74" s="46">
        <v>28</v>
      </c>
      <c r="E74" s="46">
        <v>27</v>
      </c>
      <c r="M74" s="56">
        <v>98038</v>
      </c>
      <c r="N74" s="62" t="s">
        <v>10</v>
      </c>
      <c r="O74" s="36">
        <v>103</v>
      </c>
      <c r="P74" s="36">
        <v>117</v>
      </c>
      <c r="Q74" s="36">
        <v>92</v>
      </c>
      <c r="S74" s="81">
        <v>98070</v>
      </c>
      <c r="T74" s="62" t="s">
        <v>10</v>
      </c>
      <c r="U74" s="33">
        <v>3</v>
      </c>
      <c r="V74" s="33">
        <v>1</v>
      </c>
      <c r="W74" s="36">
        <v>6</v>
      </c>
    </row>
    <row r="75" spans="1:23" x14ac:dyDescent="0.2">
      <c r="A75" s="58">
        <v>98050</v>
      </c>
      <c r="B75" s="62" t="s">
        <v>10</v>
      </c>
      <c r="C75" s="46">
        <v>1</v>
      </c>
      <c r="D75" s="46">
        <v>1</v>
      </c>
      <c r="E75" s="46">
        <v>1</v>
      </c>
      <c r="M75" s="81">
        <v>98039</v>
      </c>
      <c r="N75" s="62" t="s">
        <v>345</v>
      </c>
      <c r="O75" s="36">
        <v>1</v>
      </c>
      <c r="P75" s="36">
        <v>0</v>
      </c>
      <c r="Q75" s="36">
        <v>1</v>
      </c>
      <c r="S75" s="56">
        <v>98072</v>
      </c>
      <c r="T75" s="62" t="s">
        <v>345</v>
      </c>
      <c r="U75" s="36">
        <v>0</v>
      </c>
      <c r="V75" s="36">
        <v>1</v>
      </c>
      <c r="W75" s="36">
        <v>3</v>
      </c>
    </row>
    <row r="76" spans="1:23" x14ac:dyDescent="0.2">
      <c r="A76" s="59">
        <v>98051</v>
      </c>
      <c r="B76" s="62" t="s">
        <v>345</v>
      </c>
      <c r="C76" s="46">
        <v>1</v>
      </c>
      <c r="D76" s="46">
        <v>1</v>
      </c>
      <c r="E76" s="46">
        <v>0</v>
      </c>
      <c r="M76" s="56">
        <v>98039</v>
      </c>
      <c r="N76" s="62" t="s">
        <v>10</v>
      </c>
      <c r="O76" s="36">
        <v>9</v>
      </c>
      <c r="P76" s="36">
        <v>14</v>
      </c>
      <c r="Q76" s="36">
        <v>12</v>
      </c>
      <c r="S76" s="81">
        <v>98072</v>
      </c>
      <c r="T76" s="62" t="s">
        <v>10</v>
      </c>
      <c r="U76" s="36">
        <v>4</v>
      </c>
      <c r="V76" s="36">
        <v>2</v>
      </c>
      <c r="W76" s="36">
        <v>6</v>
      </c>
    </row>
    <row r="77" spans="1:23" x14ac:dyDescent="0.2">
      <c r="A77" s="58">
        <v>98051</v>
      </c>
      <c r="B77" s="62" t="s">
        <v>10</v>
      </c>
      <c r="C77" s="46">
        <v>20</v>
      </c>
      <c r="D77" s="46">
        <v>18</v>
      </c>
      <c r="E77" s="46">
        <v>17</v>
      </c>
      <c r="M77" s="81">
        <v>98040</v>
      </c>
      <c r="N77" s="62" t="s">
        <v>345</v>
      </c>
      <c r="O77" s="36">
        <v>16</v>
      </c>
      <c r="P77" s="36">
        <v>2</v>
      </c>
      <c r="Q77" s="36">
        <v>4</v>
      </c>
      <c r="S77" s="81">
        <v>98074</v>
      </c>
      <c r="T77" s="62" t="s">
        <v>10</v>
      </c>
      <c r="U77" s="33">
        <v>2</v>
      </c>
      <c r="V77" s="33">
        <v>3</v>
      </c>
      <c r="W77" s="36">
        <v>3</v>
      </c>
    </row>
    <row r="78" spans="1:23" x14ac:dyDescent="0.2">
      <c r="A78" s="59">
        <v>98052</v>
      </c>
      <c r="B78" s="62" t="s">
        <v>345</v>
      </c>
      <c r="C78" s="46">
        <v>8</v>
      </c>
      <c r="D78" s="46">
        <v>8</v>
      </c>
      <c r="E78" s="46">
        <v>7</v>
      </c>
      <c r="M78" s="56">
        <v>98040</v>
      </c>
      <c r="N78" s="62" t="s">
        <v>10</v>
      </c>
      <c r="O78" s="36">
        <v>94</v>
      </c>
      <c r="P78" s="36">
        <v>104</v>
      </c>
      <c r="Q78" s="36">
        <v>75</v>
      </c>
      <c r="S78" s="81">
        <v>98075</v>
      </c>
      <c r="T78" s="62" t="s">
        <v>10</v>
      </c>
      <c r="U78" s="36">
        <v>2</v>
      </c>
      <c r="V78" s="36">
        <v>1</v>
      </c>
      <c r="W78" s="36">
        <v>2</v>
      </c>
    </row>
    <row r="79" spans="1:23" x14ac:dyDescent="0.2">
      <c r="A79" s="58">
        <v>98052</v>
      </c>
      <c r="B79" s="62" t="s">
        <v>10</v>
      </c>
      <c r="C79" s="46">
        <v>71</v>
      </c>
      <c r="D79" s="46">
        <v>66</v>
      </c>
      <c r="E79" s="46">
        <v>57</v>
      </c>
      <c r="M79" s="81">
        <v>98042</v>
      </c>
      <c r="N79" s="62" t="s">
        <v>345</v>
      </c>
      <c r="O79" s="33">
        <v>9</v>
      </c>
      <c r="P79" s="36">
        <v>74</v>
      </c>
      <c r="Q79" s="36">
        <v>12</v>
      </c>
      <c r="S79" s="81">
        <v>98077</v>
      </c>
      <c r="T79" s="62" t="s">
        <v>10</v>
      </c>
      <c r="U79" s="36">
        <v>3</v>
      </c>
      <c r="V79" s="36">
        <v>1</v>
      </c>
      <c r="W79" s="36">
        <v>2</v>
      </c>
    </row>
    <row r="80" spans="1:23" x14ac:dyDescent="0.2">
      <c r="A80" s="59">
        <v>98053</v>
      </c>
      <c r="B80" s="62" t="s">
        <v>10</v>
      </c>
      <c r="C80" s="46">
        <v>21</v>
      </c>
      <c r="D80" s="46">
        <v>19</v>
      </c>
      <c r="E80" s="46">
        <v>18</v>
      </c>
      <c r="M80" s="56">
        <v>98042</v>
      </c>
      <c r="N80" s="62" t="s">
        <v>10</v>
      </c>
      <c r="O80" s="36">
        <v>143</v>
      </c>
      <c r="P80" s="36">
        <v>167</v>
      </c>
      <c r="Q80" s="36">
        <v>117</v>
      </c>
      <c r="S80" s="81">
        <v>98087</v>
      </c>
      <c r="T80" s="62" t="s">
        <v>10</v>
      </c>
      <c r="U80" s="36">
        <v>0</v>
      </c>
      <c r="V80" s="36">
        <v>1</v>
      </c>
      <c r="W80" s="36">
        <v>2</v>
      </c>
    </row>
    <row r="81" spans="1:23" x14ac:dyDescent="0.2">
      <c r="A81" s="58">
        <v>98055</v>
      </c>
      <c r="B81" s="62" t="s">
        <v>10</v>
      </c>
      <c r="C81" s="46">
        <v>96</v>
      </c>
      <c r="D81" s="46">
        <v>85</v>
      </c>
      <c r="E81" s="46">
        <v>71</v>
      </c>
      <c r="M81" s="81">
        <v>98043</v>
      </c>
      <c r="N81" s="62" t="s">
        <v>345</v>
      </c>
      <c r="O81" s="36">
        <v>1</v>
      </c>
      <c r="P81" s="36">
        <v>0</v>
      </c>
      <c r="Q81" s="36">
        <v>1</v>
      </c>
      <c r="S81" s="81">
        <v>98092</v>
      </c>
      <c r="T81" s="62" t="s">
        <v>10</v>
      </c>
      <c r="U81" s="36">
        <v>13</v>
      </c>
      <c r="V81" s="36">
        <v>20</v>
      </c>
      <c r="W81" s="36">
        <v>21</v>
      </c>
    </row>
    <row r="82" spans="1:23" x14ac:dyDescent="0.2">
      <c r="A82" s="59">
        <v>98056</v>
      </c>
      <c r="B82" s="62" t="s">
        <v>345</v>
      </c>
      <c r="C82" s="46">
        <v>2</v>
      </c>
      <c r="D82" s="46">
        <v>2</v>
      </c>
      <c r="E82" s="46">
        <v>2</v>
      </c>
      <c r="M82" s="56">
        <v>98043</v>
      </c>
      <c r="N82" s="62" t="s">
        <v>10</v>
      </c>
      <c r="O82" s="36">
        <v>17</v>
      </c>
      <c r="P82" s="36">
        <v>19</v>
      </c>
      <c r="Q82" s="36">
        <v>16</v>
      </c>
      <c r="S82" s="81">
        <v>98102</v>
      </c>
      <c r="T82" s="62" t="s">
        <v>10</v>
      </c>
      <c r="U82" s="36">
        <v>1</v>
      </c>
      <c r="V82" s="33">
        <v>0</v>
      </c>
      <c r="W82" s="36">
        <v>0</v>
      </c>
    </row>
    <row r="83" spans="1:23" x14ac:dyDescent="0.2">
      <c r="A83" s="59">
        <v>98056</v>
      </c>
      <c r="B83" s="62" t="s">
        <v>10</v>
      </c>
      <c r="C83" s="46">
        <v>104</v>
      </c>
      <c r="D83" s="46">
        <v>94</v>
      </c>
      <c r="E83" s="46">
        <v>86</v>
      </c>
      <c r="M83" s="81">
        <v>98045</v>
      </c>
      <c r="N83" s="62" t="s">
        <v>345</v>
      </c>
      <c r="O83" s="36">
        <v>14</v>
      </c>
      <c r="P83" s="36">
        <v>1</v>
      </c>
      <c r="Q83" s="36">
        <v>3</v>
      </c>
      <c r="S83" s="81">
        <v>98103</v>
      </c>
      <c r="T83" s="62" t="s">
        <v>345</v>
      </c>
      <c r="U83" s="36">
        <v>0</v>
      </c>
      <c r="V83" s="36">
        <v>1</v>
      </c>
      <c r="W83" s="36">
        <v>0</v>
      </c>
    </row>
    <row r="84" spans="1:23" x14ac:dyDescent="0.2">
      <c r="A84" s="58">
        <v>98057</v>
      </c>
      <c r="B84" s="62" t="s">
        <v>345</v>
      </c>
      <c r="C84" s="46">
        <v>9</v>
      </c>
      <c r="D84" s="46">
        <v>8</v>
      </c>
      <c r="E84" s="46">
        <v>8</v>
      </c>
      <c r="M84" s="56">
        <v>98045</v>
      </c>
      <c r="N84" s="62" t="s">
        <v>10</v>
      </c>
      <c r="O84" s="36">
        <v>33</v>
      </c>
      <c r="P84" s="36">
        <v>42</v>
      </c>
      <c r="Q84" s="36">
        <v>49</v>
      </c>
      <c r="S84" s="81">
        <v>98103</v>
      </c>
      <c r="T84" s="62" t="s">
        <v>10</v>
      </c>
      <c r="U84" s="36">
        <v>0</v>
      </c>
      <c r="V84" s="36">
        <v>1</v>
      </c>
      <c r="W84" s="36">
        <v>3</v>
      </c>
    </row>
    <row r="85" spans="1:23" x14ac:dyDescent="0.2">
      <c r="A85" s="59">
        <v>98057</v>
      </c>
      <c r="B85" s="62" t="s">
        <v>10</v>
      </c>
      <c r="C85" s="46">
        <v>47</v>
      </c>
      <c r="D85" s="46">
        <v>41</v>
      </c>
      <c r="E85" s="46">
        <v>38</v>
      </c>
      <c r="M85" s="81">
        <v>98047</v>
      </c>
      <c r="N85" s="62" t="s">
        <v>345</v>
      </c>
      <c r="O85" s="36">
        <v>5</v>
      </c>
      <c r="P85" s="36">
        <v>5</v>
      </c>
      <c r="Q85" s="33">
        <v>3</v>
      </c>
      <c r="S85" s="81">
        <v>98104</v>
      </c>
      <c r="T85" s="62" t="s">
        <v>345</v>
      </c>
      <c r="U85" s="36">
        <v>0</v>
      </c>
      <c r="V85" s="36">
        <v>0</v>
      </c>
      <c r="W85" s="36">
        <v>1</v>
      </c>
    </row>
    <row r="86" spans="1:23" x14ac:dyDescent="0.2">
      <c r="A86" s="58">
        <v>98058</v>
      </c>
      <c r="B86" s="62" t="s">
        <v>345</v>
      </c>
      <c r="C86" s="46">
        <v>3</v>
      </c>
      <c r="D86" s="46">
        <v>3</v>
      </c>
      <c r="E86" s="46">
        <v>2</v>
      </c>
      <c r="M86" s="56">
        <v>98047</v>
      </c>
      <c r="N86" s="62" t="s">
        <v>10</v>
      </c>
      <c r="O86" s="36">
        <v>32</v>
      </c>
      <c r="P86" s="33">
        <v>30</v>
      </c>
      <c r="Q86" s="33">
        <v>38</v>
      </c>
      <c r="S86" s="81">
        <v>98105</v>
      </c>
      <c r="T86" s="62" t="s">
        <v>345</v>
      </c>
      <c r="U86" s="36">
        <v>0</v>
      </c>
      <c r="V86" s="36">
        <v>1</v>
      </c>
      <c r="W86" s="36">
        <v>0</v>
      </c>
    </row>
    <row r="87" spans="1:23" x14ac:dyDescent="0.2">
      <c r="A87" s="59">
        <v>98058</v>
      </c>
      <c r="B87" s="62" t="s">
        <v>10</v>
      </c>
      <c r="C87" s="46">
        <v>115</v>
      </c>
      <c r="D87" s="46">
        <v>109</v>
      </c>
      <c r="E87" s="46">
        <v>100</v>
      </c>
      <c r="M87" s="81">
        <v>98050</v>
      </c>
      <c r="N87" s="62" t="s">
        <v>345</v>
      </c>
      <c r="O87" s="36">
        <v>0</v>
      </c>
      <c r="P87" s="36">
        <v>0</v>
      </c>
      <c r="Q87" s="36">
        <v>1</v>
      </c>
      <c r="S87" s="81">
        <v>98105</v>
      </c>
      <c r="T87" s="62" t="s">
        <v>10</v>
      </c>
      <c r="U87" s="36">
        <v>0</v>
      </c>
      <c r="V87" s="33">
        <v>0</v>
      </c>
      <c r="W87" s="36">
        <v>2</v>
      </c>
    </row>
    <row r="88" spans="1:23" x14ac:dyDescent="0.2">
      <c r="A88" s="59">
        <v>98059</v>
      </c>
      <c r="B88" s="62" t="s">
        <v>345</v>
      </c>
      <c r="C88" s="46">
        <v>1</v>
      </c>
      <c r="D88" s="46">
        <v>1</v>
      </c>
      <c r="E88" s="46">
        <v>0</v>
      </c>
      <c r="M88" s="56">
        <v>98050</v>
      </c>
      <c r="N88" s="62" t="s">
        <v>10</v>
      </c>
      <c r="O88" s="36">
        <v>0</v>
      </c>
      <c r="P88" s="36">
        <v>0</v>
      </c>
      <c r="Q88" s="36">
        <v>2</v>
      </c>
      <c r="S88" s="81">
        <v>98106</v>
      </c>
      <c r="T88" s="62" t="s">
        <v>345</v>
      </c>
      <c r="U88" s="36">
        <v>0</v>
      </c>
      <c r="V88" s="36">
        <v>0</v>
      </c>
      <c r="W88" s="36">
        <v>1</v>
      </c>
    </row>
    <row r="89" spans="1:23" x14ac:dyDescent="0.2">
      <c r="A89" s="58">
        <v>98059</v>
      </c>
      <c r="B89" s="62" t="s">
        <v>10</v>
      </c>
      <c r="C89" s="46">
        <v>75</v>
      </c>
      <c r="D89" s="46">
        <v>72</v>
      </c>
      <c r="E89" s="46">
        <v>63</v>
      </c>
      <c r="M89" s="81">
        <v>98051</v>
      </c>
      <c r="N89" s="62" t="s">
        <v>345</v>
      </c>
      <c r="O89" s="36">
        <v>0</v>
      </c>
      <c r="P89" s="36">
        <v>1</v>
      </c>
      <c r="Q89" s="36">
        <v>3</v>
      </c>
      <c r="S89" s="81">
        <v>98106</v>
      </c>
      <c r="T89" s="62" t="s">
        <v>10</v>
      </c>
      <c r="U89" s="36">
        <v>1</v>
      </c>
      <c r="V89" s="33">
        <v>2</v>
      </c>
      <c r="W89" s="36">
        <v>1</v>
      </c>
    </row>
    <row r="90" spans="1:23" x14ac:dyDescent="0.2">
      <c r="A90" s="59">
        <v>98065</v>
      </c>
      <c r="B90" s="62" t="s">
        <v>345</v>
      </c>
      <c r="C90" s="46">
        <v>4</v>
      </c>
      <c r="D90" s="46">
        <v>4</v>
      </c>
      <c r="E90" s="46">
        <v>4</v>
      </c>
      <c r="M90" s="56">
        <v>98051</v>
      </c>
      <c r="N90" s="62" t="s">
        <v>10</v>
      </c>
      <c r="O90" s="36">
        <v>5</v>
      </c>
      <c r="P90" s="36">
        <v>8</v>
      </c>
      <c r="Q90" s="36">
        <v>8</v>
      </c>
      <c r="S90" s="81">
        <v>98108</v>
      </c>
      <c r="T90" s="62" t="s">
        <v>10</v>
      </c>
      <c r="U90" s="36">
        <v>3</v>
      </c>
      <c r="V90" s="36">
        <v>0</v>
      </c>
      <c r="W90" s="33">
        <v>2</v>
      </c>
    </row>
    <row r="91" spans="1:23" x14ac:dyDescent="0.2">
      <c r="A91" s="58">
        <v>98065</v>
      </c>
      <c r="B91" s="62" t="s">
        <v>10</v>
      </c>
      <c r="C91" s="46">
        <v>22</v>
      </c>
      <c r="D91" s="46">
        <v>22</v>
      </c>
      <c r="E91" s="46">
        <v>20</v>
      </c>
      <c r="M91" s="81">
        <v>98052</v>
      </c>
      <c r="N91" s="62" t="s">
        <v>345</v>
      </c>
      <c r="O91" s="36">
        <v>21</v>
      </c>
      <c r="P91" s="36">
        <v>25</v>
      </c>
      <c r="Q91" s="36">
        <v>43</v>
      </c>
      <c r="S91" s="81">
        <v>98110</v>
      </c>
      <c r="T91" s="62" t="s">
        <v>10</v>
      </c>
      <c r="U91" s="33">
        <v>5</v>
      </c>
      <c r="V91" s="33">
        <v>0</v>
      </c>
      <c r="W91" s="36">
        <v>2</v>
      </c>
    </row>
    <row r="92" spans="1:23" x14ac:dyDescent="0.2">
      <c r="A92" s="59">
        <v>98068</v>
      </c>
      <c r="B92" s="62" t="s">
        <v>10</v>
      </c>
      <c r="C92" s="46">
        <v>1</v>
      </c>
      <c r="D92" s="46">
        <v>1</v>
      </c>
      <c r="E92" s="46">
        <v>1</v>
      </c>
      <c r="M92" s="56">
        <v>98052</v>
      </c>
      <c r="N92" s="62" t="s">
        <v>10</v>
      </c>
      <c r="O92" s="36">
        <v>619</v>
      </c>
      <c r="P92" s="36">
        <v>749</v>
      </c>
      <c r="Q92" s="36">
        <v>865</v>
      </c>
      <c r="S92" s="56">
        <v>98112</v>
      </c>
      <c r="T92" s="62" t="s">
        <v>10</v>
      </c>
      <c r="U92" s="36">
        <v>2</v>
      </c>
      <c r="V92" s="36">
        <v>1</v>
      </c>
      <c r="W92" s="36">
        <v>0</v>
      </c>
    </row>
    <row r="93" spans="1:23" x14ac:dyDescent="0.2">
      <c r="A93" s="58">
        <v>98070</v>
      </c>
      <c r="B93" s="62" t="s">
        <v>345</v>
      </c>
      <c r="C93" s="46">
        <v>1</v>
      </c>
      <c r="D93" s="46">
        <v>1</v>
      </c>
      <c r="E93" s="46">
        <v>1</v>
      </c>
      <c r="M93" s="81">
        <v>98053</v>
      </c>
      <c r="N93" s="62" t="s">
        <v>345</v>
      </c>
      <c r="O93" s="36">
        <v>8</v>
      </c>
      <c r="P93" s="36">
        <v>3</v>
      </c>
      <c r="Q93" s="36">
        <v>3</v>
      </c>
      <c r="S93" s="81">
        <v>98115</v>
      </c>
      <c r="T93" s="62" t="s">
        <v>345</v>
      </c>
      <c r="U93" s="33">
        <v>0</v>
      </c>
      <c r="V93" s="36">
        <v>1</v>
      </c>
      <c r="W93" s="36">
        <v>0</v>
      </c>
    </row>
    <row r="94" spans="1:23" x14ac:dyDescent="0.2">
      <c r="A94" s="59">
        <v>98070</v>
      </c>
      <c r="B94" s="62" t="s">
        <v>10</v>
      </c>
      <c r="C94" s="46">
        <v>31</v>
      </c>
      <c r="D94" s="46">
        <v>28</v>
      </c>
      <c r="E94" s="46">
        <v>26</v>
      </c>
      <c r="M94" s="56">
        <v>98053</v>
      </c>
      <c r="N94" s="62" t="s">
        <v>10</v>
      </c>
      <c r="O94" s="36">
        <v>55</v>
      </c>
      <c r="P94" s="36">
        <v>55</v>
      </c>
      <c r="Q94" s="36">
        <v>43</v>
      </c>
      <c r="S94" s="81">
        <v>98115</v>
      </c>
      <c r="T94" s="62" t="s">
        <v>10</v>
      </c>
      <c r="U94" s="36">
        <v>4</v>
      </c>
      <c r="V94" s="36">
        <v>0</v>
      </c>
      <c r="W94" s="36">
        <v>0</v>
      </c>
    </row>
    <row r="95" spans="1:23" x14ac:dyDescent="0.2">
      <c r="A95" s="58">
        <v>98072</v>
      </c>
      <c r="B95" s="62" t="s">
        <v>345</v>
      </c>
      <c r="C95" s="46">
        <v>5</v>
      </c>
      <c r="D95" s="46">
        <v>5</v>
      </c>
      <c r="E95" s="46">
        <v>4</v>
      </c>
      <c r="M95" s="81">
        <v>98055</v>
      </c>
      <c r="N95" s="62" t="s">
        <v>345</v>
      </c>
      <c r="O95" s="36">
        <v>4</v>
      </c>
      <c r="P95" s="36">
        <v>5</v>
      </c>
      <c r="Q95" s="36">
        <v>1</v>
      </c>
      <c r="S95" s="81">
        <v>98117</v>
      </c>
      <c r="T95" s="62" t="s">
        <v>10</v>
      </c>
      <c r="U95" s="33">
        <v>3</v>
      </c>
      <c r="V95" s="33">
        <v>3</v>
      </c>
      <c r="W95" s="36">
        <v>1</v>
      </c>
    </row>
    <row r="96" spans="1:23" x14ac:dyDescent="0.2">
      <c r="A96" s="59">
        <v>98072</v>
      </c>
      <c r="B96" s="62" t="s">
        <v>10</v>
      </c>
      <c r="C96" s="46">
        <v>41</v>
      </c>
      <c r="D96" s="46">
        <v>38</v>
      </c>
      <c r="E96" s="46">
        <v>35</v>
      </c>
      <c r="M96" s="56">
        <v>98055</v>
      </c>
      <c r="N96" s="62" t="s">
        <v>10</v>
      </c>
      <c r="O96" s="36">
        <v>122</v>
      </c>
      <c r="P96" s="36">
        <v>168</v>
      </c>
      <c r="Q96" s="36">
        <v>134</v>
      </c>
      <c r="S96" s="81">
        <v>98118</v>
      </c>
      <c r="T96" s="62" t="s">
        <v>345</v>
      </c>
      <c r="U96" s="36">
        <v>0</v>
      </c>
      <c r="V96" s="36">
        <v>0</v>
      </c>
      <c r="W96" s="36">
        <v>1</v>
      </c>
    </row>
    <row r="97" spans="1:23" x14ac:dyDescent="0.2">
      <c r="A97" s="58">
        <v>98074</v>
      </c>
      <c r="B97" s="62" t="s">
        <v>345</v>
      </c>
      <c r="C97" s="46">
        <v>1</v>
      </c>
      <c r="D97" s="46">
        <v>1</v>
      </c>
      <c r="E97" s="46">
        <v>1</v>
      </c>
      <c r="M97" s="81">
        <v>98056</v>
      </c>
      <c r="N97" s="62" t="s">
        <v>345</v>
      </c>
      <c r="O97" s="36">
        <v>4</v>
      </c>
      <c r="P97" s="36">
        <v>22</v>
      </c>
      <c r="Q97" s="36">
        <v>8</v>
      </c>
      <c r="S97" s="81">
        <v>98118</v>
      </c>
      <c r="T97" s="62" t="s">
        <v>10</v>
      </c>
      <c r="U97" s="33">
        <v>3</v>
      </c>
      <c r="V97" s="36">
        <v>4</v>
      </c>
      <c r="W97" s="33">
        <v>4</v>
      </c>
    </row>
    <row r="98" spans="1:23" x14ac:dyDescent="0.2">
      <c r="A98" s="59">
        <v>98074</v>
      </c>
      <c r="B98" s="62" t="s">
        <v>10</v>
      </c>
      <c r="C98" s="46">
        <v>25</v>
      </c>
      <c r="D98" s="46">
        <v>23</v>
      </c>
      <c r="E98" s="46">
        <v>20</v>
      </c>
      <c r="M98" s="56">
        <v>98056</v>
      </c>
      <c r="N98" s="62" t="s">
        <v>10</v>
      </c>
      <c r="O98" s="36">
        <v>161</v>
      </c>
      <c r="P98" s="36">
        <v>184</v>
      </c>
      <c r="Q98" s="36">
        <v>168</v>
      </c>
      <c r="S98" s="56">
        <v>98119</v>
      </c>
      <c r="T98" s="62" t="s">
        <v>10</v>
      </c>
      <c r="U98" s="33">
        <v>0</v>
      </c>
      <c r="V98" s="33">
        <v>0</v>
      </c>
      <c r="W98" s="36">
        <v>1</v>
      </c>
    </row>
    <row r="99" spans="1:23" x14ac:dyDescent="0.2">
      <c r="A99" s="58">
        <v>98075</v>
      </c>
      <c r="B99" s="62" t="s">
        <v>10</v>
      </c>
      <c r="C99" s="46">
        <v>20</v>
      </c>
      <c r="D99" s="46">
        <v>20</v>
      </c>
      <c r="E99" s="46">
        <v>20</v>
      </c>
      <c r="M99" s="81">
        <v>98057</v>
      </c>
      <c r="N99" s="62" t="s">
        <v>345</v>
      </c>
      <c r="O99" s="36">
        <v>9</v>
      </c>
      <c r="P99" s="36">
        <v>25</v>
      </c>
      <c r="Q99" s="36">
        <v>18</v>
      </c>
      <c r="S99" s="81">
        <v>98122</v>
      </c>
      <c r="T99" s="62" t="s">
        <v>10</v>
      </c>
      <c r="U99" s="36">
        <v>2</v>
      </c>
      <c r="V99" s="36">
        <v>2</v>
      </c>
      <c r="W99" s="36">
        <v>2</v>
      </c>
    </row>
    <row r="100" spans="1:23" x14ac:dyDescent="0.2">
      <c r="A100" s="59">
        <v>98077</v>
      </c>
      <c r="B100" s="62" t="s">
        <v>10</v>
      </c>
      <c r="C100" s="46">
        <v>20</v>
      </c>
      <c r="D100" s="46">
        <v>16</v>
      </c>
      <c r="E100" s="46">
        <v>15</v>
      </c>
      <c r="M100" s="56">
        <v>98057</v>
      </c>
      <c r="N100" s="62" t="s">
        <v>10</v>
      </c>
      <c r="O100" s="36">
        <v>106</v>
      </c>
      <c r="P100" s="36">
        <v>94</v>
      </c>
      <c r="Q100" s="36">
        <v>85</v>
      </c>
      <c r="S100" s="81">
        <v>98125</v>
      </c>
      <c r="T100" s="62" t="s">
        <v>345</v>
      </c>
      <c r="U100" s="33">
        <v>1</v>
      </c>
      <c r="V100" s="33">
        <v>0</v>
      </c>
      <c r="W100" s="36">
        <v>0</v>
      </c>
    </row>
    <row r="101" spans="1:23" x14ac:dyDescent="0.2">
      <c r="A101" s="59">
        <v>98087</v>
      </c>
      <c r="B101" s="62" t="s">
        <v>10</v>
      </c>
      <c r="C101" s="46">
        <v>27</v>
      </c>
      <c r="D101" s="46">
        <v>26</v>
      </c>
      <c r="E101" s="46">
        <v>26</v>
      </c>
      <c r="M101" s="81">
        <v>98058</v>
      </c>
      <c r="N101" s="62" t="s">
        <v>345</v>
      </c>
      <c r="O101" s="36">
        <v>5</v>
      </c>
      <c r="P101" s="36">
        <v>24</v>
      </c>
      <c r="Q101" s="36">
        <v>7</v>
      </c>
      <c r="S101" s="56">
        <v>98125</v>
      </c>
      <c r="T101" s="62" t="s">
        <v>10</v>
      </c>
      <c r="U101" s="36">
        <v>0</v>
      </c>
      <c r="V101" s="36">
        <v>0</v>
      </c>
      <c r="W101" s="36">
        <v>3</v>
      </c>
    </row>
    <row r="102" spans="1:23" x14ac:dyDescent="0.2">
      <c r="A102" s="58">
        <v>98092</v>
      </c>
      <c r="B102" s="62" t="s">
        <v>345</v>
      </c>
      <c r="C102" s="46">
        <v>1</v>
      </c>
      <c r="D102" s="46">
        <v>1</v>
      </c>
      <c r="E102" s="46">
        <v>1</v>
      </c>
      <c r="M102" s="56">
        <v>98058</v>
      </c>
      <c r="N102" s="62" t="s">
        <v>10</v>
      </c>
      <c r="O102" s="36">
        <v>137</v>
      </c>
      <c r="P102" s="36">
        <v>149</v>
      </c>
      <c r="Q102" s="36">
        <v>113</v>
      </c>
      <c r="S102" s="81">
        <v>98126</v>
      </c>
      <c r="T102" s="62" t="s">
        <v>10</v>
      </c>
      <c r="U102" s="33">
        <v>2</v>
      </c>
      <c r="V102" s="36">
        <v>3</v>
      </c>
      <c r="W102" s="36">
        <v>0</v>
      </c>
    </row>
    <row r="103" spans="1:23" x14ac:dyDescent="0.2">
      <c r="A103" s="59">
        <v>98092</v>
      </c>
      <c r="B103" s="62" t="s">
        <v>10</v>
      </c>
      <c r="C103" s="46">
        <v>194</v>
      </c>
      <c r="D103" s="46">
        <v>181</v>
      </c>
      <c r="E103" s="46">
        <v>160</v>
      </c>
      <c r="M103" s="81">
        <v>98059</v>
      </c>
      <c r="N103" s="62" t="s">
        <v>345</v>
      </c>
      <c r="O103" s="36">
        <v>13</v>
      </c>
      <c r="P103" s="36">
        <v>10</v>
      </c>
      <c r="Q103" s="36">
        <v>5</v>
      </c>
      <c r="S103" s="81">
        <v>98133</v>
      </c>
      <c r="T103" s="62" t="s">
        <v>345</v>
      </c>
      <c r="U103" s="36">
        <v>0</v>
      </c>
      <c r="V103" s="36">
        <v>0</v>
      </c>
      <c r="W103" s="36">
        <v>1</v>
      </c>
    </row>
    <row r="104" spans="1:23" x14ac:dyDescent="0.2">
      <c r="A104" s="58">
        <v>98101</v>
      </c>
      <c r="B104" s="62" t="s">
        <v>345</v>
      </c>
      <c r="C104" s="46">
        <v>4</v>
      </c>
      <c r="D104" s="46">
        <v>4</v>
      </c>
      <c r="E104" s="46">
        <v>4</v>
      </c>
      <c r="M104" s="56">
        <v>98059</v>
      </c>
      <c r="N104" s="62" t="s">
        <v>10</v>
      </c>
      <c r="O104" s="36">
        <v>138</v>
      </c>
      <c r="P104" s="36">
        <v>171</v>
      </c>
      <c r="Q104" s="36">
        <v>120</v>
      </c>
      <c r="S104" s="81">
        <v>98133</v>
      </c>
      <c r="T104" s="62" t="s">
        <v>10</v>
      </c>
      <c r="U104" s="36">
        <v>2</v>
      </c>
      <c r="V104" s="33">
        <v>1</v>
      </c>
      <c r="W104" s="33">
        <v>5</v>
      </c>
    </row>
    <row r="105" spans="1:23" x14ac:dyDescent="0.2">
      <c r="A105" s="59">
        <v>98102</v>
      </c>
      <c r="B105" s="62" t="s">
        <v>345</v>
      </c>
      <c r="C105" s="46">
        <v>2</v>
      </c>
      <c r="D105" s="46">
        <v>2</v>
      </c>
      <c r="E105" s="46">
        <v>2</v>
      </c>
      <c r="M105" s="81">
        <v>98065</v>
      </c>
      <c r="N105" s="62" t="s">
        <v>345</v>
      </c>
      <c r="O105" s="36">
        <v>5</v>
      </c>
      <c r="P105" s="33">
        <v>6</v>
      </c>
      <c r="Q105" s="33">
        <v>8</v>
      </c>
      <c r="S105" s="56">
        <v>98134</v>
      </c>
      <c r="T105" s="62" t="s">
        <v>10</v>
      </c>
      <c r="U105" s="36">
        <v>0</v>
      </c>
      <c r="V105" s="36">
        <v>0</v>
      </c>
      <c r="W105" s="36">
        <v>1</v>
      </c>
    </row>
    <row r="106" spans="1:23" x14ac:dyDescent="0.2">
      <c r="A106" s="58">
        <v>98102</v>
      </c>
      <c r="B106" s="62" t="s">
        <v>10</v>
      </c>
      <c r="C106" s="46">
        <v>3</v>
      </c>
      <c r="D106" s="46">
        <v>2</v>
      </c>
      <c r="E106" s="46">
        <v>2</v>
      </c>
      <c r="M106" s="56">
        <v>98065</v>
      </c>
      <c r="N106" s="62" t="s">
        <v>10</v>
      </c>
      <c r="O106" s="36">
        <v>51</v>
      </c>
      <c r="P106" s="36">
        <v>40</v>
      </c>
      <c r="Q106" s="36">
        <v>44</v>
      </c>
      <c r="S106" s="81">
        <v>98136</v>
      </c>
      <c r="T106" s="62" t="s">
        <v>10</v>
      </c>
      <c r="U106" s="36">
        <v>0</v>
      </c>
      <c r="V106" s="36">
        <v>1</v>
      </c>
      <c r="W106" s="36">
        <v>0</v>
      </c>
    </row>
    <row r="107" spans="1:23" x14ac:dyDescent="0.2">
      <c r="A107" s="59">
        <v>98103</v>
      </c>
      <c r="B107" s="62" t="s">
        <v>345</v>
      </c>
      <c r="C107" s="46">
        <v>2</v>
      </c>
      <c r="D107" s="46">
        <v>1</v>
      </c>
      <c r="E107" s="46">
        <v>0</v>
      </c>
      <c r="M107" s="81">
        <v>98068</v>
      </c>
      <c r="N107" s="62" t="s">
        <v>345</v>
      </c>
      <c r="O107" s="36">
        <v>0</v>
      </c>
      <c r="P107" s="36">
        <v>0</v>
      </c>
      <c r="Q107" s="36">
        <v>4</v>
      </c>
      <c r="S107" s="81">
        <v>98144</v>
      </c>
      <c r="T107" s="62" t="s">
        <v>10</v>
      </c>
      <c r="U107" s="36">
        <v>0</v>
      </c>
      <c r="V107" s="36">
        <v>0</v>
      </c>
      <c r="W107" s="36">
        <v>1</v>
      </c>
    </row>
    <row r="108" spans="1:23" x14ac:dyDescent="0.2">
      <c r="A108" s="59">
        <v>98103</v>
      </c>
      <c r="B108" s="62" t="s">
        <v>10</v>
      </c>
      <c r="C108" s="46">
        <v>14</v>
      </c>
      <c r="D108" s="46">
        <v>14</v>
      </c>
      <c r="E108" s="46">
        <v>13</v>
      </c>
      <c r="M108" s="56">
        <v>98068</v>
      </c>
      <c r="N108" s="62" t="s">
        <v>10</v>
      </c>
      <c r="O108" s="36">
        <v>4</v>
      </c>
      <c r="P108" s="36">
        <v>4</v>
      </c>
      <c r="Q108" s="36">
        <v>2</v>
      </c>
      <c r="S108" s="81">
        <v>98146</v>
      </c>
      <c r="T108" s="62" t="s">
        <v>10</v>
      </c>
      <c r="U108" s="36">
        <v>2</v>
      </c>
      <c r="V108" s="33">
        <v>2</v>
      </c>
      <c r="W108" s="36">
        <v>3</v>
      </c>
    </row>
    <row r="109" spans="1:23" x14ac:dyDescent="0.2">
      <c r="A109" s="59">
        <v>98104</v>
      </c>
      <c r="B109" s="62" t="s">
        <v>345</v>
      </c>
      <c r="C109" s="46">
        <v>2</v>
      </c>
      <c r="D109" s="46">
        <v>2</v>
      </c>
      <c r="E109" s="46">
        <v>2</v>
      </c>
      <c r="M109" s="81">
        <v>98070</v>
      </c>
      <c r="N109" s="62" t="s">
        <v>345</v>
      </c>
      <c r="O109" s="36">
        <v>2</v>
      </c>
      <c r="P109" s="36">
        <v>7</v>
      </c>
      <c r="Q109" s="36">
        <v>3</v>
      </c>
      <c r="S109" s="81">
        <v>98148</v>
      </c>
      <c r="T109" s="62" t="s">
        <v>345</v>
      </c>
      <c r="U109" s="36">
        <v>0</v>
      </c>
      <c r="V109" s="33">
        <v>0</v>
      </c>
      <c r="W109" s="36">
        <v>1</v>
      </c>
    </row>
    <row r="110" spans="1:23" x14ac:dyDescent="0.2">
      <c r="A110" s="59">
        <v>98104</v>
      </c>
      <c r="B110" s="62" t="s">
        <v>10</v>
      </c>
      <c r="C110" s="46">
        <v>1</v>
      </c>
      <c r="D110" s="46">
        <v>1</v>
      </c>
      <c r="E110" s="46">
        <v>1</v>
      </c>
      <c r="M110" s="56">
        <v>98070</v>
      </c>
      <c r="N110" s="62" t="s">
        <v>10</v>
      </c>
      <c r="O110" s="36">
        <v>25</v>
      </c>
      <c r="P110" s="36">
        <v>37</v>
      </c>
      <c r="Q110" s="36">
        <v>26</v>
      </c>
      <c r="S110" s="56">
        <v>98148</v>
      </c>
      <c r="T110" s="62" t="s">
        <v>10</v>
      </c>
      <c r="U110" s="36">
        <v>2</v>
      </c>
      <c r="V110" s="36">
        <v>2</v>
      </c>
      <c r="W110" s="36">
        <v>1</v>
      </c>
    </row>
    <row r="111" spans="1:23" x14ac:dyDescent="0.2">
      <c r="A111" s="58">
        <v>98105</v>
      </c>
      <c r="B111" s="62" t="s">
        <v>345</v>
      </c>
      <c r="C111" s="46">
        <v>1</v>
      </c>
      <c r="D111" s="46">
        <v>1</v>
      </c>
      <c r="E111" s="46">
        <v>1</v>
      </c>
      <c r="M111" s="81">
        <v>98072</v>
      </c>
      <c r="N111" s="62" t="s">
        <v>345</v>
      </c>
      <c r="O111" s="36">
        <v>17</v>
      </c>
      <c r="P111" s="36">
        <v>22</v>
      </c>
      <c r="Q111" s="36">
        <v>16</v>
      </c>
      <c r="S111" s="81">
        <v>98155</v>
      </c>
      <c r="T111" s="62" t="s">
        <v>10</v>
      </c>
      <c r="U111" s="36">
        <v>2</v>
      </c>
      <c r="V111" s="33">
        <v>0</v>
      </c>
      <c r="W111" s="36">
        <v>4</v>
      </c>
    </row>
    <row r="112" spans="1:23" x14ac:dyDescent="0.2">
      <c r="A112" s="59">
        <v>98105</v>
      </c>
      <c r="B112" s="62" t="s">
        <v>10</v>
      </c>
      <c r="C112" s="46">
        <v>7</v>
      </c>
      <c r="D112" s="46">
        <v>7</v>
      </c>
      <c r="E112" s="46">
        <v>7</v>
      </c>
      <c r="M112" s="56">
        <v>98072</v>
      </c>
      <c r="N112" s="62" t="s">
        <v>10</v>
      </c>
      <c r="O112" s="36">
        <v>84</v>
      </c>
      <c r="P112" s="36">
        <v>123</v>
      </c>
      <c r="Q112" s="36">
        <v>99</v>
      </c>
      <c r="S112" s="56">
        <v>98166</v>
      </c>
      <c r="T112" s="62" t="s">
        <v>10</v>
      </c>
      <c r="U112" s="36">
        <v>2</v>
      </c>
      <c r="V112" s="36">
        <v>2</v>
      </c>
      <c r="W112" s="36">
        <v>2</v>
      </c>
    </row>
    <row r="113" spans="1:23" x14ac:dyDescent="0.2">
      <c r="A113" s="59">
        <v>98106</v>
      </c>
      <c r="B113" s="62" t="s">
        <v>345</v>
      </c>
      <c r="C113" s="46">
        <v>1</v>
      </c>
      <c r="D113" s="46">
        <v>1</v>
      </c>
      <c r="E113" s="46">
        <v>1</v>
      </c>
      <c r="M113" s="81">
        <v>98074</v>
      </c>
      <c r="N113" s="62" t="s">
        <v>345</v>
      </c>
      <c r="O113" s="36">
        <v>2</v>
      </c>
      <c r="P113" s="36">
        <v>6</v>
      </c>
      <c r="Q113" s="36">
        <v>4</v>
      </c>
      <c r="S113" s="81">
        <v>98168</v>
      </c>
      <c r="T113" s="62" t="s">
        <v>345</v>
      </c>
      <c r="U113" s="36">
        <v>1</v>
      </c>
      <c r="V113" s="33">
        <v>1</v>
      </c>
      <c r="W113" s="36">
        <v>0</v>
      </c>
    </row>
    <row r="114" spans="1:23" x14ac:dyDescent="0.2">
      <c r="A114" s="58">
        <v>98106</v>
      </c>
      <c r="B114" s="62" t="s">
        <v>10</v>
      </c>
      <c r="C114" s="46">
        <v>18</v>
      </c>
      <c r="D114" s="46">
        <v>17</v>
      </c>
      <c r="E114" s="46">
        <v>16</v>
      </c>
      <c r="M114" s="56">
        <v>98074</v>
      </c>
      <c r="N114" s="62" t="s">
        <v>10</v>
      </c>
      <c r="O114" s="36">
        <v>64</v>
      </c>
      <c r="P114" s="36">
        <v>78</v>
      </c>
      <c r="Q114" s="36">
        <v>55</v>
      </c>
      <c r="S114" s="56">
        <v>98168</v>
      </c>
      <c r="T114" s="62" t="s">
        <v>10</v>
      </c>
      <c r="U114" s="36">
        <v>4</v>
      </c>
      <c r="V114" s="36">
        <v>7</v>
      </c>
      <c r="W114" s="36">
        <v>8</v>
      </c>
    </row>
    <row r="115" spans="1:23" x14ac:dyDescent="0.2">
      <c r="A115" s="59">
        <v>98107</v>
      </c>
      <c r="B115" s="62" t="s">
        <v>10</v>
      </c>
      <c r="C115" s="46">
        <v>5</v>
      </c>
      <c r="D115" s="46">
        <v>5</v>
      </c>
      <c r="E115" s="46">
        <v>5</v>
      </c>
      <c r="M115" s="81">
        <v>98075</v>
      </c>
      <c r="N115" s="62" t="s">
        <v>345</v>
      </c>
      <c r="O115" s="36">
        <v>3</v>
      </c>
      <c r="P115" s="36">
        <v>5</v>
      </c>
      <c r="Q115" s="36">
        <v>2</v>
      </c>
      <c r="S115" s="81">
        <v>98177</v>
      </c>
      <c r="T115" s="62" t="s">
        <v>10</v>
      </c>
      <c r="U115" s="36">
        <v>1</v>
      </c>
      <c r="V115" s="33">
        <v>0</v>
      </c>
      <c r="W115" s="33">
        <v>3</v>
      </c>
    </row>
    <row r="116" spans="1:23" x14ac:dyDescent="0.2">
      <c r="A116" s="58">
        <v>98108</v>
      </c>
      <c r="B116" s="62" t="s">
        <v>345</v>
      </c>
      <c r="C116" s="46">
        <v>4</v>
      </c>
      <c r="D116" s="46">
        <v>4</v>
      </c>
      <c r="E116" s="46">
        <v>4</v>
      </c>
      <c r="M116" s="56">
        <v>98075</v>
      </c>
      <c r="N116" s="62" t="s">
        <v>10</v>
      </c>
      <c r="O116" s="36">
        <v>66</v>
      </c>
      <c r="P116" s="36">
        <v>73</v>
      </c>
      <c r="Q116" s="36">
        <v>53</v>
      </c>
      <c r="S116" s="56">
        <v>98178</v>
      </c>
      <c r="T116" s="62" t="s">
        <v>345</v>
      </c>
      <c r="U116" s="36">
        <v>1</v>
      </c>
      <c r="V116" s="36">
        <v>0</v>
      </c>
      <c r="W116" s="36">
        <v>0</v>
      </c>
    </row>
    <row r="117" spans="1:23" x14ac:dyDescent="0.2">
      <c r="A117" s="59">
        <v>98108</v>
      </c>
      <c r="B117" s="62" t="s">
        <v>10</v>
      </c>
      <c r="C117" s="46">
        <v>18</v>
      </c>
      <c r="D117" s="46">
        <v>15</v>
      </c>
      <c r="E117" s="46">
        <v>15</v>
      </c>
      <c r="M117" s="81">
        <v>98077</v>
      </c>
      <c r="N117" s="62" t="s">
        <v>345</v>
      </c>
      <c r="O117" s="36">
        <v>1</v>
      </c>
      <c r="P117" s="36">
        <v>3</v>
      </c>
      <c r="Q117" s="36">
        <v>3</v>
      </c>
      <c r="S117" s="81">
        <v>98178</v>
      </c>
      <c r="T117" s="62" t="s">
        <v>10</v>
      </c>
      <c r="U117" s="33">
        <v>2</v>
      </c>
      <c r="V117" s="33">
        <v>6</v>
      </c>
      <c r="W117" s="36">
        <v>3</v>
      </c>
    </row>
    <row r="118" spans="1:23" x14ac:dyDescent="0.2">
      <c r="A118" s="58">
        <v>98109</v>
      </c>
      <c r="B118" s="62" t="s">
        <v>345</v>
      </c>
      <c r="C118" s="46">
        <v>1</v>
      </c>
      <c r="D118" s="46">
        <v>1</v>
      </c>
      <c r="E118" s="46">
        <v>1</v>
      </c>
      <c r="M118" s="56">
        <v>98077</v>
      </c>
      <c r="N118" s="62" t="s">
        <v>10</v>
      </c>
      <c r="O118" s="36">
        <v>9</v>
      </c>
      <c r="P118" s="36">
        <v>17</v>
      </c>
      <c r="Q118" s="36">
        <v>15</v>
      </c>
      <c r="S118" s="81">
        <v>98188</v>
      </c>
      <c r="T118" s="62" t="s">
        <v>345</v>
      </c>
      <c r="U118" s="36">
        <v>1</v>
      </c>
      <c r="V118" s="36">
        <v>0</v>
      </c>
      <c r="W118" s="36">
        <v>0</v>
      </c>
    </row>
    <row r="119" spans="1:23" x14ac:dyDescent="0.2">
      <c r="A119" s="59">
        <v>98109</v>
      </c>
      <c r="B119" s="62" t="s">
        <v>10</v>
      </c>
      <c r="C119" s="46">
        <v>4</v>
      </c>
      <c r="D119" s="46">
        <v>4</v>
      </c>
      <c r="E119" s="46">
        <v>4</v>
      </c>
      <c r="M119" s="81">
        <v>98087</v>
      </c>
      <c r="N119" s="62" t="s">
        <v>345</v>
      </c>
      <c r="O119" s="36">
        <v>2</v>
      </c>
      <c r="P119" s="36">
        <v>1</v>
      </c>
      <c r="Q119" s="36">
        <v>1</v>
      </c>
      <c r="S119" s="81">
        <v>98188</v>
      </c>
      <c r="T119" s="62" t="s">
        <v>10</v>
      </c>
      <c r="U119" s="36">
        <v>2</v>
      </c>
      <c r="V119" s="36">
        <v>9</v>
      </c>
      <c r="W119" s="36">
        <v>6</v>
      </c>
    </row>
    <row r="120" spans="1:23" x14ac:dyDescent="0.2">
      <c r="A120" s="58">
        <v>98110</v>
      </c>
      <c r="B120" s="62" t="s">
        <v>10</v>
      </c>
      <c r="C120" s="46">
        <v>36</v>
      </c>
      <c r="D120" s="46">
        <v>30</v>
      </c>
      <c r="E120" s="46">
        <v>29</v>
      </c>
      <c r="M120" s="56">
        <v>98087</v>
      </c>
      <c r="N120" s="62" t="s">
        <v>10</v>
      </c>
      <c r="O120" s="36">
        <v>65</v>
      </c>
      <c r="P120" s="36">
        <v>56</v>
      </c>
      <c r="Q120" s="36">
        <v>38</v>
      </c>
      <c r="S120" s="81">
        <v>98198</v>
      </c>
      <c r="T120" s="62" t="s">
        <v>10</v>
      </c>
      <c r="U120" s="36">
        <v>8</v>
      </c>
      <c r="V120" s="36">
        <v>12</v>
      </c>
      <c r="W120" s="36">
        <v>23</v>
      </c>
    </row>
    <row r="121" spans="1:23" x14ac:dyDescent="0.2">
      <c r="A121" s="59">
        <v>98112</v>
      </c>
      <c r="B121" s="62" t="s">
        <v>10</v>
      </c>
      <c r="C121" s="46">
        <v>11</v>
      </c>
      <c r="D121" s="46">
        <v>9</v>
      </c>
      <c r="E121" s="46">
        <v>8</v>
      </c>
      <c r="M121" s="81">
        <v>98092</v>
      </c>
      <c r="N121" s="62" t="s">
        <v>345</v>
      </c>
      <c r="O121" s="36">
        <v>6</v>
      </c>
      <c r="P121" s="36">
        <v>2</v>
      </c>
      <c r="Q121" s="36">
        <v>9</v>
      </c>
      <c r="S121" s="81">
        <v>98199</v>
      </c>
      <c r="T121" s="62" t="s">
        <v>10</v>
      </c>
      <c r="U121" s="33">
        <v>1</v>
      </c>
      <c r="V121" s="36">
        <v>0</v>
      </c>
      <c r="W121" s="33">
        <v>1</v>
      </c>
    </row>
    <row r="122" spans="1:23" x14ac:dyDescent="0.2">
      <c r="A122" s="58">
        <v>98115</v>
      </c>
      <c r="B122" s="62" t="s">
        <v>10</v>
      </c>
      <c r="C122" s="46">
        <v>24</v>
      </c>
      <c r="D122" s="46">
        <v>21</v>
      </c>
      <c r="E122" s="46">
        <v>21</v>
      </c>
      <c r="M122" s="56">
        <v>98092</v>
      </c>
      <c r="N122" s="62" t="s">
        <v>10</v>
      </c>
      <c r="O122" s="36">
        <v>185</v>
      </c>
      <c r="P122" s="36">
        <v>190</v>
      </c>
      <c r="Q122" s="36">
        <v>159</v>
      </c>
      <c r="S122" s="56">
        <v>98201</v>
      </c>
      <c r="T122" s="62" t="s">
        <v>10</v>
      </c>
      <c r="U122" s="36">
        <v>1</v>
      </c>
      <c r="V122" s="36">
        <v>1</v>
      </c>
      <c r="W122" s="36">
        <v>1</v>
      </c>
    </row>
    <row r="123" spans="1:23" x14ac:dyDescent="0.2">
      <c r="A123" s="59">
        <v>98116</v>
      </c>
      <c r="B123" s="62" t="s">
        <v>345</v>
      </c>
      <c r="C123" s="46">
        <v>2</v>
      </c>
      <c r="D123" s="46">
        <v>2</v>
      </c>
      <c r="E123" s="46">
        <v>2</v>
      </c>
      <c r="M123" s="81">
        <v>98101</v>
      </c>
      <c r="N123" s="62" t="s">
        <v>345</v>
      </c>
      <c r="O123" s="36">
        <v>1</v>
      </c>
      <c r="P123" s="36">
        <v>5</v>
      </c>
      <c r="Q123" s="36">
        <v>2</v>
      </c>
      <c r="S123" s="81">
        <v>98203</v>
      </c>
      <c r="T123" s="62" t="s">
        <v>10</v>
      </c>
      <c r="U123" s="36">
        <v>3</v>
      </c>
      <c r="V123" s="33">
        <v>2</v>
      </c>
      <c r="W123" s="33">
        <v>1</v>
      </c>
    </row>
    <row r="124" spans="1:23" x14ac:dyDescent="0.2">
      <c r="A124" s="58">
        <v>98116</v>
      </c>
      <c r="B124" s="62" t="s">
        <v>10</v>
      </c>
      <c r="C124" s="46">
        <v>5</v>
      </c>
      <c r="D124" s="46">
        <v>5</v>
      </c>
      <c r="E124" s="46">
        <v>5</v>
      </c>
      <c r="M124" s="56">
        <v>98101</v>
      </c>
      <c r="N124" s="62" t="s">
        <v>10</v>
      </c>
      <c r="O124" s="36">
        <v>5</v>
      </c>
      <c r="P124" s="36">
        <v>3</v>
      </c>
      <c r="Q124" s="36">
        <v>2</v>
      </c>
      <c r="S124" s="56">
        <v>98204</v>
      </c>
      <c r="T124" s="62" t="s">
        <v>10</v>
      </c>
      <c r="U124" s="36">
        <v>2</v>
      </c>
      <c r="V124" s="36">
        <v>1</v>
      </c>
      <c r="W124" s="36">
        <v>5</v>
      </c>
    </row>
    <row r="125" spans="1:23" x14ac:dyDescent="0.2">
      <c r="A125" s="59">
        <v>98117</v>
      </c>
      <c r="B125" s="62" t="s">
        <v>10</v>
      </c>
      <c r="C125" s="46">
        <v>25</v>
      </c>
      <c r="D125" s="46">
        <v>22</v>
      </c>
      <c r="E125" s="46">
        <v>19</v>
      </c>
      <c r="M125" s="81">
        <v>98102</v>
      </c>
      <c r="N125" s="62" t="s">
        <v>345</v>
      </c>
      <c r="O125" s="36">
        <v>2</v>
      </c>
      <c r="P125" s="36">
        <v>5</v>
      </c>
      <c r="Q125" s="36">
        <v>0</v>
      </c>
      <c r="S125" s="81">
        <v>98208</v>
      </c>
      <c r="T125" s="62" t="s">
        <v>10</v>
      </c>
      <c r="U125" s="36">
        <v>5</v>
      </c>
      <c r="V125" s="36">
        <v>1</v>
      </c>
      <c r="W125" s="36">
        <v>2</v>
      </c>
    </row>
    <row r="126" spans="1:23" x14ac:dyDescent="0.2">
      <c r="A126" s="58">
        <v>98118</v>
      </c>
      <c r="B126" s="62" t="s">
        <v>345</v>
      </c>
      <c r="C126" s="46">
        <v>3</v>
      </c>
      <c r="D126" s="46">
        <v>3</v>
      </c>
      <c r="E126" s="46">
        <v>3</v>
      </c>
      <c r="M126" s="56">
        <v>98102</v>
      </c>
      <c r="N126" s="62" t="s">
        <v>10</v>
      </c>
      <c r="O126" s="36">
        <v>34</v>
      </c>
      <c r="P126" s="36">
        <v>45</v>
      </c>
      <c r="Q126" s="36">
        <v>37</v>
      </c>
      <c r="S126" s="81">
        <v>98220</v>
      </c>
      <c r="T126" s="62" t="s">
        <v>10</v>
      </c>
      <c r="U126" s="36">
        <v>1</v>
      </c>
      <c r="V126" s="33">
        <v>1</v>
      </c>
      <c r="W126" s="36">
        <v>2</v>
      </c>
    </row>
    <row r="127" spans="1:23" x14ac:dyDescent="0.2">
      <c r="A127" s="59">
        <v>98118</v>
      </c>
      <c r="B127" s="62" t="s">
        <v>10</v>
      </c>
      <c r="C127" s="46">
        <v>48</v>
      </c>
      <c r="D127" s="46">
        <v>45</v>
      </c>
      <c r="E127" s="46">
        <v>42</v>
      </c>
      <c r="M127" s="81">
        <v>98103</v>
      </c>
      <c r="N127" s="62" t="s">
        <v>345</v>
      </c>
      <c r="O127" s="36">
        <v>5</v>
      </c>
      <c r="P127" s="36">
        <v>5</v>
      </c>
      <c r="Q127" s="36">
        <v>1</v>
      </c>
      <c r="S127" s="81">
        <v>98221</v>
      </c>
      <c r="T127" s="62" t="s">
        <v>345</v>
      </c>
      <c r="U127" s="36">
        <v>1</v>
      </c>
      <c r="V127" s="36">
        <v>0</v>
      </c>
      <c r="W127" s="36">
        <v>0</v>
      </c>
    </row>
    <row r="128" spans="1:23" x14ac:dyDescent="0.2">
      <c r="A128" s="58">
        <v>98119</v>
      </c>
      <c r="B128" s="62" t="s">
        <v>10</v>
      </c>
      <c r="C128" s="46">
        <v>5</v>
      </c>
      <c r="D128" s="46">
        <v>5</v>
      </c>
      <c r="E128" s="46">
        <v>5</v>
      </c>
      <c r="M128" s="56">
        <v>98103</v>
      </c>
      <c r="N128" s="62" t="s">
        <v>10</v>
      </c>
      <c r="O128" s="36">
        <v>89</v>
      </c>
      <c r="P128" s="36">
        <v>120</v>
      </c>
      <c r="Q128" s="36">
        <v>95</v>
      </c>
      <c r="S128" s="81">
        <v>98221</v>
      </c>
      <c r="T128" s="62" t="s">
        <v>10</v>
      </c>
      <c r="U128" s="36">
        <v>3</v>
      </c>
      <c r="V128" s="36">
        <v>3</v>
      </c>
      <c r="W128" s="36">
        <v>4</v>
      </c>
    </row>
    <row r="129" spans="1:23" x14ac:dyDescent="0.2">
      <c r="A129" s="59">
        <v>98121</v>
      </c>
      <c r="B129" s="62" t="s">
        <v>10</v>
      </c>
      <c r="C129" s="46">
        <v>1</v>
      </c>
      <c r="D129" s="46">
        <v>1</v>
      </c>
      <c r="E129" s="46">
        <v>1</v>
      </c>
      <c r="M129" s="81">
        <v>98104</v>
      </c>
      <c r="N129" s="62" t="s">
        <v>345</v>
      </c>
      <c r="O129" s="36">
        <v>7</v>
      </c>
      <c r="P129" s="36">
        <v>3</v>
      </c>
      <c r="Q129" s="36">
        <v>1</v>
      </c>
      <c r="S129" s="81">
        <v>98223</v>
      </c>
      <c r="T129" s="62" t="s">
        <v>10</v>
      </c>
      <c r="U129" s="36">
        <v>0</v>
      </c>
      <c r="V129" s="36">
        <v>1</v>
      </c>
      <c r="W129" s="36">
        <v>0</v>
      </c>
    </row>
    <row r="130" spans="1:23" x14ac:dyDescent="0.2">
      <c r="A130" s="59">
        <v>98122</v>
      </c>
      <c r="B130" s="62" t="s">
        <v>10</v>
      </c>
      <c r="C130" s="46">
        <v>20</v>
      </c>
      <c r="D130" s="46">
        <v>18</v>
      </c>
      <c r="E130" s="46">
        <v>16</v>
      </c>
      <c r="M130" s="56">
        <v>98104</v>
      </c>
      <c r="N130" s="62" t="s">
        <v>10</v>
      </c>
      <c r="O130" s="36">
        <v>7</v>
      </c>
      <c r="P130" s="36">
        <v>3</v>
      </c>
      <c r="Q130" s="36">
        <v>4</v>
      </c>
      <c r="S130" s="81">
        <v>98225</v>
      </c>
      <c r="T130" s="62" t="s">
        <v>345</v>
      </c>
      <c r="U130" s="36">
        <v>0</v>
      </c>
      <c r="V130" s="36">
        <v>0</v>
      </c>
      <c r="W130" s="33">
        <v>1</v>
      </c>
    </row>
    <row r="131" spans="1:23" x14ac:dyDescent="0.2">
      <c r="A131" s="58">
        <v>98125</v>
      </c>
      <c r="B131" s="62" t="s">
        <v>345</v>
      </c>
      <c r="C131" s="46">
        <v>3</v>
      </c>
      <c r="D131" s="46">
        <v>2</v>
      </c>
      <c r="E131" s="46">
        <v>2</v>
      </c>
      <c r="M131" s="81">
        <v>98105</v>
      </c>
      <c r="N131" s="62" t="s">
        <v>345</v>
      </c>
      <c r="O131" s="36">
        <v>4</v>
      </c>
      <c r="P131" s="36">
        <v>3</v>
      </c>
      <c r="Q131" s="36">
        <v>7</v>
      </c>
      <c r="S131" s="56">
        <v>98225</v>
      </c>
      <c r="T131" s="62" t="s">
        <v>10</v>
      </c>
      <c r="U131" s="36">
        <v>9</v>
      </c>
      <c r="V131" s="36">
        <v>4</v>
      </c>
      <c r="W131" s="36">
        <v>5</v>
      </c>
    </row>
    <row r="132" spans="1:23" x14ac:dyDescent="0.2">
      <c r="A132" s="59">
        <v>98125</v>
      </c>
      <c r="B132" s="62" t="s">
        <v>10</v>
      </c>
      <c r="C132" s="46">
        <v>15</v>
      </c>
      <c r="D132" s="46">
        <v>15</v>
      </c>
      <c r="E132" s="46">
        <v>14</v>
      </c>
      <c r="M132" s="56">
        <v>98105</v>
      </c>
      <c r="N132" s="62" t="s">
        <v>10</v>
      </c>
      <c r="O132" s="36">
        <v>45</v>
      </c>
      <c r="P132" s="36">
        <v>91</v>
      </c>
      <c r="Q132" s="36">
        <v>134</v>
      </c>
      <c r="S132" s="81">
        <v>98226</v>
      </c>
      <c r="T132" s="62" t="s">
        <v>345</v>
      </c>
      <c r="U132" s="36">
        <v>1</v>
      </c>
      <c r="V132" s="36">
        <v>0</v>
      </c>
      <c r="W132" s="36">
        <v>1</v>
      </c>
    </row>
    <row r="133" spans="1:23" x14ac:dyDescent="0.2">
      <c r="A133" s="59">
        <v>98126</v>
      </c>
      <c r="B133" s="62" t="s">
        <v>10</v>
      </c>
      <c r="C133" s="46">
        <v>17</v>
      </c>
      <c r="D133" s="46">
        <v>15</v>
      </c>
      <c r="E133" s="46">
        <v>13</v>
      </c>
      <c r="M133" s="81">
        <v>98106</v>
      </c>
      <c r="N133" s="62" t="s">
        <v>345</v>
      </c>
      <c r="O133" s="36">
        <v>1</v>
      </c>
      <c r="P133" s="36">
        <v>3</v>
      </c>
      <c r="Q133" s="36">
        <v>0</v>
      </c>
      <c r="S133" s="81">
        <v>98226</v>
      </c>
      <c r="T133" s="62" t="s">
        <v>10</v>
      </c>
      <c r="U133" s="33">
        <v>6</v>
      </c>
      <c r="V133" s="36">
        <v>5</v>
      </c>
      <c r="W133" s="33">
        <v>13</v>
      </c>
    </row>
    <row r="134" spans="1:23" x14ac:dyDescent="0.2">
      <c r="A134" s="58">
        <v>98133</v>
      </c>
      <c r="B134" s="62" t="s">
        <v>345</v>
      </c>
      <c r="C134" s="46">
        <v>1</v>
      </c>
      <c r="D134" s="46">
        <v>1</v>
      </c>
      <c r="E134" s="46">
        <v>1</v>
      </c>
      <c r="M134" s="56">
        <v>98106</v>
      </c>
      <c r="N134" s="62" t="s">
        <v>10</v>
      </c>
      <c r="O134" s="36">
        <v>15</v>
      </c>
      <c r="P134" s="36">
        <v>38</v>
      </c>
      <c r="Q134" s="36">
        <v>28</v>
      </c>
      <c r="S134" s="81">
        <v>98229</v>
      </c>
      <c r="T134" s="62" t="s">
        <v>10</v>
      </c>
      <c r="U134" s="33">
        <v>5</v>
      </c>
      <c r="V134" s="36">
        <v>7</v>
      </c>
      <c r="W134" s="33">
        <v>2</v>
      </c>
    </row>
    <row r="135" spans="1:23" x14ac:dyDescent="0.2">
      <c r="A135" s="59">
        <v>98133</v>
      </c>
      <c r="B135" s="62" t="s">
        <v>10</v>
      </c>
      <c r="C135" s="46">
        <v>24</v>
      </c>
      <c r="D135" s="46">
        <v>22</v>
      </c>
      <c r="E135" s="46">
        <v>21</v>
      </c>
      <c r="M135" s="81">
        <v>98107</v>
      </c>
      <c r="N135" s="62" t="s">
        <v>345</v>
      </c>
      <c r="O135" s="36">
        <v>1</v>
      </c>
      <c r="P135" s="36">
        <v>9</v>
      </c>
      <c r="Q135" s="36">
        <v>2</v>
      </c>
      <c r="S135" s="81">
        <v>98230</v>
      </c>
      <c r="T135" s="62" t="s">
        <v>10</v>
      </c>
      <c r="U135" s="33">
        <v>4</v>
      </c>
      <c r="V135" s="36">
        <v>5</v>
      </c>
      <c r="W135" s="36">
        <v>4</v>
      </c>
    </row>
    <row r="136" spans="1:23" x14ac:dyDescent="0.2">
      <c r="A136" s="59">
        <v>98134</v>
      </c>
      <c r="B136" s="62" t="s">
        <v>345</v>
      </c>
      <c r="C136" s="46">
        <v>1</v>
      </c>
      <c r="D136" s="46">
        <v>1</v>
      </c>
      <c r="E136" s="46">
        <v>1</v>
      </c>
      <c r="M136" s="56">
        <v>98107</v>
      </c>
      <c r="N136" s="62" t="s">
        <v>10</v>
      </c>
      <c r="O136" s="36">
        <v>27</v>
      </c>
      <c r="P136" s="36">
        <v>41</v>
      </c>
      <c r="Q136" s="36">
        <v>33</v>
      </c>
      <c r="S136" s="56">
        <v>98232</v>
      </c>
      <c r="T136" s="62" t="s">
        <v>10</v>
      </c>
      <c r="U136" s="36">
        <v>5</v>
      </c>
      <c r="V136" s="36">
        <v>1</v>
      </c>
      <c r="W136" s="36">
        <v>0</v>
      </c>
    </row>
    <row r="137" spans="1:23" x14ac:dyDescent="0.2">
      <c r="A137" s="58">
        <v>98134</v>
      </c>
      <c r="B137" s="62" t="s">
        <v>10</v>
      </c>
      <c r="C137" s="46">
        <v>1</v>
      </c>
      <c r="D137" s="46">
        <v>1</v>
      </c>
      <c r="E137" s="46">
        <v>1</v>
      </c>
      <c r="M137" s="81">
        <v>98108</v>
      </c>
      <c r="N137" s="62" t="s">
        <v>345</v>
      </c>
      <c r="O137" s="36">
        <v>10</v>
      </c>
      <c r="P137" s="36">
        <v>11</v>
      </c>
      <c r="Q137" s="36">
        <v>7</v>
      </c>
      <c r="S137" s="81">
        <v>98233</v>
      </c>
      <c r="T137" s="62" t="s">
        <v>10</v>
      </c>
      <c r="U137" s="36">
        <v>6</v>
      </c>
      <c r="V137" s="36">
        <v>2</v>
      </c>
      <c r="W137" s="36">
        <v>4</v>
      </c>
    </row>
    <row r="138" spans="1:23" x14ac:dyDescent="0.2">
      <c r="A138" s="59">
        <v>98136</v>
      </c>
      <c r="B138" s="62" t="s">
        <v>10</v>
      </c>
      <c r="C138" s="46">
        <v>6</v>
      </c>
      <c r="D138" s="46">
        <v>6</v>
      </c>
      <c r="E138" s="46">
        <v>5</v>
      </c>
      <c r="M138" s="56">
        <v>98108</v>
      </c>
      <c r="N138" s="62" t="s">
        <v>10</v>
      </c>
      <c r="O138" s="36">
        <v>18</v>
      </c>
      <c r="P138" s="36">
        <v>35</v>
      </c>
      <c r="Q138" s="36">
        <v>30</v>
      </c>
      <c r="S138" s="81">
        <v>98236</v>
      </c>
      <c r="T138" s="62" t="s">
        <v>10</v>
      </c>
      <c r="U138" s="36">
        <v>1</v>
      </c>
      <c r="V138" s="36">
        <v>3</v>
      </c>
      <c r="W138" s="36">
        <v>1</v>
      </c>
    </row>
    <row r="139" spans="1:23" x14ac:dyDescent="0.2">
      <c r="A139" s="58">
        <v>98144</v>
      </c>
      <c r="B139" s="62" t="s">
        <v>10</v>
      </c>
      <c r="C139" s="46">
        <v>19</v>
      </c>
      <c r="D139" s="46">
        <v>19</v>
      </c>
      <c r="E139" s="46">
        <v>19</v>
      </c>
      <c r="M139" s="81">
        <v>98109</v>
      </c>
      <c r="N139" s="62" t="s">
        <v>345</v>
      </c>
      <c r="O139" s="36">
        <v>3</v>
      </c>
      <c r="P139" s="36">
        <v>2</v>
      </c>
      <c r="Q139" s="36">
        <v>2</v>
      </c>
      <c r="S139" s="81">
        <v>98237</v>
      </c>
      <c r="T139" s="62" t="s">
        <v>10</v>
      </c>
      <c r="U139" s="36">
        <v>3</v>
      </c>
      <c r="V139" s="36">
        <v>3</v>
      </c>
      <c r="W139" s="36">
        <v>1</v>
      </c>
    </row>
    <row r="140" spans="1:23" x14ac:dyDescent="0.2">
      <c r="A140" s="59">
        <v>98146</v>
      </c>
      <c r="B140" s="62" t="s">
        <v>10</v>
      </c>
      <c r="C140" s="46">
        <v>20</v>
      </c>
      <c r="D140" s="46">
        <v>18</v>
      </c>
      <c r="E140" s="46">
        <v>16</v>
      </c>
      <c r="M140" s="56">
        <v>98109</v>
      </c>
      <c r="N140" s="62" t="s">
        <v>10</v>
      </c>
      <c r="O140" s="36">
        <v>33</v>
      </c>
      <c r="P140" s="36">
        <v>37</v>
      </c>
      <c r="Q140" s="36">
        <v>42</v>
      </c>
      <c r="S140" s="81">
        <v>98239</v>
      </c>
      <c r="T140" s="62" t="s">
        <v>10</v>
      </c>
      <c r="U140" s="36">
        <v>1</v>
      </c>
      <c r="V140" s="33">
        <v>0</v>
      </c>
      <c r="W140" s="33">
        <v>3</v>
      </c>
    </row>
    <row r="141" spans="1:23" x14ac:dyDescent="0.2">
      <c r="A141" s="58">
        <v>98148</v>
      </c>
      <c r="B141" s="62" t="s">
        <v>10</v>
      </c>
      <c r="C141" s="46">
        <v>33</v>
      </c>
      <c r="D141" s="46">
        <v>30</v>
      </c>
      <c r="E141" s="46">
        <v>29</v>
      </c>
      <c r="M141" s="81">
        <v>98110</v>
      </c>
      <c r="N141" s="62" t="s">
        <v>345</v>
      </c>
      <c r="O141" s="36">
        <v>15</v>
      </c>
      <c r="P141" s="36">
        <v>19</v>
      </c>
      <c r="Q141" s="36">
        <v>18</v>
      </c>
      <c r="S141" s="56">
        <v>98240</v>
      </c>
      <c r="T141" s="62" t="s">
        <v>10</v>
      </c>
      <c r="U141" s="33">
        <v>1</v>
      </c>
      <c r="V141" s="33">
        <v>2</v>
      </c>
      <c r="W141" s="36">
        <v>1</v>
      </c>
    </row>
    <row r="142" spans="1:23" x14ac:dyDescent="0.2">
      <c r="A142" s="59">
        <v>98155</v>
      </c>
      <c r="B142" s="62" t="s">
        <v>10</v>
      </c>
      <c r="C142" s="46">
        <v>23</v>
      </c>
      <c r="D142" s="46">
        <v>22</v>
      </c>
      <c r="E142" s="46">
        <v>21</v>
      </c>
      <c r="M142" s="81">
        <v>98110</v>
      </c>
      <c r="N142" s="62" t="s">
        <v>10</v>
      </c>
      <c r="O142" s="36">
        <v>72</v>
      </c>
      <c r="P142" s="36">
        <v>130</v>
      </c>
      <c r="Q142" s="36">
        <v>66</v>
      </c>
      <c r="S142" s="81">
        <v>98244</v>
      </c>
      <c r="T142" s="62" t="s">
        <v>10</v>
      </c>
      <c r="U142" s="36">
        <v>1</v>
      </c>
      <c r="V142" s="36">
        <v>1</v>
      </c>
      <c r="W142" s="36">
        <v>1</v>
      </c>
    </row>
    <row r="143" spans="1:23" x14ac:dyDescent="0.2">
      <c r="A143" s="58">
        <v>98166</v>
      </c>
      <c r="B143" s="62" t="s">
        <v>10</v>
      </c>
      <c r="C143" s="46">
        <v>24</v>
      </c>
      <c r="D143" s="46">
        <v>21</v>
      </c>
      <c r="E143" s="46">
        <v>19</v>
      </c>
      <c r="M143" s="56">
        <v>98112</v>
      </c>
      <c r="N143" s="62" t="s">
        <v>345</v>
      </c>
      <c r="O143" s="36">
        <v>1</v>
      </c>
      <c r="P143" s="36">
        <v>1</v>
      </c>
      <c r="Q143" s="36">
        <v>3</v>
      </c>
      <c r="S143" s="81">
        <v>98247</v>
      </c>
      <c r="T143" s="62" t="s">
        <v>10</v>
      </c>
      <c r="U143" s="36">
        <v>2</v>
      </c>
      <c r="V143" s="33">
        <v>0</v>
      </c>
      <c r="W143" s="36">
        <v>1</v>
      </c>
    </row>
    <row r="144" spans="1:23" x14ac:dyDescent="0.2">
      <c r="A144" s="59">
        <v>98168</v>
      </c>
      <c r="B144" s="62" t="s">
        <v>345</v>
      </c>
      <c r="C144" s="46">
        <v>3</v>
      </c>
      <c r="D144" s="46">
        <v>3</v>
      </c>
      <c r="E144" s="46">
        <v>3</v>
      </c>
      <c r="M144" s="81">
        <v>98112</v>
      </c>
      <c r="N144" s="62" t="s">
        <v>10</v>
      </c>
      <c r="O144" s="36">
        <v>47</v>
      </c>
      <c r="P144" s="33">
        <v>33</v>
      </c>
      <c r="Q144" s="36">
        <v>43</v>
      </c>
      <c r="S144" s="81">
        <v>98248</v>
      </c>
      <c r="T144" s="62" t="s">
        <v>345</v>
      </c>
      <c r="U144" s="33">
        <v>0</v>
      </c>
      <c r="V144" s="36">
        <v>0</v>
      </c>
      <c r="W144" s="33">
        <v>1</v>
      </c>
    </row>
    <row r="145" spans="1:23" x14ac:dyDescent="0.2">
      <c r="A145" s="58">
        <v>98168</v>
      </c>
      <c r="B145" s="62" t="s">
        <v>10</v>
      </c>
      <c r="C145" s="46">
        <v>56</v>
      </c>
      <c r="D145" s="46">
        <v>50</v>
      </c>
      <c r="E145" s="46">
        <v>44</v>
      </c>
      <c r="M145" s="56">
        <v>98115</v>
      </c>
      <c r="N145" s="62" t="s">
        <v>345</v>
      </c>
      <c r="O145" s="36">
        <v>0</v>
      </c>
      <c r="P145" s="36">
        <v>2</v>
      </c>
      <c r="Q145" s="36">
        <v>1</v>
      </c>
      <c r="S145" s="56">
        <v>98248</v>
      </c>
      <c r="T145" s="62" t="s">
        <v>10</v>
      </c>
      <c r="U145" s="36">
        <v>4</v>
      </c>
      <c r="V145" s="36">
        <v>2</v>
      </c>
      <c r="W145" s="36">
        <v>4</v>
      </c>
    </row>
    <row r="146" spans="1:23" x14ac:dyDescent="0.2">
      <c r="A146" s="59">
        <v>98177</v>
      </c>
      <c r="B146" s="62" t="s">
        <v>10</v>
      </c>
      <c r="C146" s="46">
        <v>16</v>
      </c>
      <c r="D146" s="46">
        <v>15</v>
      </c>
      <c r="E146" s="46">
        <v>15</v>
      </c>
      <c r="M146" s="81">
        <v>98115</v>
      </c>
      <c r="N146" s="62" t="s">
        <v>10</v>
      </c>
      <c r="O146" s="33">
        <v>50</v>
      </c>
      <c r="P146" s="33">
        <v>71</v>
      </c>
      <c r="Q146" s="36">
        <v>50</v>
      </c>
      <c r="S146" s="81">
        <v>98249</v>
      </c>
      <c r="T146" s="62" t="s">
        <v>10</v>
      </c>
      <c r="U146" s="36">
        <v>1</v>
      </c>
      <c r="V146" s="36">
        <v>1</v>
      </c>
      <c r="W146" s="36">
        <v>1</v>
      </c>
    </row>
    <row r="147" spans="1:23" x14ac:dyDescent="0.2">
      <c r="A147" s="59">
        <v>98178</v>
      </c>
      <c r="B147" s="62" t="s">
        <v>345</v>
      </c>
      <c r="C147" s="46">
        <v>3</v>
      </c>
      <c r="D147" s="46">
        <v>2</v>
      </c>
      <c r="E147" s="46">
        <v>2</v>
      </c>
      <c r="M147" s="56">
        <v>98116</v>
      </c>
      <c r="N147" s="62" t="s">
        <v>345</v>
      </c>
      <c r="O147" s="36">
        <v>1</v>
      </c>
      <c r="P147" s="36">
        <v>1</v>
      </c>
      <c r="Q147" s="36">
        <v>0</v>
      </c>
      <c r="S147" s="81">
        <v>98257</v>
      </c>
      <c r="T147" s="62" t="s">
        <v>345</v>
      </c>
      <c r="U147" s="36">
        <v>0</v>
      </c>
      <c r="V147" s="36">
        <v>0</v>
      </c>
      <c r="W147" s="36">
        <v>1</v>
      </c>
    </row>
    <row r="148" spans="1:23" x14ac:dyDescent="0.2">
      <c r="A148" s="58">
        <v>98178</v>
      </c>
      <c r="B148" s="62" t="s">
        <v>10</v>
      </c>
      <c r="C148" s="46">
        <v>32</v>
      </c>
      <c r="D148" s="46">
        <v>30</v>
      </c>
      <c r="E148" s="46">
        <v>26</v>
      </c>
      <c r="M148" s="81">
        <v>98116</v>
      </c>
      <c r="N148" s="62" t="s">
        <v>10</v>
      </c>
      <c r="O148" s="36">
        <v>38</v>
      </c>
      <c r="P148" s="33">
        <v>31</v>
      </c>
      <c r="Q148" s="36">
        <v>30</v>
      </c>
      <c r="S148" s="81">
        <v>98257</v>
      </c>
      <c r="T148" s="62" t="s">
        <v>10</v>
      </c>
      <c r="U148" s="33">
        <v>1</v>
      </c>
      <c r="V148" s="36">
        <v>2</v>
      </c>
      <c r="W148" s="36">
        <v>1</v>
      </c>
    </row>
    <row r="149" spans="1:23" x14ac:dyDescent="0.2">
      <c r="A149" s="59">
        <v>98188</v>
      </c>
      <c r="B149" s="62" t="s">
        <v>345</v>
      </c>
      <c r="C149" s="46">
        <v>4</v>
      </c>
      <c r="D149" s="46">
        <v>3</v>
      </c>
      <c r="E149" s="46">
        <v>3</v>
      </c>
      <c r="M149" s="56">
        <v>98117</v>
      </c>
      <c r="N149" s="62" t="s">
        <v>345</v>
      </c>
      <c r="O149" s="36">
        <v>0</v>
      </c>
      <c r="P149" s="36">
        <v>0</v>
      </c>
      <c r="Q149" s="36">
        <v>1</v>
      </c>
      <c r="S149" s="81">
        <v>98258</v>
      </c>
      <c r="T149" s="62" t="s">
        <v>10</v>
      </c>
      <c r="U149" s="36">
        <v>2</v>
      </c>
      <c r="V149" s="36">
        <v>0</v>
      </c>
      <c r="W149" s="36">
        <v>6</v>
      </c>
    </row>
    <row r="150" spans="1:23" x14ac:dyDescent="0.2">
      <c r="A150" s="58">
        <v>98188</v>
      </c>
      <c r="B150" s="62" t="s">
        <v>10</v>
      </c>
      <c r="C150" s="46">
        <v>86</v>
      </c>
      <c r="D150" s="46">
        <v>84</v>
      </c>
      <c r="E150" s="46">
        <v>75</v>
      </c>
      <c r="M150" s="81">
        <v>98117</v>
      </c>
      <c r="N150" s="62" t="s">
        <v>10</v>
      </c>
      <c r="O150" s="36">
        <v>53</v>
      </c>
      <c r="P150" s="36">
        <v>43</v>
      </c>
      <c r="Q150" s="36">
        <v>76</v>
      </c>
      <c r="S150" s="81">
        <v>98260</v>
      </c>
      <c r="T150" s="62" t="s">
        <v>10</v>
      </c>
      <c r="U150" s="33">
        <v>1</v>
      </c>
      <c r="V150" s="36">
        <v>1</v>
      </c>
      <c r="W150" s="33">
        <v>0</v>
      </c>
    </row>
    <row r="151" spans="1:23" x14ac:dyDescent="0.2">
      <c r="A151" s="59">
        <v>98198</v>
      </c>
      <c r="B151" s="62" t="s">
        <v>345</v>
      </c>
      <c r="C151" s="46">
        <v>3</v>
      </c>
      <c r="D151" s="46">
        <v>3</v>
      </c>
      <c r="E151" s="46">
        <v>3</v>
      </c>
      <c r="M151" s="56">
        <v>98118</v>
      </c>
      <c r="N151" s="62" t="s">
        <v>345</v>
      </c>
      <c r="O151" s="36">
        <v>0</v>
      </c>
      <c r="P151" s="36">
        <v>3</v>
      </c>
      <c r="Q151" s="36">
        <v>0</v>
      </c>
      <c r="S151" s="56">
        <v>98264</v>
      </c>
      <c r="T151" s="62" t="s">
        <v>345</v>
      </c>
      <c r="U151" s="36">
        <v>0</v>
      </c>
      <c r="V151" s="36">
        <v>0</v>
      </c>
      <c r="W151" s="36">
        <v>1</v>
      </c>
    </row>
    <row r="152" spans="1:23" x14ac:dyDescent="0.2">
      <c r="A152" s="59">
        <v>98198</v>
      </c>
      <c r="B152" s="62" t="s">
        <v>10</v>
      </c>
      <c r="C152" s="46">
        <v>143</v>
      </c>
      <c r="D152" s="46">
        <v>137</v>
      </c>
      <c r="E152" s="46">
        <v>121</v>
      </c>
      <c r="M152" s="81">
        <v>98118</v>
      </c>
      <c r="N152" s="62" t="s">
        <v>10</v>
      </c>
      <c r="O152" s="33">
        <v>44</v>
      </c>
      <c r="P152" s="36">
        <v>41</v>
      </c>
      <c r="Q152" s="36">
        <v>59</v>
      </c>
      <c r="S152" s="81">
        <v>98264</v>
      </c>
      <c r="T152" s="62" t="s">
        <v>10</v>
      </c>
      <c r="U152" s="36">
        <v>1</v>
      </c>
      <c r="V152" s="36">
        <v>4</v>
      </c>
      <c r="W152" s="36">
        <v>2</v>
      </c>
    </row>
    <row r="153" spans="1:23" x14ac:dyDescent="0.2">
      <c r="A153" s="58">
        <v>98199</v>
      </c>
      <c r="B153" s="62" t="s">
        <v>345</v>
      </c>
      <c r="C153" s="46">
        <v>1</v>
      </c>
      <c r="D153" s="46">
        <v>1</v>
      </c>
      <c r="E153" s="46">
        <v>1</v>
      </c>
      <c r="M153" s="56">
        <v>98119</v>
      </c>
      <c r="N153" s="62" t="s">
        <v>345</v>
      </c>
      <c r="O153" s="36">
        <v>2</v>
      </c>
      <c r="P153" s="36">
        <v>0</v>
      </c>
      <c r="Q153" s="36">
        <v>0</v>
      </c>
      <c r="S153" s="81">
        <v>98266</v>
      </c>
      <c r="T153" s="62" t="s">
        <v>10</v>
      </c>
      <c r="U153" s="36">
        <v>0</v>
      </c>
      <c r="V153" s="33">
        <v>1</v>
      </c>
      <c r="W153" s="33">
        <v>0</v>
      </c>
    </row>
    <row r="154" spans="1:23" x14ac:dyDescent="0.2">
      <c r="A154" s="59">
        <v>98199</v>
      </c>
      <c r="B154" s="62" t="s">
        <v>10</v>
      </c>
      <c r="C154" s="46">
        <v>7</v>
      </c>
      <c r="D154" s="46">
        <v>6</v>
      </c>
      <c r="E154" s="46">
        <v>6</v>
      </c>
      <c r="M154" s="81">
        <v>98119</v>
      </c>
      <c r="N154" s="62" t="s">
        <v>10</v>
      </c>
      <c r="O154" s="36">
        <v>31</v>
      </c>
      <c r="P154" s="36">
        <v>54</v>
      </c>
      <c r="Q154" s="36">
        <v>29</v>
      </c>
      <c r="S154" s="81">
        <v>98267</v>
      </c>
      <c r="T154" s="62" t="s">
        <v>10</v>
      </c>
      <c r="U154" s="36">
        <v>1</v>
      </c>
      <c r="V154" s="36">
        <v>0</v>
      </c>
      <c r="W154" s="33">
        <v>0</v>
      </c>
    </row>
    <row r="155" spans="1:23" x14ac:dyDescent="0.2">
      <c r="A155" s="58">
        <v>98201</v>
      </c>
      <c r="B155" s="62" t="s">
        <v>10</v>
      </c>
      <c r="C155" s="46">
        <v>23</v>
      </c>
      <c r="D155" s="46">
        <v>22</v>
      </c>
      <c r="E155" s="46">
        <v>20</v>
      </c>
      <c r="M155" s="56">
        <v>98121</v>
      </c>
      <c r="N155" s="62" t="s">
        <v>345</v>
      </c>
      <c r="O155" s="36">
        <v>2</v>
      </c>
      <c r="P155" s="36">
        <v>3</v>
      </c>
      <c r="Q155" s="36">
        <v>2</v>
      </c>
      <c r="S155" s="81">
        <v>98270</v>
      </c>
      <c r="T155" s="62" t="s">
        <v>10</v>
      </c>
      <c r="U155" s="36">
        <v>7</v>
      </c>
      <c r="V155" s="33">
        <v>5</v>
      </c>
      <c r="W155" s="36">
        <v>7</v>
      </c>
    </row>
    <row r="156" spans="1:23" x14ac:dyDescent="0.2">
      <c r="A156" s="59">
        <v>98203</v>
      </c>
      <c r="B156" s="62" t="s">
        <v>10</v>
      </c>
      <c r="C156" s="46">
        <v>22</v>
      </c>
      <c r="D156" s="46">
        <v>19</v>
      </c>
      <c r="E156" s="46">
        <v>17</v>
      </c>
      <c r="M156" s="81">
        <v>98121</v>
      </c>
      <c r="N156" s="62" t="s">
        <v>10</v>
      </c>
      <c r="O156" s="36">
        <v>14</v>
      </c>
      <c r="P156" s="36">
        <v>11</v>
      </c>
      <c r="Q156" s="36">
        <v>4</v>
      </c>
      <c r="S156" s="81">
        <v>98271</v>
      </c>
      <c r="T156" s="62" t="s">
        <v>10</v>
      </c>
      <c r="U156" s="36">
        <v>3</v>
      </c>
      <c r="V156" s="36">
        <v>1</v>
      </c>
      <c r="W156" s="36">
        <v>0</v>
      </c>
    </row>
    <row r="157" spans="1:23" x14ac:dyDescent="0.2">
      <c r="A157" s="58">
        <v>98204</v>
      </c>
      <c r="B157" s="62" t="s">
        <v>345</v>
      </c>
      <c r="C157" s="46">
        <v>3</v>
      </c>
      <c r="D157" s="46">
        <v>3</v>
      </c>
      <c r="E157" s="46">
        <v>3</v>
      </c>
      <c r="M157" s="56">
        <v>98122</v>
      </c>
      <c r="N157" s="62" t="s">
        <v>345</v>
      </c>
      <c r="O157" s="36">
        <v>3</v>
      </c>
      <c r="P157" s="36">
        <v>3</v>
      </c>
      <c r="Q157" s="36">
        <v>3</v>
      </c>
      <c r="S157" s="81">
        <v>98272</v>
      </c>
      <c r="T157" s="62" t="s">
        <v>10</v>
      </c>
      <c r="U157" s="36">
        <v>0</v>
      </c>
      <c r="V157" s="36">
        <v>0</v>
      </c>
      <c r="W157" s="36">
        <v>4</v>
      </c>
    </row>
    <row r="158" spans="1:23" x14ac:dyDescent="0.2">
      <c r="A158" s="59">
        <v>98204</v>
      </c>
      <c r="B158" s="62" t="s">
        <v>10</v>
      </c>
      <c r="C158" s="46">
        <v>24</v>
      </c>
      <c r="D158" s="46">
        <v>22</v>
      </c>
      <c r="E158" s="46">
        <v>21</v>
      </c>
      <c r="M158" s="81">
        <v>98122</v>
      </c>
      <c r="N158" s="62" t="s">
        <v>10</v>
      </c>
      <c r="O158" s="36">
        <v>70</v>
      </c>
      <c r="P158" s="36">
        <v>103</v>
      </c>
      <c r="Q158" s="36">
        <v>76</v>
      </c>
      <c r="S158" s="81">
        <v>98273</v>
      </c>
      <c r="T158" s="62" t="s">
        <v>10</v>
      </c>
      <c r="U158" s="33">
        <v>6</v>
      </c>
      <c r="V158" s="36">
        <v>8</v>
      </c>
      <c r="W158" s="33">
        <v>9</v>
      </c>
    </row>
    <row r="159" spans="1:23" x14ac:dyDescent="0.2">
      <c r="A159" s="58">
        <v>98208</v>
      </c>
      <c r="B159" s="62" t="s">
        <v>10</v>
      </c>
      <c r="C159" s="46">
        <v>37</v>
      </c>
      <c r="D159" s="46">
        <v>34</v>
      </c>
      <c r="E159" s="46">
        <v>33</v>
      </c>
      <c r="M159" s="81">
        <v>98125</v>
      </c>
      <c r="N159" s="62" t="s">
        <v>345</v>
      </c>
      <c r="O159" s="36">
        <v>1</v>
      </c>
      <c r="P159" s="36">
        <v>2</v>
      </c>
      <c r="Q159" s="36">
        <v>2</v>
      </c>
      <c r="S159" s="81">
        <v>98274</v>
      </c>
      <c r="T159" s="62" t="s">
        <v>345</v>
      </c>
      <c r="U159" s="36">
        <v>0</v>
      </c>
      <c r="V159" s="33">
        <v>1</v>
      </c>
      <c r="W159" s="33">
        <v>0</v>
      </c>
    </row>
    <row r="160" spans="1:23" x14ac:dyDescent="0.2">
      <c r="A160" s="59">
        <v>98220</v>
      </c>
      <c r="B160" s="62" t="s">
        <v>10</v>
      </c>
      <c r="C160" s="46">
        <v>5</v>
      </c>
      <c r="D160" s="46">
        <v>4</v>
      </c>
      <c r="E160" s="46">
        <v>3</v>
      </c>
      <c r="M160" s="56">
        <v>98125</v>
      </c>
      <c r="N160" s="62" t="s">
        <v>10</v>
      </c>
      <c r="O160" s="36">
        <v>30</v>
      </c>
      <c r="P160" s="36">
        <v>39</v>
      </c>
      <c r="Q160" s="36">
        <v>20</v>
      </c>
      <c r="S160" s="81">
        <v>98274</v>
      </c>
      <c r="T160" s="62" t="s">
        <v>10</v>
      </c>
      <c r="U160" s="33">
        <v>3</v>
      </c>
      <c r="V160" s="36">
        <v>2</v>
      </c>
      <c r="W160" s="33">
        <v>5</v>
      </c>
    </row>
    <row r="161" spans="1:23" x14ac:dyDescent="0.2">
      <c r="A161" s="58">
        <v>98221</v>
      </c>
      <c r="B161" s="62" t="s">
        <v>345</v>
      </c>
      <c r="C161" s="46">
        <v>1</v>
      </c>
      <c r="D161" s="46">
        <v>1</v>
      </c>
      <c r="E161" s="46">
        <v>1</v>
      </c>
      <c r="M161" s="81">
        <v>98126</v>
      </c>
      <c r="N161" s="62" t="s">
        <v>10</v>
      </c>
      <c r="O161" s="36">
        <v>38</v>
      </c>
      <c r="P161" s="36">
        <v>35</v>
      </c>
      <c r="Q161" s="36">
        <v>28</v>
      </c>
      <c r="S161" s="81">
        <v>98275</v>
      </c>
      <c r="T161" s="62" t="s">
        <v>345</v>
      </c>
      <c r="U161" s="36">
        <v>1</v>
      </c>
      <c r="V161" s="36">
        <v>0</v>
      </c>
      <c r="W161" s="36">
        <v>0</v>
      </c>
    </row>
    <row r="162" spans="1:23" x14ac:dyDescent="0.2">
      <c r="A162" s="59">
        <v>98221</v>
      </c>
      <c r="B162" s="62" t="s">
        <v>10</v>
      </c>
      <c r="C162" s="46">
        <v>34</v>
      </c>
      <c r="D162" s="46">
        <v>31</v>
      </c>
      <c r="E162" s="46">
        <v>27</v>
      </c>
      <c r="M162" s="56">
        <v>98133</v>
      </c>
      <c r="N162" s="62" t="s">
        <v>345</v>
      </c>
      <c r="O162" s="36">
        <v>5</v>
      </c>
      <c r="P162" s="36">
        <v>2</v>
      </c>
      <c r="Q162" s="33">
        <v>5</v>
      </c>
      <c r="S162" s="81">
        <v>98275</v>
      </c>
      <c r="T162" s="62" t="s">
        <v>10</v>
      </c>
      <c r="U162" s="36">
        <v>1</v>
      </c>
      <c r="V162" s="36">
        <v>0</v>
      </c>
      <c r="W162" s="36">
        <v>1</v>
      </c>
    </row>
    <row r="163" spans="1:23" x14ac:dyDescent="0.2">
      <c r="A163" s="58">
        <v>98224</v>
      </c>
      <c r="B163" s="62" t="s">
        <v>10</v>
      </c>
      <c r="C163" s="46">
        <v>3</v>
      </c>
      <c r="D163" s="46">
        <v>3</v>
      </c>
      <c r="E163" s="46">
        <v>3</v>
      </c>
      <c r="M163" s="81">
        <v>98133</v>
      </c>
      <c r="N163" s="62" t="s">
        <v>10</v>
      </c>
      <c r="O163" s="36">
        <v>51</v>
      </c>
      <c r="P163" s="33">
        <v>70</v>
      </c>
      <c r="Q163" s="33">
        <v>38</v>
      </c>
      <c r="S163" s="81">
        <v>98276</v>
      </c>
      <c r="T163" s="62" t="s">
        <v>10</v>
      </c>
      <c r="U163" s="36">
        <v>1</v>
      </c>
      <c r="V163" s="36">
        <v>0</v>
      </c>
      <c r="W163" s="36">
        <v>0</v>
      </c>
    </row>
    <row r="164" spans="1:23" x14ac:dyDescent="0.2">
      <c r="A164" s="59">
        <v>98225</v>
      </c>
      <c r="B164" s="62" t="s">
        <v>345</v>
      </c>
      <c r="C164" s="46">
        <v>4</v>
      </c>
      <c r="D164" s="46">
        <v>4</v>
      </c>
      <c r="E164" s="46">
        <v>4</v>
      </c>
      <c r="M164" s="56">
        <v>98134</v>
      </c>
      <c r="N164" s="62" t="s">
        <v>345</v>
      </c>
      <c r="O164" s="36">
        <v>3</v>
      </c>
      <c r="P164" s="36">
        <v>2</v>
      </c>
      <c r="Q164" s="36">
        <v>3</v>
      </c>
      <c r="S164" s="81">
        <v>98277</v>
      </c>
      <c r="T164" s="62" t="s">
        <v>345</v>
      </c>
      <c r="U164" s="36">
        <v>1</v>
      </c>
      <c r="V164" s="33">
        <v>0</v>
      </c>
      <c r="W164" s="33">
        <v>0</v>
      </c>
    </row>
    <row r="165" spans="1:23" x14ac:dyDescent="0.2">
      <c r="A165" s="58">
        <v>98225</v>
      </c>
      <c r="B165" s="62" t="s">
        <v>10</v>
      </c>
      <c r="C165" s="46">
        <v>54</v>
      </c>
      <c r="D165" s="46">
        <v>45</v>
      </c>
      <c r="E165" s="46">
        <v>41</v>
      </c>
      <c r="M165" s="81">
        <v>98134</v>
      </c>
      <c r="N165" s="62" t="s">
        <v>10</v>
      </c>
      <c r="O165" s="36">
        <v>0</v>
      </c>
      <c r="P165" s="36">
        <v>1</v>
      </c>
      <c r="Q165" s="36">
        <v>1</v>
      </c>
      <c r="S165" s="81">
        <v>98277</v>
      </c>
      <c r="T165" s="62" t="s">
        <v>10</v>
      </c>
      <c r="U165" s="33">
        <v>9</v>
      </c>
      <c r="V165" s="36">
        <v>4</v>
      </c>
      <c r="W165" s="36">
        <v>12</v>
      </c>
    </row>
    <row r="166" spans="1:23" x14ac:dyDescent="0.2">
      <c r="A166" s="59">
        <v>98226</v>
      </c>
      <c r="B166" s="62" t="s">
        <v>345</v>
      </c>
      <c r="C166" s="46">
        <v>4</v>
      </c>
      <c r="D166" s="46">
        <v>3</v>
      </c>
      <c r="E166" s="46">
        <v>3</v>
      </c>
      <c r="M166" s="56">
        <v>98136</v>
      </c>
      <c r="N166" s="62" t="s">
        <v>10</v>
      </c>
      <c r="O166" s="36">
        <v>23</v>
      </c>
      <c r="P166" s="36">
        <v>24</v>
      </c>
      <c r="Q166" s="36">
        <v>22</v>
      </c>
      <c r="S166" s="81">
        <v>98284</v>
      </c>
      <c r="T166" s="62" t="s">
        <v>10</v>
      </c>
      <c r="U166" s="36">
        <v>4</v>
      </c>
      <c r="V166" s="36">
        <v>6</v>
      </c>
      <c r="W166" s="36">
        <v>13</v>
      </c>
    </row>
    <row r="167" spans="1:23" x14ac:dyDescent="0.2">
      <c r="A167" s="59">
        <v>98226</v>
      </c>
      <c r="B167" s="62" t="s">
        <v>10</v>
      </c>
      <c r="C167" s="46">
        <v>83</v>
      </c>
      <c r="D167" s="46">
        <v>77</v>
      </c>
      <c r="E167" s="46">
        <v>72</v>
      </c>
      <c r="M167" s="81">
        <v>98144</v>
      </c>
      <c r="N167" s="62" t="s">
        <v>345</v>
      </c>
      <c r="O167" s="36">
        <v>7</v>
      </c>
      <c r="P167" s="33">
        <v>3</v>
      </c>
      <c r="Q167" s="36">
        <v>1</v>
      </c>
      <c r="S167" s="81">
        <v>98290</v>
      </c>
      <c r="T167" s="62" t="s">
        <v>345</v>
      </c>
      <c r="U167" s="33">
        <v>0</v>
      </c>
      <c r="V167" s="36">
        <v>0</v>
      </c>
      <c r="W167" s="36">
        <v>1</v>
      </c>
    </row>
    <row r="168" spans="1:23" x14ac:dyDescent="0.2">
      <c r="A168" s="58">
        <v>98229</v>
      </c>
      <c r="B168" s="62" t="s">
        <v>345</v>
      </c>
      <c r="C168" s="46">
        <v>1</v>
      </c>
      <c r="D168" s="46">
        <v>1</v>
      </c>
      <c r="E168" s="46">
        <v>1</v>
      </c>
      <c r="M168" s="56">
        <v>98144</v>
      </c>
      <c r="N168" s="62" t="s">
        <v>10</v>
      </c>
      <c r="O168" s="36">
        <v>57</v>
      </c>
      <c r="P168" s="36">
        <v>62</v>
      </c>
      <c r="Q168" s="36">
        <v>50</v>
      </c>
      <c r="S168" s="81">
        <v>98290</v>
      </c>
      <c r="T168" s="62" t="s">
        <v>10</v>
      </c>
      <c r="U168" s="36">
        <v>0</v>
      </c>
      <c r="V168" s="33">
        <v>1</v>
      </c>
      <c r="W168" s="36">
        <v>0</v>
      </c>
    </row>
    <row r="169" spans="1:23" x14ac:dyDescent="0.2">
      <c r="A169" s="59">
        <v>98229</v>
      </c>
      <c r="B169" s="62" t="s">
        <v>10</v>
      </c>
      <c r="C169" s="46">
        <v>54</v>
      </c>
      <c r="D169" s="46">
        <v>49</v>
      </c>
      <c r="E169" s="46">
        <v>41</v>
      </c>
      <c r="M169" s="81">
        <v>98146</v>
      </c>
      <c r="N169" s="62" t="s">
        <v>345</v>
      </c>
      <c r="O169" s="36">
        <v>0</v>
      </c>
      <c r="P169" s="36">
        <v>1</v>
      </c>
      <c r="Q169" s="36">
        <v>0</v>
      </c>
      <c r="S169" s="81">
        <v>98294</v>
      </c>
      <c r="T169" s="62" t="s">
        <v>10</v>
      </c>
      <c r="U169" s="36">
        <v>0</v>
      </c>
      <c r="V169" s="33">
        <v>1</v>
      </c>
      <c r="W169" s="33">
        <v>2</v>
      </c>
    </row>
    <row r="170" spans="1:23" x14ac:dyDescent="0.2">
      <c r="A170" s="58">
        <v>98230</v>
      </c>
      <c r="B170" s="62" t="s">
        <v>10</v>
      </c>
      <c r="C170" s="46">
        <v>24</v>
      </c>
      <c r="D170" s="46">
        <v>21</v>
      </c>
      <c r="E170" s="46">
        <v>18</v>
      </c>
      <c r="M170" s="56">
        <v>98146</v>
      </c>
      <c r="N170" s="62" t="s">
        <v>10</v>
      </c>
      <c r="O170" s="36">
        <v>24</v>
      </c>
      <c r="P170" s="36">
        <v>28</v>
      </c>
      <c r="Q170" s="36">
        <v>23</v>
      </c>
      <c r="S170" s="81">
        <v>98295</v>
      </c>
      <c r="T170" s="62" t="s">
        <v>10</v>
      </c>
      <c r="U170" s="36">
        <v>1</v>
      </c>
      <c r="V170" s="36">
        <v>0</v>
      </c>
      <c r="W170" s="33">
        <v>0</v>
      </c>
    </row>
    <row r="171" spans="1:23" x14ac:dyDescent="0.2">
      <c r="A171" s="59">
        <v>98232</v>
      </c>
      <c r="B171" s="62" t="s">
        <v>10</v>
      </c>
      <c r="C171" s="46">
        <v>17</v>
      </c>
      <c r="D171" s="46">
        <v>12</v>
      </c>
      <c r="E171" s="46">
        <v>11</v>
      </c>
      <c r="M171" s="81">
        <v>98148</v>
      </c>
      <c r="N171" s="62" t="s">
        <v>345</v>
      </c>
      <c r="O171" s="36">
        <v>3</v>
      </c>
      <c r="P171" s="36">
        <v>2</v>
      </c>
      <c r="Q171" s="36">
        <v>5</v>
      </c>
      <c r="S171" s="56">
        <v>98296</v>
      </c>
      <c r="T171" s="62" t="s">
        <v>10</v>
      </c>
      <c r="U171" s="36">
        <v>2</v>
      </c>
      <c r="V171" s="36">
        <v>0</v>
      </c>
      <c r="W171" s="36">
        <v>4</v>
      </c>
    </row>
    <row r="172" spans="1:23" x14ac:dyDescent="0.2">
      <c r="A172" s="58">
        <v>98233</v>
      </c>
      <c r="B172" s="62" t="s">
        <v>345</v>
      </c>
      <c r="C172" s="46">
        <v>1</v>
      </c>
      <c r="D172" s="46">
        <v>1</v>
      </c>
      <c r="E172" s="46">
        <v>1</v>
      </c>
      <c r="M172" s="56">
        <v>98148</v>
      </c>
      <c r="N172" s="62" t="s">
        <v>10</v>
      </c>
      <c r="O172" s="36">
        <v>24</v>
      </c>
      <c r="P172" s="36">
        <v>21</v>
      </c>
      <c r="Q172" s="36">
        <v>27</v>
      </c>
      <c r="S172" s="81">
        <v>98310</v>
      </c>
      <c r="T172" s="62" t="s">
        <v>345</v>
      </c>
      <c r="U172" s="33">
        <v>0</v>
      </c>
      <c r="V172" s="36">
        <v>0</v>
      </c>
      <c r="W172" s="36">
        <v>1</v>
      </c>
    </row>
    <row r="173" spans="1:23" x14ac:dyDescent="0.2">
      <c r="A173" s="59">
        <v>98233</v>
      </c>
      <c r="B173" s="62" t="s">
        <v>10</v>
      </c>
      <c r="C173" s="46">
        <v>46</v>
      </c>
      <c r="D173" s="46">
        <v>40</v>
      </c>
      <c r="E173" s="46">
        <v>38</v>
      </c>
      <c r="M173" s="81">
        <v>98155</v>
      </c>
      <c r="N173" s="62" t="s">
        <v>345</v>
      </c>
      <c r="O173" s="36">
        <v>2</v>
      </c>
      <c r="P173" s="36">
        <v>1</v>
      </c>
      <c r="Q173" s="36">
        <v>9</v>
      </c>
      <c r="S173" s="81">
        <v>98310</v>
      </c>
      <c r="T173" s="62" t="s">
        <v>10</v>
      </c>
      <c r="U173" s="33">
        <v>7</v>
      </c>
      <c r="V173" s="36">
        <v>6</v>
      </c>
      <c r="W173" s="33">
        <v>5</v>
      </c>
    </row>
    <row r="174" spans="1:23" x14ac:dyDescent="0.2">
      <c r="A174" s="58">
        <v>98235</v>
      </c>
      <c r="B174" s="62" t="s">
        <v>10</v>
      </c>
      <c r="C174" s="46">
        <v>1</v>
      </c>
      <c r="D174" s="46">
        <v>1</v>
      </c>
      <c r="E174" s="46">
        <v>1</v>
      </c>
      <c r="M174" s="56">
        <v>98155</v>
      </c>
      <c r="N174" s="62" t="s">
        <v>10</v>
      </c>
      <c r="O174" s="36">
        <v>24</v>
      </c>
      <c r="P174" s="36">
        <v>28</v>
      </c>
      <c r="Q174" s="36">
        <v>39</v>
      </c>
      <c r="S174" s="56">
        <v>98311</v>
      </c>
      <c r="T174" s="62" t="s">
        <v>10</v>
      </c>
      <c r="U174" s="36">
        <v>7</v>
      </c>
      <c r="V174" s="36">
        <v>6</v>
      </c>
      <c r="W174" s="36">
        <v>10</v>
      </c>
    </row>
    <row r="175" spans="1:23" x14ac:dyDescent="0.2">
      <c r="A175" s="59">
        <v>98236</v>
      </c>
      <c r="B175" s="62" t="s">
        <v>10</v>
      </c>
      <c r="C175" s="46">
        <v>20</v>
      </c>
      <c r="D175" s="46">
        <v>19</v>
      </c>
      <c r="E175" s="46">
        <v>16</v>
      </c>
      <c r="M175" s="81">
        <v>98166</v>
      </c>
      <c r="N175" s="62" t="s">
        <v>345</v>
      </c>
      <c r="O175" s="36">
        <v>5</v>
      </c>
      <c r="P175" s="36">
        <v>5</v>
      </c>
      <c r="Q175" s="36">
        <v>1</v>
      </c>
      <c r="S175" s="81">
        <v>98312</v>
      </c>
      <c r="T175" s="62" t="s">
        <v>10</v>
      </c>
      <c r="U175" s="36">
        <v>9</v>
      </c>
      <c r="V175" s="36">
        <v>12</v>
      </c>
      <c r="W175" s="36">
        <v>11</v>
      </c>
    </row>
    <row r="176" spans="1:23" x14ac:dyDescent="0.2">
      <c r="A176" s="58">
        <v>98237</v>
      </c>
      <c r="B176" s="62" t="s">
        <v>10</v>
      </c>
      <c r="C176" s="46">
        <v>17</v>
      </c>
      <c r="D176" s="46">
        <v>14</v>
      </c>
      <c r="E176" s="46">
        <v>11</v>
      </c>
      <c r="M176" s="56">
        <v>98166</v>
      </c>
      <c r="N176" s="62" t="s">
        <v>10</v>
      </c>
      <c r="O176" s="36">
        <v>34</v>
      </c>
      <c r="P176" s="36">
        <v>44</v>
      </c>
      <c r="Q176" s="36">
        <v>54</v>
      </c>
      <c r="S176" s="81">
        <v>98321</v>
      </c>
      <c r="T176" s="62" t="s">
        <v>10</v>
      </c>
      <c r="U176" s="33">
        <v>9</v>
      </c>
      <c r="V176" s="36">
        <v>7</v>
      </c>
      <c r="W176" s="36">
        <v>6</v>
      </c>
    </row>
    <row r="177" spans="1:23" x14ac:dyDescent="0.2">
      <c r="A177" s="59">
        <v>98239</v>
      </c>
      <c r="B177" s="62" t="s">
        <v>10</v>
      </c>
      <c r="C177" s="46">
        <v>19</v>
      </c>
      <c r="D177" s="46">
        <v>18</v>
      </c>
      <c r="E177" s="46">
        <v>18</v>
      </c>
      <c r="M177" s="81">
        <v>98168</v>
      </c>
      <c r="N177" s="62" t="s">
        <v>345</v>
      </c>
      <c r="O177" s="36">
        <v>1</v>
      </c>
      <c r="P177" s="36">
        <v>7</v>
      </c>
      <c r="Q177" s="36">
        <v>1</v>
      </c>
      <c r="S177" s="81">
        <v>98327</v>
      </c>
      <c r="T177" s="62" t="s">
        <v>10</v>
      </c>
      <c r="U177" s="36">
        <v>1</v>
      </c>
      <c r="V177" s="36">
        <v>0</v>
      </c>
      <c r="W177" s="33">
        <v>2</v>
      </c>
    </row>
    <row r="178" spans="1:23" x14ac:dyDescent="0.2">
      <c r="A178" s="58">
        <v>98240</v>
      </c>
      <c r="B178" s="62" t="s">
        <v>10</v>
      </c>
      <c r="C178" s="46">
        <v>13</v>
      </c>
      <c r="D178" s="46">
        <v>11</v>
      </c>
      <c r="E178" s="46">
        <v>9</v>
      </c>
      <c r="M178" s="81">
        <v>98168</v>
      </c>
      <c r="N178" s="62" t="s">
        <v>10</v>
      </c>
      <c r="O178" s="33">
        <v>46</v>
      </c>
      <c r="P178" s="33">
        <v>43</v>
      </c>
      <c r="Q178" s="36">
        <v>31</v>
      </c>
      <c r="S178" s="81">
        <v>98328</v>
      </c>
      <c r="T178" s="62" t="s">
        <v>10</v>
      </c>
      <c r="U178" s="33">
        <v>1</v>
      </c>
      <c r="V178" s="36">
        <v>0</v>
      </c>
      <c r="W178" s="33">
        <v>0</v>
      </c>
    </row>
    <row r="179" spans="1:23" x14ac:dyDescent="0.2">
      <c r="A179" s="59">
        <v>98244</v>
      </c>
      <c r="B179" s="62" t="s">
        <v>345</v>
      </c>
      <c r="C179" s="46">
        <v>1</v>
      </c>
      <c r="D179" s="46">
        <v>1</v>
      </c>
      <c r="E179" s="46">
        <v>1</v>
      </c>
      <c r="M179" s="56">
        <v>98177</v>
      </c>
      <c r="N179" s="62" t="s">
        <v>345</v>
      </c>
      <c r="O179" s="36">
        <v>0</v>
      </c>
      <c r="P179" s="36">
        <v>1</v>
      </c>
      <c r="Q179" s="36">
        <v>0</v>
      </c>
      <c r="S179" s="81">
        <v>98332</v>
      </c>
      <c r="T179" s="62" t="s">
        <v>10</v>
      </c>
      <c r="U179" s="36">
        <v>1</v>
      </c>
      <c r="V179" s="36">
        <v>3</v>
      </c>
      <c r="W179" s="36">
        <v>2</v>
      </c>
    </row>
    <row r="180" spans="1:23" x14ac:dyDescent="0.2">
      <c r="A180" s="58">
        <v>98244</v>
      </c>
      <c r="B180" s="62" t="s">
        <v>10</v>
      </c>
      <c r="C180" s="46">
        <v>17</v>
      </c>
      <c r="D180" s="46">
        <v>16</v>
      </c>
      <c r="E180" s="46">
        <v>15</v>
      </c>
      <c r="M180" s="81">
        <v>98177</v>
      </c>
      <c r="N180" s="62" t="s">
        <v>10</v>
      </c>
      <c r="O180" s="36">
        <v>24</v>
      </c>
      <c r="P180" s="36">
        <v>23</v>
      </c>
      <c r="Q180" s="36">
        <v>11</v>
      </c>
      <c r="S180" s="81">
        <v>98335</v>
      </c>
      <c r="T180" s="62" t="s">
        <v>10</v>
      </c>
      <c r="U180" s="36">
        <v>2</v>
      </c>
      <c r="V180" s="36">
        <v>3</v>
      </c>
      <c r="W180" s="36">
        <v>3</v>
      </c>
    </row>
    <row r="181" spans="1:23" x14ac:dyDescent="0.2">
      <c r="A181" s="59">
        <v>98247</v>
      </c>
      <c r="B181" s="62" t="s">
        <v>345</v>
      </c>
      <c r="C181" s="46">
        <v>3</v>
      </c>
      <c r="D181" s="46">
        <v>3</v>
      </c>
      <c r="E181" s="46">
        <v>3</v>
      </c>
      <c r="M181" s="56">
        <v>98178</v>
      </c>
      <c r="N181" s="62" t="s">
        <v>345</v>
      </c>
      <c r="O181" s="36">
        <v>2</v>
      </c>
      <c r="P181" s="36">
        <v>0</v>
      </c>
      <c r="Q181" s="36">
        <v>0</v>
      </c>
      <c r="S181" s="81">
        <v>98337</v>
      </c>
      <c r="T181" s="62" t="s">
        <v>10</v>
      </c>
      <c r="U181" s="36">
        <v>3</v>
      </c>
      <c r="V181" s="33">
        <v>1</v>
      </c>
      <c r="W181" s="36">
        <v>2</v>
      </c>
    </row>
    <row r="182" spans="1:23" x14ac:dyDescent="0.2">
      <c r="A182" s="58">
        <v>98247</v>
      </c>
      <c r="B182" s="62" t="s">
        <v>10</v>
      </c>
      <c r="C182" s="46">
        <v>31</v>
      </c>
      <c r="D182" s="46">
        <v>29</v>
      </c>
      <c r="E182" s="46">
        <v>28</v>
      </c>
      <c r="M182" s="81">
        <v>98178</v>
      </c>
      <c r="N182" s="62" t="s">
        <v>10</v>
      </c>
      <c r="O182" s="33">
        <v>25</v>
      </c>
      <c r="P182" s="36">
        <v>29</v>
      </c>
      <c r="Q182" s="33">
        <v>27</v>
      </c>
      <c r="S182" s="56">
        <v>98338</v>
      </c>
      <c r="T182" s="62" t="s">
        <v>10</v>
      </c>
      <c r="U182" s="36">
        <v>2</v>
      </c>
      <c r="V182" s="36">
        <v>2</v>
      </c>
      <c r="W182" s="36">
        <v>10</v>
      </c>
    </row>
    <row r="183" spans="1:23" x14ac:dyDescent="0.2">
      <c r="A183" s="59">
        <v>98248</v>
      </c>
      <c r="B183" s="62" t="s">
        <v>345</v>
      </c>
      <c r="C183" s="46">
        <v>5</v>
      </c>
      <c r="D183" s="46">
        <v>5</v>
      </c>
      <c r="E183" s="46">
        <v>5</v>
      </c>
      <c r="M183" s="81">
        <v>98188</v>
      </c>
      <c r="N183" s="62" t="s">
        <v>345</v>
      </c>
      <c r="O183" s="36">
        <v>30</v>
      </c>
      <c r="P183" s="36">
        <v>23</v>
      </c>
      <c r="Q183" s="36">
        <v>15</v>
      </c>
      <c r="S183" s="81">
        <v>98342</v>
      </c>
      <c r="T183" s="62" t="s">
        <v>10</v>
      </c>
      <c r="U183" s="33">
        <v>1</v>
      </c>
      <c r="V183" s="36">
        <v>2</v>
      </c>
      <c r="W183" s="33">
        <v>1</v>
      </c>
    </row>
    <row r="184" spans="1:23" x14ac:dyDescent="0.2">
      <c r="A184" s="59">
        <v>98248</v>
      </c>
      <c r="B184" s="62" t="s">
        <v>10</v>
      </c>
      <c r="C184" s="46">
        <v>63</v>
      </c>
      <c r="D184" s="46">
        <v>59</v>
      </c>
      <c r="E184" s="46">
        <v>56</v>
      </c>
      <c r="M184" s="56">
        <v>98188</v>
      </c>
      <c r="N184" s="62" t="s">
        <v>10</v>
      </c>
      <c r="O184" s="36">
        <v>74</v>
      </c>
      <c r="P184" s="36">
        <v>103</v>
      </c>
      <c r="Q184" s="36">
        <v>103</v>
      </c>
      <c r="S184" s="56">
        <v>98345</v>
      </c>
      <c r="T184" s="62" t="s">
        <v>10</v>
      </c>
      <c r="U184" s="36">
        <v>0</v>
      </c>
      <c r="V184" s="36">
        <v>1</v>
      </c>
      <c r="W184" s="36">
        <v>1</v>
      </c>
    </row>
    <row r="185" spans="1:23" x14ac:dyDescent="0.2">
      <c r="A185" s="58">
        <v>98249</v>
      </c>
      <c r="B185" s="62" t="s">
        <v>10</v>
      </c>
      <c r="C185" s="46">
        <v>13</v>
      </c>
      <c r="D185" s="46">
        <v>12</v>
      </c>
      <c r="E185" s="46">
        <v>11</v>
      </c>
      <c r="M185" s="81">
        <v>98198</v>
      </c>
      <c r="N185" s="62" t="s">
        <v>345</v>
      </c>
      <c r="O185" s="36">
        <v>8</v>
      </c>
      <c r="P185" s="36">
        <v>20</v>
      </c>
      <c r="Q185" s="36">
        <v>6</v>
      </c>
      <c r="S185" s="81">
        <v>98346</v>
      </c>
      <c r="T185" s="62" t="s">
        <v>10</v>
      </c>
      <c r="U185" s="33">
        <v>4</v>
      </c>
      <c r="V185" s="33">
        <v>6</v>
      </c>
      <c r="W185" s="36">
        <v>3</v>
      </c>
    </row>
    <row r="186" spans="1:23" x14ac:dyDescent="0.2">
      <c r="A186" s="59">
        <v>98251</v>
      </c>
      <c r="B186" s="62" t="s">
        <v>10</v>
      </c>
      <c r="C186" s="46">
        <v>2</v>
      </c>
      <c r="D186" s="46">
        <v>2</v>
      </c>
      <c r="E186" s="46">
        <v>2</v>
      </c>
      <c r="M186" s="56">
        <v>98198</v>
      </c>
      <c r="N186" s="62" t="s">
        <v>10</v>
      </c>
      <c r="O186" s="36">
        <v>145</v>
      </c>
      <c r="P186" s="36">
        <v>164</v>
      </c>
      <c r="Q186" s="36">
        <v>330</v>
      </c>
      <c r="S186" s="56">
        <v>98353</v>
      </c>
      <c r="T186" s="62" t="s">
        <v>10</v>
      </c>
      <c r="U186" s="33">
        <v>1</v>
      </c>
      <c r="V186" s="36">
        <v>0</v>
      </c>
      <c r="W186" s="36">
        <v>0</v>
      </c>
    </row>
    <row r="187" spans="1:23" x14ac:dyDescent="0.2">
      <c r="A187" s="59">
        <v>98252</v>
      </c>
      <c r="B187" s="62" t="s">
        <v>10</v>
      </c>
      <c r="C187" s="46">
        <v>4</v>
      </c>
      <c r="D187" s="46">
        <v>4</v>
      </c>
      <c r="E187" s="46">
        <v>4</v>
      </c>
      <c r="M187" s="81">
        <v>98199</v>
      </c>
      <c r="N187" s="62" t="s">
        <v>345</v>
      </c>
      <c r="O187" s="36">
        <v>3</v>
      </c>
      <c r="P187" s="36">
        <v>0</v>
      </c>
      <c r="Q187" s="36">
        <v>1</v>
      </c>
      <c r="S187" s="81">
        <v>98354</v>
      </c>
      <c r="T187" s="62" t="s">
        <v>10</v>
      </c>
      <c r="U187" s="33">
        <v>0</v>
      </c>
      <c r="V187" s="33">
        <v>1</v>
      </c>
      <c r="W187" s="36">
        <v>0</v>
      </c>
    </row>
    <row r="188" spans="1:23" x14ac:dyDescent="0.2">
      <c r="A188" s="59">
        <v>98253</v>
      </c>
      <c r="B188" s="62" t="s">
        <v>10</v>
      </c>
      <c r="C188" s="46">
        <v>4</v>
      </c>
      <c r="D188" s="46">
        <v>4</v>
      </c>
      <c r="E188" s="46">
        <v>4</v>
      </c>
      <c r="M188" s="56">
        <v>98199</v>
      </c>
      <c r="N188" s="62" t="s">
        <v>10</v>
      </c>
      <c r="O188" s="36">
        <v>24</v>
      </c>
      <c r="P188" s="36">
        <v>31</v>
      </c>
      <c r="Q188" s="36">
        <v>21</v>
      </c>
      <c r="S188" s="81">
        <v>98359</v>
      </c>
      <c r="T188" s="62" t="s">
        <v>10</v>
      </c>
      <c r="U188" s="36">
        <v>3</v>
      </c>
      <c r="V188" s="36">
        <v>1</v>
      </c>
      <c r="W188" s="36">
        <v>2</v>
      </c>
    </row>
    <row r="189" spans="1:23" x14ac:dyDescent="0.2">
      <c r="A189" s="58">
        <v>98255</v>
      </c>
      <c r="B189" s="62" t="s">
        <v>10</v>
      </c>
      <c r="C189" s="46">
        <v>1</v>
      </c>
      <c r="D189" s="46">
        <v>1</v>
      </c>
      <c r="E189" s="46">
        <v>1</v>
      </c>
      <c r="M189" s="81">
        <v>98201</v>
      </c>
      <c r="N189" s="62" t="s">
        <v>345</v>
      </c>
      <c r="O189" s="36">
        <v>6</v>
      </c>
      <c r="P189" s="36">
        <v>10</v>
      </c>
      <c r="Q189" s="36">
        <v>5</v>
      </c>
      <c r="S189" s="81">
        <v>98360</v>
      </c>
      <c r="T189" s="62" t="s">
        <v>10</v>
      </c>
      <c r="U189" s="36">
        <v>7</v>
      </c>
      <c r="V189" s="33">
        <v>8</v>
      </c>
      <c r="W189" s="33">
        <v>22</v>
      </c>
    </row>
    <row r="190" spans="1:23" x14ac:dyDescent="0.2">
      <c r="A190" s="59">
        <v>98257</v>
      </c>
      <c r="B190" s="62" t="s">
        <v>345</v>
      </c>
      <c r="C190" s="46">
        <v>1</v>
      </c>
      <c r="D190" s="46">
        <v>1</v>
      </c>
      <c r="E190" s="46">
        <v>1</v>
      </c>
      <c r="M190" s="56">
        <v>98201</v>
      </c>
      <c r="N190" s="62" t="s">
        <v>10</v>
      </c>
      <c r="O190" s="36">
        <v>38</v>
      </c>
      <c r="P190" s="36">
        <v>32</v>
      </c>
      <c r="Q190" s="36">
        <v>36</v>
      </c>
      <c r="S190" s="56">
        <v>98364</v>
      </c>
      <c r="T190" s="62" t="s">
        <v>10</v>
      </c>
      <c r="U190" s="36">
        <v>0</v>
      </c>
      <c r="V190" s="36">
        <v>1</v>
      </c>
      <c r="W190" s="36">
        <v>0</v>
      </c>
    </row>
    <row r="191" spans="1:23" x14ac:dyDescent="0.2">
      <c r="A191" s="58">
        <v>98257</v>
      </c>
      <c r="B191" s="62" t="s">
        <v>10</v>
      </c>
      <c r="C191" s="46">
        <v>25</v>
      </c>
      <c r="D191" s="46">
        <v>24</v>
      </c>
      <c r="E191" s="46">
        <v>22</v>
      </c>
      <c r="M191" s="81">
        <v>98203</v>
      </c>
      <c r="N191" s="62" t="s">
        <v>345</v>
      </c>
      <c r="O191" s="36">
        <v>0</v>
      </c>
      <c r="P191" s="36">
        <v>3</v>
      </c>
      <c r="Q191" s="36">
        <v>6</v>
      </c>
      <c r="S191" s="81">
        <v>98366</v>
      </c>
      <c r="T191" s="62" t="s">
        <v>10</v>
      </c>
      <c r="U191" s="36">
        <v>11</v>
      </c>
      <c r="V191" s="36">
        <v>20</v>
      </c>
      <c r="W191" s="36">
        <v>21</v>
      </c>
    </row>
    <row r="192" spans="1:23" x14ac:dyDescent="0.2">
      <c r="A192" s="59">
        <v>98258</v>
      </c>
      <c r="B192" s="62" t="s">
        <v>10</v>
      </c>
      <c r="C192" s="46">
        <v>27</v>
      </c>
      <c r="D192" s="46">
        <v>27</v>
      </c>
      <c r="E192" s="46">
        <v>27</v>
      </c>
      <c r="M192" s="56">
        <v>98203</v>
      </c>
      <c r="N192" s="62" t="s">
        <v>10</v>
      </c>
      <c r="O192" s="36">
        <v>40</v>
      </c>
      <c r="P192" s="36">
        <v>31</v>
      </c>
      <c r="Q192" s="36">
        <v>37</v>
      </c>
      <c r="S192" s="81">
        <v>98367</v>
      </c>
      <c r="T192" s="62" t="s">
        <v>10</v>
      </c>
      <c r="U192" s="33">
        <v>16</v>
      </c>
      <c r="V192" s="36">
        <v>6</v>
      </c>
      <c r="W192" s="33">
        <v>9</v>
      </c>
    </row>
    <row r="193" spans="1:23" x14ac:dyDescent="0.2">
      <c r="A193" s="58">
        <v>98260</v>
      </c>
      <c r="B193" s="62" t="s">
        <v>10</v>
      </c>
      <c r="C193" s="46">
        <v>11</v>
      </c>
      <c r="D193" s="46">
        <v>11</v>
      </c>
      <c r="E193" s="46">
        <v>10</v>
      </c>
      <c r="M193" s="81">
        <v>98204</v>
      </c>
      <c r="N193" s="62" t="s">
        <v>345</v>
      </c>
      <c r="O193" s="36">
        <v>1</v>
      </c>
      <c r="P193" s="36">
        <v>2</v>
      </c>
      <c r="Q193" s="36">
        <v>7</v>
      </c>
      <c r="S193" s="81">
        <v>98370</v>
      </c>
      <c r="T193" s="62" t="s">
        <v>10</v>
      </c>
      <c r="U193" s="36">
        <v>9</v>
      </c>
      <c r="V193" s="36">
        <v>11</v>
      </c>
      <c r="W193" s="36">
        <v>14</v>
      </c>
    </row>
    <row r="194" spans="1:23" x14ac:dyDescent="0.2">
      <c r="A194" s="59">
        <v>98262</v>
      </c>
      <c r="B194" s="62" t="s">
        <v>10</v>
      </c>
      <c r="C194" s="46">
        <v>3</v>
      </c>
      <c r="D194" s="46">
        <v>3</v>
      </c>
      <c r="E194" s="46">
        <v>3</v>
      </c>
      <c r="M194" s="56">
        <v>98204</v>
      </c>
      <c r="N194" s="62" t="s">
        <v>10</v>
      </c>
      <c r="O194" s="36">
        <v>36</v>
      </c>
      <c r="P194" s="36">
        <v>46</v>
      </c>
      <c r="Q194" s="36">
        <v>29</v>
      </c>
      <c r="S194" s="81">
        <v>98371</v>
      </c>
      <c r="T194" s="62" t="s">
        <v>10</v>
      </c>
      <c r="U194" s="33">
        <v>11</v>
      </c>
      <c r="V194" s="33">
        <v>5</v>
      </c>
      <c r="W194" s="36">
        <v>15</v>
      </c>
    </row>
    <row r="195" spans="1:23" x14ac:dyDescent="0.2">
      <c r="A195" s="58">
        <v>98264</v>
      </c>
      <c r="B195" s="62" t="s">
        <v>345</v>
      </c>
      <c r="C195" s="46">
        <v>3</v>
      </c>
      <c r="D195" s="46">
        <v>3</v>
      </c>
      <c r="E195" s="46">
        <v>3</v>
      </c>
      <c r="M195" s="81">
        <v>98208</v>
      </c>
      <c r="N195" s="62" t="s">
        <v>345</v>
      </c>
      <c r="O195" s="33">
        <v>5</v>
      </c>
      <c r="P195" s="36">
        <v>7</v>
      </c>
      <c r="Q195" s="36">
        <v>3</v>
      </c>
      <c r="S195" s="81">
        <v>98372</v>
      </c>
      <c r="T195" s="62" t="s">
        <v>345</v>
      </c>
      <c r="U195" s="36">
        <v>1</v>
      </c>
      <c r="V195" s="33">
        <v>0</v>
      </c>
      <c r="W195" s="33">
        <v>0</v>
      </c>
    </row>
    <row r="196" spans="1:23" x14ac:dyDescent="0.2">
      <c r="A196" s="59">
        <v>98264</v>
      </c>
      <c r="B196" s="62" t="s">
        <v>10</v>
      </c>
      <c r="C196" s="46">
        <v>35</v>
      </c>
      <c r="D196" s="46">
        <v>35</v>
      </c>
      <c r="E196" s="46">
        <v>32</v>
      </c>
      <c r="M196" s="81">
        <v>98208</v>
      </c>
      <c r="N196" s="62" t="s">
        <v>10</v>
      </c>
      <c r="O196" s="36">
        <v>57</v>
      </c>
      <c r="P196" s="36">
        <v>58</v>
      </c>
      <c r="Q196" s="36">
        <v>59</v>
      </c>
      <c r="S196" s="81">
        <v>98372</v>
      </c>
      <c r="T196" s="62" t="s">
        <v>10</v>
      </c>
      <c r="U196" s="36">
        <v>8</v>
      </c>
      <c r="V196" s="36">
        <v>7</v>
      </c>
      <c r="W196" s="36">
        <v>12</v>
      </c>
    </row>
    <row r="197" spans="1:23" x14ac:dyDescent="0.2">
      <c r="A197" s="58">
        <v>98266</v>
      </c>
      <c r="B197" s="62" t="s">
        <v>10</v>
      </c>
      <c r="C197" s="46">
        <v>11</v>
      </c>
      <c r="D197" s="46">
        <v>11</v>
      </c>
      <c r="E197" s="46">
        <v>10</v>
      </c>
      <c r="M197" s="56">
        <v>98220</v>
      </c>
      <c r="N197" s="62" t="s">
        <v>345</v>
      </c>
      <c r="O197" s="36">
        <v>1</v>
      </c>
      <c r="P197" s="36">
        <v>0</v>
      </c>
      <c r="Q197" s="36">
        <v>0</v>
      </c>
      <c r="S197" s="81">
        <v>98373</v>
      </c>
      <c r="T197" s="62" t="s">
        <v>345</v>
      </c>
      <c r="U197" s="36">
        <v>0</v>
      </c>
      <c r="V197" s="36">
        <v>1</v>
      </c>
      <c r="W197" s="36">
        <v>0</v>
      </c>
    </row>
    <row r="198" spans="1:23" x14ac:dyDescent="0.2">
      <c r="A198" s="59">
        <v>98267</v>
      </c>
      <c r="B198" s="62" t="s">
        <v>10</v>
      </c>
      <c r="C198" s="46">
        <v>4</v>
      </c>
      <c r="D198" s="46">
        <v>3</v>
      </c>
      <c r="E198" s="46">
        <v>3</v>
      </c>
      <c r="M198" s="81">
        <v>98220</v>
      </c>
      <c r="N198" s="62" t="s">
        <v>10</v>
      </c>
      <c r="O198" s="36">
        <v>0</v>
      </c>
      <c r="P198" s="36">
        <v>1</v>
      </c>
      <c r="Q198" s="33">
        <v>1</v>
      </c>
      <c r="S198" s="81">
        <v>98373</v>
      </c>
      <c r="T198" s="62" t="s">
        <v>10</v>
      </c>
      <c r="U198" s="36">
        <v>8</v>
      </c>
      <c r="V198" s="36">
        <v>7</v>
      </c>
      <c r="W198" s="36">
        <v>17</v>
      </c>
    </row>
    <row r="199" spans="1:23" x14ac:dyDescent="0.2">
      <c r="A199" s="58">
        <v>98270</v>
      </c>
      <c r="B199" s="62" t="s">
        <v>10</v>
      </c>
      <c r="C199" s="46">
        <v>53</v>
      </c>
      <c r="D199" s="46">
        <v>47</v>
      </c>
      <c r="E199" s="46">
        <v>41</v>
      </c>
      <c r="M199" s="56">
        <v>98221</v>
      </c>
      <c r="N199" s="62" t="s">
        <v>345</v>
      </c>
      <c r="O199" s="36">
        <v>5</v>
      </c>
      <c r="P199" s="36">
        <v>15</v>
      </c>
      <c r="Q199" s="36">
        <v>15</v>
      </c>
      <c r="S199" s="81">
        <v>98374</v>
      </c>
      <c r="T199" s="62" t="s">
        <v>345</v>
      </c>
      <c r="U199" s="36">
        <v>0</v>
      </c>
      <c r="V199" s="33">
        <v>1</v>
      </c>
      <c r="W199" s="33">
        <v>0</v>
      </c>
    </row>
    <row r="200" spans="1:23" x14ac:dyDescent="0.2">
      <c r="A200" s="59">
        <v>98271</v>
      </c>
      <c r="B200" s="62" t="s">
        <v>10</v>
      </c>
      <c r="C200" s="46">
        <v>9</v>
      </c>
      <c r="D200" s="46">
        <v>6</v>
      </c>
      <c r="E200" s="46">
        <v>5</v>
      </c>
      <c r="M200" s="81">
        <v>98221</v>
      </c>
      <c r="N200" s="62" t="s">
        <v>10</v>
      </c>
      <c r="O200" s="36">
        <v>109</v>
      </c>
      <c r="P200" s="36">
        <v>77</v>
      </c>
      <c r="Q200" s="33">
        <v>89</v>
      </c>
      <c r="S200" s="56">
        <v>98374</v>
      </c>
      <c r="T200" s="62" t="s">
        <v>10</v>
      </c>
      <c r="U200" s="36">
        <v>16</v>
      </c>
      <c r="V200" s="36">
        <v>8</v>
      </c>
      <c r="W200" s="36">
        <v>27</v>
      </c>
    </row>
    <row r="201" spans="1:23" x14ac:dyDescent="0.2">
      <c r="A201" s="59">
        <v>98272</v>
      </c>
      <c r="B201" s="62" t="s">
        <v>10</v>
      </c>
      <c r="C201" s="46">
        <v>14</v>
      </c>
      <c r="D201" s="46">
        <v>13</v>
      </c>
      <c r="E201" s="46">
        <v>13</v>
      </c>
      <c r="M201" s="56">
        <v>98223</v>
      </c>
      <c r="N201" s="62" t="s">
        <v>345</v>
      </c>
      <c r="O201" s="36">
        <v>1</v>
      </c>
      <c r="P201" s="36">
        <v>0</v>
      </c>
      <c r="Q201" s="36">
        <v>2</v>
      </c>
      <c r="S201" s="81">
        <v>98375</v>
      </c>
      <c r="T201" s="62" t="s">
        <v>10</v>
      </c>
      <c r="U201" s="36">
        <v>4</v>
      </c>
      <c r="V201" s="36">
        <v>6</v>
      </c>
      <c r="W201" s="36">
        <v>18</v>
      </c>
    </row>
    <row r="202" spans="1:23" x14ac:dyDescent="0.2">
      <c r="A202" s="59">
        <v>98273</v>
      </c>
      <c r="B202" s="62" t="s">
        <v>345</v>
      </c>
      <c r="C202" s="46">
        <v>5</v>
      </c>
      <c r="D202" s="46">
        <v>5</v>
      </c>
      <c r="E202" s="46">
        <v>5</v>
      </c>
      <c r="M202" s="81">
        <v>98223</v>
      </c>
      <c r="N202" s="62" t="s">
        <v>10</v>
      </c>
      <c r="O202" s="36">
        <v>4</v>
      </c>
      <c r="P202" s="36">
        <v>3</v>
      </c>
      <c r="Q202" s="36">
        <v>5</v>
      </c>
      <c r="S202" s="81">
        <v>98380</v>
      </c>
      <c r="T202" s="62" t="s">
        <v>10</v>
      </c>
      <c r="U202" s="33">
        <v>3</v>
      </c>
      <c r="V202" s="33">
        <v>0</v>
      </c>
      <c r="W202" s="36">
        <v>3</v>
      </c>
    </row>
    <row r="203" spans="1:23" x14ac:dyDescent="0.2">
      <c r="A203" s="58">
        <v>98273</v>
      </c>
      <c r="B203" s="62" t="s">
        <v>10</v>
      </c>
      <c r="C203" s="46">
        <v>66</v>
      </c>
      <c r="D203" s="46">
        <v>60</v>
      </c>
      <c r="E203" s="46">
        <v>52</v>
      </c>
      <c r="M203" s="56">
        <v>98224</v>
      </c>
      <c r="N203" s="62" t="s">
        <v>10</v>
      </c>
      <c r="O203" s="36">
        <v>2</v>
      </c>
      <c r="P203" s="36">
        <v>2</v>
      </c>
      <c r="Q203" s="36">
        <v>0</v>
      </c>
      <c r="S203" s="56">
        <v>98383</v>
      </c>
      <c r="T203" s="62" t="s">
        <v>345</v>
      </c>
      <c r="U203" s="36">
        <v>0</v>
      </c>
      <c r="V203" s="36">
        <v>0</v>
      </c>
      <c r="W203" s="36">
        <v>1</v>
      </c>
    </row>
    <row r="204" spans="1:23" x14ac:dyDescent="0.2">
      <c r="A204" s="59">
        <v>98274</v>
      </c>
      <c r="B204" s="62" t="s">
        <v>345</v>
      </c>
      <c r="C204" s="46">
        <v>2</v>
      </c>
      <c r="D204" s="46">
        <v>2</v>
      </c>
      <c r="E204" s="46">
        <v>2</v>
      </c>
      <c r="M204" s="81">
        <v>98225</v>
      </c>
      <c r="N204" s="62" t="s">
        <v>345</v>
      </c>
      <c r="O204" s="36">
        <v>28</v>
      </c>
      <c r="P204" s="36">
        <v>25</v>
      </c>
      <c r="Q204" s="36">
        <v>27</v>
      </c>
      <c r="S204" s="81">
        <v>98383</v>
      </c>
      <c r="T204" s="62" t="s">
        <v>10</v>
      </c>
      <c r="U204" s="36">
        <v>5</v>
      </c>
      <c r="V204" s="33">
        <v>3</v>
      </c>
      <c r="W204" s="36">
        <v>8</v>
      </c>
    </row>
    <row r="205" spans="1:23" x14ac:dyDescent="0.2">
      <c r="A205" s="59">
        <v>98274</v>
      </c>
      <c r="B205" s="62" t="s">
        <v>10</v>
      </c>
      <c r="C205" s="46">
        <v>39</v>
      </c>
      <c r="D205" s="46">
        <v>36</v>
      </c>
      <c r="E205" s="46">
        <v>34</v>
      </c>
      <c r="M205" s="56">
        <v>98225</v>
      </c>
      <c r="N205" s="62" t="s">
        <v>10</v>
      </c>
      <c r="O205" s="36">
        <v>430</v>
      </c>
      <c r="P205" s="36">
        <v>680</v>
      </c>
      <c r="Q205" s="36">
        <v>663</v>
      </c>
      <c r="S205" s="56">
        <v>98385</v>
      </c>
      <c r="T205" s="62" t="s">
        <v>10</v>
      </c>
      <c r="U205" s="36">
        <v>0</v>
      </c>
      <c r="V205" s="36">
        <v>0</v>
      </c>
      <c r="W205" s="36">
        <v>1</v>
      </c>
    </row>
    <row r="206" spans="1:23" x14ac:dyDescent="0.2">
      <c r="A206" s="59">
        <v>98275</v>
      </c>
      <c r="B206" s="62" t="s">
        <v>345</v>
      </c>
      <c r="C206" s="46">
        <v>2</v>
      </c>
      <c r="D206" s="46">
        <v>1</v>
      </c>
      <c r="E206" s="46">
        <v>1</v>
      </c>
      <c r="M206" s="81">
        <v>98226</v>
      </c>
      <c r="N206" s="62" t="s">
        <v>345</v>
      </c>
      <c r="O206" s="36">
        <v>41</v>
      </c>
      <c r="P206" s="36">
        <v>20</v>
      </c>
      <c r="Q206" s="36">
        <v>14</v>
      </c>
      <c r="S206" s="81">
        <v>98387</v>
      </c>
      <c r="T206" s="62" t="s">
        <v>10</v>
      </c>
      <c r="U206" s="36">
        <v>8</v>
      </c>
      <c r="V206" s="36">
        <v>3</v>
      </c>
      <c r="W206" s="36">
        <v>11</v>
      </c>
    </row>
    <row r="207" spans="1:23" x14ac:dyDescent="0.2">
      <c r="A207" s="59">
        <v>98275</v>
      </c>
      <c r="B207" s="62" t="s">
        <v>10</v>
      </c>
      <c r="C207" s="46">
        <v>11</v>
      </c>
      <c r="D207" s="46">
        <v>10</v>
      </c>
      <c r="E207" s="46">
        <v>10</v>
      </c>
      <c r="M207" s="56">
        <v>98226</v>
      </c>
      <c r="N207" s="62" t="s">
        <v>10</v>
      </c>
      <c r="O207" s="36">
        <v>218</v>
      </c>
      <c r="P207" s="36">
        <v>290</v>
      </c>
      <c r="Q207" s="36">
        <v>301</v>
      </c>
      <c r="S207" s="81">
        <v>98388</v>
      </c>
      <c r="T207" s="62" t="s">
        <v>10</v>
      </c>
      <c r="U207" s="33">
        <v>0</v>
      </c>
      <c r="V207" s="36">
        <v>0</v>
      </c>
      <c r="W207" s="33">
        <v>2</v>
      </c>
    </row>
    <row r="208" spans="1:23" x14ac:dyDescent="0.2">
      <c r="A208" s="58">
        <v>98276</v>
      </c>
      <c r="B208" s="62" t="s">
        <v>10</v>
      </c>
      <c r="C208" s="46">
        <v>4</v>
      </c>
      <c r="D208" s="46">
        <v>3</v>
      </c>
      <c r="E208" s="46">
        <v>3</v>
      </c>
      <c r="M208" s="81">
        <v>98229</v>
      </c>
      <c r="N208" s="62" t="s">
        <v>345</v>
      </c>
      <c r="O208" s="36">
        <v>11</v>
      </c>
      <c r="P208" s="36">
        <v>20</v>
      </c>
      <c r="Q208" s="36">
        <v>12</v>
      </c>
      <c r="S208" s="56">
        <v>98390</v>
      </c>
      <c r="T208" s="62" t="s">
        <v>10</v>
      </c>
      <c r="U208" s="36">
        <v>3</v>
      </c>
      <c r="V208" s="36">
        <v>4</v>
      </c>
      <c r="W208" s="36">
        <v>8</v>
      </c>
    </row>
    <row r="209" spans="1:23" x14ac:dyDescent="0.2">
      <c r="A209" s="59">
        <v>98277</v>
      </c>
      <c r="B209" s="62" t="s">
        <v>10</v>
      </c>
      <c r="C209" s="46">
        <v>111</v>
      </c>
      <c r="D209" s="46">
        <v>100</v>
      </c>
      <c r="E209" s="46">
        <v>95</v>
      </c>
      <c r="M209" s="56">
        <v>98229</v>
      </c>
      <c r="N209" s="62" t="s">
        <v>10</v>
      </c>
      <c r="O209" s="36">
        <v>122</v>
      </c>
      <c r="P209" s="36">
        <v>233</v>
      </c>
      <c r="Q209" s="36">
        <v>211</v>
      </c>
      <c r="S209" s="81">
        <v>98391</v>
      </c>
      <c r="T209" s="62" t="s">
        <v>345</v>
      </c>
      <c r="U209" s="36">
        <v>1</v>
      </c>
      <c r="V209" s="36">
        <v>0</v>
      </c>
      <c r="W209" s="36">
        <v>1</v>
      </c>
    </row>
    <row r="210" spans="1:23" x14ac:dyDescent="0.2">
      <c r="A210" s="58">
        <v>98281</v>
      </c>
      <c r="B210" s="62" t="s">
        <v>10</v>
      </c>
      <c r="C210" s="46">
        <v>3</v>
      </c>
      <c r="D210" s="46">
        <v>3</v>
      </c>
      <c r="E210" s="46">
        <v>3</v>
      </c>
      <c r="M210" s="81">
        <v>98230</v>
      </c>
      <c r="N210" s="62" t="s">
        <v>345</v>
      </c>
      <c r="O210" s="36">
        <v>5</v>
      </c>
      <c r="P210" s="36">
        <v>4</v>
      </c>
      <c r="Q210" s="33">
        <v>8</v>
      </c>
      <c r="S210" s="81">
        <v>98391</v>
      </c>
      <c r="T210" s="62" t="s">
        <v>10</v>
      </c>
      <c r="U210" s="33">
        <v>20</v>
      </c>
      <c r="V210" s="36">
        <v>24</v>
      </c>
      <c r="W210" s="36">
        <v>19</v>
      </c>
    </row>
    <row r="211" spans="1:23" x14ac:dyDescent="0.2">
      <c r="A211" s="59">
        <v>98283</v>
      </c>
      <c r="B211" s="62" t="s">
        <v>345</v>
      </c>
      <c r="C211" s="46">
        <v>6</v>
      </c>
      <c r="D211" s="46">
        <v>6</v>
      </c>
      <c r="E211" s="46">
        <v>6</v>
      </c>
      <c r="M211" s="56">
        <v>98230</v>
      </c>
      <c r="N211" s="62" t="s">
        <v>10</v>
      </c>
      <c r="O211" s="36">
        <v>41</v>
      </c>
      <c r="P211" s="36">
        <v>44</v>
      </c>
      <c r="Q211" s="36">
        <v>44</v>
      </c>
      <c r="S211" s="81">
        <v>98392</v>
      </c>
      <c r="T211" s="62" t="s">
        <v>10</v>
      </c>
      <c r="U211" s="33">
        <v>0</v>
      </c>
      <c r="V211" s="36">
        <v>4</v>
      </c>
      <c r="W211" s="33">
        <v>3</v>
      </c>
    </row>
    <row r="212" spans="1:23" x14ac:dyDescent="0.2">
      <c r="A212" s="58">
        <v>98283</v>
      </c>
      <c r="B212" s="62" t="s">
        <v>10</v>
      </c>
      <c r="C212" s="46">
        <v>2</v>
      </c>
      <c r="D212" s="46">
        <v>2</v>
      </c>
      <c r="E212" s="46">
        <v>2</v>
      </c>
      <c r="M212" s="81">
        <v>98232</v>
      </c>
      <c r="N212" s="62" t="s">
        <v>345</v>
      </c>
      <c r="O212" s="36">
        <v>1</v>
      </c>
      <c r="P212" s="36">
        <v>0</v>
      </c>
      <c r="Q212" s="36">
        <v>4</v>
      </c>
      <c r="S212" s="56">
        <v>98396</v>
      </c>
      <c r="T212" s="62" t="s">
        <v>10</v>
      </c>
      <c r="U212" s="36">
        <v>0</v>
      </c>
      <c r="V212" s="36">
        <v>0</v>
      </c>
      <c r="W212" s="36">
        <v>1</v>
      </c>
    </row>
    <row r="213" spans="1:23" x14ac:dyDescent="0.2">
      <c r="A213" s="59">
        <v>98284</v>
      </c>
      <c r="B213" s="62" t="s">
        <v>10</v>
      </c>
      <c r="C213" s="46">
        <v>68</v>
      </c>
      <c r="D213" s="46">
        <v>65</v>
      </c>
      <c r="E213" s="46">
        <v>60</v>
      </c>
      <c r="M213" s="56">
        <v>98232</v>
      </c>
      <c r="N213" s="62" t="s">
        <v>10</v>
      </c>
      <c r="O213" s="36">
        <v>7</v>
      </c>
      <c r="P213" s="36">
        <v>12</v>
      </c>
      <c r="Q213" s="36">
        <v>12</v>
      </c>
      <c r="S213" s="81">
        <v>98403</v>
      </c>
      <c r="T213" s="62" t="s">
        <v>10</v>
      </c>
      <c r="U213" s="33">
        <v>0</v>
      </c>
      <c r="V213" s="33">
        <v>1</v>
      </c>
      <c r="W213" s="36">
        <v>0</v>
      </c>
    </row>
    <row r="214" spans="1:23" x14ac:dyDescent="0.2">
      <c r="A214" s="59">
        <v>98288</v>
      </c>
      <c r="B214" s="62" t="s">
        <v>10</v>
      </c>
      <c r="C214" s="46">
        <v>3</v>
      </c>
      <c r="D214" s="46">
        <v>3</v>
      </c>
      <c r="E214" s="46">
        <v>3</v>
      </c>
      <c r="M214" s="81">
        <v>98233</v>
      </c>
      <c r="N214" s="62" t="s">
        <v>345</v>
      </c>
      <c r="O214" s="36">
        <v>8</v>
      </c>
      <c r="P214" s="36">
        <v>7</v>
      </c>
      <c r="Q214" s="36">
        <v>17</v>
      </c>
      <c r="S214" s="56">
        <v>98404</v>
      </c>
      <c r="T214" s="62" t="s">
        <v>10</v>
      </c>
      <c r="U214" s="36">
        <v>1</v>
      </c>
      <c r="V214" s="36">
        <v>3</v>
      </c>
      <c r="W214" s="36">
        <v>4</v>
      </c>
    </row>
    <row r="215" spans="1:23" x14ac:dyDescent="0.2">
      <c r="A215" s="59">
        <v>98290</v>
      </c>
      <c r="B215" s="62" t="s">
        <v>345</v>
      </c>
      <c r="C215" s="46">
        <v>1</v>
      </c>
      <c r="D215" s="46">
        <v>1</v>
      </c>
      <c r="E215" s="46">
        <v>1</v>
      </c>
      <c r="M215" s="56">
        <v>98233</v>
      </c>
      <c r="N215" s="62" t="s">
        <v>10</v>
      </c>
      <c r="O215" s="36">
        <v>81</v>
      </c>
      <c r="P215" s="36">
        <v>76</v>
      </c>
      <c r="Q215" s="36">
        <v>101</v>
      </c>
      <c r="S215" s="81">
        <v>98405</v>
      </c>
      <c r="T215" s="62" t="s">
        <v>10</v>
      </c>
      <c r="U215" s="33">
        <v>5</v>
      </c>
      <c r="V215" s="36">
        <v>4</v>
      </c>
      <c r="W215" s="36">
        <v>5</v>
      </c>
    </row>
    <row r="216" spans="1:23" x14ac:dyDescent="0.2">
      <c r="A216" s="59">
        <v>98290</v>
      </c>
      <c r="B216" s="62" t="s">
        <v>10</v>
      </c>
      <c r="C216" s="46">
        <v>11</v>
      </c>
      <c r="D216" s="46">
        <v>11</v>
      </c>
      <c r="E216" s="46">
        <v>10</v>
      </c>
      <c r="M216" s="81">
        <v>98235</v>
      </c>
      <c r="N216" s="62" t="s">
        <v>345</v>
      </c>
      <c r="O216" s="36">
        <v>0</v>
      </c>
      <c r="P216" s="36">
        <v>1</v>
      </c>
      <c r="Q216" s="36">
        <v>1</v>
      </c>
      <c r="S216" s="81">
        <v>98406</v>
      </c>
      <c r="T216" s="62" t="s">
        <v>345</v>
      </c>
      <c r="U216" s="36">
        <v>0</v>
      </c>
      <c r="V216" s="33">
        <v>1</v>
      </c>
      <c r="W216" s="33">
        <v>1</v>
      </c>
    </row>
    <row r="217" spans="1:23" x14ac:dyDescent="0.2">
      <c r="A217" s="58">
        <v>98292</v>
      </c>
      <c r="B217" s="62" t="s">
        <v>10</v>
      </c>
      <c r="C217" s="46">
        <v>2</v>
      </c>
      <c r="D217" s="46">
        <v>2</v>
      </c>
      <c r="E217" s="46">
        <v>2</v>
      </c>
      <c r="M217" s="56">
        <v>98235</v>
      </c>
      <c r="N217" s="62" t="s">
        <v>10</v>
      </c>
      <c r="O217" s="36">
        <v>0</v>
      </c>
      <c r="P217" s="36">
        <v>1</v>
      </c>
      <c r="Q217" s="36">
        <v>0</v>
      </c>
      <c r="S217" s="56">
        <v>98406</v>
      </c>
      <c r="T217" s="62" t="s">
        <v>10</v>
      </c>
      <c r="U217" s="36">
        <v>2</v>
      </c>
      <c r="V217" s="36">
        <v>4</v>
      </c>
      <c r="W217" s="36">
        <v>2</v>
      </c>
    </row>
    <row r="218" spans="1:23" x14ac:dyDescent="0.2">
      <c r="A218" s="59">
        <v>98294</v>
      </c>
      <c r="B218" s="62" t="s">
        <v>10</v>
      </c>
      <c r="C218" s="46">
        <v>9</v>
      </c>
      <c r="D218" s="46">
        <v>9</v>
      </c>
      <c r="E218" s="46">
        <v>8</v>
      </c>
      <c r="M218" s="81">
        <v>98236</v>
      </c>
      <c r="N218" s="62" t="s">
        <v>345</v>
      </c>
      <c r="O218" s="36">
        <v>4</v>
      </c>
      <c r="P218" s="36">
        <v>4</v>
      </c>
      <c r="Q218" s="36">
        <v>5</v>
      </c>
      <c r="S218" s="81">
        <v>98407</v>
      </c>
      <c r="T218" s="62" t="s">
        <v>10</v>
      </c>
      <c r="U218" s="36">
        <v>2</v>
      </c>
      <c r="V218" s="36">
        <v>2</v>
      </c>
      <c r="W218" s="36">
        <v>4</v>
      </c>
    </row>
    <row r="219" spans="1:23" x14ac:dyDescent="0.2">
      <c r="A219" s="59">
        <v>98295</v>
      </c>
      <c r="B219" s="62" t="s">
        <v>10</v>
      </c>
      <c r="C219" s="46">
        <v>4</v>
      </c>
      <c r="D219" s="46">
        <v>3</v>
      </c>
      <c r="E219" s="46">
        <v>3</v>
      </c>
      <c r="M219" s="56">
        <v>98236</v>
      </c>
      <c r="N219" s="62" t="s">
        <v>10</v>
      </c>
      <c r="O219" s="36">
        <v>14</v>
      </c>
      <c r="P219" s="36">
        <v>23</v>
      </c>
      <c r="Q219" s="36">
        <v>27</v>
      </c>
      <c r="S219" s="81">
        <v>98408</v>
      </c>
      <c r="T219" s="62" t="s">
        <v>10</v>
      </c>
      <c r="U219" s="36">
        <v>1</v>
      </c>
      <c r="V219" s="36">
        <v>1</v>
      </c>
      <c r="W219" s="36">
        <v>5</v>
      </c>
    </row>
    <row r="220" spans="1:23" x14ac:dyDescent="0.2">
      <c r="A220" s="58">
        <v>98296</v>
      </c>
      <c r="B220" s="62" t="s">
        <v>10</v>
      </c>
      <c r="C220" s="46">
        <v>19</v>
      </c>
      <c r="D220" s="46">
        <v>17</v>
      </c>
      <c r="E220" s="46">
        <v>17</v>
      </c>
      <c r="M220" s="81">
        <v>98237</v>
      </c>
      <c r="N220" s="62" t="s">
        <v>345</v>
      </c>
      <c r="O220" s="33">
        <v>5</v>
      </c>
      <c r="P220" s="36">
        <v>5</v>
      </c>
      <c r="Q220" s="36">
        <v>6</v>
      </c>
      <c r="S220" s="81">
        <v>98409</v>
      </c>
      <c r="T220" s="62" t="s">
        <v>10</v>
      </c>
      <c r="U220" s="36">
        <v>5</v>
      </c>
      <c r="V220" s="33">
        <v>1</v>
      </c>
      <c r="W220" s="33">
        <v>5</v>
      </c>
    </row>
    <row r="221" spans="1:23" x14ac:dyDescent="0.2">
      <c r="A221" s="59">
        <v>98310</v>
      </c>
      <c r="B221" s="62" t="s">
        <v>345</v>
      </c>
      <c r="C221" s="46">
        <v>4</v>
      </c>
      <c r="D221" s="46">
        <v>4</v>
      </c>
      <c r="E221" s="46">
        <v>4</v>
      </c>
      <c r="M221" s="56">
        <v>98237</v>
      </c>
      <c r="N221" s="62" t="s">
        <v>10</v>
      </c>
      <c r="O221" s="36">
        <v>19</v>
      </c>
      <c r="P221" s="36">
        <v>15</v>
      </c>
      <c r="Q221" s="36">
        <v>23</v>
      </c>
      <c r="S221" s="81">
        <v>98418</v>
      </c>
      <c r="T221" s="62" t="s">
        <v>345</v>
      </c>
      <c r="U221" s="33">
        <v>0</v>
      </c>
      <c r="V221" s="33">
        <v>1</v>
      </c>
      <c r="W221" s="36">
        <v>0</v>
      </c>
    </row>
    <row r="222" spans="1:23" x14ac:dyDescent="0.2">
      <c r="A222" s="58">
        <v>98310</v>
      </c>
      <c r="B222" s="62" t="s">
        <v>10</v>
      </c>
      <c r="C222" s="46">
        <v>63</v>
      </c>
      <c r="D222" s="46">
        <v>56</v>
      </c>
      <c r="E222" s="46">
        <v>49</v>
      </c>
      <c r="M222" s="81">
        <v>98239</v>
      </c>
      <c r="N222" s="62" t="s">
        <v>345</v>
      </c>
      <c r="O222" s="36">
        <v>6</v>
      </c>
      <c r="P222" s="36">
        <v>10</v>
      </c>
      <c r="Q222" s="36">
        <v>3</v>
      </c>
      <c r="S222" s="81">
        <v>98418</v>
      </c>
      <c r="T222" s="62" t="s">
        <v>10</v>
      </c>
      <c r="U222" s="36">
        <v>3</v>
      </c>
      <c r="V222" s="36">
        <v>1</v>
      </c>
      <c r="W222" s="36">
        <v>1</v>
      </c>
    </row>
    <row r="223" spans="1:23" x14ac:dyDescent="0.2">
      <c r="A223" s="59">
        <v>98311</v>
      </c>
      <c r="B223" s="62" t="s">
        <v>345</v>
      </c>
      <c r="C223" s="46">
        <v>2</v>
      </c>
      <c r="D223" s="46">
        <v>2</v>
      </c>
      <c r="E223" s="46">
        <v>2</v>
      </c>
      <c r="M223" s="56">
        <v>98239</v>
      </c>
      <c r="N223" s="62" t="s">
        <v>10</v>
      </c>
      <c r="O223" s="36">
        <v>26</v>
      </c>
      <c r="P223" s="36">
        <v>41</v>
      </c>
      <c r="Q223" s="36">
        <v>27</v>
      </c>
      <c r="S223" s="81">
        <v>98422</v>
      </c>
      <c r="T223" s="62" t="s">
        <v>10</v>
      </c>
      <c r="U223" s="36">
        <v>2</v>
      </c>
      <c r="V223" s="33">
        <v>4</v>
      </c>
      <c r="W223" s="33">
        <v>1</v>
      </c>
    </row>
    <row r="224" spans="1:23" x14ac:dyDescent="0.2">
      <c r="A224" s="59">
        <v>98311</v>
      </c>
      <c r="B224" s="62" t="s">
        <v>10</v>
      </c>
      <c r="C224" s="46">
        <v>65</v>
      </c>
      <c r="D224" s="46">
        <v>58</v>
      </c>
      <c r="E224" s="46">
        <v>52</v>
      </c>
      <c r="M224" s="81">
        <v>98240</v>
      </c>
      <c r="N224" s="62" t="s">
        <v>345</v>
      </c>
      <c r="O224" s="36">
        <v>2</v>
      </c>
      <c r="P224" s="36">
        <v>1</v>
      </c>
      <c r="Q224" s="36">
        <v>3</v>
      </c>
      <c r="S224" s="56">
        <v>98424</v>
      </c>
      <c r="T224" s="62" t="s">
        <v>10</v>
      </c>
      <c r="U224" s="36">
        <v>0</v>
      </c>
      <c r="V224" s="36">
        <v>1</v>
      </c>
      <c r="W224" s="36">
        <v>0</v>
      </c>
    </row>
    <row r="225" spans="1:23" x14ac:dyDescent="0.2">
      <c r="A225" s="59">
        <v>98312</v>
      </c>
      <c r="B225" s="62" t="s">
        <v>345</v>
      </c>
      <c r="C225" s="46">
        <v>3</v>
      </c>
      <c r="D225" s="46">
        <v>3</v>
      </c>
      <c r="E225" s="46">
        <v>3</v>
      </c>
      <c r="M225" s="56">
        <v>98240</v>
      </c>
      <c r="N225" s="62" t="s">
        <v>10</v>
      </c>
      <c r="O225" s="36">
        <v>7</v>
      </c>
      <c r="P225" s="36">
        <v>3</v>
      </c>
      <c r="Q225" s="36">
        <v>10</v>
      </c>
      <c r="S225" s="81">
        <v>98439</v>
      </c>
      <c r="T225" s="62" t="s">
        <v>10</v>
      </c>
      <c r="U225" s="36">
        <v>0</v>
      </c>
      <c r="V225" s="36">
        <v>3</v>
      </c>
      <c r="W225" s="36">
        <v>1</v>
      </c>
    </row>
    <row r="226" spans="1:23" x14ac:dyDescent="0.2">
      <c r="A226" s="59">
        <v>98312</v>
      </c>
      <c r="B226" s="62" t="s">
        <v>10</v>
      </c>
      <c r="C226" s="46">
        <v>100</v>
      </c>
      <c r="D226" s="46">
        <v>92</v>
      </c>
      <c r="E226" s="46">
        <v>79</v>
      </c>
      <c r="M226" s="81">
        <v>98244</v>
      </c>
      <c r="N226" s="62" t="s">
        <v>345</v>
      </c>
      <c r="O226" s="36">
        <v>2</v>
      </c>
      <c r="P226" s="36">
        <v>3</v>
      </c>
      <c r="Q226" s="36">
        <v>6</v>
      </c>
      <c r="S226" s="81">
        <v>98444</v>
      </c>
      <c r="T226" s="62" t="s">
        <v>10</v>
      </c>
      <c r="U226" s="36">
        <v>0</v>
      </c>
      <c r="V226" s="36">
        <v>0</v>
      </c>
      <c r="W226" s="36">
        <v>3</v>
      </c>
    </row>
    <row r="227" spans="1:23" x14ac:dyDescent="0.2">
      <c r="A227" s="58">
        <v>98321</v>
      </c>
      <c r="B227" s="62" t="s">
        <v>345</v>
      </c>
      <c r="C227" s="46">
        <v>2</v>
      </c>
      <c r="D227" s="46">
        <v>2</v>
      </c>
      <c r="E227" s="46">
        <v>2</v>
      </c>
      <c r="M227" s="56">
        <v>98244</v>
      </c>
      <c r="N227" s="62" t="s">
        <v>10</v>
      </c>
      <c r="O227" s="36">
        <v>8</v>
      </c>
      <c r="P227" s="36">
        <v>7</v>
      </c>
      <c r="Q227" s="36">
        <v>13</v>
      </c>
      <c r="S227" s="81">
        <v>98445</v>
      </c>
      <c r="T227" s="62" t="s">
        <v>10</v>
      </c>
      <c r="U227" s="36">
        <v>0</v>
      </c>
      <c r="V227" s="36">
        <v>3</v>
      </c>
      <c r="W227" s="36">
        <v>9</v>
      </c>
    </row>
    <row r="228" spans="1:23" x14ac:dyDescent="0.2">
      <c r="A228" s="59">
        <v>98321</v>
      </c>
      <c r="B228" s="62" t="s">
        <v>10</v>
      </c>
      <c r="C228" s="46">
        <v>81</v>
      </c>
      <c r="D228" s="46">
        <v>73</v>
      </c>
      <c r="E228" s="46">
        <v>65</v>
      </c>
      <c r="M228" s="81">
        <v>98247</v>
      </c>
      <c r="N228" s="62" t="s">
        <v>345</v>
      </c>
      <c r="O228" s="36">
        <v>7</v>
      </c>
      <c r="P228" s="36">
        <v>7</v>
      </c>
      <c r="Q228" s="36">
        <v>2</v>
      </c>
      <c r="S228" s="81">
        <v>98446</v>
      </c>
      <c r="T228" s="62" t="s">
        <v>10</v>
      </c>
      <c r="U228" s="36">
        <v>0</v>
      </c>
      <c r="V228" s="36">
        <v>0</v>
      </c>
      <c r="W228" s="36">
        <v>2</v>
      </c>
    </row>
    <row r="229" spans="1:23" x14ac:dyDescent="0.2">
      <c r="A229" s="59">
        <v>98323</v>
      </c>
      <c r="B229" s="62" t="s">
        <v>10</v>
      </c>
      <c r="C229" s="46">
        <v>4</v>
      </c>
      <c r="D229" s="46">
        <v>3</v>
      </c>
      <c r="E229" s="46">
        <v>3</v>
      </c>
      <c r="M229" s="56">
        <v>98247</v>
      </c>
      <c r="N229" s="62" t="s">
        <v>10</v>
      </c>
      <c r="O229" s="36">
        <v>26</v>
      </c>
      <c r="P229" s="36">
        <v>19</v>
      </c>
      <c r="Q229" s="36">
        <v>20</v>
      </c>
      <c r="S229" s="81">
        <v>98466</v>
      </c>
      <c r="T229" s="62" t="s">
        <v>10</v>
      </c>
      <c r="U229" s="33">
        <v>1</v>
      </c>
      <c r="V229" s="36">
        <v>0</v>
      </c>
      <c r="W229" s="36">
        <v>2</v>
      </c>
    </row>
    <row r="230" spans="1:23" x14ac:dyDescent="0.2">
      <c r="A230" s="59">
        <v>98327</v>
      </c>
      <c r="B230" s="62" t="s">
        <v>345</v>
      </c>
      <c r="C230" s="46">
        <v>1</v>
      </c>
      <c r="D230" s="46">
        <v>1</v>
      </c>
      <c r="E230" s="46">
        <v>1</v>
      </c>
      <c r="M230" s="81">
        <v>98248</v>
      </c>
      <c r="N230" s="62" t="s">
        <v>345</v>
      </c>
      <c r="O230" s="33">
        <v>9</v>
      </c>
      <c r="P230" s="33">
        <v>24</v>
      </c>
      <c r="Q230" s="36">
        <v>15</v>
      </c>
      <c r="S230" s="81">
        <v>98467</v>
      </c>
      <c r="T230" s="62" t="s">
        <v>10</v>
      </c>
      <c r="U230" s="36">
        <v>0</v>
      </c>
      <c r="V230" s="36">
        <v>1</v>
      </c>
      <c r="W230" s="36">
        <v>2</v>
      </c>
    </row>
    <row r="231" spans="1:23" x14ac:dyDescent="0.2">
      <c r="A231" s="58">
        <v>98327</v>
      </c>
      <c r="B231" s="62" t="s">
        <v>10</v>
      </c>
      <c r="C231" s="46">
        <v>12</v>
      </c>
      <c r="D231" s="46">
        <v>11</v>
      </c>
      <c r="E231" s="46">
        <v>11</v>
      </c>
      <c r="M231" s="56">
        <v>98248</v>
      </c>
      <c r="N231" s="62" t="s">
        <v>10</v>
      </c>
      <c r="O231" s="36">
        <v>99</v>
      </c>
      <c r="P231" s="36">
        <v>97</v>
      </c>
      <c r="Q231" s="36">
        <v>79</v>
      </c>
      <c r="S231" s="81">
        <v>98498</v>
      </c>
      <c r="T231" s="62" t="s">
        <v>10</v>
      </c>
      <c r="U231" s="36">
        <v>5</v>
      </c>
      <c r="V231" s="36">
        <v>10</v>
      </c>
      <c r="W231" s="36">
        <v>10</v>
      </c>
    </row>
    <row r="232" spans="1:23" x14ac:dyDescent="0.2">
      <c r="A232" s="59">
        <v>98328</v>
      </c>
      <c r="B232" s="62" t="s">
        <v>10</v>
      </c>
      <c r="C232" s="46">
        <v>2</v>
      </c>
      <c r="D232" s="46">
        <v>2</v>
      </c>
      <c r="E232" s="46">
        <v>2</v>
      </c>
      <c r="M232" s="81">
        <v>98249</v>
      </c>
      <c r="N232" s="62" t="s">
        <v>345</v>
      </c>
      <c r="O232" s="36">
        <v>0</v>
      </c>
      <c r="P232" s="33">
        <v>6</v>
      </c>
      <c r="Q232" s="33">
        <v>10</v>
      </c>
      <c r="S232" s="81">
        <v>98499</v>
      </c>
      <c r="T232" s="62" t="s">
        <v>345</v>
      </c>
      <c r="U232" s="36">
        <v>0</v>
      </c>
      <c r="V232" s="36">
        <v>1</v>
      </c>
      <c r="W232" s="36">
        <v>0</v>
      </c>
    </row>
    <row r="233" spans="1:23" x14ac:dyDescent="0.2">
      <c r="A233" s="58">
        <v>98332</v>
      </c>
      <c r="B233" s="62" t="s">
        <v>10</v>
      </c>
      <c r="C233" s="46">
        <v>17</v>
      </c>
      <c r="D233" s="46">
        <v>16</v>
      </c>
      <c r="E233" s="46">
        <v>13</v>
      </c>
      <c r="M233" s="56">
        <v>98249</v>
      </c>
      <c r="N233" s="62" t="s">
        <v>10</v>
      </c>
      <c r="O233" s="36">
        <v>14</v>
      </c>
      <c r="P233" s="36">
        <v>29</v>
      </c>
      <c r="Q233" s="36">
        <v>21</v>
      </c>
      <c r="S233" s="81">
        <v>98499</v>
      </c>
      <c r="T233" s="62" t="s">
        <v>10</v>
      </c>
      <c r="U233" s="36">
        <v>2</v>
      </c>
      <c r="V233" s="36">
        <v>2</v>
      </c>
      <c r="W233" s="36">
        <v>2</v>
      </c>
    </row>
    <row r="234" spans="1:23" x14ac:dyDescent="0.2">
      <c r="A234" s="59">
        <v>98335</v>
      </c>
      <c r="B234" s="62" t="s">
        <v>10</v>
      </c>
      <c r="C234" s="46">
        <v>16</v>
      </c>
      <c r="D234" s="46">
        <v>14</v>
      </c>
      <c r="E234" s="46">
        <v>11</v>
      </c>
      <c r="M234" s="81">
        <v>98251</v>
      </c>
      <c r="N234" s="62" t="s">
        <v>10</v>
      </c>
      <c r="O234" s="36">
        <v>4</v>
      </c>
      <c r="P234" s="36">
        <v>4</v>
      </c>
      <c r="Q234" s="36">
        <v>2</v>
      </c>
      <c r="S234" s="81">
        <v>98501</v>
      </c>
      <c r="T234" s="62" t="s">
        <v>345</v>
      </c>
      <c r="U234" s="36">
        <v>0</v>
      </c>
      <c r="V234" s="36">
        <v>0</v>
      </c>
      <c r="W234" s="36">
        <v>1</v>
      </c>
    </row>
    <row r="235" spans="1:23" x14ac:dyDescent="0.2">
      <c r="A235" s="58">
        <v>98337</v>
      </c>
      <c r="B235" s="62" t="s">
        <v>345</v>
      </c>
      <c r="C235" s="46">
        <v>3</v>
      </c>
      <c r="D235" s="46">
        <v>3</v>
      </c>
      <c r="E235" s="46">
        <v>3</v>
      </c>
      <c r="M235" s="56">
        <v>98252</v>
      </c>
      <c r="N235" s="62" t="s">
        <v>10</v>
      </c>
      <c r="O235" s="36">
        <v>7</v>
      </c>
      <c r="P235" s="36">
        <v>12</v>
      </c>
      <c r="Q235" s="36">
        <v>3</v>
      </c>
      <c r="S235" s="81">
        <v>98501</v>
      </c>
      <c r="T235" s="62" t="s">
        <v>10</v>
      </c>
      <c r="U235" s="33">
        <v>6</v>
      </c>
      <c r="V235" s="36">
        <v>11</v>
      </c>
      <c r="W235" s="36">
        <v>22</v>
      </c>
    </row>
    <row r="236" spans="1:23" x14ac:dyDescent="0.2">
      <c r="A236" s="59">
        <v>98337</v>
      </c>
      <c r="B236" s="62" t="s">
        <v>10</v>
      </c>
      <c r="C236" s="46">
        <v>18</v>
      </c>
      <c r="D236" s="46">
        <v>15</v>
      </c>
      <c r="E236" s="46">
        <v>14</v>
      </c>
      <c r="M236" s="81">
        <v>98253</v>
      </c>
      <c r="N236" s="62" t="s">
        <v>345</v>
      </c>
      <c r="O236" s="33">
        <v>0</v>
      </c>
      <c r="P236" s="33">
        <v>2</v>
      </c>
      <c r="Q236" s="36">
        <v>1</v>
      </c>
      <c r="S236" s="81">
        <v>98502</v>
      </c>
      <c r="T236" s="62" t="s">
        <v>10</v>
      </c>
      <c r="U236" s="33">
        <v>7</v>
      </c>
      <c r="V236" s="33">
        <v>8</v>
      </c>
      <c r="W236" s="36">
        <v>14</v>
      </c>
    </row>
    <row r="237" spans="1:23" x14ac:dyDescent="0.2">
      <c r="A237" s="58">
        <v>98338</v>
      </c>
      <c r="B237" s="62" t="s">
        <v>10</v>
      </c>
      <c r="C237" s="46">
        <v>69</v>
      </c>
      <c r="D237" s="46">
        <v>68</v>
      </c>
      <c r="E237" s="46">
        <v>63</v>
      </c>
      <c r="M237" s="56">
        <v>98253</v>
      </c>
      <c r="N237" s="62" t="s">
        <v>10</v>
      </c>
      <c r="O237" s="36">
        <v>4</v>
      </c>
      <c r="P237" s="36">
        <v>9</v>
      </c>
      <c r="Q237" s="36">
        <v>8</v>
      </c>
      <c r="S237" s="81">
        <v>98503</v>
      </c>
      <c r="T237" s="62" t="s">
        <v>10</v>
      </c>
      <c r="U237" s="36">
        <v>15</v>
      </c>
      <c r="V237" s="36">
        <v>15</v>
      </c>
      <c r="W237" s="36">
        <v>25</v>
      </c>
    </row>
    <row r="238" spans="1:23" x14ac:dyDescent="0.2">
      <c r="A238" s="59">
        <v>98340</v>
      </c>
      <c r="B238" s="62" t="s">
        <v>10</v>
      </c>
      <c r="C238" s="46">
        <v>4</v>
      </c>
      <c r="D238" s="46">
        <v>4</v>
      </c>
      <c r="E238" s="46">
        <v>4</v>
      </c>
      <c r="M238" s="81">
        <v>98255</v>
      </c>
      <c r="N238" s="62" t="s">
        <v>345</v>
      </c>
      <c r="O238" s="36">
        <v>0</v>
      </c>
      <c r="P238" s="36">
        <v>1</v>
      </c>
      <c r="Q238" s="36">
        <v>1</v>
      </c>
      <c r="S238" s="81">
        <v>98506</v>
      </c>
      <c r="T238" s="62" t="s">
        <v>10</v>
      </c>
      <c r="U238" s="36">
        <v>7</v>
      </c>
      <c r="V238" s="33">
        <v>5</v>
      </c>
      <c r="W238" s="33">
        <v>8</v>
      </c>
    </row>
    <row r="239" spans="1:23" x14ac:dyDescent="0.2">
      <c r="A239" s="58">
        <v>98342</v>
      </c>
      <c r="B239" s="62" t="s">
        <v>10</v>
      </c>
      <c r="C239" s="46">
        <v>10</v>
      </c>
      <c r="D239" s="46">
        <v>10</v>
      </c>
      <c r="E239" s="46">
        <v>8</v>
      </c>
      <c r="M239" s="56">
        <v>98255</v>
      </c>
      <c r="N239" s="62" t="s">
        <v>10</v>
      </c>
      <c r="O239" s="36">
        <v>0</v>
      </c>
      <c r="P239" s="36">
        <v>1</v>
      </c>
      <c r="Q239" s="36">
        <v>3</v>
      </c>
      <c r="S239" s="81">
        <v>98512</v>
      </c>
      <c r="T239" s="62" t="s">
        <v>345</v>
      </c>
      <c r="U239" s="33">
        <v>1</v>
      </c>
      <c r="V239" s="36">
        <v>0</v>
      </c>
      <c r="W239" s="33">
        <v>2</v>
      </c>
    </row>
    <row r="240" spans="1:23" x14ac:dyDescent="0.2">
      <c r="A240" s="59">
        <v>98345</v>
      </c>
      <c r="B240" s="62" t="s">
        <v>10</v>
      </c>
      <c r="C240" s="46">
        <v>5</v>
      </c>
      <c r="D240" s="46">
        <v>5</v>
      </c>
      <c r="E240" s="46">
        <v>4</v>
      </c>
      <c r="M240" s="81">
        <v>98257</v>
      </c>
      <c r="N240" s="62" t="s">
        <v>345</v>
      </c>
      <c r="O240" s="36">
        <v>3</v>
      </c>
      <c r="P240" s="33">
        <v>6</v>
      </c>
      <c r="Q240" s="36">
        <v>4</v>
      </c>
      <c r="S240" s="56">
        <v>98512</v>
      </c>
      <c r="T240" s="62" t="s">
        <v>10</v>
      </c>
      <c r="U240" s="36">
        <v>9</v>
      </c>
      <c r="V240" s="36">
        <v>9</v>
      </c>
      <c r="W240" s="36">
        <v>15</v>
      </c>
    </row>
    <row r="241" spans="1:23" x14ac:dyDescent="0.2">
      <c r="A241" s="58">
        <v>98346</v>
      </c>
      <c r="B241" s="62" t="s">
        <v>345</v>
      </c>
      <c r="C241" s="46">
        <v>1</v>
      </c>
      <c r="D241" s="46">
        <v>1</v>
      </c>
      <c r="E241" s="46">
        <v>1</v>
      </c>
      <c r="M241" s="56">
        <v>98257</v>
      </c>
      <c r="N241" s="62" t="s">
        <v>10</v>
      </c>
      <c r="O241" s="36">
        <v>11</v>
      </c>
      <c r="P241" s="36">
        <v>25</v>
      </c>
      <c r="Q241" s="36">
        <v>7</v>
      </c>
      <c r="S241" s="81">
        <v>98513</v>
      </c>
      <c r="T241" s="62" t="s">
        <v>345</v>
      </c>
      <c r="U241" s="36">
        <v>1</v>
      </c>
      <c r="V241" s="33">
        <v>0</v>
      </c>
      <c r="W241" s="33">
        <v>1</v>
      </c>
    </row>
    <row r="242" spans="1:23" x14ac:dyDescent="0.2">
      <c r="A242" s="59">
        <v>98346</v>
      </c>
      <c r="B242" s="62" t="s">
        <v>10</v>
      </c>
      <c r="C242" s="46">
        <v>39</v>
      </c>
      <c r="D242" s="46">
        <v>37</v>
      </c>
      <c r="E242" s="46">
        <v>32</v>
      </c>
      <c r="M242" s="81">
        <v>98258</v>
      </c>
      <c r="N242" s="62" t="s">
        <v>345</v>
      </c>
      <c r="O242" s="36">
        <v>0</v>
      </c>
      <c r="P242" s="36">
        <v>4</v>
      </c>
      <c r="Q242" s="36">
        <v>1</v>
      </c>
      <c r="S242" s="56">
        <v>98513</v>
      </c>
      <c r="T242" s="62" t="s">
        <v>10</v>
      </c>
      <c r="U242" s="36">
        <v>10</v>
      </c>
      <c r="V242" s="36">
        <v>10</v>
      </c>
      <c r="W242" s="36">
        <v>11</v>
      </c>
    </row>
    <row r="243" spans="1:23" x14ac:dyDescent="0.2">
      <c r="A243" s="59">
        <v>98353</v>
      </c>
      <c r="B243" s="62" t="s">
        <v>10</v>
      </c>
      <c r="C243" s="46">
        <v>1</v>
      </c>
      <c r="D243" s="46">
        <v>0</v>
      </c>
      <c r="E243" s="46">
        <v>0</v>
      </c>
      <c r="M243" s="56">
        <v>98258</v>
      </c>
      <c r="N243" s="62" t="s">
        <v>10</v>
      </c>
      <c r="O243" s="36">
        <v>66</v>
      </c>
      <c r="P243" s="36">
        <v>93</v>
      </c>
      <c r="Q243" s="36">
        <v>73</v>
      </c>
      <c r="S243" s="81">
        <v>98516</v>
      </c>
      <c r="T243" s="62" t="s">
        <v>345</v>
      </c>
      <c r="U243" s="36">
        <v>0</v>
      </c>
      <c r="V243" s="36">
        <v>1</v>
      </c>
      <c r="W243" s="36">
        <v>0</v>
      </c>
    </row>
    <row r="244" spans="1:23" x14ac:dyDescent="0.2">
      <c r="A244" s="58">
        <v>98354</v>
      </c>
      <c r="B244" s="62" t="s">
        <v>10</v>
      </c>
      <c r="C244" s="46">
        <v>6</v>
      </c>
      <c r="D244" s="46">
        <v>6</v>
      </c>
      <c r="E244" s="46">
        <v>5</v>
      </c>
      <c r="M244" s="81">
        <v>98260</v>
      </c>
      <c r="N244" s="62" t="s">
        <v>345</v>
      </c>
      <c r="O244" s="33">
        <v>1</v>
      </c>
      <c r="P244" s="36">
        <v>3</v>
      </c>
      <c r="Q244" s="33">
        <v>5</v>
      </c>
      <c r="S244" s="81">
        <v>98516</v>
      </c>
      <c r="T244" s="62" t="s">
        <v>10</v>
      </c>
      <c r="U244" s="36">
        <v>3</v>
      </c>
      <c r="V244" s="33">
        <v>5</v>
      </c>
      <c r="W244" s="33">
        <v>14</v>
      </c>
    </row>
    <row r="245" spans="1:23" x14ac:dyDescent="0.2">
      <c r="A245" s="59">
        <v>98359</v>
      </c>
      <c r="B245" s="62" t="s">
        <v>10</v>
      </c>
      <c r="C245" s="46">
        <v>17</v>
      </c>
      <c r="D245" s="46">
        <v>13</v>
      </c>
      <c r="E245" s="46">
        <v>12</v>
      </c>
      <c r="M245" s="56">
        <v>98260</v>
      </c>
      <c r="N245" s="62" t="s">
        <v>10</v>
      </c>
      <c r="O245" s="36">
        <v>19</v>
      </c>
      <c r="P245" s="36">
        <v>15</v>
      </c>
      <c r="Q245" s="36">
        <v>26</v>
      </c>
      <c r="S245" s="56">
        <v>98530</v>
      </c>
      <c r="T245" s="62" t="s">
        <v>10</v>
      </c>
      <c r="U245" s="36">
        <v>1</v>
      </c>
      <c r="V245" s="36">
        <v>0</v>
      </c>
      <c r="W245" s="36">
        <v>0</v>
      </c>
    </row>
    <row r="246" spans="1:23" x14ac:dyDescent="0.2">
      <c r="A246" s="59">
        <v>98360</v>
      </c>
      <c r="B246" s="62" t="s">
        <v>345</v>
      </c>
      <c r="C246" s="46">
        <v>2</v>
      </c>
      <c r="D246" s="46">
        <v>2</v>
      </c>
      <c r="E246" s="46">
        <v>2</v>
      </c>
      <c r="M246" s="81">
        <v>98262</v>
      </c>
      <c r="N246" s="62" t="s">
        <v>345</v>
      </c>
      <c r="O246" s="36">
        <v>2</v>
      </c>
      <c r="P246" s="36">
        <v>0</v>
      </c>
      <c r="Q246" s="33">
        <v>1</v>
      </c>
      <c r="S246" s="81">
        <v>98531</v>
      </c>
      <c r="T246" s="62" t="s">
        <v>10</v>
      </c>
      <c r="U246" s="36">
        <v>4</v>
      </c>
      <c r="V246" s="36">
        <v>4</v>
      </c>
      <c r="W246" s="36">
        <v>2</v>
      </c>
    </row>
    <row r="247" spans="1:23" x14ac:dyDescent="0.2">
      <c r="A247" s="58">
        <v>98360</v>
      </c>
      <c r="B247" s="62" t="s">
        <v>10</v>
      </c>
      <c r="C247" s="46">
        <v>95</v>
      </c>
      <c r="D247" s="46">
        <v>86</v>
      </c>
      <c r="E247" s="46">
        <v>78</v>
      </c>
      <c r="M247" s="56">
        <v>98262</v>
      </c>
      <c r="N247" s="62" t="s">
        <v>10</v>
      </c>
      <c r="O247" s="33">
        <v>6</v>
      </c>
      <c r="P247" s="36">
        <v>6</v>
      </c>
      <c r="Q247" s="36">
        <v>6</v>
      </c>
      <c r="S247" s="81">
        <v>98532</v>
      </c>
      <c r="T247" s="62" t="s">
        <v>10</v>
      </c>
      <c r="U247" s="36">
        <v>1</v>
      </c>
      <c r="V247" s="36">
        <v>0</v>
      </c>
      <c r="W247" s="36">
        <v>1</v>
      </c>
    </row>
    <row r="248" spans="1:23" x14ac:dyDescent="0.2">
      <c r="A248" s="59">
        <v>98364</v>
      </c>
      <c r="B248" s="62" t="s">
        <v>10</v>
      </c>
      <c r="C248" s="46">
        <v>1</v>
      </c>
      <c r="D248" s="46">
        <v>1</v>
      </c>
      <c r="E248" s="46">
        <v>0</v>
      </c>
      <c r="M248" s="81">
        <v>98263</v>
      </c>
      <c r="N248" s="62" t="s">
        <v>345</v>
      </c>
      <c r="O248" s="36">
        <v>0</v>
      </c>
      <c r="P248" s="36">
        <v>1</v>
      </c>
      <c r="Q248" s="36">
        <v>0</v>
      </c>
      <c r="S248" s="81">
        <v>98576</v>
      </c>
      <c r="T248" s="62" t="s">
        <v>10</v>
      </c>
      <c r="U248" s="36">
        <v>2</v>
      </c>
      <c r="V248" s="36">
        <v>2</v>
      </c>
      <c r="W248" s="36">
        <v>3</v>
      </c>
    </row>
    <row r="249" spans="1:23" x14ac:dyDescent="0.2">
      <c r="A249" s="58">
        <v>98366</v>
      </c>
      <c r="B249" s="62" t="s">
        <v>345</v>
      </c>
      <c r="C249" s="46">
        <v>3</v>
      </c>
      <c r="D249" s="46">
        <v>3</v>
      </c>
      <c r="E249" s="46">
        <v>3</v>
      </c>
      <c r="M249" s="56">
        <v>98263</v>
      </c>
      <c r="N249" s="62" t="s">
        <v>10</v>
      </c>
      <c r="O249" s="36">
        <v>1</v>
      </c>
      <c r="P249" s="36">
        <v>4</v>
      </c>
      <c r="Q249" s="36">
        <v>0</v>
      </c>
      <c r="S249" s="81">
        <v>98579</v>
      </c>
      <c r="T249" s="62" t="s">
        <v>10</v>
      </c>
      <c r="U249" s="36">
        <v>7</v>
      </c>
      <c r="V249" s="36">
        <v>4</v>
      </c>
      <c r="W249" s="36">
        <v>13</v>
      </c>
    </row>
    <row r="250" spans="1:23" x14ac:dyDescent="0.2">
      <c r="A250" s="59">
        <v>98366</v>
      </c>
      <c r="B250" s="62" t="s">
        <v>10</v>
      </c>
      <c r="C250" s="46">
        <v>130</v>
      </c>
      <c r="D250" s="46">
        <v>121</v>
      </c>
      <c r="E250" s="46">
        <v>102</v>
      </c>
      <c r="M250" s="81">
        <v>98264</v>
      </c>
      <c r="N250" s="62" t="s">
        <v>345</v>
      </c>
      <c r="O250" s="36">
        <v>25</v>
      </c>
      <c r="P250" s="33">
        <v>18</v>
      </c>
      <c r="Q250" s="36">
        <v>20</v>
      </c>
      <c r="S250" s="81">
        <v>98580</v>
      </c>
      <c r="T250" s="62" t="s">
        <v>10</v>
      </c>
      <c r="U250" s="36">
        <v>5</v>
      </c>
      <c r="V250" s="33">
        <v>3</v>
      </c>
      <c r="W250" s="33">
        <v>2</v>
      </c>
    </row>
    <row r="251" spans="1:23" x14ac:dyDescent="0.2">
      <c r="A251" s="59">
        <v>98367</v>
      </c>
      <c r="B251" s="62" t="s">
        <v>345</v>
      </c>
      <c r="C251" s="46">
        <v>1</v>
      </c>
      <c r="D251" s="46">
        <v>1</v>
      </c>
      <c r="E251" s="46">
        <v>1</v>
      </c>
      <c r="M251" s="56">
        <v>98264</v>
      </c>
      <c r="N251" s="62" t="s">
        <v>10</v>
      </c>
      <c r="O251" s="36">
        <v>97</v>
      </c>
      <c r="P251" s="36">
        <v>114</v>
      </c>
      <c r="Q251" s="36">
        <v>73</v>
      </c>
      <c r="S251" s="56">
        <v>98589</v>
      </c>
      <c r="T251" s="62" t="s">
        <v>345</v>
      </c>
      <c r="U251" s="36">
        <v>1</v>
      </c>
      <c r="V251" s="36">
        <v>0</v>
      </c>
      <c r="W251" s="36">
        <v>0</v>
      </c>
    </row>
    <row r="252" spans="1:23" x14ac:dyDescent="0.2">
      <c r="A252" s="58">
        <v>98367</v>
      </c>
      <c r="B252" s="62" t="s">
        <v>10</v>
      </c>
      <c r="C252" s="46">
        <v>93</v>
      </c>
      <c r="D252" s="46">
        <v>77</v>
      </c>
      <c r="E252" s="46">
        <v>69</v>
      </c>
      <c r="M252" s="81">
        <v>98266</v>
      </c>
      <c r="N252" s="62" t="s">
        <v>345</v>
      </c>
      <c r="O252" s="33">
        <v>1</v>
      </c>
      <c r="P252" s="36">
        <v>1</v>
      </c>
      <c r="Q252" s="33">
        <v>0</v>
      </c>
      <c r="S252" s="81">
        <v>98589</v>
      </c>
      <c r="T252" s="62" t="s">
        <v>10</v>
      </c>
      <c r="U252" s="36">
        <v>3</v>
      </c>
      <c r="V252" s="33">
        <v>1</v>
      </c>
      <c r="W252" s="36">
        <v>4</v>
      </c>
    </row>
    <row r="253" spans="1:23" x14ac:dyDescent="0.2">
      <c r="A253" s="59">
        <v>98370</v>
      </c>
      <c r="B253" s="62" t="s">
        <v>345</v>
      </c>
      <c r="C253" s="46">
        <v>1</v>
      </c>
      <c r="D253" s="46">
        <v>1</v>
      </c>
      <c r="E253" s="46">
        <v>1</v>
      </c>
      <c r="M253" s="56">
        <v>98266</v>
      </c>
      <c r="N253" s="62" t="s">
        <v>10</v>
      </c>
      <c r="O253" s="36">
        <v>19</v>
      </c>
      <c r="P253" s="36">
        <v>17</v>
      </c>
      <c r="Q253" s="33">
        <v>22</v>
      </c>
      <c r="S253" s="81">
        <v>98597</v>
      </c>
      <c r="T253" s="62" t="s">
        <v>345</v>
      </c>
      <c r="U253" s="33">
        <v>0</v>
      </c>
      <c r="V253" s="36">
        <v>1</v>
      </c>
      <c r="W253" s="33">
        <v>1</v>
      </c>
    </row>
    <row r="254" spans="1:23" x14ac:dyDescent="0.2">
      <c r="A254" s="59">
        <v>98370</v>
      </c>
      <c r="B254" s="62" t="s">
        <v>10</v>
      </c>
      <c r="C254" s="46">
        <v>100</v>
      </c>
      <c r="D254" s="46">
        <v>92</v>
      </c>
      <c r="E254" s="46">
        <v>82</v>
      </c>
      <c r="M254" s="81">
        <v>98267</v>
      </c>
      <c r="N254" s="62" t="s">
        <v>345</v>
      </c>
      <c r="O254" s="36">
        <v>0</v>
      </c>
      <c r="P254" s="33">
        <v>1</v>
      </c>
      <c r="Q254" s="36">
        <v>0</v>
      </c>
      <c r="S254" s="81">
        <v>98597</v>
      </c>
      <c r="T254" s="62" t="s">
        <v>10</v>
      </c>
      <c r="U254" s="36">
        <v>11</v>
      </c>
      <c r="V254" s="36">
        <v>11</v>
      </c>
      <c r="W254" s="36">
        <v>23</v>
      </c>
    </row>
    <row r="255" spans="1:23" x14ac:dyDescent="0.2">
      <c r="A255" s="58">
        <v>98371</v>
      </c>
      <c r="B255" s="62" t="s">
        <v>345</v>
      </c>
      <c r="C255" s="46">
        <v>1</v>
      </c>
      <c r="D255" s="46">
        <v>1</v>
      </c>
      <c r="E255" s="46">
        <v>1</v>
      </c>
      <c r="M255" s="56">
        <v>98267</v>
      </c>
      <c r="N255" s="62" t="s">
        <v>10</v>
      </c>
      <c r="O255" s="36">
        <v>1</v>
      </c>
      <c r="P255" s="36">
        <v>0</v>
      </c>
      <c r="Q255" s="36">
        <v>1</v>
      </c>
      <c r="S255" s="81">
        <v>98922</v>
      </c>
      <c r="T255" s="62" t="s">
        <v>10</v>
      </c>
      <c r="U255" s="36">
        <v>1</v>
      </c>
      <c r="V255" s="36">
        <v>4</v>
      </c>
      <c r="W255" s="36">
        <v>2</v>
      </c>
    </row>
    <row r="256" spans="1:23" x14ac:dyDescent="0.2">
      <c r="A256" s="59">
        <v>98371</v>
      </c>
      <c r="B256" s="62" t="s">
        <v>10</v>
      </c>
      <c r="C256" s="46">
        <v>77</v>
      </c>
      <c r="D256" s="46">
        <v>68</v>
      </c>
      <c r="E256" s="46">
        <v>61</v>
      </c>
      <c r="M256" s="81">
        <v>98270</v>
      </c>
      <c r="N256" s="62" t="s">
        <v>345</v>
      </c>
      <c r="O256" s="36">
        <v>3</v>
      </c>
      <c r="P256" s="36">
        <v>3</v>
      </c>
      <c r="Q256" s="36">
        <v>8</v>
      </c>
      <c r="S256" s="81">
        <v>98925</v>
      </c>
      <c r="T256" s="62" t="s">
        <v>10</v>
      </c>
      <c r="U256" s="36">
        <v>1</v>
      </c>
      <c r="V256" s="36">
        <v>2</v>
      </c>
      <c r="W256" s="36">
        <v>1</v>
      </c>
    </row>
    <row r="257" spans="1:23" x14ac:dyDescent="0.2">
      <c r="A257" s="59">
        <v>98372</v>
      </c>
      <c r="B257" s="62" t="s">
        <v>345</v>
      </c>
      <c r="C257" s="46">
        <v>1</v>
      </c>
      <c r="D257" s="46">
        <v>1</v>
      </c>
      <c r="E257" s="46">
        <v>1</v>
      </c>
      <c r="M257" s="56">
        <v>98270</v>
      </c>
      <c r="N257" s="62" t="s">
        <v>10</v>
      </c>
      <c r="O257" s="36">
        <v>90</v>
      </c>
      <c r="P257" s="36">
        <v>84</v>
      </c>
      <c r="Q257" s="36">
        <v>103</v>
      </c>
      <c r="S257" s="81">
        <v>98926</v>
      </c>
      <c r="T257" s="62" t="s">
        <v>10</v>
      </c>
      <c r="U257" s="36">
        <v>1</v>
      </c>
      <c r="V257" s="36">
        <v>4</v>
      </c>
      <c r="W257" s="36">
        <v>3</v>
      </c>
    </row>
    <row r="258" spans="1:23" x14ac:dyDescent="0.2">
      <c r="A258" s="59">
        <v>98372</v>
      </c>
      <c r="B258" s="62" t="s">
        <v>10</v>
      </c>
      <c r="C258" s="46">
        <v>104</v>
      </c>
      <c r="D258" s="46">
        <v>97</v>
      </c>
      <c r="E258" s="46">
        <v>89</v>
      </c>
      <c r="M258" s="81">
        <v>98271</v>
      </c>
      <c r="N258" s="62" t="s">
        <v>345</v>
      </c>
      <c r="O258" s="36">
        <v>5</v>
      </c>
      <c r="P258" s="36">
        <v>5</v>
      </c>
      <c r="Q258" s="36">
        <v>4</v>
      </c>
      <c r="S258" s="81">
        <v>98940</v>
      </c>
      <c r="T258" s="62" t="s">
        <v>10</v>
      </c>
      <c r="U258" s="33">
        <v>1</v>
      </c>
      <c r="V258" s="36">
        <v>0</v>
      </c>
      <c r="W258" s="33">
        <v>0</v>
      </c>
    </row>
    <row r="259" spans="1:23" x14ac:dyDescent="0.2">
      <c r="A259" s="58">
        <v>98373</v>
      </c>
      <c r="B259" s="62" t="s">
        <v>345</v>
      </c>
      <c r="C259" s="46">
        <v>5</v>
      </c>
      <c r="D259" s="46">
        <v>5</v>
      </c>
      <c r="E259" s="46">
        <v>4</v>
      </c>
      <c r="M259" s="56">
        <v>98271</v>
      </c>
      <c r="N259" s="62" t="s">
        <v>10</v>
      </c>
      <c r="O259" s="36">
        <v>16</v>
      </c>
      <c r="P259" s="36">
        <v>26</v>
      </c>
      <c r="Q259" s="36">
        <v>16</v>
      </c>
      <c r="S259" s="81">
        <v>98941</v>
      </c>
      <c r="T259" s="62" t="s">
        <v>10</v>
      </c>
      <c r="U259" s="33">
        <v>1</v>
      </c>
      <c r="V259" s="36">
        <v>1</v>
      </c>
      <c r="W259" s="36">
        <v>1</v>
      </c>
    </row>
    <row r="260" spans="1:23" ht="16" thickBot="1" x14ac:dyDescent="0.25">
      <c r="A260" s="59">
        <v>98373</v>
      </c>
      <c r="B260" s="62" t="s">
        <v>10</v>
      </c>
      <c r="C260" s="46">
        <v>70</v>
      </c>
      <c r="D260" s="46">
        <v>60</v>
      </c>
      <c r="E260" s="46">
        <v>54</v>
      </c>
      <c r="M260" s="81">
        <v>98272</v>
      </c>
      <c r="N260" s="62" t="s">
        <v>345</v>
      </c>
      <c r="O260" s="36">
        <v>3</v>
      </c>
      <c r="P260" s="36">
        <v>7</v>
      </c>
      <c r="Q260" s="36">
        <v>4</v>
      </c>
      <c r="S260" s="85">
        <v>98946</v>
      </c>
      <c r="T260" s="54" t="s">
        <v>10</v>
      </c>
      <c r="U260" s="55">
        <v>0</v>
      </c>
      <c r="V260" s="55">
        <v>1</v>
      </c>
      <c r="W260" s="55">
        <v>1</v>
      </c>
    </row>
    <row r="261" spans="1:23" x14ac:dyDescent="0.2">
      <c r="A261" s="58">
        <v>98374</v>
      </c>
      <c r="B261" s="62" t="s">
        <v>345</v>
      </c>
      <c r="C261" s="46">
        <v>2</v>
      </c>
      <c r="D261" s="46">
        <v>2</v>
      </c>
      <c r="E261" s="46">
        <v>1</v>
      </c>
      <c r="M261" s="56">
        <v>98272</v>
      </c>
      <c r="N261" s="62" t="s">
        <v>10</v>
      </c>
      <c r="O261" s="36">
        <v>35</v>
      </c>
      <c r="P261" s="36">
        <v>38</v>
      </c>
      <c r="Q261" s="36">
        <v>35</v>
      </c>
      <c r="S261" s="119"/>
      <c r="T261" s="37"/>
      <c r="U261" s="108"/>
      <c r="V261" s="43"/>
      <c r="W261" s="43"/>
    </row>
    <row r="262" spans="1:23" x14ac:dyDescent="0.2">
      <c r="A262" s="59">
        <v>98374</v>
      </c>
      <c r="B262" s="62" t="s">
        <v>10</v>
      </c>
      <c r="C262" s="46">
        <v>157</v>
      </c>
      <c r="D262" s="46">
        <v>144</v>
      </c>
      <c r="E262" s="46">
        <v>136</v>
      </c>
      <c r="M262" s="81">
        <v>98273</v>
      </c>
      <c r="N262" s="62" t="s">
        <v>345</v>
      </c>
      <c r="O262" s="36">
        <v>26</v>
      </c>
      <c r="P262" s="36">
        <v>18</v>
      </c>
      <c r="Q262" s="36">
        <v>8</v>
      </c>
      <c r="S262" s="120"/>
      <c r="T262" s="39"/>
      <c r="U262" s="44"/>
      <c r="V262" s="41"/>
      <c r="W262" s="41"/>
    </row>
    <row r="263" spans="1:23" x14ac:dyDescent="0.2">
      <c r="A263" s="58">
        <v>98375</v>
      </c>
      <c r="B263" s="62" t="s">
        <v>345</v>
      </c>
      <c r="C263" s="46">
        <v>1</v>
      </c>
      <c r="D263" s="46">
        <v>1</v>
      </c>
      <c r="E263" s="46">
        <v>1</v>
      </c>
      <c r="M263" s="56">
        <v>98273</v>
      </c>
      <c r="N263" s="62" t="s">
        <v>10</v>
      </c>
      <c r="O263" s="36">
        <v>87</v>
      </c>
      <c r="P263" s="36">
        <v>133</v>
      </c>
      <c r="Q263" s="36">
        <v>130</v>
      </c>
      <c r="S263" s="67"/>
      <c r="T263" s="39"/>
      <c r="U263" s="44"/>
      <c r="V263" s="44"/>
      <c r="W263" s="44"/>
    </row>
    <row r="264" spans="1:23" x14ac:dyDescent="0.2">
      <c r="A264" s="59">
        <v>98375</v>
      </c>
      <c r="B264" s="62" t="s">
        <v>10</v>
      </c>
      <c r="C264" s="46">
        <v>114</v>
      </c>
      <c r="D264" s="46">
        <v>108</v>
      </c>
      <c r="E264" s="46">
        <v>103</v>
      </c>
      <c r="M264" s="81">
        <v>98274</v>
      </c>
      <c r="N264" s="62" t="s">
        <v>345</v>
      </c>
      <c r="O264" s="36">
        <v>8</v>
      </c>
      <c r="P264" s="36">
        <v>9</v>
      </c>
      <c r="Q264" s="36">
        <v>3</v>
      </c>
      <c r="S264" s="120"/>
      <c r="T264" s="39"/>
      <c r="U264" s="41"/>
      <c r="V264" s="41"/>
      <c r="W264" s="44"/>
    </row>
    <row r="265" spans="1:23" x14ac:dyDescent="0.2">
      <c r="A265" s="58">
        <v>98380</v>
      </c>
      <c r="B265" s="62" t="s">
        <v>10</v>
      </c>
      <c r="C265" s="46">
        <v>20</v>
      </c>
      <c r="D265" s="46">
        <v>17</v>
      </c>
      <c r="E265" s="46">
        <v>17</v>
      </c>
      <c r="M265" s="56">
        <v>98274</v>
      </c>
      <c r="N265" s="62" t="s">
        <v>10</v>
      </c>
      <c r="O265" s="36">
        <v>47</v>
      </c>
      <c r="P265" s="36">
        <v>60</v>
      </c>
      <c r="Q265" s="36">
        <v>68</v>
      </c>
      <c r="S265" s="120"/>
      <c r="T265" s="39"/>
      <c r="U265" s="44"/>
      <c r="V265" s="44"/>
      <c r="W265" s="41"/>
    </row>
    <row r="266" spans="1:23" x14ac:dyDescent="0.2">
      <c r="A266" s="59">
        <v>98383</v>
      </c>
      <c r="B266" s="62" t="s">
        <v>10</v>
      </c>
      <c r="C266" s="46">
        <v>42</v>
      </c>
      <c r="D266" s="46">
        <v>37</v>
      </c>
      <c r="E266" s="46">
        <v>34</v>
      </c>
      <c r="M266" s="81">
        <v>98275</v>
      </c>
      <c r="N266" s="62" t="s">
        <v>345</v>
      </c>
      <c r="O266" s="33">
        <v>3</v>
      </c>
      <c r="P266" s="36">
        <v>4</v>
      </c>
      <c r="Q266" s="36">
        <v>2</v>
      </c>
      <c r="S266" s="120"/>
      <c r="T266" s="39"/>
      <c r="U266" s="44"/>
      <c r="V266" s="44"/>
      <c r="W266" s="41"/>
    </row>
    <row r="267" spans="1:23" x14ac:dyDescent="0.2">
      <c r="A267" s="59">
        <v>98385</v>
      </c>
      <c r="B267" s="62" t="s">
        <v>10</v>
      </c>
      <c r="C267" s="46">
        <v>3</v>
      </c>
      <c r="D267" s="46">
        <v>3</v>
      </c>
      <c r="E267" s="46">
        <v>3</v>
      </c>
      <c r="M267" s="56">
        <v>98275</v>
      </c>
      <c r="N267" s="62" t="s">
        <v>10</v>
      </c>
      <c r="O267" s="36">
        <v>14</v>
      </c>
      <c r="P267" s="36">
        <v>26</v>
      </c>
      <c r="Q267" s="36">
        <v>17</v>
      </c>
      <c r="S267" s="120"/>
      <c r="T267" s="39"/>
      <c r="U267" s="44"/>
      <c r="V267" s="41"/>
      <c r="W267" s="41"/>
    </row>
    <row r="268" spans="1:23" x14ac:dyDescent="0.2">
      <c r="A268" s="58">
        <v>98387</v>
      </c>
      <c r="B268" s="62" t="s">
        <v>345</v>
      </c>
      <c r="C268" s="46">
        <v>1</v>
      </c>
      <c r="D268" s="46">
        <v>1</v>
      </c>
      <c r="E268" s="46">
        <v>1</v>
      </c>
      <c r="M268" s="81">
        <v>98276</v>
      </c>
      <c r="N268" s="62" t="s">
        <v>345</v>
      </c>
      <c r="O268" s="36">
        <v>0</v>
      </c>
      <c r="P268" s="36">
        <v>0</v>
      </c>
      <c r="Q268" s="36">
        <v>3</v>
      </c>
      <c r="S268" s="120"/>
      <c r="T268" s="39"/>
      <c r="U268" s="44"/>
      <c r="V268" s="44"/>
      <c r="W268" s="41"/>
    </row>
    <row r="269" spans="1:23" x14ac:dyDescent="0.2">
      <c r="A269" s="59">
        <v>98387</v>
      </c>
      <c r="B269" s="62" t="s">
        <v>10</v>
      </c>
      <c r="C269" s="46">
        <v>80</v>
      </c>
      <c r="D269" s="46">
        <v>72</v>
      </c>
      <c r="E269" s="46">
        <v>67</v>
      </c>
      <c r="M269" s="56">
        <v>98276</v>
      </c>
      <c r="N269" s="62" t="s">
        <v>10</v>
      </c>
      <c r="O269" s="36">
        <v>5</v>
      </c>
      <c r="P269" s="36">
        <v>3</v>
      </c>
      <c r="Q269" s="36">
        <v>1</v>
      </c>
      <c r="S269" s="67"/>
      <c r="T269" s="39"/>
      <c r="U269" s="44"/>
      <c r="V269" s="44"/>
      <c r="W269" s="44"/>
    </row>
    <row r="270" spans="1:23" x14ac:dyDescent="0.2">
      <c r="A270" s="59">
        <v>98388</v>
      </c>
      <c r="B270" s="62" t="s">
        <v>10</v>
      </c>
      <c r="C270" s="46">
        <v>5</v>
      </c>
      <c r="D270" s="46">
        <v>5</v>
      </c>
      <c r="E270" s="46">
        <v>5</v>
      </c>
      <c r="M270" s="81">
        <v>98277</v>
      </c>
      <c r="N270" s="62" t="s">
        <v>345</v>
      </c>
      <c r="O270" s="33">
        <v>10</v>
      </c>
      <c r="P270" s="36">
        <v>16</v>
      </c>
      <c r="Q270" s="33">
        <v>11</v>
      </c>
      <c r="S270" s="120"/>
      <c r="T270" s="39"/>
      <c r="U270" s="44"/>
      <c r="V270" s="44"/>
      <c r="W270" s="44"/>
    </row>
    <row r="271" spans="1:23" x14ac:dyDescent="0.2">
      <c r="A271" s="59">
        <v>98390</v>
      </c>
      <c r="B271" s="62" t="s">
        <v>345</v>
      </c>
      <c r="C271" s="46">
        <v>4</v>
      </c>
      <c r="D271" s="46">
        <v>4</v>
      </c>
      <c r="E271" s="46">
        <v>3</v>
      </c>
      <c r="M271" s="56">
        <v>98277</v>
      </c>
      <c r="N271" s="62" t="s">
        <v>10</v>
      </c>
      <c r="O271" s="36">
        <v>171</v>
      </c>
      <c r="P271" s="36">
        <v>174</v>
      </c>
      <c r="Q271" s="36">
        <v>182</v>
      </c>
      <c r="S271" s="120"/>
      <c r="T271" s="39"/>
      <c r="U271" s="44"/>
      <c r="V271" s="44"/>
      <c r="W271" s="44"/>
    </row>
    <row r="272" spans="1:23" x14ac:dyDescent="0.2">
      <c r="A272" s="59">
        <v>98390</v>
      </c>
      <c r="B272" s="62" t="s">
        <v>10</v>
      </c>
      <c r="C272" s="46">
        <v>48</v>
      </c>
      <c r="D272" s="46">
        <v>46</v>
      </c>
      <c r="E272" s="46">
        <v>42</v>
      </c>
      <c r="M272" s="81">
        <v>98281</v>
      </c>
      <c r="N272" s="62" t="s">
        <v>345</v>
      </c>
      <c r="O272" s="36">
        <v>0</v>
      </c>
      <c r="P272" s="36">
        <v>0</v>
      </c>
      <c r="Q272" s="36">
        <v>3</v>
      </c>
      <c r="S272" s="120"/>
      <c r="T272" s="39"/>
      <c r="U272" s="41"/>
      <c r="V272" s="44"/>
      <c r="W272" s="44"/>
    </row>
    <row r="273" spans="1:23" x14ac:dyDescent="0.2">
      <c r="A273" s="59">
        <v>98391</v>
      </c>
      <c r="B273" s="62" t="s">
        <v>345</v>
      </c>
      <c r="C273" s="46">
        <v>3</v>
      </c>
      <c r="D273" s="46">
        <v>2</v>
      </c>
      <c r="E273" s="46">
        <v>2</v>
      </c>
      <c r="M273" s="81">
        <v>98281</v>
      </c>
      <c r="N273" s="62" t="s">
        <v>10</v>
      </c>
      <c r="O273" s="36">
        <v>11</v>
      </c>
      <c r="P273" s="36">
        <v>11</v>
      </c>
      <c r="Q273" s="36">
        <v>13</v>
      </c>
      <c r="S273" s="67"/>
      <c r="T273" s="39"/>
      <c r="U273" s="44"/>
      <c r="V273" s="44"/>
      <c r="W273" s="44"/>
    </row>
    <row r="274" spans="1:23" x14ac:dyDescent="0.2">
      <c r="A274" s="58">
        <v>98391</v>
      </c>
      <c r="B274" s="62" t="s">
        <v>10</v>
      </c>
      <c r="C274" s="46">
        <v>215</v>
      </c>
      <c r="D274" s="46">
        <v>197</v>
      </c>
      <c r="E274" s="46">
        <v>177</v>
      </c>
      <c r="M274" s="56">
        <v>98283</v>
      </c>
      <c r="N274" s="62" t="s">
        <v>10</v>
      </c>
      <c r="O274" s="36">
        <v>2</v>
      </c>
      <c r="P274" s="36">
        <v>2</v>
      </c>
      <c r="Q274" s="36">
        <v>3</v>
      </c>
      <c r="S274" s="120"/>
      <c r="T274" s="39"/>
      <c r="U274" s="44"/>
      <c r="V274" s="44"/>
      <c r="W274" s="44"/>
    </row>
    <row r="275" spans="1:23" x14ac:dyDescent="0.2">
      <c r="A275" s="59">
        <v>98392</v>
      </c>
      <c r="B275" s="62" t="s">
        <v>10</v>
      </c>
      <c r="C275" s="46">
        <v>15</v>
      </c>
      <c r="D275" s="46">
        <v>15</v>
      </c>
      <c r="E275" s="46">
        <v>10</v>
      </c>
      <c r="M275" s="81">
        <v>98284</v>
      </c>
      <c r="N275" s="62" t="s">
        <v>345</v>
      </c>
      <c r="O275" s="36">
        <v>8</v>
      </c>
      <c r="P275" s="33">
        <v>20</v>
      </c>
      <c r="Q275" s="33">
        <v>10</v>
      </c>
      <c r="S275" s="120"/>
      <c r="T275" s="39"/>
      <c r="U275" s="44"/>
      <c r="V275" s="44"/>
      <c r="W275" s="44"/>
    </row>
    <row r="276" spans="1:23" x14ac:dyDescent="0.2">
      <c r="A276" s="58">
        <v>98396</v>
      </c>
      <c r="B276" s="62" t="s">
        <v>10</v>
      </c>
      <c r="C276" s="46">
        <v>3</v>
      </c>
      <c r="D276" s="46">
        <v>3</v>
      </c>
      <c r="E276" s="46">
        <v>3</v>
      </c>
      <c r="M276" s="56">
        <v>98284</v>
      </c>
      <c r="N276" s="62" t="s">
        <v>10</v>
      </c>
      <c r="O276" s="36">
        <v>95</v>
      </c>
      <c r="P276" s="36">
        <v>127</v>
      </c>
      <c r="Q276" s="36">
        <v>89</v>
      </c>
      <c r="S276" s="120"/>
      <c r="T276" s="39"/>
      <c r="U276" s="44"/>
      <c r="V276" s="44"/>
      <c r="W276" s="41"/>
    </row>
    <row r="277" spans="1:23" x14ac:dyDescent="0.2">
      <c r="A277" s="59">
        <v>98402</v>
      </c>
      <c r="B277" s="62" t="s">
        <v>345</v>
      </c>
      <c r="C277" s="46">
        <v>1</v>
      </c>
      <c r="D277" s="46">
        <v>1</v>
      </c>
      <c r="E277" s="46">
        <v>1</v>
      </c>
      <c r="M277" s="81">
        <v>98288</v>
      </c>
      <c r="N277" s="62" t="s">
        <v>345</v>
      </c>
      <c r="O277" s="36">
        <v>1</v>
      </c>
      <c r="P277" s="36">
        <v>0</v>
      </c>
      <c r="Q277" s="36">
        <v>0</v>
      </c>
      <c r="S277" s="120"/>
      <c r="T277" s="39"/>
      <c r="U277" s="41"/>
      <c r="V277" s="44"/>
      <c r="W277" s="41"/>
    </row>
    <row r="278" spans="1:23" x14ac:dyDescent="0.2">
      <c r="A278" s="59">
        <v>98402</v>
      </c>
      <c r="B278" s="62" t="s">
        <v>10</v>
      </c>
      <c r="C278" s="46">
        <v>2</v>
      </c>
      <c r="D278" s="46">
        <v>2</v>
      </c>
      <c r="E278" s="46">
        <v>2</v>
      </c>
      <c r="M278" s="56">
        <v>98288</v>
      </c>
      <c r="N278" s="62" t="s">
        <v>10</v>
      </c>
      <c r="O278" s="36">
        <v>2</v>
      </c>
      <c r="P278" s="36">
        <v>6</v>
      </c>
      <c r="Q278" s="36">
        <v>4</v>
      </c>
      <c r="S278" s="67"/>
      <c r="T278" s="39"/>
      <c r="U278" s="41"/>
      <c r="V278" s="44"/>
      <c r="W278" s="41"/>
    </row>
    <row r="279" spans="1:23" x14ac:dyDescent="0.2">
      <c r="A279" s="59">
        <v>98403</v>
      </c>
      <c r="B279" s="62" t="s">
        <v>10</v>
      </c>
      <c r="C279" s="46">
        <v>9</v>
      </c>
      <c r="D279" s="46">
        <v>9</v>
      </c>
      <c r="E279" s="46">
        <v>8</v>
      </c>
      <c r="M279" s="81">
        <v>98290</v>
      </c>
      <c r="N279" s="62" t="s">
        <v>345</v>
      </c>
      <c r="O279" s="36">
        <v>1</v>
      </c>
      <c r="P279" s="36">
        <v>3</v>
      </c>
      <c r="Q279" s="33">
        <v>1</v>
      </c>
      <c r="S279" s="120"/>
      <c r="T279" s="39"/>
      <c r="U279" s="44"/>
      <c r="V279" s="41"/>
      <c r="W279" s="41"/>
    </row>
    <row r="280" spans="1:23" x14ac:dyDescent="0.2">
      <c r="A280" s="59">
        <v>98404</v>
      </c>
      <c r="B280" s="62" t="s">
        <v>10</v>
      </c>
      <c r="C280" s="46">
        <v>38</v>
      </c>
      <c r="D280" s="46">
        <v>37</v>
      </c>
      <c r="E280" s="46">
        <v>34</v>
      </c>
      <c r="M280" s="81">
        <v>98290</v>
      </c>
      <c r="N280" s="62" t="s">
        <v>10</v>
      </c>
      <c r="O280" s="36">
        <v>24</v>
      </c>
      <c r="P280" s="36">
        <v>26</v>
      </c>
      <c r="Q280" s="36">
        <v>26</v>
      </c>
      <c r="S280" s="120"/>
      <c r="T280" s="39"/>
      <c r="U280" s="44"/>
      <c r="V280" s="44"/>
      <c r="W280" s="44"/>
    </row>
    <row r="281" spans="1:23" x14ac:dyDescent="0.2">
      <c r="A281" s="58">
        <v>98405</v>
      </c>
      <c r="B281" s="62" t="s">
        <v>345</v>
      </c>
      <c r="C281" s="46">
        <v>1</v>
      </c>
      <c r="D281" s="46">
        <v>1</v>
      </c>
      <c r="E281" s="46">
        <v>1</v>
      </c>
      <c r="M281" s="81">
        <v>98292</v>
      </c>
      <c r="N281" s="62" t="s">
        <v>345</v>
      </c>
      <c r="O281" s="36">
        <v>0</v>
      </c>
      <c r="P281" s="36">
        <v>1</v>
      </c>
      <c r="Q281" s="36">
        <v>0</v>
      </c>
      <c r="S281" s="120"/>
      <c r="T281" s="39"/>
      <c r="U281" s="41"/>
      <c r="V281" s="44"/>
      <c r="W281" s="41"/>
    </row>
    <row r="282" spans="1:23" x14ac:dyDescent="0.2">
      <c r="A282" s="59">
        <v>98405</v>
      </c>
      <c r="B282" s="62" t="s">
        <v>10</v>
      </c>
      <c r="C282" s="46">
        <v>29</v>
      </c>
      <c r="D282" s="46">
        <v>25</v>
      </c>
      <c r="E282" s="46">
        <v>21</v>
      </c>
      <c r="M282" s="56">
        <v>98292</v>
      </c>
      <c r="N282" s="62" t="s">
        <v>10</v>
      </c>
      <c r="O282" s="36">
        <v>6</v>
      </c>
      <c r="P282" s="36">
        <v>3</v>
      </c>
      <c r="Q282" s="36">
        <v>1</v>
      </c>
      <c r="S282" s="67"/>
      <c r="T282" s="39"/>
      <c r="U282" s="44"/>
      <c r="V282" s="44"/>
      <c r="W282" s="44"/>
    </row>
    <row r="283" spans="1:23" x14ac:dyDescent="0.2">
      <c r="A283" s="59">
        <v>98406</v>
      </c>
      <c r="B283" s="62" t="s">
        <v>345</v>
      </c>
      <c r="C283" s="46">
        <v>3</v>
      </c>
      <c r="D283" s="46">
        <v>3</v>
      </c>
      <c r="E283" s="46">
        <v>2</v>
      </c>
      <c r="M283" s="81">
        <v>98294</v>
      </c>
      <c r="N283" s="62" t="s">
        <v>345</v>
      </c>
      <c r="O283" s="36">
        <v>1</v>
      </c>
      <c r="P283" s="33">
        <v>1</v>
      </c>
      <c r="Q283" s="36">
        <v>0</v>
      </c>
      <c r="S283" s="120"/>
      <c r="T283" s="39"/>
      <c r="U283" s="44"/>
      <c r="V283" s="44"/>
      <c r="W283" s="44"/>
    </row>
    <row r="284" spans="1:23" x14ac:dyDescent="0.2">
      <c r="A284" s="59">
        <v>98406</v>
      </c>
      <c r="B284" s="62" t="s">
        <v>10</v>
      </c>
      <c r="C284" s="46">
        <v>23</v>
      </c>
      <c r="D284" s="46">
        <v>21</v>
      </c>
      <c r="E284" s="46">
        <v>17</v>
      </c>
      <c r="M284" s="56">
        <v>98294</v>
      </c>
      <c r="N284" s="62" t="s">
        <v>10</v>
      </c>
      <c r="O284" s="36">
        <v>26</v>
      </c>
      <c r="P284" s="36">
        <v>38</v>
      </c>
      <c r="Q284" s="36">
        <v>26</v>
      </c>
      <c r="S284" s="120"/>
      <c r="T284" s="39"/>
      <c r="U284" s="41"/>
      <c r="V284" s="41"/>
      <c r="W284" s="44"/>
    </row>
    <row r="285" spans="1:23" x14ac:dyDescent="0.2">
      <c r="A285" s="58">
        <v>98407</v>
      </c>
      <c r="B285" s="62" t="s">
        <v>345</v>
      </c>
      <c r="C285" s="46">
        <v>1</v>
      </c>
      <c r="D285" s="46">
        <v>1</v>
      </c>
      <c r="E285" s="46">
        <v>1</v>
      </c>
      <c r="M285" s="81">
        <v>98295</v>
      </c>
      <c r="N285" s="62" t="s">
        <v>345</v>
      </c>
      <c r="O285" s="36">
        <v>0</v>
      </c>
      <c r="P285" s="36">
        <v>3</v>
      </c>
      <c r="Q285" s="36">
        <v>2</v>
      </c>
      <c r="S285" s="67"/>
      <c r="T285" s="39"/>
      <c r="U285" s="44"/>
      <c r="V285" s="44"/>
      <c r="W285" s="44"/>
    </row>
    <row r="286" spans="1:23" x14ac:dyDescent="0.2">
      <c r="A286" s="59">
        <v>98407</v>
      </c>
      <c r="B286" s="62" t="s">
        <v>10</v>
      </c>
      <c r="C286" s="46">
        <v>21</v>
      </c>
      <c r="D286" s="46">
        <v>19</v>
      </c>
      <c r="E286" s="46">
        <v>16</v>
      </c>
      <c r="M286" s="56">
        <v>98295</v>
      </c>
      <c r="N286" s="62" t="s">
        <v>10</v>
      </c>
      <c r="O286" s="36">
        <v>7</v>
      </c>
      <c r="P286" s="36">
        <v>4</v>
      </c>
      <c r="Q286" s="36">
        <v>3</v>
      </c>
      <c r="S286" s="120"/>
      <c r="T286" s="39"/>
      <c r="U286" s="44"/>
      <c r="V286" s="44"/>
      <c r="W286" s="44"/>
    </row>
    <row r="287" spans="1:23" x14ac:dyDescent="0.2">
      <c r="A287" s="58">
        <v>98408</v>
      </c>
      <c r="B287" s="62" t="s">
        <v>345</v>
      </c>
      <c r="C287" s="46">
        <v>1</v>
      </c>
      <c r="D287" s="46">
        <v>1</v>
      </c>
      <c r="E287" s="46">
        <v>1</v>
      </c>
      <c r="M287" s="81">
        <v>98296</v>
      </c>
      <c r="N287" s="62" t="s">
        <v>345</v>
      </c>
      <c r="O287" s="36">
        <v>1</v>
      </c>
      <c r="P287" s="36">
        <v>1</v>
      </c>
      <c r="Q287" s="36">
        <v>1</v>
      </c>
      <c r="S287" s="120"/>
      <c r="T287" s="39"/>
      <c r="U287" s="44"/>
      <c r="V287" s="41"/>
      <c r="W287" s="41"/>
    </row>
    <row r="288" spans="1:23" x14ac:dyDescent="0.2">
      <c r="A288" s="59">
        <v>98408</v>
      </c>
      <c r="B288" s="62" t="s">
        <v>10</v>
      </c>
      <c r="C288" s="46">
        <v>35</v>
      </c>
      <c r="D288" s="46">
        <v>35</v>
      </c>
      <c r="E288" s="46">
        <v>34</v>
      </c>
      <c r="M288" s="56">
        <v>98296</v>
      </c>
      <c r="N288" s="62" t="s">
        <v>10</v>
      </c>
      <c r="O288" s="36">
        <v>31</v>
      </c>
      <c r="P288" s="36">
        <v>40</v>
      </c>
      <c r="Q288" s="36">
        <v>35</v>
      </c>
      <c r="S288" s="120"/>
      <c r="T288" s="39"/>
      <c r="U288" s="44"/>
      <c r="V288" s="41"/>
      <c r="W288" s="41"/>
    </row>
    <row r="289" spans="1:23" x14ac:dyDescent="0.2">
      <c r="A289" s="58">
        <v>98409</v>
      </c>
      <c r="B289" s="62" t="s">
        <v>345</v>
      </c>
      <c r="C289" s="46">
        <v>3</v>
      </c>
      <c r="D289" s="46">
        <v>3</v>
      </c>
      <c r="E289" s="46">
        <v>3</v>
      </c>
      <c r="M289" s="81">
        <v>98310</v>
      </c>
      <c r="N289" s="62" t="s">
        <v>345</v>
      </c>
      <c r="O289" s="36">
        <v>7</v>
      </c>
      <c r="P289" s="36">
        <v>14</v>
      </c>
      <c r="Q289" s="36">
        <v>11</v>
      </c>
      <c r="S289" s="120"/>
      <c r="T289" s="39"/>
      <c r="U289" s="44"/>
      <c r="V289" s="41"/>
      <c r="W289" s="41"/>
    </row>
    <row r="290" spans="1:23" x14ac:dyDescent="0.2">
      <c r="A290" s="59">
        <v>98409</v>
      </c>
      <c r="B290" s="62" t="s">
        <v>10</v>
      </c>
      <c r="C290" s="46">
        <v>26</v>
      </c>
      <c r="D290" s="46">
        <v>21</v>
      </c>
      <c r="E290" s="46">
        <v>20</v>
      </c>
      <c r="M290" s="56">
        <v>98310</v>
      </c>
      <c r="N290" s="62" t="s">
        <v>10</v>
      </c>
      <c r="O290" s="36">
        <v>151</v>
      </c>
      <c r="P290" s="36">
        <v>128</v>
      </c>
      <c r="Q290" s="36">
        <v>123</v>
      </c>
      <c r="S290" s="120"/>
      <c r="T290" s="39"/>
      <c r="U290" s="44"/>
      <c r="V290" s="41"/>
      <c r="W290" s="41"/>
    </row>
    <row r="291" spans="1:23" x14ac:dyDescent="0.2">
      <c r="A291" s="58">
        <v>98418</v>
      </c>
      <c r="B291" s="62" t="s">
        <v>345</v>
      </c>
      <c r="C291" s="46">
        <v>1</v>
      </c>
      <c r="D291" s="46">
        <v>1</v>
      </c>
      <c r="E291" s="46">
        <v>0</v>
      </c>
      <c r="M291" s="81">
        <v>98311</v>
      </c>
      <c r="N291" s="62" t="s">
        <v>345</v>
      </c>
      <c r="O291" s="36">
        <v>8</v>
      </c>
      <c r="P291" s="36">
        <v>12</v>
      </c>
      <c r="Q291" s="36">
        <v>7</v>
      </c>
      <c r="S291" s="120"/>
      <c r="T291" s="39"/>
      <c r="U291" s="44"/>
      <c r="V291" s="41"/>
      <c r="W291" s="41"/>
    </row>
    <row r="292" spans="1:23" x14ac:dyDescent="0.2">
      <c r="A292" s="59">
        <v>98418</v>
      </c>
      <c r="B292" s="62" t="s">
        <v>10</v>
      </c>
      <c r="C292" s="46">
        <v>21</v>
      </c>
      <c r="D292" s="46">
        <v>18</v>
      </c>
      <c r="E292" s="46">
        <v>17</v>
      </c>
      <c r="M292" s="56">
        <v>98311</v>
      </c>
      <c r="N292" s="62" t="s">
        <v>10</v>
      </c>
      <c r="O292" s="36">
        <v>162</v>
      </c>
      <c r="P292" s="36">
        <v>147</v>
      </c>
      <c r="Q292" s="36">
        <v>120</v>
      </c>
      <c r="S292" s="120"/>
      <c r="T292" s="39"/>
      <c r="U292" s="44"/>
      <c r="V292" s="41"/>
      <c r="W292" s="41"/>
    </row>
    <row r="293" spans="1:23" x14ac:dyDescent="0.2">
      <c r="A293" s="58">
        <v>98422</v>
      </c>
      <c r="B293" s="62" t="s">
        <v>10</v>
      </c>
      <c r="C293" s="46">
        <v>32</v>
      </c>
      <c r="D293" s="46">
        <v>30</v>
      </c>
      <c r="E293" s="46">
        <v>27</v>
      </c>
      <c r="M293" s="81">
        <v>98312</v>
      </c>
      <c r="N293" s="62" t="s">
        <v>345</v>
      </c>
      <c r="O293" s="33">
        <v>16</v>
      </c>
      <c r="P293" s="33">
        <v>13</v>
      </c>
      <c r="Q293" s="36">
        <v>19</v>
      </c>
      <c r="S293" s="120"/>
      <c r="T293" s="39"/>
      <c r="U293" s="44"/>
      <c r="V293" s="41"/>
      <c r="W293" s="41"/>
    </row>
    <row r="294" spans="1:23" x14ac:dyDescent="0.2">
      <c r="A294" s="59">
        <v>98424</v>
      </c>
      <c r="B294" s="62" t="s">
        <v>345</v>
      </c>
      <c r="C294" s="46">
        <v>1</v>
      </c>
      <c r="D294" s="46">
        <v>1</v>
      </c>
      <c r="E294" s="46">
        <v>1</v>
      </c>
      <c r="M294" s="56">
        <v>98312</v>
      </c>
      <c r="N294" s="62" t="s">
        <v>10</v>
      </c>
      <c r="O294" s="36">
        <v>171</v>
      </c>
      <c r="P294" s="33">
        <v>202</v>
      </c>
      <c r="Q294" s="36">
        <v>187</v>
      </c>
      <c r="S294" s="120"/>
      <c r="T294" s="39"/>
      <c r="U294" s="44"/>
      <c r="V294" s="41"/>
      <c r="W294" s="41"/>
    </row>
    <row r="295" spans="1:23" x14ac:dyDescent="0.2">
      <c r="A295" s="58">
        <v>98424</v>
      </c>
      <c r="B295" s="62" t="s">
        <v>10</v>
      </c>
      <c r="C295" s="46">
        <v>15</v>
      </c>
      <c r="D295" s="46">
        <v>15</v>
      </c>
      <c r="E295" s="46">
        <v>14</v>
      </c>
      <c r="M295" s="81">
        <v>98321</v>
      </c>
      <c r="N295" s="62" t="s">
        <v>345</v>
      </c>
      <c r="O295" s="36">
        <v>7</v>
      </c>
      <c r="P295" s="36">
        <v>13</v>
      </c>
      <c r="Q295" s="36">
        <v>12</v>
      </c>
      <c r="S295" s="120"/>
      <c r="T295" s="39"/>
      <c r="U295" s="44"/>
      <c r="V295" s="41"/>
      <c r="W295" s="41"/>
    </row>
    <row r="296" spans="1:23" x14ac:dyDescent="0.2">
      <c r="A296" s="59">
        <v>98439</v>
      </c>
      <c r="B296" s="62" t="s">
        <v>10</v>
      </c>
      <c r="C296" s="46">
        <v>17</v>
      </c>
      <c r="D296" s="46">
        <v>17</v>
      </c>
      <c r="E296" s="46">
        <v>14</v>
      </c>
      <c r="M296" s="56">
        <v>98321</v>
      </c>
      <c r="N296" s="62" t="s">
        <v>10</v>
      </c>
      <c r="O296" s="36">
        <v>79</v>
      </c>
      <c r="P296" s="36">
        <v>83</v>
      </c>
      <c r="Q296" s="36">
        <v>66</v>
      </c>
      <c r="S296" s="120"/>
      <c r="T296" s="39"/>
      <c r="U296" s="44"/>
      <c r="V296" s="41"/>
      <c r="W296" s="41"/>
    </row>
    <row r="297" spans="1:23" x14ac:dyDescent="0.2">
      <c r="A297" s="58">
        <v>98444</v>
      </c>
      <c r="B297" s="62" t="s">
        <v>345</v>
      </c>
      <c r="C297" s="46">
        <v>3</v>
      </c>
      <c r="D297" s="46">
        <v>3</v>
      </c>
      <c r="E297" s="46">
        <v>3</v>
      </c>
      <c r="M297" s="81">
        <v>98323</v>
      </c>
      <c r="N297" s="62" t="s">
        <v>10</v>
      </c>
      <c r="O297" s="36">
        <v>0</v>
      </c>
      <c r="P297" s="36">
        <v>2</v>
      </c>
      <c r="Q297" s="36">
        <v>1</v>
      </c>
      <c r="S297" s="120"/>
      <c r="T297" s="39"/>
      <c r="U297" s="44"/>
      <c r="V297" s="41"/>
      <c r="W297" s="41"/>
    </row>
    <row r="298" spans="1:23" x14ac:dyDescent="0.2">
      <c r="A298" s="59">
        <v>98444</v>
      </c>
      <c r="B298" s="62" t="s">
        <v>10</v>
      </c>
      <c r="C298" s="46">
        <v>11</v>
      </c>
      <c r="D298" s="46">
        <v>11</v>
      </c>
      <c r="E298" s="46">
        <v>11</v>
      </c>
      <c r="M298" s="81">
        <v>98327</v>
      </c>
      <c r="N298" s="62" t="s">
        <v>345</v>
      </c>
      <c r="O298" s="33">
        <v>1</v>
      </c>
      <c r="P298" s="33">
        <v>17</v>
      </c>
      <c r="Q298" s="36">
        <v>2</v>
      </c>
      <c r="S298" s="120"/>
      <c r="T298" s="39"/>
      <c r="U298" s="44"/>
      <c r="V298" s="41"/>
      <c r="W298" s="41"/>
    </row>
    <row r="299" spans="1:23" x14ac:dyDescent="0.2">
      <c r="A299" s="58">
        <v>98445</v>
      </c>
      <c r="B299" s="62" t="s">
        <v>10</v>
      </c>
      <c r="C299" s="46">
        <v>40</v>
      </c>
      <c r="D299" s="46">
        <v>39</v>
      </c>
      <c r="E299" s="46">
        <v>36</v>
      </c>
      <c r="M299" s="81">
        <v>98327</v>
      </c>
      <c r="N299" s="62" t="s">
        <v>10</v>
      </c>
      <c r="O299" s="36">
        <v>109</v>
      </c>
      <c r="P299" s="36">
        <v>78</v>
      </c>
      <c r="Q299" s="36">
        <v>63</v>
      </c>
      <c r="S299" s="120"/>
      <c r="T299" s="39"/>
      <c r="U299" s="44"/>
      <c r="V299" s="41"/>
      <c r="W299" s="41"/>
    </row>
    <row r="300" spans="1:23" x14ac:dyDescent="0.2">
      <c r="A300" s="59">
        <v>98446</v>
      </c>
      <c r="B300" s="62" t="s">
        <v>10</v>
      </c>
      <c r="C300" s="46">
        <v>5</v>
      </c>
      <c r="D300" s="46">
        <v>5</v>
      </c>
      <c r="E300" s="46">
        <v>4</v>
      </c>
      <c r="M300" s="56">
        <v>98328</v>
      </c>
      <c r="N300" s="62" t="s">
        <v>10</v>
      </c>
      <c r="O300" s="36">
        <v>2</v>
      </c>
      <c r="P300" s="36">
        <v>1</v>
      </c>
      <c r="Q300" s="36">
        <v>3</v>
      </c>
      <c r="S300" s="120"/>
      <c r="T300" s="39"/>
      <c r="U300" s="44"/>
      <c r="V300" s="41"/>
      <c r="W300" s="41"/>
    </row>
    <row r="301" spans="1:23" x14ac:dyDescent="0.2">
      <c r="A301" s="58">
        <v>98465</v>
      </c>
      <c r="B301" s="62" t="s">
        <v>10</v>
      </c>
      <c r="C301" s="46">
        <v>4</v>
      </c>
      <c r="D301" s="46">
        <v>4</v>
      </c>
      <c r="E301" s="46">
        <v>4</v>
      </c>
      <c r="M301" s="81">
        <v>98329</v>
      </c>
      <c r="N301" s="62" t="s">
        <v>10</v>
      </c>
      <c r="O301" s="36">
        <v>1</v>
      </c>
      <c r="P301" s="36">
        <v>0</v>
      </c>
      <c r="Q301" s="36">
        <v>0</v>
      </c>
      <c r="S301" s="120"/>
      <c r="T301" s="39"/>
      <c r="U301" s="44"/>
      <c r="V301" s="41"/>
      <c r="W301" s="41"/>
    </row>
    <row r="302" spans="1:23" x14ac:dyDescent="0.2">
      <c r="A302" s="59">
        <v>98466</v>
      </c>
      <c r="B302" s="62" t="s">
        <v>10</v>
      </c>
      <c r="C302" s="46">
        <v>14</v>
      </c>
      <c r="D302" s="46">
        <v>13</v>
      </c>
      <c r="E302" s="46">
        <v>13</v>
      </c>
      <c r="M302" s="56">
        <v>98332</v>
      </c>
      <c r="N302" s="62" t="s">
        <v>345</v>
      </c>
      <c r="O302" s="36">
        <v>0</v>
      </c>
      <c r="P302" s="36">
        <v>0</v>
      </c>
      <c r="Q302" s="36">
        <v>2</v>
      </c>
      <c r="S302" s="120"/>
      <c r="T302" s="39"/>
      <c r="U302" s="44"/>
      <c r="V302" s="41"/>
      <c r="W302" s="41"/>
    </row>
    <row r="303" spans="1:23" x14ac:dyDescent="0.2">
      <c r="A303" s="58">
        <v>98467</v>
      </c>
      <c r="B303" s="62" t="s">
        <v>10</v>
      </c>
      <c r="C303" s="46">
        <v>12</v>
      </c>
      <c r="D303" s="46">
        <v>12</v>
      </c>
      <c r="E303" s="46">
        <v>11</v>
      </c>
      <c r="M303" s="81">
        <v>98332</v>
      </c>
      <c r="N303" s="62" t="s">
        <v>10</v>
      </c>
      <c r="O303" s="36">
        <v>37</v>
      </c>
      <c r="P303" s="36">
        <v>52</v>
      </c>
      <c r="Q303" s="36">
        <v>47</v>
      </c>
      <c r="S303" s="120"/>
      <c r="T303" s="39"/>
      <c r="U303" s="44"/>
      <c r="V303" s="41"/>
      <c r="W303" s="41"/>
    </row>
    <row r="304" spans="1:23" x14ac:dyDescent="0.2">
      <c r="A304" s="59">
        <v>98498</v>
      </c>
      <c r="B304" s="62" t="s">
        <v>345</v>
      </c>
      <c r="C304" s="46">
        <v>1</v>
      </c>
      <c r="D304" s="46">
        <v>1</v>
      </c>
      <c r="E304" s="46">
        <v>1</v>
      </c>
      <c r="M304" s="56">
        <v>98335</v>
      </c>
      <c r="N304" s="62" t="s">
        <v>345</v>
      </c>
      <c r="O304" s="36">
        <v>3</v>
      </c>
      <c r="P304" s="36">
        <v>3</v>
      </c>
      <c r="Q304" s="36">
        <v>3</v>
      </c>
      <c r="S304" s="120"/>
      <c r="T304" s="39"/>
      <c r="U304" s="44"/>
      <c r="V304" s="41"/>
      <c r="W304" s="41"/>
    </row>
    <row r="305" spans="1:23" x14ac:dyDescent="0.2">
      <c r="A305" s="59">
        <v>98498</v>
      </c>
      <c r="B305" s="62" t="s">
        <v>10</v>
      </c>
      <c r="C305" s="46">
        <v>73</v>
      </c>
      <c r="D305" s="46">
        <v>68</v>
      </c>
      <c r="E305" s="46">
        <v>61</v>
      </c>
      <c r="M305" s="81">
        <v>98335</v>
      </c>
      <c r="N305" s="62" t="s">
        <v>10</v>
      </c>
      <c r="O305" s="36">
        <v>49</v>
      </c>
      <c r="P305" s="36">
        <v>56</v>
      </c>
      <c r="Q305" s="36">
        <v>51</v>
      </c>
      <c r="S305" s="120"/>
      <c r="T305" s="39"/>
      <c r="U305" s="44"/>
      <c r="V305" s="41"/>
      <c r="W305" s="41"/>
    </row>
    <row r="306" spans="1:23" x14ac:dyDescent="0.2">
      <c r="A306" s="58">
        <v>98499</v>
      </c>
      <c r="B306" s="62" t="s">
        <v>345</v>
      </c>
      <c r="C306" s="46">
        <v>3</v>
      </c>
      <c r="D306" s="46">
        <v>3</v>
      </c>
      <c r="E306" s="46">
        <v>2</v>
      </c>
      <c r="M306" s="56">
        <v>98337</v>
      </c>
      <c r="N306" s="62" t="s">
        <v>345</v>
      </c>
      <c r="O306" s="36">
        <v>4</v>
      </c>
      <c r="P306" s="36">
        <v>5</v>
      </c>
      <c r="Q306" s="36">
        <v>1</v>
      </c>
      <c r="S306" s="120"/>
      <c r="T306" s="39"/>
      <c r="U306" s="44"/>
      <c r="V306" s="41"/>
      <c r="W306" s="41"/>
    </row>
    <row r="307" spans="1:23" x14ac:dyDescent="0.2">
      <c r="A307" s="59">
        <v>98499</v>
      </c>
      <c r="B307" s="62" t="s">
        <v>10</v>
      </c>
      <c r="C307" s="46">
        <v>25</v>
      </c>
      <c r="D307" s="46">
        <v>23</v>
      </c>
      <c r="E307" s="46">
        <v>22</v>
      </c>
      <c r="M307" s="81">
        <v>98337</v>
      </c>
      <c r="N307" s="62" t="s">
        <v>10</v>
      </c>
      <c r="O307" s="36">
        <v>124</v>
      </c>
      <c r="P307" s="36">
        <v>196</v>
      </c>
      <c r="Q307" s="36">
        <v>53</v>
      </c>
      <c r="S307" s="120"/>
      <c r="T307" s="39"/>
      <c r="U307" s="44"/>
      <c r="V307" s="41"/>
      <c r="W307" s="41"/>
    </row>
    <row r="308" spans="1:23" x14ac:dyDescent="0.2">
      <c r="A308" s="59">
        <v>98501</v>
      </c>
      <c r="B308" s="62" t="s">
        <v>345</v>
      </c>
      <c r="C308" s="46">
        <v>11</v>
      </c>
      <c r="D308" s="46">
        <v>11</v>
      </c>
      <c r="E308" s="46">
        <v>11</v>
      </c>
      <c r="M308" s="56">
        <v>98338</v>
      </c>
      <c r="N308" s="62" t="s">
        <v>345</v>
      </c>
      <c r="O308" s="36">
        <v>4</v>
      </c>
      <c r="P308" s="36">
        <v>8</v>
      </c>
      <c r="Q308" s="36">
        <v>14</v>
      </c>
      <c r="S308" s="120"/>
      <c r="T308" s="39"/>
      <c r="U308" s="44"/>
      <c r="V308" s="41"/>
      <c r="W308" s="41"/>
    </row>
    <row r="309" spans="1:23" x14ac:dyDescent="0.2">
      <c r="A309" s="58">
        <v>98501</v>
      </c>
      <c r="B309" s="62" t="s">
        <v>10</v>
      </c>
      <c r="C309" s="46">
        <v>120</v>
      </c>
      <c r="D309" s="46">
        <v>113</v>
      </c>
      <c r="E309" s="46">
        <v>101</v>
      </c>
      <c r="M309" s="81">
        <v>98338</v>
      </c>
      <c r="N309" s="62" t="s">
        <v>10</v>
      </c>
      <c r="O309" s="36">
        <v>35</v>
      </c>
      <c r="P309" s="36">
        <v>52</v>
      </c>
      <c r="Q309" s="33">
        <v>41</v>
      </c>
      <c r="S309" s="120"/>
      <c r="T309" s="39"/>
      <c r="U309" s="44"/>
      <c r="V309" s="41"/>
      <c r="W309" s="41"/>
    </row>
    <row r="310" spans="1:23" x14ac:dyDescent="0.2">
      <c r="A310" s="59">
        <v>98502</v>
      </c>
      <c r="B310" s="62" t="s">
        <v>345</v>
      </c>
      <c r="C310" s="46">
        <v>2</v>
      </c>
      <c r="D310" s="46">
        <v>2</v>
      </c>
      <c r="E310" s="46">
        <v>2</v>
      </c>
      <c r="M310" s="56">
        <v>98340</v>
      </c>
      <c r="N310" s="62" t="s">
        <v>345</v>
      </c>
      <c r="O310" s="36">
        <v>0</v>
      </c>
      <c r="P310" s="36">
        <v>1</v>
      </c>
      <c r="Q310" s="36">
        <v>0</v>
      </c>
      <c r="S310" s="120"/>
      <c r="T310" s="39"/>
      <c r="U310" s="44"/>
      <c r="V310" s="41"/>
      <c r="W310" s="41"/>
    </row>
    <row r="311" spans="1:23" x14ac:dyDescent="0.2">
      <c r="A311" s="59">
        <v>98502</v>
      </c>
      <c r="B311" s="62" t="s">
        <v>10</v>
      </c>
      <c r="C311" s="46">
        <v>83</v>
      </c>
      <c r="D311" s="46">
        <v>77</v>
      </c>
      <c r="E311" s="46">
        <v>69</v>
      </c>
      <c r="M311" s="81">
        <v>98340</v>
      </c>
      <c r="N311" s="62" t="s">
        <v>10</v>
      </c>
      <c r="O311" s="36">
        <v>14</v>
      </c>
      <c r="P311" s="33">
        <v>6</v>
      </c>
      <c r="Q311" s="33">
        <v>9</v>
      </c>
      <c r="S311" s="120"/>
      <c r="T311" s="39"/>
      <c r="U311" s="44"/>
      <c r="V311" s="41"/>
      <c r="W311" s="41"/>
    </row>
    <row r="312" spans="1:23" x14ac:dyDescent="0.2">
      <c r="A312" s="58">
        <v>98503</v>
      </c>
      <c r="B312" s="62" t="s">
        <v>345</v>
      </c>
      <c r="C312" s="46">
        <v>2</v>
      </c>
      <c r="D312" s="46">
        <v>2</v>
      </c>
      <c r="E312" s="46">
        <v>2</v>
      </c>
      <c r="M312" s="56">
        <v>98342</v>
      </c>
      <c r="N312" s="62" t="s">
        <v>345</v>
      </c>
      <c r="O312" s="36">
        <v>0</v>
      </c>
      <c r="P312" s="36">
        <v>1</v>
      </c>
      <c r="Q312" s="36">
        <v>1</v>
      </c>
      <c r="S312" s="120"/>
      <c r="T312" s="39"/>
      <c r="U312" s="44"/>
      <c r="V312" s="41"/>
      <c r="W312" s="41"/>
    </row>
    <row r="313" spans="1:23" x14ac:dyDescent="0.2">
      <c r="A313" s="59">
        <v>98503</v>
      </c>
      <c r="B313" s="62" t="s">
        <v>10</v>
      </c>
      <c r="C313" s="46">
        <v>142</v>
      </c>
      <c r="D313" s="46">
        <v>127</v>
      </c>
      <c r="E313" s="46">
        <v>111</v>
      </c>
      <c r="M313" s="81">
        <v>98342</v>
      </c>
      <c r="N313" s="62" t="s">
        <v>10</v>
      </c>
      <c r="O313" s="36">
        <v>3</v>
      </c>
      <c r="P313" s="36">
        <v>8</v>
      </c>
      <c r="Q313" s="36">
        <v>6</v>
      </c>
      <c r="S313" s="120"/>
      <c r="T313" s="39"/>
      <c r="U313" s="44"/>
      <c r="V313" s="41"/>
      <c r="W313" s="41"/>
    </row>
    <row r="314" spans="1:23" x14ac:dyDescent="0.2">
      <c r="A314" s="58">
        <v>98506</v>
      </c>
      <c r="B314" s="62" t="s">
        <v>345</v>
      </c>
      <c r="C314" s="46">
        <v>2</v>
      </c>
      <c r="D314" s="46">
        <v>2</v>
      </c>
      <c r="E314" s="46">
        <v>2</v>
      </c>
      <c r="M314" s="56">
        <v>98345</v>
      </c>
      <c r="N314" s="62" t="s">
        <v>345</v>
      </c>
      <c r="O314" s="36">
        <v>0</v>
      </c>
      <c r="P314" s="36">
        <v>1</v>
      </c>
      <c r="Q314" s="36">
        <v>0</v>
      </c>
      <c r="S314" s="120"/>
      <c r="T314" s="39"/>
      <c r="U314" s="44"/>
      <c r="V314" s="41"/>
      <c r="W314" s="41"/>
    </row>
    <row r="315" spans="1:23" x14ac:dyDescent="0.2">
      <c r="A315" s="59">
        <v>98506</v>
      </c>
      <c r="B315" s="62" t="s">
        <v>10</v>
      </c>
      <c r="C315" s="46">
        <v>60</v>
      </c>
      <c r="D315" s="46">
        <v>54</v>
      </c>
      <c r="E315" s="46">
        <v>49</v>
      </c>
      <c r="M315" s="81">
        <v>98345</v>
      </c>
      <c r="N315" s="62" t="s">
        <v>10</v>
      </c>
      <c r="O315" s="36">
        <v>3</v>
      </c>
      <c r="P315" s="36">
        <v>3</v>
      </c>
      <c r="Q315" s="33">
        <v>3</v>
      </c>
      <c r="S315" s="120"/>
      <c r="T315" s="39"/>
      <c r="U315" s="44"/>
      <c r="V315" s="41"/>
      <c r="W315" s="41"/>
    </row>
    <row r="316" spans="1:23" x14ac:dyDescent="0.2">
      <c r="A316" s="59">
        <v>98512</v>
      </c>
      <c r="B316" s="62" t="s">
        <v>345</v>
      </c>
      <c r="C316" s="46">
        <v>3</v>
      </c>
      <c r="D316" s="46">
        <v>2</v>
      </c>
      <c r="E316" s="46">
        <v>2</v>
      </c>
      <c r="M316" s="56">
        <v>98346</v>
      </c>
      <c r="N316" s="62" t="s">
        <v>345</v>
      </c>
      <c r="O316" s="36">
        <v>11</v>
      </c>
      <c r="P316" s="36">
        <v>10</v>
      </c>
      <c r="Q316" s="36">
        <v>2</v>
      </c>
      <c r="S316" s="41"/>
      <c r="T316" s="39"/>
      <c r="U316" s="44"/>
      <c r="V316" s="44"/>
      <c r="W316" s="44"/>
    </row>
    <row r="317" spans="1:23" x14ac:dyDescent="0.2">
      <c r="A317" s="59">
        <v>98512</v>
      </c>
      <c r="B317" s="62" t="s">
        <v>10</v>
      </c>
      <c r="C317" s="46">
        <v>84</v>
      </c>
      <c r="D317" s="46">
        <v>75</v>
      </c>
      <c r="E317" s="46">
        <v>67</v>
      </c>
      <c r="M317" s="81">
        <v>98346</v>
      </c>
      <c r="N317" s="62" t="s">
        <v>10</v>
      </c>
      <c r="O317" s="36">
        <v>22</v>
      </c>
      <c r="P317" s="33">
        <v>41</v>
      </c>
      <c r="Q317" s="36">
        <v>32</v>
      </c>
      <c r="S317" s="38"/>
      <c r="T317" s="39"/>
      <c r="U317" s="44"/>
      <c r="V317" s="44"/>
      <c r="W317" s="41"/>
    </row>
    <row r="318" spans="1:23" x14ac:dyDescent="0.2">
      <c r="A318" s="58">
        <v>98513</v>
      </c>
      <c r="B318" s="62" t="s">
        <v>345</v>
      </c>
      <c r="C318" s="46">
        <v>2</v>
      </c>
      <c r="D318" s="46">
        <v>1</v>
      </c>
      <c r="E318" s="46">
        <v>1</v>
      </c>
      <c r="M318" s="56">
        <v>98353</v>
      </c>
      <c r="N318" s="62" t="s">
        <v>10</v>
      </c>
      <c r="O318" s="36">
        <v>1</v>
      </c>
      <c r="P318" s="36">
        <v>0</v>
      </c>
      <c r="Q318" s="36">
        <v>0</v>
      </c>
      <c r="S318" s="41"/>
      <c r="T318" s="39"/>
      <c r="U318" s="44"/>
      <c r="V318" s="44"/>
      <c r="W318" s="44"/>
    </row>
    <row r="319" spans="1:23" x14ac:dyDescent="0.2">
      <c r="A319" s="59">
        <v>98513</v>
      </c>
      <c r="B319" s="62" t="s">
        <v>10</v>
      </c>
      <c r="C319" s="46">
        <v>107</v>
      </c>
      <c r="D319" s="46">
        <v>100</v>
      </c>
      <c r="E319" s="46">
        <v>93</v>
      </c>
      <c r="M319" s="81">
        <v>98354</v>
      </c>
      <c r="N319" s="62" t="s">
        <v>345</v>
      </c>
      <c r="O319" s="36">
        <v>0</v>
      </c>
      <c r="P319" s="36">
        <v>2</v>
      </c>
      <c r="Q319" s="36">
        <v>2</v>
      </c>
      <c r="S319" s="39"/>
      <c r="T319" s="39"/>
      <c r="U319" s="44"/>
      <c r="V319" s="44"/>
      <c r="W319" s="44"/>
    </row>
    <row r="320" spans="1:23" x14ac:dyDescent="0.2">
      <c r="A320" s="58">
        <v>98516</v>
      </c>
      <c r="B320" s="62" t="s">
        <v>345</v>
      </c>
      <c r="C320" s="46">
        <v>4</v>
      </c>
      <c r="D320" s="46">
        <v>4</v>
      </c>
      <c r="E320" s="46">
        <v>3</v>
      </c>
      <c r="M320" s="56">
        <v>98354</v>
      </c>
      <c r="N320" s="62" t="s">
        <v>10</v>
      </c>
      <c r="O320" s="36">
        <v>7</v>
      </c>
      <c r="P320" s="36">
        <v>6</v>
      </c>
      <c r="Q320" s="36">
        <v>10</v>
      </c>
      <c r="S320" s="38"/>
      <c r="T320" s="39"/>
      <c r="U320" s="44"/>
      <c r="V320" s="41"/>
      <c r="W320" s="41"/>
    </row>
    <row r="321" spans="1:23" x14ac:dyDescent="0.2">
      <c r="A321" s="59">
        <v>98516</v>
      </c>
      <c r="B321" s="62" t="s">
        <v>10</v>
      </c>
      <c r="C321" s="46">
        <v>63</v>
      </c>
      <c r="D321" s="46">
        <v>58</v>
      </c>
      <c r="E321" s="46">
        <v>53</v>
      </c>
      <c r="M321" s="81">
        <v>98359</v>
      </c>
      <c r="N321" s="62" t="s">
        <v>345</v>
      </c>
      <c r="O321" s="36">
        <v>7</v>
      </c>
      <c r="P321" s="36">
        <v>1</v>
      </c>
      <c r="Q321" s="36">
        <v>0</v>
      </c>
      <c r="S321" s="41"/>
      <c r="T321" s="39"/>
      <c r="U321" s="44"/>
      <c r="V321" s="41"/>
      <c r="W321" s="44"/>
    </row>
    <row r="322" spans="1:23" x14ac:dyDescent="0.2">
      <c r="A322" s="58">
        <v>98530</v>
      </c>
      <c r="B322" s="62" t="s">
        <v>10</v>
      </c>
      <c r="C322" s="46">
        <v>3</v>
      </c>
      <c r="D322" s="46">
        <v>2</v>
      </c>
      <c r="E322" s="46">
        <v>2</v>
      </c>
      <c r="M322" s="56">
        <v>98359</v>
      </c>
      <c r="N322" s="62" t="s">
        <v>10</v>
      </c>
      <c r="O322" s="36">
        <v>8</v>
      </c>
      <c r="P322" s="36">
        <v>9</v>
      </c>
      <c r="Q322" s="36">
        <v>11</v>
      </c>
      <c r="S322" s="39"/>
      <c r="T322" s="39"/>
      <c r="U322" s="44"/>
      <c r="V322" s="44"/>
      <c r="W322" s="44"/>
    </row>
    <row r="323" spans="1:23" x14ac:dyDescent="0.2">
      <c r="A323" s="59">
        <v>98531</v>
      </c>
      <c r="B323" s="62" t="s">
        <v>345</v>
      </c>
      <c r="C323" s="46">
        <v>2</v>
      </c>
      <c r="D323" s="46">
        <v>2</v>
      </c>
      <c r="E323" s="46">
        <v>2</v>
      </c>
      <c r="M323" s="81">
        <v>98360</v>
      </c>
      <c r="N323" s="62" t="s">
        <v>345</v>
      </c>
      <c r="O323" s="36">
        <v>2</v>
      </c>
      <c r="P323" s="36">
        <v>4</v>
      </c>
      <c r="Q323" s="36">
        <v>3</v>
      </c>
      <c r="S323" s="39"/>
      <c r="T323" s="39"/>
      <c r="U323" s="44"/>
      <c r="V323" s="44"/>
      <c r="W323" s="44"/>
    </row>
    <row r="324" spans="1:23" x14ac:dyDescent="0.2">
      <c r="A324" s="58">
        <v>98531</v>
      </c>
      <c r="B324" s="62" t="s">
        <v>10</v>
      </c>
      <c r="C324" s="46">
        <v>19</v>
      </c>
      <c r="D324" s="46">
        <v>15</v>
      </c>
      <c r="E324" s="46">
        <v>10</v>
      </c>
      <c r="M324" s="56">
        <v>98360</v>
      </c>
      <c r="N324" s="62" t="s">
        <v>10</v>
      </c>
      <c r="O324" s="36">
        <v>43</v>
      </c>
      <c r="P324" s="36">
        <v>61</v>
      </c>
      <c r="Q324" s="36">
        <v>39</v>
      </c>
      <c r="S324" s="39"/>
      <c r="T324" s="39"/>
      <c r="U324" s="44"/>
      <c r="V324" s="44"/>
      <c r="W324" s="44"/>
    </row>
    <row r="325" spans="1:23" x14ac:dyDescent="0.2">
      <c r="A325" s="59">
        <v>98532</v>
      </c>
      <c r="B325" s="62" t="s">
        <v>345</v>
      </c>
      <c r="C325" s="46">
        <v>1</v>
      </c>
      <c r="D325" s="46">
        <v>1</v>
      </c>
      <c r="E325" s="46">
        <v>1</v>
      </c>
      <c r="M325" s="81">
        <v>98366</v>
      </c>
      <c r="N325" s="62" t="s">
        <v>345</v>
      </c>
      <c r="O325" s="36">
        <v>13</v>
      </c>
      <c r="P325" s="36">
        <v>17</v>
      </c>
      <c r="Q325" s="36">
        <v>16</v>
      </c>
      <c r="S325" s="38"/>
      <c r="T325" s="39"/>
      <c r="U325" s="44"/>
      <c r="V325" s="44"/>
      <c r="W325" s="41"/>
    </row>
    <row r="326" spans="1:23" x14ac:dyDescent="0.2">
      <c r="A326" s="58">
        <v>98532</v>
      </c>
      <c r="B326" s="62" t="s">
        <v>10</v>
      </c>
      <c r="C326" s="46">
        <v>4</v>
      </c>
      <c r="D326" s="46">
        <v>3</v>
      </c>
      <c r="E326" s="46">
        <v>3</v>
      </c>
      <c r="M326" s="56">
        <v>98366</v>
      </c>
      <c r="N326" s="62" t="s">
        <v>10</v>
      </c>
      <c r="O326" s="36">
        <v>163</v>
      </c>
      <c r="P326" s="36">
        <v>205</v>
      </c>
      <c r="Q326" s="36">
        <v>159</v>
      </c>
      <c r="S326" s="41"/>
      <c r="T326" s="39"/>
      <c r="U326" s="44"/>
      <c r="V326" s="44"/>
      <c r="W326" s="44"/>
    </row>
    <row r="327" spans="1:23" x14ac:dyDescent="0.2">
      <c r="A327" s="59">
        <v>98576</v>
      </c>
      <c r="B327" s="62" t="s">
        <v>10</v>
      </c>
      <c r="C327" s="46">
        <v>18</v>
      </c>
      <c r="D327" s="46">
        <v>17</v>
      </c>
      <c r="E327" s="46">
        <v>15</v>
      </c>
      <c r="M327" s="81">
        <v>98367</v>
      </c>
      <c r="N327" s="62" t="s">
        <v>345</v>
      </c>
      <c r="O327" s="36">
        <v>24</v>
      </c>
      <c r="P327" s="36">
        <v>33</v>
      </c>
      <c r="Q327" s="36">
        <v>48</v>
      </c>
      <c r="S327" s="39"/>
      <c r="T327" s="39"/>
      <c r="U327" s="41"/>
      <c r="V327" s="44"/>
      <c r="W327" s="44"/>
    </row>
    <row r="328" spans="1:23" x14ac:dyDescent="0.2">
      <c r="A328" s="58">
        <v>98579</v>
      </c>
      <c r="B328" s="62" t="s">
        <v>345</v>
      </c>
      <c r="C328" s="46">
        <v>2</v>
      </c>
      <c r="D328" s="46">
        <v>2</v>
      </c>
      <c r="E328" s="46">
        <v>2</v>
      </c>
      <c r="M328" s="56">
        <v>98367</v>
      </c>
      <c r="N328" s="62" t="s">
        <v>10</v>
      </c>
      <c r="O328" s="36">
        <v>178</v>
      </c>
      <c r="P328" s="36">
        <v>133</v>
      </c>
      <c r="Q328" s="36">
        <v>180</v>
      </c>
      <c r="S328" s="39"/>
      <c r="T328" s="39"/>
      <c r="U328" s="44"/>
      <c r="V328" s="44"/>
      <c r="W328" s="44"/>
    </row>
    <row r="329" spans="1:23" x14ac:dyDescent="0.2">
      <c r="A329" s="59">
        <v>98579</v>
      </c>
      <c r="B329" s="62" t="s">
        <v>10</v>
      </c>
      <c r="C329" s="46">
        <v>56</v>
      </c>
      <c r="D329" s="46">
        <v>48</v>
      </c>
      <c r="E329" s="46">
        <v>46</v>
      </c>
      <c r="M329" s="81">
        <v>98370</v>
      </c>
      <c r="N329" s="62" t="s">
        <v>345</v>
      </c>
      <c r="O329" s="36">
        <v>30</v>
      </c>
      <c r="P329" s="36">
        <v>21</v>
      </c>
      <c r="Q329" s="36">
        <v>17</v>
      </c>
      <c r="S329" s="38"/>
      <c r="T329" s="39"/>
      <c r="U329" s="41"/>
      <c r="V329" s="44"/>
      <c r="W329" s="41"/>
    </row>
    <row r="330" spans="1:23" x14ac:dyDescent="0.2">
      <c r="A330" s="58">
        <v>98580</v>
      </c>
      <c r="B330" s="62" t="s">
        <v>345</v>
      </c>
      <c r="C330" s="46">
        <v>1</v>
      </c>
      <c r="D330" s="46">
        <v>1</v>
      </c>
      <c r="E330" s="46">
        <v>1</v>
      </c>
      <c r="M330" s="56">
        <v>98370</v>
      </c>
      <c r="N330" s="62" t="s">
        <v>10</v>
      </c>
      <c r="O330" s="36">
        <v>119</v>
      </c>
      <c r="P330" s="36">
        <v>135</v>
      </c>
      <c r="Q330" s="36">
        <v>140</v>
      </c>
      <c r="S330" s="41"/>
      <c r="T330" s="39"/>
      <c r="U330" s="44"/>
      <c r="V330" s="44"/>
      <c r="W330" s="44"/>
    </row>
    <row r="331" spans="1:23" x14ac:dyDescent="0.2">
      <c r="A331" s="59">
        <v>98580</v>
      </c>
      <c r="B331" s="62" t="s">
        <v>10</v>
      </c>
      <c r="C331" s="46">
        <v>30</v>
      </c>
      <c r="D331" s="46">
        <v>26</v>
      </c>
      <c r="E331" s="46">
        <v>25</v>
      </c>
      <c r="M331" s="81">
        <v>98371</v>
      </c>
      <c r="N331" s="62" t="s">
        <v>345</v>
      </c>
      <c r="O331" s="36">
        <v>16</v>
      </c>
      <c r="P331" s="36">
        <v>50</v>
      </c>
      <c r="Q331" s="36">
        <v>4</v>
      </c>
      <c r="S331" s="39"/>
      <c r="T331" s="39"/>
      <c r="U331" s="44"/>
      <c r="V331" s="41"/>
      <c r="W331" s="44"/>
    </row>
    <row r="332" spans="1:23" x14ac:dyDescent="0.2">
      <c r="A332" s="58">
        <v>98589</v>
      </c>
      <c r="B332" s="62" t="s">
        <v>10</v>
      </c>
      <c r="C332" s="46">
        <v>35</v>
      </c>
      <c r="D332" s="46">
        <v>32</v>
      </c>
      <c r="E332" s="46">
        <v>31</v>
      </c>
      <c r="M332" s="56">
        <v>98371</v>
      </c>
      <c r="N332" s="62" t="s">
        <v>10</v>
      </c>
      <c r="O332" s="36">
        <v>120</v>
      </c>
      <c r="P332" s="36">
        <v>120</v>
      </c>
      <c r="Q332" s="36">
        <v>114</v>
      </c>
      <c r="S332" s="39"/>
      <c r="T332" s="39"/>
      <c r="U332" s="44"/>
      <c r="V332" s="44"/>
      <c r="W332" s="44"/>
    </row>
    <row r="333" spans="1:23" x14ac:dyDescent="0.2">
      <c r="A333" s="59">
        <v>98597</v>
      </c>
      <c r="B333" s="62" t="s">
        <v>345</v>
      </c>
      <c r="C333" s="46">
        <v>4</v>
      </c>
      <c r="D333" s="46">
        <v>4</v>
      </c>
      <c r="E333" s="46">
        <v>4</v>
      </c>
      <c r="M333" s="81">
        <v>98372</v>
      </c>
      <c r="N333" s="62" t="s">
        <v>345</v>
      </c>
      <c r="O333" s="36">
        <v>13</v>
      </c>
      <c r="P333" s="36">
        <v>17</v>
      </c>
      <c r="Q333" s="36">
        <v>10</v>
      </c>
      <c r="S333" s="39"/>
      <c r="T333" s="39"/>
      <c r="U333" s="44"/>
      <c r="V333" s="44"/>
      <c r="W333" s="44"/>
    </row>
    <row r="334" spans="1:23" x14ac:dyDescent="0.2">
      <c r="A334" s="58">
        <v>98597</v>
      </c>
      <c r="B334" s="62" t="s">
        <v>10</v>
      </c>
      <c r="C334" s="46">
        <v>120</v>
      </c>
      <c r="D334" s="46">
        <v>110</v>
      </c>
      <c r="E334" s="46">
        <v>98</v>
      </c>
      <c r="M334" s="56">
        <v>98372</v>
      </c>
      <c r="N334" s="62" t="s">
        <v>346</v>
      </c>
      <c r="O334" s="36">
        <v>0</v>
      </c>
      <c r="P334" s="36">
        <v>1</v>
      </c>
      <c r="Q334" s="36">
        <v>0</v>
      </c>
      <c r="S334" s="39"/>
      <c r="T334" s="39"/>
      <c r="U334" s="41"/>
      <c r="V334" s="44"/>
      <c r="W334" s="44"/>
    </row>
    <row r="335" spans="1:23" x14ac:dyDescent="0.2">
      <c r="A335" s="59">
        <v>98922</v>
      </c>
      <c r="B335" s="62" t="s">
        <v>10</v>
      </c>
      <c r="C335" s="46">
        <v>24</v>
      </c>
      <c r="D335" s="46">
        <v>23</v>
      </c>
      <c r="E335" s="46">
        <v>19</v>
      </c>
      <c r="M335" s="81">
        <v>98372</v>
      </c>
      <c r="N335" s="62" t="s">
        <v>10</v>
      </c>
      <c r="O335" s="36">
        <v>166</v>
      </c>
      <c r="P335" s="36">
        <v>198</v>
      </c>
      <c r="Q335" s="36">
        <v>147</v>
      </c>
      <c r="S335" s="39"/>
      <c r="T335" s="39"/>
      <c r="U335" s="44"/>
      <c r="V335" s="44"/>
      <c r="W335" s="41"/>
    </row>
    <row r="336" spans="1:23" x14ac:dyDescent="0.2">
      <c r="A336" s="59">
        <v>98925</v>
      </c>
      <c r="B336" s="62" t="s">
        <v>10</v>
      </c>
      <c r="C336" s="46">
        <v>5</v>
      </c>
      <c r="D336" s="46">
        <v>4</v>
      </c>
      <c r="E336" s="46">
        <v>2</v>
      </c>
      <c r="M336" s="56">
        <v>98373</v>
      </c>
      <c r="N336" s="62" t="s">
        <v>345</v>
      </c>
      <c r="O336" s="36">
        <v>12</v>
      </c>
      <c r="P336" s="36">
        <v>15</v>
      </c>
      <c r="Q336" s="36">
        <v>12</v>
      </c>
      <c r="S336" s="39"/>
      <c r="T336" s="39"/>
      <c r="U336" s="44"/>
      <c r="V336" s="41"/>
      <c r="W336" s="41"/>
    </row>
    <row r="337" spans="1:23" x14ac:dyDescent="0.2">
      <c r="A337" s="59">
        <v>98926</v>
      </c>
      <c r="B337" s="62" t="s">
        <v>345</v>
      </c>
      <c r="C337" s="46">
        <v>2</v>
      </c>
      <c r="D337" s="46">
        <v>2</v>
      </c>
      <c r="E337" s="46">
        <v>2</v>
      </c>
      <c r="M337" s="81">
        <v>98373</v>
      </c>
      <c r="N337" s="62" t="s">
        <v>10</v>
      </c>
      <c r="O337" s="36">
        <v>133</v>
      </c>
      <c r="P337" s="36">
        <v>150</v>
      </c>
      <c r="Q337" s="36">
        <v>118</v>
      </c>
      <c r="S337" s="38"/>
      <c r="T337" s="39"/>
      <c r="U337" s="44"/>
      <c r="V337" s="44"/>
      <c r="W337" s="44"/>
    </row>
    <row r="338" spans="1:23" x14ac:dyDescent="0.2">
      <c r="A338" s="58">
        <v>98926</v>
      </c>
      <c r="B338" s="62" t="s">
        <v>10</v>
      </c>
      <c r="C338" s="46">
        <v>22</v>
      </c>
      <c r="D338" s="46">
        <v>20</v>
      </c>
      <c r="E338" s="46">
        <v>18</v>
      </c>
      <c r="M338" s="56">
        <v>98374</v>
      </c>
      <c r="N338" s="62" t="s">
        <v>345</v>
      </c>
      <c r="O338" s="36">
        <v>28</v>
      </c>
      <c r="P338" s="36">
        <v>19</v>
      </c>
      <c r="Q338" s="36">
        <v>24</v>
      </c>
      <c r="S338" s="41"/>
      <c r="T338" s="39"/>
      <c r="U338" s="44"/>
      <c r="V338" s="44"/>
      <c r="W338" s="44"/>
    </row>
    <row r="339" spans="1:23" x14ac:dyDescent="0.2">
      <c r="A339" s="59">
        <v>98934</v>
      </c>
      <c r="B339" s="62" t="s">
        <v>10</v>
      </c>
      <c r="C339" s="46">
        <v>2</v>
      </c>
      <c r="D339" s="46">
        <v>2</v>
      </c>
      <c r="E339" s="46">
        <v>2</v>
      </c>
      <c r="M339" s="81">
        <v>98374</v>
      </c>
      <c r="N339" s="62" t="s">
        <v>10</v>
      </c>
      <c r="O339" s="36">
        <v>279</v>
      </c>
      <c r="P339" s="36">
        <v>378</v>
      </c>
      <c r="Q339" s="36">
        <v>283</v>
      </c>
      <c r="S339" s="3"/>
      <c r="T339" s="51"/>
      <c r="U339" s="2"/>
      <c r="V339" s="3"/>
      <c r="W339" s="2"/>
    </row>
    <row r="340" spans="1:23" x14ac:dyDescent="0.2">
      <c r="A340" s="59">
        <v>98940</v>
      </c>
      <c r="B340" s="62" t="s">
        <v>10</v>
      </c>
      <c r="C340" s="46">
        <v>4</v>
      </c>
      <c r="D340" s="46">
        <v>3</v>
      </c>
      <c r="E340" s="46">
        <v>3</v>
      </c>
      <c r="M340" s="56">
        <v>98375</v>
      </c>
      <c r="N340" s="62" t="s">
        <v>345</v>
      </c>
      <c r="O340" s="36">
        <v>7</v>
      </c>
      <c r="P340" s="36">
        <v>4</v>
      </c>
      <c r="Q340" s="36">
        <v>3</v>
      </c>
      <c r="S340" s="51"/>
      <c r="T340" s="51"/>
      <c r="U340" s="2"/>
      <c r="V340" s="2"/>
      <c r="W340" s="3"/>
    </row>
    <row r="341" spans="1:23" x14ac:dyDescent="0.2">
      <c r="A341" s="59">
        <v>98941</v>
      </c>
      <c r="B341" s="62" t="s">
        <v>345</v>
      </c>
      <c r="C341" s="46">
        <v>1</v>
      </c>
      <c r="D341" s="46">
        <v>1</v>
      </c>
      <c r="E341" s="46">
        <v>1</v>
      </c>
      <c r="M341" s="81">
        <v>98375</v>
      </c>
      <c r="N341" s="62" t="s">
        <v>10</v>
      </c>
      <c r="O341" s="33">
        <v>102</v>
      </c>
      <c r="P341" s="33">
        <v>101</v>
      </c>
      <c r="Q341" s="36">
        <v>113</v>
      </c>
      <c r="S341" s="51"/>
      <c r="T341" s="51"/>
      <c r="U341" s="2"/>
      <c r="V341" s="2"/>
      <c r="W341" s="2"/>
    </row>
    <row r="342" spans="1:23" x14ac:dyDescent="0.2">
      <c r="A342" s="58">
        <v>98941</v>
      </c>
      <c r="B342" s="62" t="s">
        <v>10</v>
      </c>
      <c r="C342" s="46">
        <v>8</v>
      </c>
      <c r="D342" s="46">
        <v>7</v>
      </c>
      <c r="E342" s="46">
        <v>7</v>
      </c>
      <c r="M342" s="81">
        <v>98380</v>
      </c>
      <c r="N342" s="62" t="s">
        <v>345</v>
      </c>
      <c r="O342" s="36">
        <v>9</v>
      </c>
      <c r="P342" s="36">
        <v>1</v>
      </c>
      <c r="Q342" s="36">
        <v>2</v>
      </c>
      <c r="S342" s="51"/>
      <c r="T342" s="51"/>
      <c r="U342" s="3"/>
      <c r="V342" s="2"/>
      <c r="W342" s="3"/>
    </row>
    <row r="343" spans="1:23" x14ac:dyDescent="0.2">
      <c r="A343" s="59">
        <v>98943</v>
      </c>
      <c r="B343" s="62" t="s">
        <v>10</v>
      </c>
      <c r="C343" s="46">
        <v>4</v>
      </c>
      <c r="D343" s="46">
        <v>4</v>
      </c>
      <c r="E343" s="46">
        <v>4</v>
      </c>
      <c r="M343" s="56">
        <v>98380</v>
      </c>
      <c r="N343" s="62" t="s">
        <v>10</v>
      </c>
      <c r="O343" s="36">
        <v>13</v>
      </c>
      <c r="P343" s="36">
        <v>12</v>
      </c>
      <c r="Q343" s="36">
        <v>9</v>
      </c>
      <c r="S343" s="52"/>
      <c r="T343" s="51"/>
      <c r="U343" s="2"/>
      <c r="V343" s="2"/>
      <c r="W343" s="2"/>
    </row>
    <row r="344" spans="1:23" ht="16" thickBot="1" x14ac:dyDescent="0.25">
      <c r="A344" s="128">
        <v>98946</v>
      </c>
      <c r="B344" s="54" t="s">
        <v>10</v>
      </c>
      <c r="C344" s="129">
        <v>5</v>
      </c>
      <c r="D344" s="129">
        <v>5</v>
      </c>
      <c r="E344" s="129">
        <v>4</v>
      </c>
      <c r="M344" s="81">
        <v>98383</v>
      </c>
      <c r="N344" s="62" t="s">
        <v>345</v>
      </c>
      <c r="O344" s="36">
        <v>31</v>
      </c>
      <c r="P344" s="36">
        <v>19</v>
      </c>
      <c r="Q344" s="36">
        <v>18</v>
      </c>
      <c r="S344" s="3"/>
      <c r="T344" s="51"/>
      <c r="U344" s="2"/>
      <c r="V344" s="2"/>
      <c r="W344" s="2"/>
    </row>
    <row r="345" spans="1:23" x14ac:dyDescent="0.2">
      <c r="A345" s="79"/>
      <c r="B345" s="37"/>
      <c r="C345" s="89"/>
      <c r="D345" s="89"/>
      <c r="E345" s="89"/>
      <c r="M345" s="81">
        <v>98383</v>
      </c>
      <c r="N345" s="62" t="s">
        <v>10</v>
      </c>
      <c r="O345" s="36">
        <v>119</v>
      </c>
      <c r="P345" s="36">
        <v>133</v>
      </c>
      <c r="Q345" s="36">
        <v>132</v>
      </c>
      <c r="S345" s="38"/>
      <c r="T345" s="39"/>
      <c r="U345" s="41"/>
      <c r="V345" s="44"/>
      <c r="W345" s="44"/>
    </row>
    <row r="346" spans="1:23" x14ac:dyDescent="0.2">
      <c r="A346" s="64"/>
      <c r="B346" s="39"/>
      <c r="C346" s="90"/>
      <c r="D346" s="90"/>
      <c r="E346" s="90"/>
      <c r="M346" s="56">
        <v>98385</v>
      </c>
      <c r="N346" s="62" t="s">
        <v>10</v>
      </c>
      <c r="O346" s="36">
        <v>2</v>
      </c>
      <c r="P346" s="36">
        <v>1</v>
      </c>
      <c r="Q346" s="36">
        <v>0</v>
      </c>
      <c r="S346" s="41"/>
      <c r="T346" s="39"/>
      <c r="U346" s="44"/>
      <c r="V346" s="44"/>
      <c r="W346" s="44"/>
    </row>
    <row r="347" spans="1:23" x14ac:dyDescent="0.2">
      <c r="A347" s="65"/>
      <c r="B347" s="39"/>
      <c r="C347" s="90"/>
      <c r="D347" s="90"/>
      <c r="E347" s="90"/>
      <c r="M347" s="81">
        <v>98387</v>
      </c>
      <c r="N347" s="62" t="s">
        <v>345</v>
      </c>
      <c r="O347" s="36">
        <v>3</v>
      </c>
      <c r="P347" s="36">
        <v>5</v>
      </c>
      <c r="Q347" s="36">
        <v>4</v>
      </c>
      <c r="S347" s="39"/>
      <c r="T347" s="39"/>
      <c r="U347" s="44"/>
      <c r="V347" s="44"/>
      <c r="W347" s="44"/>
    </row>
    <row r="348" spans="1:23" x14ac:dyDescent="0.2">
      <c r="A348" s="64"/>
      <c r="B348" s="39"/>
      <c r="C348" s="90"/>
      <c r="D348" s="90"/>
      <c r="E348" s="90"/>
      <c r="M348" s="56">
        <v>98387</v>
      </c>
      <c r="N348" s="62" t="s">
        <v>10</v>
      </c>
      <c r="O348" s="36">
        <v>102</v>
      </c>
      <c r="P348" s="36">
        <v>100</v>
      </c>
      <c r="Q348" s="36">
        <v>103</v>
      </c>
      <c r="S348" s="39"/>
      <c r="T348" s="39"/>
      <c r="U348" s="44"/>
      <c r="V348" s="41"/>
      <c r="W348" s="41"/>
    </row>
    <row r="349" spans="1:23" x14ac:dyDescent="0.2">
      <c r="A349" s="65"/>
      <c r="B349" s="39"/>
      <c r="C349" s="90"/>
      <c r="D349" s="90"/>
      <c r="E349" s="90"/>
      <c r="M349" s="81">
        <v>98388</v>
      </c>
      <c r="N349" s="62" t="s">
        <v>10</v>
      </c>
      <c r="O349" s="36">
        <v>5</v>
      </c>
      <c r="P349" s="36">
        <v>15</v>
      </c>
      <c r="Q349" s="36">
        <v>15</v>
      </c>
      <c r="S349" s="38"/>
      <c r="T349" s="39"/>
      <c r="U349" s="41"/>
      <c r="V349" s="41"/>
      <c r="W349" s="44"/>
    </row>
    <row r="350" spans="1:23" x14ac:dyDescent="0.2">
      <c r="A350" s="64"/>
      <c r="B350" s="39"/>
      <c r="C350" s="90"/>
      <c r="D350" s="90"/>
      <c r="E350" s="90"/>
      <c r="M350" s="56">
        <v>98390</v>
      </c>
      <c r="N350" s="62" t="s">
        <v>345</v>
      </c>
      <c r="O350" s="36">
        <v>16</v>
      </c>
      <c r="P350" s="36">
        <v>16</v>
      </c>
      <c r="Q350" s="36">
        <v>18</v>
      </c>
      <c r="S350" s="41"/>
      <c r="T350" s="39"/>
      <c r="U350" s="44"/>
      <c r="V350" s="44"/>
      <c r="W350" s="44"/>
    </row>
    <row r="351" spans="1:23" x14ac:dyDescent="0.2">
      <c r="A351" s="64"/>
      <c r="B351" s="39"/>
      <c r="C351" s="90"/>
      <c r="D351" s="90"/>
      <c r="E351" s="90"/>
      <c r="M351" s="81">
        <v>98390</v>
      </c>
      <c r="N351" s="62" t="s">
        <v>10</v>
      </c>
      <c r="O351" s="33">
        <v>55</v>
      </c>
      <c r="P351" s="36">
        <v>65</v>
      </c>
      <c r="Q351" s="33">
        <v>41</v>
      </c>
      <c r="S351" s="38"/>
      <c r="T351" s="39"/>
      <c r="U351" s="44"/>
      <c r="V351" s="41"/>
      <c r="W351" s="41"/>
    </row>
    <row r="352" spans="1:23" x14ac:dyDescent="0.2">
      <c r="A352" s="65"/>
      <c r="B352" s="39"/>
      <c r="C352" s="90"/>
      <c r="D352" s="90"/>
      <c r="E352" s="90"/>
      <c r="M352" s="81">
        <v>98391</v>
      </c>
      <c r="N352" s="62" t="s">
        <v>345</v>
      </c>
      <c r="O352" s="36">
        <v>32</v>
      </c>
      <c r="P352" s="36">
        <v>22</v>
      </c>
      <c r="Q352" s="36">
        <v>31</v>
      </c>
      <c r="S352" s="41"/>
      <c r="T352" s="39"/>
      <c r="U352" s="44"/>
      <c r="V352" s="44"/>
      <c r="W352" s="44"/>
    </row>
    <row r="353" spans="1:23" x14ac:dyDescent="0.2">
      <c r="A353" s="64"/>
      <c r="B353" s="39"/>
      <c r="C353" s="90"/>
      <c r="D353" s="90"/>
      <c r="E353" s="90"/>
      <c r="M353" s="56">
        <v>98391</v>
      </c>
      <c r="N353" s="62" t="s">
        <v>10</v>
      </c>
      <c r="O353" s="36">
        <v>224</v>
      </c>
      <c r="P353" s="36">
        <v>259</v>
      </c>
      <c r="Q353" s="36">
        <v>237</v>
      </c>
      <c r="S353" s="38"/>
      <c r="T353" s="39"/>
      <c r="U353" s="44"/>
      <c r="V353" s="44"/>
      <c r="W353" s="44"/>
    </row>
    <row r="354" spans="1:23" x14ac:dyDescent="0.2">
      <c r="A354" s="65"/>
      <c r="B354" s="39"/>
      <c r="C354" s="90"/>
      <c r="D354" s="90"/>
      <c r="E354" s="90"/>
      <c r="M354" s="81">
        <v>98392</v>
      </c>
      <c r="N354" s="62" t="s">
        <v>345</v>
      </c>
      <c r="O354" s="36">
        <v>3</v>
      </c>
      <c r="P354" s="36">
        <v>1</v>
      </c>
      <c r="Q354" s="33">
        <v>2</v>
      </c>
      <c r="S354" s="41"/>
      <c r="T354" s="39"/>
      <c r="U354" s="44"/>
      <c r="V354" s="44"/>
      <c r="W354" s="44"/>
    </row>
    <row r="355" spans="1:23" x14ac:dyDescent="0.2">
      <c r="A355" s="64"/>
      <c r="B355" s="39"/>
      <c r="C355" s="90"/>
      <c r="D355" s="90"/>
      <c r="E355" s="90"/>
      <c r="M355" s="56">
        <v>98392</v>
      </c>
      <c r="N355" s="62" t="s">
        <v>10</v>
      </c>
      <c r="O355" s="36">
        <v>7</v>
      </c>
      <c r="P355" s="36">
        <v>14</v>
      </c>
      <c r="Q355" s="36">
        <v>18</v>
      </c>
      <c r="S355" s="39"/>
      <c r="T355" s="39"/>
      <c r="U355" s="44"/>
      <c r="V355" s="44"/>
      <c r="W355" s="44"/>
    </row>
    <row r="356" spans="1:23" x14ac:dyDescent="0.2">
      <c r="A356" s="65"/>
      <c r="B356" s="39"/>
      <c r="C356" s="90"/>
      <c r="D356" s="90"/>
      <c r="E356" s="90"/>
      <c r="M356" s="81">
        <v>98396</v>
      </c>
      <c r="N356" s="62" t="s">
        <v>345</v>
      </c>
      <c r="O356" s="36">
        <v>0</v>
      </c>
      <c r="P356" s="36">
        <v>0</v>
      </c>
      <c r="Q356" s="36">
        <v>1</v>
      </c>
      <c r="S356" s="38"/>
      <c r="T356" s="39"/>
      <c r="U356" s="44"/>
      <c r="V356" s="41"/>
      <c r="W356" s="44"/>
    </row>
    <row r="357" spans="1:23" x14ac:dyDescent="0.2">
      <c r="A357" s="64"/>
      <c r="B357" s="39"/>
      <c r="C357" s="90"/>
      <c r="D357" s="90"/>
      <c r="E357" s="90"/>
      <c r="M357" s="56">
        <v>98396</v>
      </c>
      <c r="N357" s="62" t="s">
        <v>10</v>
      </c>
      <c r="O357" s="36">
        <v>1</v>
      </c>
      <c r="P357" s="36">
        <v>1</v>
      </c>
      <c r="Q357" s="36">
        <v>3</v>
      </c>
      <c r="S357" s="41"/>
      <c r="T357" s="39"/>
      <c r="U357" s="44"/>
      <c r="V357" s="44"/>
      <c r="W357" s="44"/>
    </row>
    <row r="358" spans="1:23" x14ac:dyDescent="0.2">
      <c r="A358" s="65"/>
      <c r="B358" s="39"/>
      <c r="C358" s="90"/>
      <c r="D358" s="90"/>
      <c r="E358" s="90"/>
      <c r="M358" s="81">
        <v>98402</v>
      </c>
      <c r="N358" s="62" t="s">
        <v>345</v>
      </c>
      <c r="O358" s="33">
        <v>1</v>
      </c>
      <c r="P358" s="36">
        <v>4</v>
      </c>
      <c r="Q358" s="36">
        <v>2</v>
      </c>
      <c r="S358" s="39"/>
      <c r="T358" s="39"/>
      <c r="U358" s="44"/>
      <c r="V358" s="44"/>
      <c r="W358" s="44"/>
    </row>
    <row r="359" spans="1:23" x14ac:dyDescent="0.2">
      <c r="A359" s="64"/>
      <c r="B359" s="39"/>
      <c r="C359" s="90"/>
      <c r="D359" s="90"/>
      <c r="E359" s="90"/>
      <c r="M359" s="56">
        <v>98402</v>
      </c>
      <c r="N359" s="62" t="s">
        <v>10</v>
      </c>
      <c r="O359" s="36">
        <v>4</v>
      </c>
      <c r="P359" s="36">
        <v>1</v>
      </c>
      <c r="Q359" s="36">
        <v>1</v>
      </c>
      <c r="S359" s="39"/>
      <c r="T359" s="39"/>
      <c r="U359" s="41"/>
      <c r="V359" s="44"/>
      <c r="W359" s="41"/>
    </row>
    <row r="360" spans="1:23" x14ac:dyDescent="0.2">
      <c r="A360" s="65"/>
      <c r="B360" s="39"/>
      <c r="C360" s="90"/>
      <c r="D360" s="90"/>
      <c r="E360" s="90"/>
      <c r="M360" s="81">
        <v>98403</v>
      </c>
      <c r="N360" s="62" t="s">
        <v>345</v>
      </c>
      <c r="O360" s="36">
        <v>1</v>
      </c>
      <c r="P360" s="36">
        <v>0</v>
      </c>
      <c r="Q360" s="36">
        <v>1</v>
      </c>
      <c r="S360" s="38"/>
      <c r="T360" s="39"/>
      <c r="U360" s="41"/>
      <c r="V360" s="44"/>
      <c r="W360" s="41"/>
    </row>
    <row r="361" spans="1:23" x14ac:dyDescent="0.2">
      <c r="A361" s="64"/>
      <c r="B361" s="39"/>
      <c r="C361" s="90"/>
      <c r="D361" s="90"/>
      <c r="E361" s="90"/>
      <c r="M361" s="56">
        <v>98403</v>
      </c>
      <c r="N361" s="62" t="s">
        <v>10</v>
      </c>
      <c r="O361" s="36">
        <v>20</v>
      </c>
      <c r="P361" s="36">
        <v>15</v>
      </c>
      <c r="Q361" s="36">
        <v>14</v>
      </c>
      <c r="S361" s="41"/>
      <c r="T361" s="39"/>
      <c r="U361" s="44"/>
      <c r="V361" s="44"/>
      <c r="W361" s="44"/>
    </row>
    <row r="362" spans="1:23" x14ac:dyDescent="0.2">
      <c r="A362" s="65"/>
      <c r="B362" s="39"/>
      <c r="C362" s="90"/>
      <c r="D362" s="90"/>
      <c r="E362" s="90"/>
      <c r="M362" s="81">
        <v>98404</v>
      </c>
      <c r="N362" s="62" t="s">
        <v>345</v>
      </c>
      <c r="O362" s="33">
        <v>0</v>
      </c>
      <c r="P362" s="33">
        <v>5</v>
      </c>
      <c r="Q362" s="36">
        <v>2</v>
      </c>
      <c r="S362" s="39"/>
      <c r="T362" s="39"/>
      <c r="U362" s="41"/>
      <c r="V362" s="44"/>
      <c r="W362" s="44"/>
    </row>
    <row r="363" spans="1:23" x14ac:dyDescent="0.2">
      <c r="A363" s="64"/>
      <c r="B363" s="39"/>
      <c r="C363" s="90"/>
      <c r="D363" s="90"/>
      <c r="E363" s="90"/>
      <c r="M363" s="56">
        <v>98404</v>
      </c>
      <c r="N363" s="62" t="s">
        <v>10</v>
      </c>
      <c r="O363" s="36">
        <v>21</v>
      </c>
      <c r="P363" s="36">
        <v>37</v>
      </c>
      <c r="Q363" s="36">
        <v>28</v>
      </c>
      <c r="S363" s="39"/>
      <c r="T363" s="39"/>
      <c r="U363" s="44"/>
      <c r="V363" s="41"/>
      <c r="W363" s="41"/>
    </row>
    <row r="364" spans="1:23" x14ac:dyDescent="0.2">
      <c r="A364" s="65"/>
      <c r="B364" s="39"/>
      <c r="C364" s="90"/>
      <c r="D364" s="90"/>
      <c r="E364" s="90"/>
      <c r="M364" s="81">
        <v>98405</v>
      </c>
      <c r="N364" s="62" t="s">
        <v>345</v>
      </c>
      <c r="O364" s="36">
        <v>8</v>
      </c>
      <c r="P364" s="36">
        <v>1</v>
      </c>
      <c r="Q364" s="33">
        <v>4</v>
      </c>
      <c r="S364" s="38"/>
      <c r="T364" s="39"/>
      <c r="U364" s="44"/>
      <c r="V364" s="41"/>
      <c r="W364" s="41"/>
    </row>
    <row r="365" spans="1:23" x14ac:dyDescent="0.2">
      <c r="A365" s="64"/>
      <c r="B365" s="39"/>
      <c r="C365" s="90"/>
      <c r="D365" s="90"/>
      <c r="E365" s="90"/>
      <c r="M365" s="56">
        <v>98405</v>
      </c>
      <c r="N365" s="62" t="s">
        <v>10</v>
      </c>
      <c r="O365" s="36">
        <v>41</v>
      </c>
      <c r="P365" s="36">
        <v>35</v>
      </c>
      <c r="Q365" s="36">
        <v>37</v>
      </c>
      <c r="S365" s="41"/>
      <c r="T365" s="39"/>
      <c r="U365" s="44"/>
      <c r="V365" s="41"/>
      <c r="W365" s="44"/>
    </row>
    <row r="366" spans="1:23" x14ac:dyDescent="0.2">
      <c r="A366" s="65"/>
      <c r="B366" s="39"/>
      <c r="C366" s="90"/>
      <c r="D366" s="90"/>
      <c r="E366" s="90"/>
      <c r="M366" s="81">
        <v>98406</v>
      </c>
      <c r="N366" s="62" t="s">
        <v>345</v>
      </c>
      <c r="O366" s="36">
        <v>2</v>
      </c>
      <c r="P366" s="36">
        <v>1</v>
      </c>
      <c r="Q366" s="36">
        <v>4</v>
      </c>
      <c r="S366" s="39"/>
      <c r="T366" s="39"/>
      <c r="U366" s="44"/>
      <c r="V366" s="44"/>
      <c r="W366" s="44"/>
    </row>
    <row r="367" spans="1:23" x14ac:dyDescent="0.2">
      <c r="A367" s="64"/>
      <c r="B367" s="39"/>
      <c r="C367" s="90"/>
      <c r="D367" s="90"/>
      <c r="E367" s="90"/>
      <c r="M367" s="56">
        <v>98406</v>
      </c>
      <c r="N367" s="62" t="s">
        <v>10</v>
      </c>
      <c r="O367" s="36">
        <v>38</v>
      </c>
      <c r="P367" s="36">
        <v>34</v>
      </c>
      <c r="Q367" s="36">
        <v>22</v>
      </c>
      <c r="S367" s="38"/>
      <c r="T367" s="39"/>
      <c r="U367" s="44"/>
      <c r="V367" s="44"/>
      <c r="W367" s="44"/>
    </row>
    <row r="368" spans="1:23" x14ac:dyDescent="0.2">
      <c r="A368" s="65"/>
      <c r="B368" s="39"/>
      <c r="C368" s="90"/>
      <c r="D368" s="90"/>
      <c r="E368" s="90"/>
      <c r="M368" s="81">
        <v>98407</v>
      </c>
      <c r="N368" s="62" t="s">
        <v>345</v>
      </c>
      <c r="O368" s="33">
        <v>2</v>
      </c>
      <c r="P368" s="36">
        <v>1</v>
      </c>
      <c r="Q368" s="33">
        <v>0</v>
      </c>
      <c r="S368" s="41"/>
      <c r="T368" s="39"/>
      <c r="U368" s="44"/>
      <c r="V368" s="44"/>
      <c r="W368" s="44"/>
    </row>
    <row r="369" spans="1:17" x14ac:dyDescent="0.2">
      <c r="A369" s="64"/>
      <c r="B369" s="39"/>
      <c r="C369" s="90"/>
      <c r="D369" s="90"/>
      <c r="E369" s="90"/>
      <c r="M369" s="56">
        <v>98407</v>
      </c>
      <c r="N369" s="62" t="s">
        <v>10</v>
      </c>
      <c r="O369" s="36">
        <v>22</v>
      </c>
      <c r="P369" s="36">
        <v>33</v>
      </c>
      <c r="Q369" s="36">
        <v>23</v>
      </c>
    </row>
    <row r="370" spans="1:17" x14ac:dyDescent="0.2">
      <c r="A370" s="64"/>
      <c r="B370" s="39"/>
      <c r="C370" s="90"/>
      <c r="D370" s="90"/>
      <c r="E370" s="90"/>
      <c r="M370" s="81">
        <v>98408</v>
      </c>
      <c r="N370" s="62" t="s">
        <v>345</v>
      </c>
      <c r="O370" s="36">
        <v>1</v>
      </c>
      <c r="P370" s="36">
        <v>2</v>
      </c>
      <c r="Q370" s="36">
        <v>4</v>
      </c>
    </row>
    <row r="371" spans="1:17" x14ac:dyDescent="0.2">
      <c r="A371" s="65"/>
      <c r="B371" s="39"/>
      <c r="C371" s="90"/>
      <c r="D371" s="90"/>
      <c r="E371" s="90"/>
      <c r="M371" s="56">
        <v>98408</v>
      </c>
      <c r="N371" s="62" t="s">
        <v>10</v>
      </c>
      <c r="O371" s="36">
        <v>23</v>
      </c>
      <c r="P371" s="33">
        <v>19</v>
      </c>
      <c r="Q371" s="33">
        <v>26</v>
      </c>
    </row>
    <row r="372" spans="1:17" x14ac:dyDescent="0.2">
      <c r="A372" s="64"/>
      <c r="B372" s="39"/>
      <c r="C372" s="90"/>
      <c r="D372" s="90"/>
      <c r="E372" s="90"/>
      <c r="M372" s="81">
        <v>98409</v>
      </c>
      <c r="N372" s="62" t="s">
        <v>345</v>
      </c>
      <c r="O372" s="33">
        <v>8</v>
      </c>
      <c r="P372" s="33">
        <v>4</v>
      </c>
      <c r="Q372" s="36">
        <v>2</v>
      </c>
    </row>
    <row r="373" spans="1:17" x14ac:dyDescent="0.2">
      <c r="A373" s="65"/>
      <c r="B373" s="39"/>
      <c r="C373" s="90"/>
      <c r="D373" s="90"/>
      <c r="E373" s="90"/>
      <c r="M373" s="56">
        <v>98409</v>
      </c>
      <c r="N373" s="62" t="s">
        <v>10</v>
      </c>
      <c r="O373" s="36">
        <v>17</v>
      </c>
      <c r="P373" s="36">
        <v>30</v>
      </c>
      <c r="Q373" s="36">
        <v>17</v>
      </c>
    </row>
    <row r="374" spans="1:17" x14ac:dyDescent="0.2">
      <c r="A374" s="64"/>
      <c r="B374" s="39"/>
      <c r="C374" s="90"/>
      <c r="D374" s="90"/>
      <c r="E374" s="90"/>
      <c r="M374" s="81">
        <v>98418</v>
      </c>
      <c r="N374" s="62" t="s">
        <v>10</v>
      </c>
      <c r="O374" s="36">
        <v>18</v>
      </c>
      <c r="P374" s="36">
        <v>19</v>
      </c>
      <c r="Q374" s="36">
        <v>16</v>
      </c>
    </row>
    <row r="375" spans="1:17" x14ac:dyDescent="0.2">
      <c r="A375" s="64"/>
      <c r="B375" s="39"/>
      <c r="C375" s="90"/>
      <c r="D375" s="90"/>
      <c r="E375" s="90"/>
      <c r="M375" s="56">
        <v>98421</v>
      </c>
      <c r="N375" s="62" t="s">
        <v>345</v>
      </c>
      <c r="O375" s="36">
        <v>1</v>
      </c>
      <c r="P375" s="36">
        <v>2</v>
      </c>
      <c r="Q375" s="36">
        <v>2</v>
      </c>
    </row>
    <row r="376" spans="1:17" x14ac:dyDescent="0.2">
      <c r="A376" s="64"/>
      <c r="B376" s="39"/>
      <c r="C376" s="90"/>
      <c r="D376" s="90"/>
      <c r="E376" s="90"/>
      <c r="M376" s="81">
        <v>98422</v>
      </c>
      <c r="N376" s="62" t="s">
        <v>345</v>
      </c>
      <c r="O376" s="36">
        <v>0</v>
      </c>
      <c r="P376" s="36">
        <v>1</v>
      </c>
      <c r="Q376" s="36">
        <v>0</v>
      </c>
    </row>
    <row r="377" spans="1:17" x14ac:dyDescent="0.2">
      <c r="A377" s="64"/>
      <c r="B377" s="39"/>
      <c r="C377" s="90"/>
      <c r="D377" s="90"/>
      <c r="E377" s="90"/>
      <c r="M377" s="56">
        <v>98422</v>
      </c>
      <c r="N377" s="62" t="s">
        <v>10</v>
      </c>
      <c r="O377" s="36">
        <v>22</v>
      </c>
      <c r="P377" s="33">
        <v>25</v>
      </c>
      <c r="Q377" s="33">
        <v>19</v>
      </c>
    </row>
    <row r="378" spans="1:17" x14ac:dyDescent="0.2">
      <c r="A378" s="64"/>
      <c r="B378" s="39"/>
      <c r="C378" s="90"/>
      <c r="D378" s="90"/>
      <c r="E378" s="90"/>
      <c r="M378" s="81">
        <v>98424</v>
      </c>
      <c r="N378" s="62" t="s">
        <v>345</v>
      </c>
      <c r="O378" s="33">
        <v>7</v>
      </c>
      <c r="P378" s="33">
        <v>5</v>
      </c>
      <c r="Q378" s="36">
        <v>3</v>
      </c>
    </row>
    <row r="379" spans="1:17" x14ac:dyDescent="0.2">
      <c r="A379" s="64"/>
      <c r="B379" s="39"/>
      <c r="C379" s="90"/>
      <c r="D379" s="90"/>
      <c r="E379" s="90"/>
      <c r="M379" s="81">
        <v>98424</v>
      </c>
      <c r="N379" s="62" t="s">
        <v>10</v>
      </c>
      <c r="O379" s="36">
        <v>17</v>
      </c>
      <c r="P379" s="33">
        <v>14</v>
      </c>
      <c r="Q379" s="36">
        <v>16</v>
      </c>
    </row>
    <row r="380" spans="1:17" x14ac:dyDescent="0.2">
      <c r="A380" s="65"/>
      <c r="B380" s="39"/>
      <c r="C380" s="90"/>
      <c r="D380" s="90"/>
      <c r="E380" s="90"/>
      <c r="M380" s="56">
        <v>98439</v>
      </c>
      <c r="N380" s="62" t="s">
        <v>345</v>
      </c>
      <c r="O380" s="36">
        <v>1</v>
      </c>
      <c r="P380" s="36">
        <v>0</v>
      </c>
      <c r="Q380" s="36">
        <v>2</v>
      </c>
    </row>
    <row r="381" spans="1:17" x14ac:dyDescent="0.2">
      <c r="A381" s="64"/>
      <c r="B381" s="39"/>
      <c r="C381" s="90"/>
      <c r="D381" s="90"/>
      <c r="E381" s="90"/>
      <c r="M381" s="81">
        <v>98439</v>
      </c>
      <c r="N381" s="62" t="s">
        <v>10</v>
      </c>
      <c r="O381" s="33">
        <v>9</v>
      </c>
      <c r="P381" s="36">
        <v>25</v>
      </c>
      <c r="Q381" s="36">
        <v>12</v>
      </c>
    </row>
    <row r="382" spans="1:17" x14ac:dyDescent="0.2">
      <c r="A382" s="64"/>
      <c r="B382" s="39"/>
      <c r="C382" s="90"/>
      <c r="D382" s="90"/>
      <c r="E382" s="90"/>
      <c r="M382" s="81">
        <v>98443</v>
      </c>
      <c r="N382" s="62" t="s">
        <v>10</v>
      </c>
      <c r="O382" s="36">
        <v>5</v>
      </c>
      <c r="P382" s="36">
        <v>3</v>
      </c>
      <c r="Q382" s="36">
        <v>0</v>
      </c>
    </row>
    <row r="383" spans="1:17" x14ac:dyDescent="0.2">
      <c r="A383" s="64"/>
      <c r="B383" s="39"/>
      <c r="C383" s="90"/>
      <c r="D383" s="90"/>
      <c r="E383" s="90"/>
      <c r="M383" s="56">
        <v>98444</v>
      </c>
      <c r="N383" s="62" t="s">
        <v>345</v>
      </c>
      <c r="O383" s="36">
        <v>2</v>
      </c>
      <c r="P383" s="36">
        <v>3</v>
      </c>
      <c r="Q383" s="36">
        <v>5</v>
      </c>
    </row>
    <row r="384" spans="1:17" x14ac:dyDescent="0.2">
      <c r="A384" s="41"/>
      <c r="B384" s="39"/>
      <c r="C384" s="44"/>
      <c r="D384" s="44"/>
      <c r="E384" s="44"/>
      <c r="M384" s="81">
        <v>98444</v>
      </c>
      <c r="N384" s="62" t="s">
        <v>10</v>
      </c>
      <c r="O384" s="36">
        <v>26</v>
      </c>
      <c r="P384" s="33">
        <v>23</v>
      </c>
      <c r="Q384" s="36">
        <v>24</v>
      </c>
    </row>
    <row r="385" spans="1:17" x14ac:dyDescent="0.2">
      <c r="A385" s="39"/>
      <c r="B385" s="39"/>
      <c r="C385" s="44"/>
      <c r="D385" s="44"/>
      <c r="E385" s="44"/>
      <c r="M385" s="56">
        <v>98445</v>
      </c>
      <c r="N385" s="62" t="s">
        <v>345</v>
      </c>
      <c r="O385" s="36">
        <v>1</v>
      </c>
      <c r="P385" s="36">
        <v>1</v>
      </c>
      <c r="Q385" s="36">
        <v>0</v>
      </c>
    </row>
    <row r="386" spans="1:17" x14ac:dyDescent="0.2">
      <c r="A386" s="38"/>
      <c r="B386" s="39"/>
      <c r="C386" s="44"/>
      <c r="D386" s="44"/>
      <c r="E386" s="44"/>
      <c r="M386" s="81">
        <v>98445</v>
      </c>
      <c r="N386" s="62" t="s">
        <v>10</v>
      </c>
      <c r="O386" s="36">
        <v>36</v>
      </c>
      <c r="P386" s="36">
        <v>35</v>
      </c>
      <c r="Q386" s="36">
        <v>36</v>
      </c>
    </row>
    <row r="387" spans="1:17" x14ac:dyDescent="0.2">
      <c r="A387" s="41"/>
      <c r="B387" s="39"/>
      <c r="C387" s="44"/>
      <c r="D387" s="44"/>
      <c r="E387" s="44"/>
      <c r="M387" s="56">
        <v>98446</v>
      </c>
      <c r="N387" s="62" t="s">
        <v>345</v>
      </c>
      <c r="O387" s="36">
        <v>2</v>
      </c>
      <c r="P387" s="36">
        <v>0</v>
      </c>
      <c r="Q387" s="36">
        <v>2</v>
      </c>
    </row>
    <row r="388" spans="1:17" x14ac:dyDescent="0.2">
      <c r="A388" s="39"/>
      <c r="B388" s="39"/>
      <c r="C388" s="44"/>
      <c r="D388" s="44"/>
      <c r="E388" s="41"/>
      <c r="M388" s="81">
        <v>98446</v>
      </c>
      <c r="N388" s="62" t="s">
        <v>10</v>
      </c>
      <c r="O388" s="36">
        <v>32</v>
      </c>
      <c r="P388" s="33">
        <v>29</v>
      </c>
      <c r="Q388" s="33">
        <v>32</v>
      </c>
    </row>
    <row r="389" spans="1:17" x14ac:dyDescent="0.2">
      <c r="A389" s="3"/>
      <c r="B389" s="3"/>
      <c r="C389" s="50"/>
      <c r="D389" s="50"/>
      <c r="E389" s="50"/>
      <c r="M389" s="56">
        <v>98465</v>
      </c>
      <c r="N389" s="62" t="s">
        <v>10</v>
      </c>
      <c r="O389" s="36">
        <v>3</v>
      </c>
      <c r="P389" s="36">
        <v>4</v>
      </c>
      <c r="Q389" s="36">
        <v>3</v>
      </c>
    </row>
    <row r="390" spans="1:17" x14ac:dyDescent="0.2">
      <c r="A390" s="3"/>
      <c r="B390" s="3"/>
      <c r="C390" s="50"/>
      <c r="D390" s="50"/>
      <c r="E390" s="50"/>
      <c r="M390" s="81">
        <v>98466</v>
      </c>
      <c r="N390" s="62" t="s">
        <v>345</v>
      </c>
      <c r="O390" s="36">
        <v>3</v>
      </c>
      <c r="P390" s="36">
        <v>2</v>
      </c>
      <c r="Q390" s="36">
        <v>1</v>
      </c>
    </row>
    <row r="391" spans="1:17" x14ac:dyDescent="0.2">
      <c r="A391" s="3"/>
      <c r="B391" s="3"/>
      <c r="C391" s="50"/>
      <c r="D391" s="50"/>
      <c r="E391" s="50"/>
      <c r="M391" s="56">
        <v>98466</v>
      </c>
      <c r="N391" s="62" t="s">
        <v>10</v>
      </c>
      <c r="O391" s="36">
        <v>29</v>
      </c>
      <c r="P391" s="36">
        <v>22</v>
      </c>
      <c r="Q391" s="36">
        <v>20</v>
      </c>
    </row>
    <row r="392" spans="1:17" x14ac:dyDescent="0.2">
      <c r="A392" s="3"/>
      <c r="B392" s="3"/>
      <c r="C392" s="50"/>
      <c r="D392" s="50"/>
      <c r="E392" s="50"/>
      <c r="M392" s="81">
        <v>98467</v>
      </c>
      <c r="N392" s="62" t="s">
        <v>345</v>
      </c>
      <c r="O392" s="36">
        <v>0</v>
      </c>
      <c r="P392" s="33">
        <v>1</v>
      </c>
      <c r="Q392" s="33">
        <v>1</v>
      </c>
    </row>
    <row r="393" spans="1:17" x14ac:dyDescent="0.2">
      <c r="A393" s="3"/>
      <c r="B393" s="3"/>
      <c r="C393" s="50"/>
      <c r="D393" s="50"/>
      <c r="E393" s="50"/>
      <c r="M393" s="56">
        <v>98467</v>
      </c>
      <c r="N393" s="62" t="s">
        <v>10</v>
      </c>
      <c r="O393" s="36">
        <v>17</v>
      </c>
      <c r="P393" s="36">
        <v>23</v>
      </c>
      <c r="Q393" s="36">
        <v>15</v>
      </c>
    </row>
    <row r="394" spans="1:17" x14ac:dyDescent="0.2">
      <c r="A394" s="3"/>
      <c r="B394" s="3"/>
      <c r="C394" s="50"/>
      <c r="D394" s="50"/>
      <c r="E394" s="50"/>
      <c r="M394" s="81">
        <v>98498</v>
      </c>
      <c r="N394" s="62" t="s">
        <v>345</v>
      </c>
      <c r="O394" s="36">
        <v>4</v>
      </c>
      <c r="P394" s="36">
        <v>2</v>
      </c>
      <c r="Q394" s="36">
        <v>3</v>
      </c>
    </row>
    <row r="395" spans="1:17" x14ac:dyDescent="0.2">
      <c r="A395" s="3"/>
      <c r="B395" s="3"/>
      <c r="C395" s="50"/>
      <c r="D395" s="50"/>
      <c r="E395" s="50"/>
      <c r="M395" s="56">
        <v>98498</v>
      </c>
      <c r="N395" s="62" t="s">
        <v>10</v>
      </c>
      <c r="O395" s="36">
        <v>108</v>
      </c>
      <c r="P395" s="36">
        <v>123</v>
      </c>
      <c r="Q395" s="36">
        <v>101</v>
      </c>
    </row>
    <row r="396" spans="1:17" x14ac:dyDescent="0.2">
      <c r="A396" s="3"/>
      <c r="B396" s="3"/>
      <c r="C396" s="50"/>
      <c r="D396" s="50"/>
      <c r="E396" s="50"/>
      <c r="M396" s="81">
        <v>98499</v>
      </c>
      <c r="N396" s="62" t="s">
        <v>345</v>
      </c>
      <c r="O396" s="36">
        <v>7</v>
      </c>
      <c r="P396" s="36">
        <v>8</v>
      </c>
      <c r="Q396" s="36">
        <v>14</v>
      </c>
    </row>
    <row r="397" spans="1:17" x14ac:dyDescent="0.2">
      <c r="A397" s="3"/>
      <c r="B397" s="3"/>
      <c r="C397" s="50"/>
      <c r="D397" s="50"/>
      <c r="E397" s="50"/>
      <c r="M397" s="56">
        <v>98499</v>
      </c>
      <c r="N397" s="62" t="s">
        <v>10</v>
      </c>
      <c r="O397" s="36">
        <v>28</v>
      </c>
      <c r="P397" s="36">
        <v>40</v>
      </c>
      <c r="Q397" s="36">
        <v>20</v>
      </c>
    </row>
    <row r="398" spans="1:17" x14ac:dyDescent="0.2">
      <c r="A398" s="3"/>
      <c r="B398" s="3"/>
      <c r="C398" s="50"/>
      <c r="D398" s="50"/>
      <c r="E398" s="50"/>
      <c r="M398" s="81">
        <v>98501</v>
      </c>
      <c r="N398" s="62" t="s">
        <v>345</v>
      </c>
      <c r="O398" s="36">
        <v>18</v>
      </c>
      <c r="P398" s="36">
        <v>20</v>
      </c>
      <c r="Q398" s="36">
        <v>29</v>
      </c>
    </row>
    <row r="399" spans="1:17" x14ac:dyDescent="0.2">
      <c r="A399" s="3"/>
      <c r="B399" s="3"/>
      <c r="C399" s="50"/>
      <c r="D399" s="50"/>
      <c r="E399" s="50"/>
      <c r="M399" s="56">
        <v>98501</v>
      </c>
      <c r="N399" s="62" t="s">
        <v>10</v>
      </c>
      <c r="O399" s="36">
        <v>250</v>
      </c>
      <c r="P399" s="36">
        <v>257</v>
      </c>
      <c r="Q399" s="36">
        <v>283</v>
      </c>
    </row>
    <row r="400" spans="1:17" x14ac:dyDescent="0.2">
      <c r="A400" s="3"/>
      <c r="B400" s="3"/>
      <c r="C400" s="50"/>
      <c r="D400" s="50"/>
      <c r="E400" s="50"/>
      <c r="M400" s="81">
        <v>98502</v>
      </c>
      <c r="N400" s="62" t="s">
        <v>345</v>
      </c>
      <c r="O400" s="36">
        <v>20</v>
      </c>
      <c r="P400" s="36">
        <v>19</v>
      </c>
      <c r="Q400" s="36">
        <v>18</v>
      </c>
    </row>
    <row r="401" spans="1:17" x14ac:dyDescent="0.2">
      <c r="A401" s="3"/>
      <c r="B401" s="3"/>
      <c r="C401" s="50"/>
      <c r="D401" s="50"/>
      <c r="E401" s="50"/>
      <c r="M401" s="56">
        <v>98502</v>
      </c>
      <c r="N401" s="62" t="s">
        <v>10</v>
      </c>
      <c r="O401" s="36">
        <v>196</v>
      </c>
      <c r="P401" s="36">
        <v>177</v>
      </c>
      <c r="Q401" s="36">
        <v>195</v>
      </c>
    </row>
    <row r="402" spans="1:17" x14ac:dyDescent="0.2">
      <c r="A402" s="3"/>
      <c r="B402" s="3"/>
      <c r="C402" s="50"/>
      <c r="D402" s="50"/>
      <c r="E402" s="50"/>
      <c r="M402" s="81">
        <v>98503</v>
      </c>
      <c r="N402" s="62" t="s">
        <v>345</v>
      </c>
      <c r="O402" s="36">
        <v>14</v>
      </c>
      <c r="P402" s="36">
        <v>18</v>
      </c>
      <c r="Q402" s="36">
        <v>19</v>
      </c>
    </row>
    <row r="403" spans="1:17" x14ac:dyDescent="0.2">
      <c r="A403" s="3"/>
      <c r="B403" s="3"/>
      <c r="C403" s="50"/>
      <c r="D403" s="50"/>
      <c r="E403" s="50"/>
      <c r="M403" s="56">
        <v>98503</v>
      </c>
      <c r="N403" s="62" t="s">
        <v>10</v>
      </c>
      <c r="O403" s="36">
        <v>223</v>
      </c>
      <c r="P403" s="36">
        <v>223</v>
      </c>
      <c r="Q403" s="36">
        <v>305</v>
      </c>
    </row>
    <row r="404" spans="1:17" x14ac:dyDescent="0.2">
      <c r="A404" s="3"/>
      <c r="B404" s="3"/>
      <c r="C404" s="50"/>
      <c r="D404" s="50"/>
      <c r="E404" s="50"/>
      <c r="M404" s="81">
        <v>98506</v>
      </c>
      <c r="N404" s="62" t="s">
        <v>345</v>
      </c>
      <c r="O404" s="36">
        <v>9</v>
      </c>
      <c r="P404" s="36">
        <v>12</v>
      </c>
      <c r="Q404" s="36">
        <v>5</v>
      </c>
    </row>
    <row r="405" spans="1:17" x14ac:dyDescent="0.2">
      <c r="A405" s="3"/>
      <c r="B405" s="3"/>
      <c r="C405" s="50"/>
      <c r="D405" s="50"/>
      <c r="E405" s="50"/>
      <c r="M405" s="56">
        <v>98506</v>
      </c>
      <c r="N405" s="62" t="s">
        <v>10</v>
      </c>
      <c r="O405" s="36">
        <v>110</v>
      </c>
      <c r="P405" s="36">
        <v>102</v>
      </c>
      <c r="Q405" s="36">
        <v>90</v>
      </c>
    </row>
    <row r="406" spans="1:17" x14ac:dyDescent="0.2">
      <c r="A406" s="3"/>
      <c r="B406" s="3"/>
      <c r="C406" s="50"/>
      <c r="D406" s="50"/>
      <c r="E406" s="50"/>
      <c r="M406" s="81">
        <v>98512</v>
      </c>
      <c r="N406" s="62" t="s">
        <v>345</v>
      </c>
      <c r="O406" s="36">
        <v>19</v>
      </c>
      <c r="P406" s="36">
        <v>15</v>
      </c>
      <c r="Q406" s="36">
        <v>16</v>
      </c>
    </row>
    <row r="407" spans="1:17" x14ac:dyDescent="0.2">
      <c r="A407" s="3"/>
      <c r="B407" s="3"/>
      <c r="C407" s="50"/>
      <c r="D407" s="50"/>
      <c r="E407" s="50"/>
      <c r="M407" s="56">
        <v>98512</v>
      </c>
      <c r="N407" s="62" t="s">
        <v>10</v>
      </c>
      <c r="O407" s="36">
        <v>219</v>
      </c>
      <c r="P407" s="36">
        <v>166</v>
      </c>
      <c r="Q407" s="36">
        <v>171</v>
      </c>
    </row>
    <row r="408" spans="1:17" x14ac:dyDescent="0.2">
      <c r="A408" s="3"/>
      <c r="B408" s="3"/>
      <c r="C408" s="50"/>
      <c r="D408" s="50"/>
      <c r="E408" s="50"/>
      <c r="M408" s="81">
        <v>98513</v>
      </c>
      <c r="N408" s="62" t="s">
        <v>345</v>
      </c>
      <c r="O408" s="36">
        <v>3</v>
      </c>
      <c r="P408" s="36">
        <v>19</v>
      </c>
      <c r="Q408" s="36">
        <v>8</v>
      </c>
    </row>
    <row r="409" spans="1:17" x14ac:dyDescent="0.2">
      <c r="A409" s="3"/>
      <c r="B409" s="3"/>
      <c r="C409" s="50"/>
      <c r="D409" s="50"/>
      <c r="E409" s="50"/>
      <c r="M409" s="56">
        <v>98513</v>
      </c>
      <c r="N409" s="62" t="s">
        <v>10</v>
      </c>
      <c r="O409" s="36">
        <v>149</v>
      </c>
      <c r="P409" s="36">
        <v>180</v>
      </c>
      <c r="Q409" s="36">
        <v>149</v>
      </c>
    </row>
    <row r="410" spans="1:17" x14ac:dyDescent="0.2">
      <c r="A410" s="3"/>
      <c r="B410" s="3"/>
      <c r="C410" s="50"/>
      <c r="D410" s="50"/>
      <c r="E410" s="50"/>
      <c r="M410" s="81">
        <v>98516</v>
      </c>
      <c r="N410" s="62" t="s">
        <v>345</v>
      </c>
      <c r="O410" s="36">
        <v>15</v>
      </c>
      <c r="P410" s="36">
        <v>20</v>
      </c>
      <c r="Q410" s="36">
        <v>18</v>
      </c>
    </row>
    <row r="411" spans="1:17" x14ac:dyDescent="0.2">
      <c r="A411" s="3"/>
      <c r="B411" s="3"/>
      <c r="C411" s="50"/>
      <c r="D411" s="50"/>
      <c r="E411" s="50"/>
      <c r="M411" s="56">
        <v>98516</v>
      </c>
      <c r="N411" s="62" t="s">
        <v>10</v>
      </c>
      <c r="O411" s="36">
        <v>187</v>
      </c>
      <c r="P411" s="36">
        <v>199</v>
      </c>
      <c r="Q411" s="36">
        <v>174</v>
      </c>
    </row>
    <row r="412" spans="1:17" x14ac:dyDescent="0.2">
      <c r="A412" s="3"/>
      <c r="B412" s="3"/>
      <c r="C412" s="50"/>
      <c r="D412" s="50"/>
      <c r="E412" s="50"/>
      <c r="M412" s="81">
        <v>98530</v>
      </c>
      <c r="N412" s="62" t="s">
        <v>10</v>
      </c>
      <c r="O412" s="36">
        <v>2</v>
      </c>
      <c r="P412" s="33">
        <v>5</v>
      </c>
      <c r="Q412" s="36">
        <v>1</v>
      </c>
    </row>
    <row r="413" spans="1:17" x14ac:dyDescent="0.2">
      <c r="A413" s="3"/>
      <c r="B413" s="3"/>
      <c r="C413" s="50"/>
      <c r="D413" s="50"/>
      <c r="E413" s="50"/>
      <c r="M413" s="81">
        <v>98531</v>
      </c>
      <c r="N413" s="62" t="s">
        <v>345</v>
      </c>
      <c r="O413" s="36">
        <v>3</v>
      </c>
      <c r="P413" s="36">
        <v>7</v>
      </c>
      <c r="Q413" s="36">
        <v>3</v>
      </c>
    </row>
    <row r="414" spans="1:17" x14ac:dyDescent="0.2">
      <c r="A414" s="42"/>
      <c r="B414" s="3"/>
      <c r="C414" s="50"/>
      <c r="D414" s="50"/>
      <c r="E414" s="50"/>
      <c r="M414" s="56">
        <v>98531</v>
      </c>
      <c r="N414" s="62" t="s">
        <v>10</v>
      </c>
      <c r="O414" s="36">
        <v>44</v>
      </c>
      <c r="P414" s="36">
        <v>17</v>
      </c>
      <c r="Q414" s="36">
        <v>34</v>
      </c>
    </row>
    <row r="415" spans="1:17" x14ac:dyDescent="0.2">
      <c r="A415" s="42"/>
      <c r="B415" s="3"/>
      <c r="C415" s="3"/>
      <c r="D415" s="3"/>
      <c r="E415" s="3"/>
      <c r="M415" s="81">
        <v>98532</v>
      </c>
      <c r="N415" s="62" t="s">
        <v>345</v>
      </c>
      <c r="O415" s="36">
        <v>2</v>
      </c>
      <c r="P415" s="36">
        <v>4</v>
      </c>
      <c r="Q415" s="36">
        <v>1</v>
      </c>
    </row>
    <row r="416" spans="1:17" x14ac:dyDescent="0.2">
      <c r="A416" s="42"/>
      <c r="B416" s="3"/>
      <c r="C416" s="3"/>
      <c r="D416" s="3"/>
      <c r="E416" s="3"/>
      <c r="M416" s="56">
        <v>98532</v>
      </c>
      <c r="N416" s="62" t="s">
        <v>10</v>
      </c>
      <c r="O416" s="36">
        <v>4</v>
      </c>
      <c r="P416" s="36">
        <v>8</v>
      </c>
      <c r="Q416" s="36">
        <v>14</v>
      </c>
    </row>
    <row r="417" spans="1:17" x14ac:dyDescent="0.2">
      <c r="A417" s="42"/>
      <c r="B417" s="3"/>
      <c r="C417" s="3"/>
      <c r="D417" s="3"/>
      <c r="E417" s="3"/>
      <c r="M417" s="81">
        <v>98568</v>
      </c>
      <c r="N417" s="62" t="s">
        <v>10</v>
      </c>
      <c r="O417" s="33">
        <v>0</v>
      </c>
      <c r="P417" s="36">
        <v>1</v>
      </c>
      <c r="Q417" s="33">
        <v>0</v>
      </c>
    </row>
    <row r="418" spans="1:17" x14ac:dyDescent="0.2">
      <c r="A418" s="42"/>
      <c r="B418" s="3"/>
      <c r="C418" s="3"/>
      <c r="D418" s="3"/>
      <c r="E418" s="3"/>
      <c r="M418" s="56">
        <v>98576</v>
      </c>
      <c r="N418" s="62" t="s">
        <v>345</v>
      </c>
      <c r="O418" s="36">
        <v>3</v>
      </c>
      <c r="P418" s="36">
        <v>7</v>
      </c>
      <c r="Q418" s="33">
        <v>3</v>
      </c>
    </row>
    <row r="419" spans="1:17" x14ac:dyDescent="0.2">
      <c r="A419" s="42"/>
      <c r="B419" s="3"/>
      <c r="C419" s="3"/>
      <c r="D419" s="3"/>
      <c r="E419" s="3"/>
      <c r="M419" s="81">
        <v>98576</v>
      </c>
      <c r="N419" s="62" t="s">
        <v>10</v>
      </c>
      <c r="O419" s="36">
        <v>14</v>
      </c>
      <c r="P419" s="33">
        <v>23</v>
      </c>
      <c r="Q419" s="36">
        <v>30</v>
      </c>
    </row>
    <row r="420" spans="1:17" x14ac:dyDescent="0.2">
      <c r="A420" s="42"/>
      <c r="B420" s="3"/>
      <c r="C420" s="3"/>
      <c r="D420" s="3"/>
      <c r="E420" s="3"/>
      <c r="M420" s="56">
        <v>98579</v>
      </c>
      <c r="N420" s="62" t="s">
        <v>345</v>
      </c>
      <c r="O420" s="36">
        <v>4</v>
      </c>
      <c r="P420" s="36">
        <v>4</v>
      </c>
      <c r="Q420" s="36">
        <v>2</v>
      </c>
    </row>
    <row r="421" spans="1:17" x14ac:dyDescent="0.2">
      <c r="M421" s="81">
        <v>98579</v>
      </c>
      <c r="N421" s="62" t="s">
        <v>10</v>
      </c>
      <c r="O421" s="36">
        <v>35</v>
      </c>
      <c r="P421" s="36">
        <v>37</v>
      </c>
      <c r="Q421" s="36">
        <v>38</v>
      </c>
    </row>
    <row r="422" spans="1:17" x14ac:dyDescent="0.2">
      <c r="M422" s="56">
        <v>98580</v>
      </c>
      <c r="N422" s="62" t="s">
        <v>345</v>
      </c>
      <c r="O422" s="36">
        <v>7</v>
      </c>
      <c r="P422" s="36">
        <v>5</v>
      </c>
      <c r="Q422" s="36">
        <v>4</v>
      </c>
    </row>
    <row r="423" spans="1:17" x14ac:dyDescent="0.2">
      <c r="M423" s="81">
        <v>98580</v>
      </c>
      <c r="N423" s="62" t="s">
        <v>10</v>
      </c>
      <c r="O423" s="36">
        <v>15</v>
      </c>
      <c r="P423" s="36">
        <v>13</v>
      </c>
      <c r="Q423" s="36">
        <v>15</v>
      </c>
    </row>
    <row r="424" spans="1:17" x14ac:dyDescent="0.2">
      <c r="M424" s="56">
        <v>98589</v>
      </c>
      <c r="N424" s="62" t="s">
        <v>345</v>
      </c>
      <c r="O424" s="36">
        <v>3</v>
      </c>
      <c r="P424" s="36">
        <v>6</v>
      </c>
      <c r="Q424" s="36">
        <v>8</v>
      </c>
    </row>
    <row r="425" spans="1:17" x14ac:dyDescent="0.2">
      <c r="M425" s="81">
        <v>98589</v>
      </c>
      <c r="N425" s="62" t="s">
        <v>10</v>
      </c>
      <c r="O425" s="36">
        <v>28</v>
      </c>
      <c r="P425" s="36">
        <v>28</v>
      </c>
      <c r="Q425" s="36">
        <v>28</v>
      </c>
    </row>
    <row r="426" spans="1:17" x14ac:dyDescent="0.2">
      <c r="M426" s="56">
        <v>98591</v>
      </c>
      <c r="N426" s="62" t="s">
        <v>10</v>
      </c>
      <c r="O426" s="36">
        <v>1</v>
      </c>
      <c r="P426" s="36">
        <v>0</v>
      </c>
      <c r="Q426" s="36">
        <v>0</v>
      </c>
    </row>
    <row r="427" spans="1:17" x14ac:dyDescent="0.2">
      <c r="M427" s="81">
        <v>98596</v>
      </c>
      <c r="N427" s="62" t="s">
        <v>345</v>
      </c>
      <c r="O427" s="36">
        <v>1</v>
      </c>
      <c r="P427" s="33">
        <v>0</v>
      </c>
      <c r="Q427" s="33">
        <v>0</v>
      </c>
    </row>
    <row r="428" spans="1:17" x14ac:dyDescent="0.2">
      <c r="M428" s="81">
        <v>98596</v>
      </c>
      <c r="N428" s="62" t="s">
        <v>10</v>
      </c>
      <c r="O428" s="36">
        <v>3</v>
      </c>
      <c r="P428" s="36">
        <v>1</v>
      </c>
      <c r="Q428" s="36">
        <v>2</v>
      </c>
    </row>
    <row r="429" spans="1:17" x14ac:dyDescent="0.2">
      <c r="M429" s="81">
        <v>98597</v>
      </c>
      <c r="N429" s="62" t="s">
        <v>345</v>
      </c>
      <c r="O429" s="36">
        <v>10</v>
      </c>
      <c r="P429" s="36">
        <v>15</v>
      </c>
      <c r="Q429" s="36">
        <v>4</v>
      </c>
    </row>
    <row r="430" spans="1:17" x14ac:dyDescent="0.2">
      <c r="M430" s="56">
        <v>98597</v>
      </c>
      <c r="N430" s="62" t="s">
        <v>10</v>
      </c>
      <c r="O430" s="36">
        <v>101</v>
      </c>
      <c r="P430" s="36">
        <v>108</v>
      </c>
      <c r="Q430" s="36">
        <v>106</v>
      </c>
    </row>
    <row r="431" spans="1:17" x14ac:dyDescent="0.2">
      <c r="M431" s="81">
        <v>98922</v>
      </c>
      <c r="N431" s="62" t="s">
        <v>345</v>
      </c>
      <c r="O431" s="36">
        <v>15</v>
      </c>
      <c r="P431" s="36">
        <v>22</v>
      </c>
      <c r="Q431" s="36">
        <v>26</v>
      </c>
    </row>
    <row r="432" spans="1:17" x14ac:dyDescent="0.2">
      <c r="M432" s="56">
        <v>98922</v>
      </c>
      <c r="N432" s="62" t="s">
        <v>10</v>
      </c>
      <c r="O432" s="36">
        <v>55</v>
      </c>
      <c r="P432" s="36">
        <v>74</v>
      </c>
      <c r="Q432" s="36">
        <v>64</v>
      </c>
    </row>
    <row r="433" spans="13:17" x14ac:dyDescent="0.2">
      <c r="M433" s="81">
        <v>98925</v>
      </c>
      <c r="N433" s="62" t="s">
        <v>345</v>
      </c>
      <c r="O433" s="36">
        <v>1</v>
      </c>
      <c r="P433" s="36">
        <v>2</v>
      </c>
      <c r="Q433" s="36">
        <v>1</v>
      </c>
    </row>
    <row r="434" spans="13:17" x14ac:dyDescent="0.2">
      <c r="M434" s="56">
        <v>98925</v>
      </c>
      <c r="N434" s="62" t="s">
        <v>10</v>
      </c>
      <c r="O434" s="36">
        <v>0</v>
      </c>
      <c r="P434" s="36">
        <v>5</v>
      </c>
      <c r="Q434" s="36">
        <v>5</v>
      </c>
    </row>
    <row r="435" spans="13:17" x14ac:dyDescent="0.2">
      <c r="M435" s="81">
        <v>98926</v>
      </c>
      <c r="N435" s="62" t="s">
        <v>345</v>
      </c>
      <c r="O435" s="36">
        <v>5</v>
      </c>
      <c r="P435" s="36">
        <v>4</v>
      </c>
      <c r="Q435" s="36">
        <v>7</v>
      </c>
    </row>
    <row r="436" spans="13:17" x14ac:dyDescent="0.2">
      <c r="M436" s="56">
        <v>98926</v>
      </c>
      <c r="N436" s="62" t="s">
        <v>10</v>
      </c>
      <c r="O436" s="36">
        <v>24</v>
      </c>
      <c r="P436" s="36">
        <v>25</v>
      </c>
      <c r="Q436" s="36">
        <v>21</v>
      </c>
    </row>
    <row r="437" spans="13:17" x14ac:dyDescent="0.2">
      <c r="M437" s="81">
        <v>98934</v>
      </c>
      <c r="N437" s="62" t="s">
        <v>345</v>
      </c>
      <c r="O437" s="36">
        <v>2</v>
      </c>
      <c r="P437" s="36">
        <v>0</v>
      </c>
      <c r="Q437" s="36">
        <v>0</v>
      </c>
    </row>
    <row r="438" spans="13:17" x14ac:dyDescent="0.2">
      <c r="M438" s="81">
        <v>98934</v>
      </c>
      <c r="N438" s="62" t="s">
        <v>10</v>
      </c>
      <c r="O438" s="36">
        <v>7</v>
      </c>
      <c r="P438" s="36">
        <v>12</v>
      </c>
      <c r="Q438" s="33">
        <v>8</v>
      </c>
    </row>
    <row r="439" spans="13:17" x14ac:dyDescent="0.2">
      <c r="M439" s="56">
        <v>98940</v>
      </c>
      <c r="N439" s="62" t="s">
        <v>345</v>
      </c>
      <c r="O439" s="36">
        <v>3</v>
      </c>
      <c r="P439" s="36">
        <v>4</v>
      </c>
      <c r="Q439" s="36">
        <v>3</v>
      </c>
    </row>
    <row r="440" spans="13:17" x14ac:dyDescent="0.2">
      <c r="M440" s="81">
        <v>98940</v>
      </c>
      <c r="N440" s="62" t="s">
        <v>10</v>
      </c>
      <c r="O440" s="33">
        <v>8</v>
      </c>
      <c r="P440" s="36">
        <v>6</v>
      </c>
      <c r="Q440" s="36">
        <v>7</v>
      </c>
    </row>
    <row r="441" spans="13:17" x14ac:dyDescent="0.2">
      <c r="M441" s="56">
        <v>98941</v>
      </c>
      <c r="N441" s="62" t="s">
        <v>345</v>
      </c>
      <c r="O441" s="36">
        <v>2</v>
      </c>
      <c r="P441" s="36">
        <v>2</v>
      </c>
      <c r="Q441" s="36">
        <v>0</v>
      </c>
    </row>
    <row r="442" spans="13:17" x14ac:dyDescent="0.2">
      <c r="M442" s="81">
        <v>98941</v>
      </c>
      <c r="N442" s="62" t="s">
        <v>10</v>
      </c>
      <c r="O442" s="33">
        <v>6</v>
      </c>
      <c r="P442" s="33">
        <v>4</v>
      </c>
      <c r="Q442" s="36">
        <v>7</v>
      </c>
    </row>
    <row r="443" spans="13:17" x14ac:dyDescent="0.2">
      <c r="M443" s="56">
        <v>98943</v>
      </c>
      <c r="N443" s="62" t="s">
        <v>345</v>
      </c>
      <c r="O443" s="36">
        <v>0</v>
      </c>
      <c r="P443" s="36">
        <v>1</v>
      </c>
      <c r="Q443" s="36">
        <v>0</v>
      </c>
    </row>
    <row r="444" spans="13:17" x14ac:dyDescent="0.2">
      <c r="M444" s="81">
        <v>98943</v>
      </c>
      <c r="N444" s="62" t="s">
        <v>10</v>
      </c>
      <c r="O444" s="36">
        <v>1</v>
      </c>
      <c r="P444" s="36">
        <v>3</v>
      </c>
      <c r="Q444" s="33">
        <v>4</v>
      </c>
    </row>
    <row r="445" spans="13:17" x14ac:dyDescent="0.2">
      <c r="M445" s="81">
        <v>98946</v>
      </c>
      <c r="N445" s="62" t="s">
        <v>345</v>
      </c>
      <c r="O445" s="36">
        <v>0</v>
      </c>
      <c r="P445" s="36">
        <v>2</v>
      </c>
      <c r="Q445" s="36">
        <v>2</v>
      </c>
    </row>
    <row r="446" spans="13:17" x14ac:dyDescent="0.2">
      <c r="M446" s="56">
        <v>98946</v>
      </c>
      <c r="N446" s="62" t="s">
        <v>10</v>
      </c>
      <c r="O446" s="36">
        <v>3</v>
      </c>
      <c r="P446" s="36">
        <v>0</v>
      </c>
      <c r="Q446" s="36">
        <v>0</v>
      </c>
    </row>
    <row r="447" spans="13:17" x14ac:dyDescent="0.2">
      <c r="M447" s="66"/>
      <c r="N447" s="54" t="s">
        <v>345</v>
      </c>
      <c r="O447" s="55">
        <v>114</v>
      </c>
      <c r="P447" s="55">
        <v>109</v>
      </c>
      <c r="Q447" s="55">
        <v>80</v>
      </c>
    </row>
    <row r="448" spans="13:17" ht="16" thickBot="1" x14ac:dyDescent="0.25">
      <c r="M448" s="102"/>
      <c r="N448" s="48" t="s">
        <v>10</v>
      </c>
      <c r="O448" s="78">
        <v>1129</v>
      </c>
      <c r="P448" s="78">
        <v>1247</v>
      </c>
      <c r="Q448" s="78">
        <v>1315</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zoomScale="125" workbookViewId="0">
      <selection activeCell="C214" sqref="C214:E214"/>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40" t="s">
        <v>0</v>
      </c>
      <c r="B1" s="141"/>
      <c r="C1" s="141"/>
      <c r="D1" s="141"/>
      <c r="E1" s="141"/>
      <c r="F1" s="141"/>
      <c r="G1" s="141"/>
      <c r="H1" s="141"/>
      <c r="I1" s="141"/>
      <c r="J1" s="141"/>
      <c r="K1" s="141"/>
      <c r="L1" s="142"/>
    </row>
    <row r="2" spans="1:12" x14ac:dyDescent="0.2">
      <c r="A2" s="20">
        <v>1</v>
      </c>
      <c r="B2" s="21" t="s">
        <v>2</v>
      </c>
    </row>
    <row r="3" spans="1:12" x14ac:dyDescent="0.2">
      <c r="A3" s="22">
        <v>2</v>
      </c>
      <c r="B3" s="23" t="s">
        <v>23</v>
      </c>
    </row>
    <row r="4" spans="1:12" x14ac:dyDescent="0.2">
      <c r="A4" s="24">
        <v>3</v>
      </c>
      <c r="B4" s="25" t="s">
        <v>91</v>
      </c>
    </row>
    <row r="5" spans="1:12" x14ac:dyDescent="0.2">
      <c r="A5" s="26">
        <v>4</v>
      </c>
      <c r="B5" s="6" t="s">
        <v>5</v>
      </c>
    </row>
    <row r="6" spans="1:12" x14ac:dyDescent="0.2">
      <c r="A6" s="26">
        <v>5</v>
      </c>
      <c r="B6" s="6" t="s">
        <v>82</v>
      </c>
    </row>
    <row r="7" spans="1:12" ht="16" thickBot="1" x14ac:dyDescent="0.25"/>
    <row r="8" spans="1:12" ht="30" customHeight="1" thickBot="1" x14ac:dyDescent="0.25">
      <c r="A8" s="167" t="s">
        <v>88</v>
      </c>
      <c r="B8" s="168"/>
      <c r="C8" s="143" t="s">
        <v>24</v>
      </c>
      <c r="D8" s="144"/>
      <c r="E8" s="145"/>
    </row>
    <row r="9" spans="1:12" ht="16" thickBot="1" x14ac:dyDescent="0.25">
      <c r="A9" s="7" t="s">
        <v>8</v>
      </c>
      <c r="B9" s="7" t="s">
        <v>9</v>
      </c>
      <c r="C9" s="76">
        <v>44743</v>
      </c>
      <c r="D9" s="76">
        <v>44774</v>
      </c>
      <c r="E9" s="76">
        <v>44805</v>
      </c>
    </row>
    <row r="10" spans="1:12" x14ac:dyDescent="0.2">
      <c r="A10" s="63">
        <v>98001</v>
      </c>
      <c r="B10" s="13" t="s">
        <v>10</v>
      </c>
      <c r="C10" s="14">
        <v>38</v>
      </c>
      <c r="D10" s="14">
        <v>44</v>
      </c>
      <c r="E10" s="69">
        <v>38</v>
      </c>
    </row>
    <row r="11" spans="1:12" x14ac:dyDescent="0.2">
      <c r="A11" s="62">
        <v>98002</v>
      </c>
      <c r="B11" s="15" t="s">
        <v>10</v>
      </c>
      <c r="C11" s="16">
        <v>99</v>
      </c>
      <c r="D11" s="16">
        <v>116</v>
      </c>
      <c r="E11" s="70">
        <v>106</v>
      </c>
    </row>
    <row r="12" spans="1:12" x14ac:dyDescent="0.2">
      <c r="A12" s="62">
        <v>98003</v>
      </c>
      <c r="B12" s="15" t="s">
        <v>10</v>
      </c>
      <c r="C12" s="16">
        <v>144</v>
      </c>
      <c r="D12" s="16">
        <v>158</v>
      </c>
      <c r="E12" s="70">
        <v>135</v>
      </c>
    </row>
    <row r="13" spans="1:12" x14ac:dyDescent="0.2">
      <c r="A13" s="62">
        <v>98004</v>
      </c>
      <c r="B13" s="15" t="s">
        <v>10</v>
      </c>
      <c r="C13" s="16">
        <v>10</v>
      </c>
      <c r="D13" s="16">
        <v>21</v>
      </c>
      <c r="E13" s="70">
        <v>18</v>
      </c>
    </row>
    <row r="14" spans="1:12" x14ac:dyDescent="0.2">
      <c r="A14" s="62">
        <v>98005</v>
      </c>
      <c r="B14" s="15" t="s">
        <v>10</v>
      </c>
      <c r="C14" s="16">
        <v>9</v>
      </c>
      <c r="D14" s="16">
        <v>15</v>
      </c>
      <c r="E14" s="70">
        <v>17</v>
      </c>
    </row>
    <row r="15" spans="1:12" x14ac:dyDescent="0.2">
      <c r="A15" s="62">
        <v>98006</v>
      </c>
      <c r="B15" s="15" t="s">
        <v>10</v>
      </c>
      <c r="C15" s="16">
        <v>14</v>
      </c>
      <c r="D15" s="16">
        <v>22</v>
      </c>
      <c r="E15" s="70">
        <v>17</v>
      </c>
    </row>
    <row r="16" spans="1:12" x14ac:dyDescent="0.2">
      <c r="A16" s="62">
        <v>98007</v>
      </c>
      <c r="B16" s="15" t="s">
        <v>10</v>
      </c>
      <c r="C16" s="16">
        <v>55</v>
      </c>
      <c r="D16" s="16">
        <v>61</v>
      </c>
      <c r="E16" s="70">
        <v>48</v>
      </c>
    </row>
    <row r="17" spans="1:5" x14ac:dyDescent="0.2">
      <c r="A17" s="62">
        <v>98008</v>
      </c>
      <c r="B17" s="15" t="s">
        <v>10</v>
      </c>
      <c r="C17" s="16">
        <v>12</v>
      </c>
      <c r="D17" s="16">
        <v>26</v>
      </c>
      <c r="E17" s="70">
        <v>27</v>
      </c>
    </row>
    <row r="18" spans="1:5" x14ac:dyDescent="0.2">
      <c r="A18" s="62">
        <v>98010</v>
      </c>
      <c r="B18" s="15" t="s">
        <v>10</v>
      </c>
      <c r="C18" s="16">
        <v>2</v>
      </c>
      <c r="D18" s="16">
        <v>5</v>
      </c>
      <c r="E18" s="70">
        <v>4</v>
      </c>
    </row>
    <row r="19" spans="1:5" x14ac:dyDescent="0.2">
      <c r="A19" s="62">
        <v>98011</v>
      </c>
      <c r="B19" s="15" t="s">
        <v>10</v>
      </c>
      <c r="C19" s="16">
        <v>30</v>
      </c>
      <c r="D19" s="16">
        <v>25</v>
      </c>
      <c r="E19" s="70">
        <v>20</v>
      </c>
    </row>
    <row r="20" spans="1:5" x14ac:dyDescent="0.2">
      <c r="A20" s="62">
        <v>98012</v>
      </c>
      <c r="B20" s="15" t="s">
        <v>10</v>
      </c>
      <c r="C20" s="16">
        <v>6</v>
      </c>
      <c r="D20" s="16">
        <v>2</v>
      </c>
      <c r="E20" s="70"/>
    </row>
    <row r="21" spans="1:5" x14ac:dyDescent="0.2">
      <c r="A21" s="62">
        <v>98014</v>
      </c>
      <c r="B21" s="15" t="s">
        <v>10</v>
      </c>
      <c r="C21" s="16">
        <v>1</v>
      </c>
      <c r="D21" s="16">
        <v>7</v>
      </c>
      <c r="E21" s="70">
        <v>3</v>
      </c>
    </row>
    <row r="22" spans="1:5" x14ac:dyDescent="0.2">
      <c r="A22" s="62">
        <v>98019</v>
      </c>
      <c r="B22" s="15" t="s">
        <v>10</v>
      </c>
      <c r="C22" s="16">
        <v>2</v>
      </c>
      <c r="D22" s="16">
        <v>5</v>
      </c>
      <c r="E22" s="70">
        <v>8</v>
      </c>
    </row>
    <row r="23" spans="1:5" x14ac:dyDescent="0.2">
      <c r="A23" s="62">
        <v>98020</v>
      </c>
      <c r="B23" s="15" t="s">
        <v>10</v>
      </c>
      <c r="C23" s="16">
        <v>1</v>
      </c>
      <c r="D23" s="16"/>
      <c r="E23" s="70"/>
    </row>
    <row r="24" spans="1:5" x14ac:dyDescent="0.2">
      <c r="A24" s="62">
        <v>98021</v>
      </c>
      <c r="B24" s="15" t="s">
        <v>10</v>
      </c>
      <c r="C24" s="16">
        <v>2</v>
      </c>
      <c r="D24" s="16">
        <v>2</v>
      </c>
      <c r="E24" s="70">
        <v>5</v>
      </c>
    </row>
    <row r="25" spans="1:5" x14ac:dyDescent="0.2">
      <c r="A25" s="62">
        <v>98022</v>
      </c>
      <c r="B25" s="15" t="s">
        <v>10</v>
      </c>
      <c r="C25" s="16">
        <v>28</v>
      </c>
      <c r="D25" s="16">
        <v>34</v>
      </c>
      <c r="E25" s="70">
        <v>27</v>
      </c>
    </row>
    <row r="26" spans="1:5" x14ac:dyDescent="0.2">
      <c r="A26" s="62">
        <v>98023</v>
      </c>
      <c r="B26" s="15" t="s">
        <v>10</v>
      </c>
      <c r="C26" s="16">
        <v>73</v>
      </c>
      <c r="D26" s="16">
        <v>89</v>
      </c>
      <c r="E26" s="70">
        <v>64</v>
      </c>
    </row>
    <row r="27" spans="1:5" x14ac:dyDescent="0.2">
      <c r="A27" s="62">
        <v>98024</v>
      </c>
      <c r="B27" s="15" t="s">
        <v>10</v>
      </c>
      <c r="C27" s="16">
        <v>1</v>
      </c>
      <c r="D27" s="16">
        <v>2</v>
      </c>
      <c r="E27" s="70">
        <v>2</v>
      </c>
    </row>
    <row r="28" spans="1:5" x14ac:dyDescent="0.2">
      <c r="A28" s="62">
        <v>98026</v>
      </c>
      <c r="B28" s="15" t="s">
        <v>10</v>
      </c>
      <c r="C28" s="16"/>
      <c r="D28" s="16">
        <v>1</v>
      </c>
      <c r="E28" s="70">
        <v>4</v>
      </c>
    </row>
    <row r="29" spans="1:5" x14ac:dyDescent="0.2">
      <c r="A29" s="62">
        <v>98027</v>
      </c>
      <c r="B29" s="15" t="s">
        <v>10</v>
      </c>
      <c r="C29" s="16">
        <v>18</v>
      </c>
      <c r="D29" s="16">
        <v>29</v>
      </c>
      <c r="E29" s="70">
        <v>15</v>
      </c>
    </row>
    <row r="30" spans="1:5" x14ac:dyDescent="0.2">
      <c r="A30" s="62">
        <v>98028</v>
      </c>
      <c r="B30" s="15" t="s">
        <v>10</v>
      </c>
      <c r="C30" s="16">
        <v>11</v>
      </c>
      <c r="D30" s="16">
        <v>16</v>
      </c>
      <c r="E30" s="70">
        <v>12</v>
      </c>
    </row>
    <row r="31" spans="1:5" x14ac:dyDescent="0.2">
      <c r="A31" s="62">
        <v>98029</v>
      </c>
      <c r="B31" s="15" t="s">
        <v>10</v>
      </c>
      <c r="C31" s="16">
        <v>25</v>
      </c>
      <c r="D31" s="16">
        <v>27</v>
      </c>
      <c r="E31" s="70">
        <v>22</v>
      </c>
    </row>
    <row r="32" spans="1:5" x14ac:dyDescent="0.2">
      <c r="A32" s="62">
        <v>98030</v>
      </c>
      <c r="B32" s="15" t="s">
        <v>10</v>
      </c>
      <c r="C32" s="16">
        <v>85</v>
      </c>
      <c r="D32" s="16">
        <v>85</v>
      </c>
      <c r="E32" s="70">
        <v>73</v>
      </c>
    </row>
    <row r="33" spans="1:5" x14ac:dyDescent="0.2">
      <c r="A33" s="62">
        <v>98031</v>
      </c>
      <c r="B33" s="15" t="s">
        <v>10</v>
      </c>
      <c r="C33" s="16">
        <v>69</v>
      </c>
      <c r="D33" s="16">
        <v>78</v>
      </c>
      <c r="E33" s="70">
        <v>60</v>
      </c>
    </row>
    <row r="34" spans="1:5" x14ac:dyDescent="0.2">
      <c r="A34" s="62">
        <v>98032</v>
      </c>
      <c r="B34" s="15" t="s">
        <v>10</v>
      </c>
      <c r="C34" s="16">
        <v>85</v>
      </c>
      <c r="D34" s="16">
        <v>97</v>
      </c>
      <c r="E34" s="70">
        <v>85</v>
      </c>
    </row>
    <row r="35" spans="1:5" x14ac:dyDescent="0.2">
      <c r="A35" s="62">
        <v>98033</v>
      </c>
      <c r="B35" s="15" t="s">
        <v>10</v>
      </c>
      <c r="C35" s="16">
        <v>23</v>
      </c>
      <c r="D35" s="16">
        <v>19</v>
      </c>
      <c r="E35" s="70">
        <v>16</v>
      </c>
    </row>
    <row r="36" spans="1:5" x14ac:dyDescent="0.2">
      <c r="A36" s="62">
        <v>98034</v>
      </c>
      <c r="B36" s="15" t="s">
        <v>10</v>
      </c>
      <c r="C36" s="16">
        <v>32</v>
      </c>
      <c r="D36" s="16">
        <v>57</v>
      </c>
      <c r="E36" s="70">
        <v>32</v>
      </c>
    </row>
    <row r="37" spans="1:5" x14ac:dyDescent="0.2">
      <c r="A37" s="62">
        <v>98036</v>
      </c>
      <c r="B37" s="15" t="s">
        <v>10</v>
      </c>
      <c r="C37" s="16">
        <v>6</v>
      </c>
      <c r="D37" s="16">
        <v>2</v>
      </c>
      <c r="E37" s="70"/>
    </row>
    <row r="38" spans="1:5" x14ac:dyDescent="0.2">
      <c r="A38" s="62">
        <v>98037</v>
      </c>
      <c r="B38" s="15" t="s">
        <v>10</v>
      </c>
      <c r="C38" s="16">
        <v>6</v>
      </c>
      <c r="D38" s="16">
        <v>1</v>
      </c>
      <c r="E38" s="70"/>
    </row>
    <row r="39" spans="1:5" x14ac:dyDescent="0.2">
      <c r="A39" s="62">
        <v>98038</v>
      </c>
      <c r="B39" s="15" t="s">
        <v>10</v>
      </c>
      <c r="C39" s="16">
        <v>10</v>
      </c>
      <c r="D39" s="16">
        <v>19</v>
      </c>
      <c r="E39" s="70">
        <v>17</v>
      </c>
    </row>
    <row r="40" spans="1:5" x14ac:dyDescent="0.2">
      <c r="A40" s="62">
        <v>98039</v>
      </c>
      <c r="B40" s="15" t="s">
        <v>10</v>
      </c>
      <c r="C40" s="16"/>
      <c r="D40" s="16"/>
      <c r="E40" s="70">
        <v>1</v>
      </c>
    </row>
    <row r="41" spans="1:5" x14ac:dyDescent="0.2">
      <c r="A41" s="62">
        <v>98040</v>
      </c>
      <c r="B41" s="15" t="s">
        <v>10</v>
      </c>
      <c r="C41" s="16">
        <v>2</v>
      </c>
      <c r="D41" s="16">
        <v>9</v>
      </c>
      <c r="E41" s="70">
        <v>3</v>
      </c>
    </row>
    <row r="42" spans="1:5" x14ac:dyDescent="0.2">
      <c r="A42" s="62">
        <v>98042</v>
      </c>
      <c r="B42" s="15" t="s">
        <v>10</v>
      </c>
      <c r="C42" s="16">
        <v>30</v>
      </c>
      <c r="D42" s="16">
        <v>40</v>
      </c>
      <c r="E42" s="70">
        <v>39</v>
      </c>
    </row>
    <row r="43" spans="1:5" x14ac:dyDescent="0.2">
      <c r="A43" s="62">
        <v>98043</v>
      </c>
      <c r="B43" s="15" t="s">
        <v>10</v>
      </c>
      <c r="C43" s="16">
        <v>7</v>
      </c>
      <c r="D43" s="16">
        <v>2</v>
      </c>
      <c r="E43" s="70">
        <v>1</v>
      </c>
    </row>
    <row r="44" spans="1:5" x14ac:dyDescent="0.2">
      <c r="A44" s="62">
        <v>98045</v>
      </c>
      <c r="B44" s="15" t="s">
        <v>10</v>
      </c>
      <c r="C44" s="16">
        <v>11</v>
      </c>
      <c r="D44" s="16">
        <v>11</v>
      </c>
      <c r="E44" s="70">
        <v>10</v>
      </c>
    </row>
    <row r="45" spans="1:5" x14ac:dyDescent="0.2">
      <c r="A45" s="62">
        <v>98047</v>
      </c>
      <c r="B45" s="15" t="s">
        <v>10</v>
      </c>
      <c r="C45" s="16">
        <v>8</v>
      </c>
      <c r="D45" s="16">
        <v>13</v>
      </c>
      <c r="E45" s="70">
        <v>12</v>
      </c>
    </row>
    <row r="46" spans="1:5" x14ac:dyDescent="0.2">
      <c r="A46" s="62">
        <v>98051</v>
      </c>
      <c r="B46" s="15" t="s">
        <v>10</v>
      </c>
      <c r="C46" s="16">
        <v>1</v>
      </c>
      <c r="D46" s="16">
        <v>2</v>
      </c>
      <c r="E46" s="70">
        <v>1</v>
      </c>
    </row>
    <row r="47" spans="1:5" x14ac:dyDescent="0.2">
      <c r="A47" s="62">
        <v>98052</v>
      </c>
      <c r="B47" s="15" t="s">
        <v>10</v>
      </c>
      <c r="C47" s="16">
        <v>30</v>
      </c>
      <c r="D47" s="16">
        <v>51</v>
      </c>
      <c r="E47" s="70">
        <v>37</v>
      </c>
    </row>
    <row r="48" spans="1:5" x14ac:dyDescent="0.2">
      <c r="A48" s="62">
        <v>98053</v>
      </c>
      <c r="B48" s="15" t="s">
        <v>10</v>
      </c>
      <c r="C48" s="16">
        <v>6</v>
      </c>
      <c r="D48" s="16">
        <v>9</v>
      </c>
      <c r="E48" s="70">
        <v>8</v>
      </c>
    </row>
    <row r="49" spans="1:5" x14ac:dyDescent="0.2">
      <c r="A49" s="62">
        <v>98055</v>
      </c>
      <c r="B49" s="15" t="s">
        <v>10</v>
      </c>
      <c r="C49" s="16">
        <v>26</v>
      </c>
      <c r="D49" s="16">
        <v>28</v>
      </c>
      <c r="E49" s="70">
        <v>17</v>
      </c>
    </row>
    <row r="50" spans="1:5" x14ac:dyDescent="0.2">
      <c r="A50" s="62">
        <v>98056</v>
      </c>
      <c r="B50" s="15" t="s">
        <v>10</v>
      </c>
      <c r="C50" s="16">
        <v>27</v>
      </c>
      <c r="D50" s="16">
        <v>35</v>
      </c>
      <c r="E50" s="70">
        <v>20</v>
      </c>
    </row>
    <row r="51" spans="1:5" x14ac:dyDescent="0.2">
      <c r="A51" s="62">
        <v>98057</v>
      </c>
      <c r="B51" s="15" t="s">
        <v>10</v>
      </c>
      <c r="C51" s="16">
        <v>12</v>
      </c>
      <c r="D51" s="16">
        <v>13</v>
      </c>
      <c r="E51" s="70">
        <v>11</v>
      </c>
    </row>
    <row r="52" spans="1:5" x14ac:dyDescent="0.2">
      <c r="A52" s="62">
        <v>98058</v>
      </c>
      <c r="B52" s="15" t="s">
        <v>10</v>
      </c>
      <c r="C52" s="16">
        <v>39</v>
      </c>
      <c r="D52" s="16">
        <v>42</v>
      </c>
      <c r="E52" s="70">
        <v>35</v>
      </c>
    </row>
    <row r="53" spans="1:5" x14ac:dyDescent="0.2">
      <c r="A53" s="62">
        <v>98059</v>
      </c>
      <c r="B53" s="15" t="s">
        <v>10</v>
      </c>
      <c r="C53" s="16">
        <v>16</v>
      </c>
      <c r="D53" s="16">
        <v>20</v>
      </c>
      <c r="E53" s="70">
        <v>8</v>
      </c>
    </row>
    <row r="54" spans="1:5" x14ac:dyDescent="0.2">
      <c r="A54" s="62">
        <v>98065</v>
      </c>
      <c r="B54" s="15" t="s">
        <v>10</v>
      </c>
      <c r="C54" s="16">
        <v>10</v>
      </c>
      <c r="D54" s="16">
        <v>8</v>
      </c>
      <c r="E54" s="70">
        <v>5</v>
      </c>
    </row>
    <row r="55" spans="1:5" x14ac:dyDescent="0.2">
      <c r="A55" s="62">
        <v>98070</v>
      </c>
      <c r="B55" s="15" t="s">
        <v>10</v>
      </c>
      <c r="C55" s="16"/>
      <c r="D55" s="16">
        <v>6</v>
      </c>
      <c r="E55" s="70">
        <v>11</v>
      </c>
    </row>
    <row r="56" spans="1:5" x14ac:dyDescent="0.2">
      <c r="A56" s="62">
        <v>98072</v>
      </c>
      <c r="B56" s="15" t="s">
        <v>10</v>
      </c>
      <c r="C56" s="16">
        <v>9</v>
      </c>
      <c r="D56" s="16">
        <v>13</v>
      </c>
      <c r="E56" s="70">
        <v>11</v>
      </c>
    </row>
    <row r="57" spans="1:5" x14ac:dyDescent="0.2">
      <c r="A57" s="62">
        <v>98074</v>
      </c>
      <c r="B57" s="15" t="s">
        <v>10</v>
      </c>
      <c r="C57" s="16">
        <v>3</v>
      </c>
      <c r="D57" s="16">
        <v>4</v>
      </c>
      <c r="E57" s="70">
        <v>3</v>
      </c>
    </row>
    <row r="58" spans="1:5" x14ac:dyDescent="0.2">
      <c r="A58" s="62">
        <v>98075</v>
      </c>
      <c r="B58" s="15" t="s">
        <v>10</v>
      </c>
      <c r="C58" s="16">
        <v>4</v>
      </c>
      <c r="D58" s="16">
        <v>4</v>
      </c>
      <c r="E58" s="70">
        <v>2</v>
      </c>
    </row>
    <row r="59" spans="1:5" x14ac:dyDescent="0.2">
      <c r="A59" s="62">
        <v>98077</v>
      </c>
      <c r="B59" s="15" t="s">
        <v>10</v>
      </c>
      <c r="C59" s="16">
        <v>1</v>
      </c>
      <c r="D59" s="16">
        <v>2</v>
      </c>
      <c r="E59" s="70"/>
    </row>
    <row r="60" spans="1:5" x14ac:dyDescent="0.2">
      <c r="A60" s="62">
        <v>98087</v>
      </c>
      <c r="B60" s="15" t="s">
        <v>10</v>
      </c>
      <c r="C60" s="16">
        <v>3</v>
      </c>
      <c r="D60" s="16">
        <v>6</v>
      </c>
      <c r="E60" s="70">
        <v>1</v>
      </c>
    </row>
    <row r="61" spans="1:5" x14ac:dyDescent="0.2">
      <c r="A61" s="62">
        <v>98092</v>
      </c>
      <c r="B61" s="15" t="s">
        <v>10</v>
      </c>
      <c r="C61" s="16">
        <v>122</v>
      </c>
      <c r="D61" s="16">
        <v>128</v>
      </c>
      <c r="E61" s="70">
        <v>100</v>
      </c>
    </row>
    <row r="62" spans="1:5" x14ac:dyDescent="0.2">
      <c r="A62" s="62">
        <v>98101</v>
      </c>
      <c r="B62" s="15" t="s">
        <v>10</v>
      </c>
      <c r="C62" s="16"/>
      <c r="D62" s="16">
        <v>1</v>
      </c>
      <c r="E62" s="70">
        <v>1</v>
      </c>
    </row>
    <row r="63" spans="1:5" x14ac:dyDescent="0.2">
      <c r="A63" s="62">
        <v>98102</v>
      </c>
      <c r="B63" s="15" t="s">
        <v>10</v>
      </c>
      <c r="C63" s="16">
        <v>3</v>
      </c>
      <c r="D63" s="16">
        <v>1</v>
      </c>
      <c r="E63" s="70">
        <v>1</v>
      </c>
    </row>
    <row r="64" spans="1:5" x14ac:dyDescent="0.2">
      <c r="A64" s="62">
        <v>98103</v>
      </c>
      <c r="B64" s="15" t="s">
        <v>10</v>
      </c>
      <c r="C64" s="16">
        <v>1</v>
      </c>
      <c r="D64" s="16">
        <v>5</v>
      </c>
      <c r="E64" s="70">
        <v>2</v>
      </c>
    </row>
    <row r="65" spans="1:5" x14ac:dyDescent="0.2">
      <c r="A65" s="62">
        <v>98105</v>
      </c>
      <c r="B65" s="15" t="s">
        <v>10</v>
      </c>
      <c r="C65" s="16">
        <v>1</v>
      </c>
      <c r="D65" s="16">
        <v>1</v>
      </c>
      <c r="E65" s="70"/>
    </row>
    <row r="66" spans="1:5" x14ac:dyDescent="0.2">
      <c r="A66" s="62">
        <v>98106</v>
      </c>
      <c r="B66" s="15" t="s">
        <v>10</v>
      </c>
      <c r="C66" s="16">
        <v>4</v>
      </c>
      <c r="D66" s="16">
        <v>6</v>
      </c>
      <c r="E66" s="70">
        <v>4</v>
      </c>
    </row>
    <row r="67" spans="1:5" x14ac:dyDescent="0.2">
      <c r="A67" s="62">
        <v>98107</v>
      </c>
      <c r="B67" s="15" t="s">
        <v>10</v>
      </c>
      <c r="C67" s="16">
        <v>1</v>
      </c>
      <c r="D67" s="16">
        <v>2</v>
      </c>
      <c r="E67" s="70">
        <v>1</v>
      </c>
    </row>
    <row r="68" spans="1:5" x14ac:dyDescent="0.2">
      <c r="A68" s="62">
        <v>98108</v>
      </c>
      <c r="B68" s="15" t="s">
        <v>10</v>
      </c>
      <c r="C68" s="16">
        <v>10</v>
      </c>
      <c r="D68" s="16">
        <v>18</v>
      </c>
      <c r="E68" s="70">
        <v>8</v>
      </c>
    </row>
    <row r="69" spans="1:5" x14ac:dyDescent="0.2">
      <c r="A69" s="62">
        <v>98110</v>
      </c>
      <c r="B69" s="15" t="s">
        <v>10</v>
      </c>
      <c r="C69" s="16">
        <v>3</v>
      </c>
      <c r="D69" s="16">
        <v>13</v>
      </c>
      <c r="E69" s="70">
        <v>18</v>
      </c>
    </row>
    <row r="70" spans="1:5" x14ac:dyDescent="0.2">
      <c r="A70" s="62">
        <v>98112</v>
      </c>
      <c r="B70" s="15" t="s">
        <v>10</v>
      </c>
      <c r="C70" s="16">
        <v>1</v>
      </c>
      <c r="D70" s="16">
        <v>4</v>
      </c>
      <c r="E70" s="70">
        <v>2</v>
      </c>
    </row>
    <row r="71" spans="1:5" x14ac:dyDescent="0.2">
      <c r="A71" s="62">
        <v>98116</v>
      </c>
      <c r="B71" s="15" t="s">
        <v>10</v>
      </c>
      <c r="C71" s="16">
        <v>2</v>
      </c>
      <c r="D71" s="16">
        <v>3</v>
      </c>
      <c r="E71" s="70">
        <v>1</v>
      </c>
    </row>
    <row r="72" spans="1:5" x14ac:dyDescent="0.2">
      <c r="A72" s="62">
        <v>98117</v>
      </c>
      <c r="B72" s="15" t="s">
        <v>10</v>
      </c>
      <c r="C72" s="16">
        <v>1</v>
      </c>
      <c r="D72" s="16">
        <v>3</v>
      </c>
      <c r="E72" s="70">
        <v>1</v>
      </c>
    </row>
    <row r="73" spans="1:5" x14ac:dyDescent="0.2">
      <c r="A73" s="62">
        <v>98118</v>
      </c>
      <c r="B73" s="15" t="s">
        <v>10</v>
      </c>
      <c r="C73" s="16">
        <v>13</v>
      </c>
      <c r="D73" s="16">
        <v>20</v>
      </c>
      <c r="E73" s="70">
        <v>11</v>
      </c>
    </row>
    <row r="74" spans="1:5" x14ac:dyDescent="0.2">
      <c r="A74" s="62">
        <v>98119</v>
      </c>
      <c r="B74" s="15" t="s">
        <v>10</v>
      </c>
      <c r="C74" s="16">
        <v>1</v>
      </c>
      <c r="D74" s="16">
        <v>1</v>
      </c>
      <c r="E74" s="70"/>
    </row>
    <row r="75" spans="1:5" x14ac:dyDescent="0.2">
      <c r="A75" s="62">
        <v>98121</v>
      </c>
      <c r="B75" s="15" t="s">
        <v>10</v>
      </c>
      <c r="C75" s="16">
        <v>2</v>
      </c>
      <c r="D75" s="16"/>
      <c r="E75" s="70"/>
    </row>
    <row r="76" spans="1:5" x14ac:dyDescent="0.2">
      <c r="A76" s="62">
        <v>98122</v>
      </c>
      <c r="B76" s="15" t="s">
        <v>10</v>
      </c>
      <c r="C76" s="16">
        <v>1</v>
      </c>
      <c r="D76" s="16">
        <v>8</v>
      </c>
      <c r="E76" s="70">
        <v>3</v>
      </c>
    </row>
    <row r="77" spans="1:5" x14ac:dyDescent="0.2">
      <c r="A77" s="62">
        <v>98125</v>
      </c>
      <c r="B77" s="15" t="s">
        <v>10</v>
      </c>
      <c r="C77" s="16">
        <v>5</v>
      </c>
      <c r="D77" s="16">
        <v>6</v>
      </c>
      <c r="E77" s="70">
        <v>1</v>
      </c>
    </row>
    <row r="78" spans="1:5" x14ac:dyDescent="0.2">
      <c r="A78" s="62">
        <v>98126</v>
      </c>
      <c r="B78" s="15" t="s">
        <v>10</v>
      </c>
      <c r="C78" s="16">
        <v>7</v>
      </c>
      <c r="D78" s="16">
        <v>18</v>
      </c>
      <c r="E78" s="70">
        <v>2</v>
      </c>
    </row>
    <row r="79" spans="1:5" x14ac:dyDescent="0.2">
      <c r="A79" s="62">
        <v>98133</v>
      </c>
      <c r="B79" s="15" t="s">
        <v>10</v>
      </c>
      <c r="C79" s="16">
        <v>8</v>
      </c>
      <c r="D79" s="16">
        <v>10</v>
      </c>
      <c r="E79" s="70">
        <v>5</v>
      </c>
    </row>
    <row r="80" spans="1:5" x14ac:dyDescent="0.2">
      <c r="A80" s="62">
        <v>98144</v>
      </c>
      <c r="B80" s="15" t="s">
        <v>10</v>
      </c>
      <c r="C80" s="16">
        <v>4</v>
      </c>
      <c r="D80" s="16">
        <v>6</v>
      </c>
      <c r="E80" s="70">
        <v>3</v>
      </c>
    </row>
    <row r="81" spans="1:5" x14ac:dyDescent="0.2">
      <c r="A81" s="62">
        <v>98146</v>
      </c>
      <c r="B81" s="15" t="s">
        <v>10</v>
      </c>
      <c r="C81" s="16">
        <v>2</v>
      </c>
      <c r="D81" s="16">
        <v>4</v>
      </c>
      <c r="E81" s="70">
        <v>11</v>
      </c>
    </row>
    <row r="82" spans="1:5" x14ac:dyDescent="0.2">
      <c r="A82" s="62">
        <v>98148</v>
      </c>
      <c r="B82" s="15" t="s">
        <v>10</v>
      </c>
      <c r="C82" s="16">
        <v>8</v>
      </c>
      <c r="D82" s="16">
        <v>8</v>
      </c>
      <c r="E82" s="70">
        <v>6</v>
      </c>
    </row>
    <row r="83" spans="1:5" x14ac:dyDescent="0.2">
      <c r="A83" s="62">
        <v>98155</v>
      </c>
      <c r="B83" s="15" t="s">
        <v>10</v>
      </c>
      <c r="C83" s="16">
        <v>7</v>
      </c>
      <c r="D83" s="16">
        <v>6</v>
      </c>
      <c r="E83" s="70">
        <v>6</v>
      </c>
    </row>
    <row r="84" spans="1:5" x14ac:dyDescent="0.2">
      <c r="A84" s="62">
        <v>98166</v>
      </c>
      <c r="B84" s="15" t="s">
        <v>10</v>
      </c>
      <c r="C84" s="16">
        <v>2</v>
      </c>
      <c r="D84" s="16">
        <v>3</v>
      </c>
      <c r="E84" s="70">
        <v>2</v>
      </c>
    </row>
    <row r="85" spans="1:5" x14ac:dyDescent="0.2">
      <c r="A85" s="62">
        <v>98168</v>
      </c>
      <c r="B85" s="15" t="s">
        <v>10</v>
      </c>
      <c r="C85" s="16">
        <v>5</v>
      </c>
      <c r="D85" s="16">
        <v>6</v>
      </c>
      <c r="E85" s="70">
        <v>3</v>
      </c>
    </row>
    <row r="86" spans="1:5" x14ac:dyDescent="0.2">
      <c r="A86" s="62">
        <v>98177</v>
      </c>
      <c r="B86" s="15" t="s">
        <v>10</v>
      </c>
      <c r="C86" s="16">
        <v>4</v>
      </c>
      <c r="D86" s="16">
        <v>3</v>
      </c>
      <c r="E86" s="70"/>
    </row>
    <row r="87" spans="1:5" x14ac:dyDescent="0.2">
      <c r="A87" s="62">
        <v>98178</v>
      </c>
      <c r="B87" s="15" t="s">
        <v>10</v>
      </c>
      <c r="C87" s="16">
        <v>6</v>
      </c>
      <c r="D87" s="16">
        <v>6</v>
      </c>
      <c r="E87" s="70">
        <v>4</v>
      </c>
    </row>
    <row r="88" spans="1:5" x14ac:dyDescent="0.2">
      <c r="A88" s="62">
        <v>98188</v>
      </c>
      <c r="B88" s="15" t="s">
        <v>10</v>
      </c>
      <c r="C88" s="16">
        <v>28</v>
      </c>
      <c r="D88" s="16">
        <v>29</v>
      </c>
      <c r="E88" s="70">
        <v>33</v>
      </c>
    </row>
    <row r="89" spans="1:5" x14ac:dyDescent="0.2">
      <c r="A89" s="62">
        <v>98198</v>
      </c>
      <c r="B89" s="15" t="s">
        <v>10</v>
      </c>
      <c r="C89" s="16">
        <v>55</v>
      </c>
      <c r="D89" s="16">
        <v>70</v>
      </c>
      <c r="E89" s="70">
        <v>73</v>
      </c>
    </row>
    <row r="90" spans="1:5" x14ac:dyDescent="0.2">
      <c r="A90" s="62">
        <v>98199</v>
      </c>
      <c r="B90" s="15" t="s">
        <v>10</v>
      </c>
      <c r="C90" s="16">
        <v>1</v>
      </c>
      <c r="D90" s="16">
        <v>1</v>
      </c>
      <c r="E90" s="70"/>
    </row>
    <row r="91" spans="1:5" x14ac:dyDescent="0.2">
      <c r="A91" s="62">
        <v>98201</v>
      </c>
      <c r="B91" s="15" t="s">
        <v>10</v>
      </c>
      <c r="C91" s="16">
        <v>4</v>
      </c>
      <c r="D91" s="16">
        <v>4</v>
      </c>
      <c r="E91" s="70">
        <v>2</v>
      </c>
    </row>
    <row r="92" spans="1:5" x14ac:dyDescent="0.2">
      <c r="A92" s="62">
        <v>98203</v>
      </c>
      <c r="B92" s="15" t="s">
        <v>10</v>
      </c>
      <c r="C92" s="16">
        <v>3</v>
      </c>
      <c r="D92" s="16">
        <v>5</v>
      </c>
      <c r="E92" s="70">
        <v>3</v>
      </c>
    </row>
    <row r="93" spans="1:5" x14ac:dyDescent="0.2">
      <c r="A93" s="62">
        <v>98204</v>
      </c>
      <c r="B93" s="15" t="s">
        <v>10</v>
      </c>
      <c r="C93" s="16">
        <v>7</v>
      </c>
      <c r="D93" s="16">
        <v>4</v>
      </c>
      <c r="E93" s="70"/>
    </row>
    <row r="94" spans="1:5" x14ac:dyDescent="0.2">
      <c r="A94" s="62">
        <v>98208</v>
      </c>
      <c r="B94" s="15" t="s">
        <v>10</v>
      </c>
      <c r="C94" s="16">
        <v>6</v>
      </c>
      <c r="D94" s="16">
        <v>3</v>
      </c>
      <c r="E94" s="70">
        <v>1</v>
      </c>
    </row>
    <row r="95" spans="1:5" x14ac:dyDescent="0.2">
      <c r="A95" s="62">
        <v>98220</v>
      </c>
      <c r="B95" s="15" t="s">
        <v>10</v>
      </c>
      <c r="C95" s="16">
        <v>1</v>
      </c>
      <c r="D95" s="16"/>
      <c r="E95" s="70">
        <v>1</v>
      </c>
    </row>
    <row r="96" spans="1:5" x14ac:dyDescent="0.2">
      <c r="A96" s="62">
        <v>98221</v>
      </c>
      <c r="B96" s="15" t="s">
        <v>10</v>
      </c>
      <c r="C96" s="16">
        <v>21</v>
      </c>
      <c r="D96" s="16">
        <v>18</v>
      </c>
      <c r="E96" s="70">
        <v>12</v>
      </c>
    </row>
    <row r="97" spans="1:5" x14ac:dyDescent="0.2">
      <c r="A97" s="62">
        <v>98224</v>
      </c>
      <c r="B97" s="15" t="s">
        <v>10</v>
      </c>
      <c r="C97" s="16">
        <v>1</v>
      </c>
      <c r="D97" s="16">
        <v>1</v>
      </c>
      <c r="E97" s="70"/>
    </row>
    <row r="98" spans="1:5" x14ac:dyDescent="0.2">
      <c r="A98" s="62">
        <v>98225</v>
      </c>
      <c r="B98" s="15" t="s">
        <v>10</v>
      </c>
      <c r="C98" s="16">
        <v>91</v>
      </c>
      <c r="D98" s="16">
        <v>118</v>
      </c>
      <c r="E98" s="70">
        <v>48</v>
      </c>
    </row>
    <row r="99" spans="1:5" x14ac:dyDescent="0.2">
      <c r="A99" s="62">
        <v>98226</v>
      </c>
      <c r="B99" s="15" t="s">
        <v>10</v>
      </c>
      <c r="C99" s="16">
        <v>103</v>
      </c>
      <c r="D99" s="16">
        <v>127</v>
      </c>
      <c r="E99" s="70">
        <v>36</v>
      </c>
    </row>
    <row r="100" spans="1:5" x14ac:dyDescent="0.2">
      <c r="A100" s="62">
        <v>98229</v>
      </c>
      <c r="B100" s="15" t="s">
        <v>10</v>
      </c>
      <c r="C100" s="16">
        <v>72</v>
      </c>
      <c r="D100" s="16">
        <v>70</v>
      </c>
      <c r="E100" s="70">
        <v>32</v>
      </c>
    </row>
    <row r="101" spans="1:5" x14ac:dyDescent="0.2">
      <c r="A101" s="62">
        <v>98230</v>
      </c>
      <c r="B101" s="15" t="s">
        <v>10</v>
      </c>
      <c r="C101" s="16">
        <v>26</v>
      </c>
      <c r="D101" s="16">
        <v>27</v>
      </c>
      <c r="E101" s="70">
        <v>7</v>
      </c>
    </row>
    <row r="102" spans="1:5" x14ac:dyDescent="0.2">
      <c r="A102" s="62">
        <v>98232</v>
      </c>
      <c r="B102" s="15" t="s">
        <v>10</v>
      </c>
      <c r="C102" s="16">
        <v>2</v>
      </c>
      <c r="D102" s="16">
        <v>3</v>
      </c>
      <c r="E102" s="70">
        <v>2</v>
      </c>
    </row>
    <row r="103" spans="1:5" x14ac:dyDescent="0.2">
      <c r="A103" s="62">
        <v>98233</v>
      </c>
      <c r="B103" s="15" t="s">
        <v>10</v>
      </c>
      <c r="C103" s="16">
        <v>14</v>
      </c>
      <c r="D103" s="16">
        <v>19</v>
      </c>
      <c r="E103" s="70">
        <v>7</v>
      </c>
    </row>
    <row r="104" spans="1:5" x14ac:dyDescent="0.2">
      <c r="A104" s="62">
        <v>98235</v>
      </c>
      <c r="B104" s="15" t="s">
        <v>10</v>
      </c>
      <c r="C104" s="16"/>
      <c r="D104" s="16">
        <v>1</v>
      </c>
      <c r="E104" s="70"/>
    </row>
    <row r="105" spans="1:5" x14ac:dyDescent="0.2">
      <c r="A105" s="62">
        <v>98236</v>
      </c>
      <c r="B105" s="15" t="s">
        <v>10</v>
      </c>
      <c r="C105" s="16">
        <v>3</v>
      </c>
      <c r="D105" s="16">
        <v>7</v>
      </c>
      <c r="E105" s="70"/>
    </row>
    <row r="106" spans="1:5" x14ac:dyDescent="0.2">
      <c r="A106" s="62">
        <v>98237</v>
      </c>
      <c r="B106" s="15" t="s">
        <v>10</v>
      </c>
      <c r="C106" s="16">
        <v>9</v>
      </c>
      <c r="D106" s="16">
        <v>11</v>
      </c>
      <c r="E106" s="70">
        <v>6</v>
      </c>
    </row>
    <row r="107" spans="1:5" x14ac:dyDescent="0.2">
      <c r="A107" s="62">
        <v>98239</v>
      </c>
      <c r="B107" s="15" t="s">
        <v>10</v>
      </c>
      <c r="C107" s="16">
        <v>8</v>
      </c>
      <c r="D107" s="16">
        <v>6</v>
      </c>
      <c r="E107" s="70">
        <v>5</v>
      </c>
    </row>
    <row r="108" spans="1:5" x14ac:dyDescent="0.2">
      <c r="A108" s="62">
        <v>98240</v>
      </c>
      <c r="B108" s="15" t="s">
        <v>10</v>
      </c>
      <c r="C108" s="16">
        <v>2</v>
      </c>
      <c r="D108" s="16">
        <v>3</v>
      </c>
      <c r="E108" s="70">
        <v>1</v>
      </c>
    </row>
    <row r="109" spans="1:5" x14ac:dyDescent="0.2">
      <c r="A109" s="62">
        <v>98244</v>
      </c>
      <c r="B109" s="15" t="s">
        <v>10</v>
      </c>
      <c r="C109" s="16">
        <v>5</v>
      </c>
      <c r="D109" s="16">
        <v>5</v>
      </c>
      <c r="E109" s="70"/>
    </row>
    <row r="110" spans="1:5" x14ac:dyDescent="0.2">
      <c r="A110" s="62">
        <v>98247</v>
      </c>
      <c r="B110" s="15" t="s">
        <v>10</v>
      </c>
      <c r="C110" s="16">
        <v>13</v>
      </c>
      <c r="D110" s="16">
        <v>8</v>
      </c>
      <c r="E110" s="70">
        <v>3</v>
      </c>
    </row>
    <row r="111" spans="1:5" x14ac:dyDescent="0.2">
      <c r="A111" s="62">
        <v>98248</v>
      </c>
      <c r="B111" s="15" t="s">
        <v>10</v>
      </c>
      <c r="C111" s="16">
        <v>54</v>
      </c>
      <c r="D111" s="16">
        <v>63</v>
      </c>
      <c r="E111" s="70">
        <v>23</v>
      </c>
    </row>
    <row r="112" spans="1:5" x14ac:dyDescent="0.2">
      <c r="A112" s="62">
        <v>98249</v>
      </c>
      <c r="B112" s="15" t="s">
        <v>10</v>
      </c>
      <c r="C112" s="16">
        <v>5</v>
      </c>
      <c r="D112" s="16">
        <v>11</v>
      </c>
      <c r="E112" s="70">
        <v>3</v>
      </c>
    </row>
    <row r="113" spans="1:5" x14ac:dyDescent="0.2">
      <c r="A113" s="62">
        <v>98252</v>
      </c>
      <c r="B113" s="15" t="s">
        <v>10</v>
      </c>
      <c r="C113" s="16"/>
      <c r="D113" s="16">
        <v>1</v>
      </c>
      <c r="E113" s="70"/>
    </row>
    <row r="114" spans="1:5" x14ac:dyDescent="0.2">
      <c r="A114" s="62">
        <v>98253</v>
      </c>
      <c r="B114" s="15" t="s">
        <v>10</v>
      </c>
      <c r="C114" s="16">
        <v>3</v>
      </c>
      <c r="D114" s="16">
        <v>1</v>
      </c>
      <c r="E114" s="70"/>
    </row>
    <row r="115" spans="1:5" x14ac:dyDescent="0.2">
      <c r="A115" s="62">
        <v>98255</v>
      </c>
      <c r="B115" s="15" t="s">
        <v>10</v>
      </c>
      <c r="C115" s="16"/>
      <c r="D115" s="16">
        <v>1</v>
      </c>
      <c r="E115" s="70">
        <v>1</v>
      </c>
    </row>
    <row r="116" spans="1:5" x14ac:dyDescent="0.2">
      <c r="A116" s="62">
        <v>98257</v>
      </c>
      <c r="B116" s="15" t="s">
        <v>10</v>
      </c>
      <c r="C116" s="16">
        <v>15</v>
      </c>
      <c r="D116" s="16">
        <v>28</v>
      </c>
      <c r="E116" s="70">
        <v>14</v>
      </c>
    </row>
    <row r="117" spans="1:5" x14ac:dyDescent="0.2">
      <c r="A117" s="62">
        <v>98258</v>
      </c>
      <c r="B117" s="15" t="s">
        <v>10</v>
      </c>
      <c r="C117" s="16">
        <v>7</v>
      </c>
      <c r="D117" s="16">
        <v>4</v>
      </c>
      <c r="E117" s="70">
        <v>2</v>
      </c>
    </row>
    <row r="118" spans="1:5" x14ac:dyDescent="0.2">
      <c r="A118" s="62">
        <v>98260</v>
      </c>
      <c r="B118" s="15" t="s">
        <v>10</v>
      </c>
      <c r="C118" s="16">
        <v>2</v>
      </c>
      <c r="D118" s="16">
        <v>7</v>
      </c>
      <c r="E118" s="70">
        <v>1</v>
      </c>
    </row>
    <row r="119" spans="1:5" x14ac:dyDescent="0.2">
      <c r="A119" s="62">
        <v>98263</v>
      </c>
      <c r="B119" s="15" t="s">
        <v>10</v>
      </c>
      <c r="C119" s="16">
        <v>1</v>
      </c>
      <c r="D119" s="16"/>
      <c r="E119" s="70"/>
    </row>
    <row r="120" spans="1:5" x14ac:dyDescent="0.2">
      <c r="A120" s="62">
        <v>98264</v>
      </c>
      <c r="B120" s="15" t="s">
        <v>10</v>
      </c>
      <c r="C120" s="16">
        <v>24</v>
      </c>
      <c r="D120" s="16">
        <v>24</v>
      </c>
      <c r="E120" s="70">
        <v>14</v>
      </c>
    </row>
    <row r="121" spans="1:5" x14ac:dyDescent="0.2">
      <c r="A121" s="62">
        <v>98266</v>
      </c>
      <c r="B121" s="15" t="s">
        <v>10</v>
      </c>
      <c r="C121" s="16">
        <v>24</v>
      </c>
      <c r="D121" s="16">
        <v>19</v>
      </c>
      <c r="E121" s="70">
        <v>5</v>
      </c>
    </row>
    <row r="122" spans="1:5" x14ac:dyDescent="0.2">
      <c r="A122" s="62">
        <v>98267</v>
      </c>
      <c r="B122" s="15" t="s">
        <v>10</v>
      </c>
      <c r="C122" s="16"/>
      <c r="D122" s="16">
        <v>1</v>
      </c>
      <c r="E122" s="70">
        <v>1</v>
      </c>
    </row>
    <row r="123" spans="1:5" x14ac:dyDescent="0.2">
      <c r="A123" s="62">
        <v>98270</v>
      </c>
      <c r="B123" s="15" t="s">
        <v>10</v>
      </c>
      <c r="C123" s="16">
        <v>20</v>
      </c>
      <c r="D123" s="16">
        <v>15</v>
      </c>
      <c r="E123" s="70">
        <v>3</v>
      </c>
    </row>
    <row r="124" spans="1:5" x14ac:dyDescent="0.2">
      <c r="A124" s="62">
        <v>98271</v>
      </c>
      <c r="B124" s="15" t="s">
        <v>10</v>
      </c>
      <c r="C124" s="16"/>
      <c r="D124" s="16">
        <v>1</v>
      </c>
      <c r="E124" s="70">
        <v>1</v>
      </c>
    </row>
    <row r="125" spans="1:5" x14ac:dyDescent="0.2">
      <c r="A125" s="62">
        <v>98272</v>
      </c>
      <c r="B125" s="15" t="s">
        <v>10</v>
      </c>
      <c r="C125" s="16">
        <v>1</v>
      </c>
      <c r="D125" s="16">
        <v>5</v>
      </c>
      <c r="E125" s="70">
        <v>1</v>
      </c>
    </row>
    <row r="126" spans="1:5" x14ac:dyDescent="0.2">
      <c r="A126" s="62">
        <v>98273</v>
      </c>
      <c r="B126" s="15" t="s">
        <v>10</v>
      </c>
      <c r="C126" s="16">
        <v>56</v>
      </c>
      <c r="D126" s="16">
        <v>40</v>
      </c>
      <c r="E126" s="70">
        <v>35</v>
      </c>
    </row>
    <row r="127" spans="1:5" x14ac:dyDescent="0.2">
      <c r="A127" s="62">
        <v>98274</v>
      </c>
      <c r="B127" s="15" t="s">
        <v>10</v>
      </c>
      <c r="C127" s="16">
        <v>16</v>
      </c>
      <c r="D127" s="16">
        <v>13</v>
      </c>
      <c r="E127" s="70">
        <v>4</v>
      </c>
    </row>
    <row r="128" spans="1:5" x14ac:dyDescent="0.2">
      <c r="A128" s="62">
        <v>98276</v>
      </c>
      <c r="B128" s="15" t="s">
        <v>10</v>
      </c>
      <c r="C128" s="16">
        <v>1</v>
      </c>
      <c r="D128" s="16">
        <v>1</v>
      </c>
      <c r="E128" s="70">
        <v>2</v>
      </c>
    </row>
    <row r="129" spans="1:5" x14ac:dyDescent="0.2">
      <c r="A129" s="62">
        <v>98277</v>
      </c>
      <c r="B129" s="15" t="s">
        <v>10</v>
      </c>
      <c r="C129" s="16">
        <v>60</v>
      </c>
      <c r="D129" s="16">
        <v>70</v>
      </c>
      <c r="E129" s="70">
        <v>33</v>
      </c>
    </row>
    <row r="130" spans="1:5" x14ac:dyDescent="0.2">
      <c r="A130" s="62">
        <v>98281</v>
      </c>
      <c r="B130" s="15" t="s">
        <v>10</v>
      </c>
      <c r="C130" s="16">
        <v>2</v>
      </c>
      <c r="D130" s="16">
        <v>2</v>
      </c>
      <c r="E130" s="70"/>
    </row>
    <row r="131" spans="1:5" x14ac:dyDescent="0.2">
      <c r="A131" s="62">
        <v>98284</v>
      </c>
      <c r="B131" s="15" t="s">
        <v>10</v>
      </c>
      <c r="C131" s="16">
        <v>18</v>
      </c>
      <c r="D131" s="16">
        <v>28</v>
      </c>
      <c r="E131" s="70">
        <v>20</v>
      </c>
    </row>
    <row r="132" spans="1:5" x14ac:dyDescent="0.2">
      <c r="A132" s="62">
        <v>98288</v>
      </c>
      <c r="B132" s="15" t="s">
        <v>10</v>
      </c>
      <c r="C132" s="16">
        <v>1</v>
      </c>
      <c r="D132" s="16">
        <v>1</v>
      </c>
      <c r="E132" s="70">
        <v>1</v>
      </c>
    </row>
    <row r="133" spans="1:5" x14ac:dyDescent="0.2">
      <c r="A133" s="62">
        <v>98290</v>
      </c>
      <c r="B133" s="15" t="s">
        <v>10</v>
      </c>
      <c r="C133" s="16">
        <v>1</v>
      </c>
      <c r="D133" s="16"/>
      <c r="E133" s="70"/>
    </row>
    <row r="134" spans="1:5" x14ac:dyDescent="0.2">
      <c r="A134" s="62">
        <v>98294</v>
      </c>
      <c r="B134" s="15" t="s">
        <v>10</v>
      </c>
      <c r="C134" s="16">
        <v>4</v>
      </c>
      <c r="D134" s="16">
        <v>1</v>
      </c>
      <c r="E134" s="70">
        <v>1</v>
      </c>
    </row>
    <row r="135" spans="1:5" x14ac:dyDescent="0.2">
      <c r="A135" s="62">
        <v>98295</v>
      </c>
      <c r="B135" s="15" t="s">
        <v>10</v>
      </c>
      <c r="C135" s="16">
        <v>1</v>
      </c>
      <c r="D135" s="16"/>
      <c r="E135" s="70">
        <v>2</v>
      </c>
    </row>
    <row r="136" spans="1:5" x14ac:dyDescent="0.2">
      <c r="A136" s="62">
        <v>98296</v>
      </c>
      <c r="B136" s="15" t="s">
        <v>10</v>
      </c>
      <c r="C136" s="16"/>
      <c r="D136" s="16"/>
      <c r="E136" s="70">
        <v>1</v>
      </c>
    </row>
    <row r="137" spans="1:5" x14ac:dyDescent="0.2">
      <c r="A137" s="62">
        <v>98310</v>
      </c>
      <c r="B137" s="15" t="s">
        <v>10</v>
      </c>
      <c r="C137" s="16">
        <v>22</v>
      </c>
      <c r="D137" s="16">
        <v>33</v>
      </c>
      <c r="E137" s="70">
        <v>41</v>
      </c>
    </row>
    <row r="138" spans="1:5" x14ac:dyDescent="0.2">
      <c r="A138" s="62">
        <v>98311</v>
      </c>
      <c r="B138" s="15" t="s">
        <v>10</v>
      </c>
      <c r="C138" s="16">
        <v>13</v>
      </c>
      <c r="D138" s="16">
        <v>18</v>
      </c>
      <c r="E138" s="70">
        <v>34</v>
      </c>
    </row>
    <row r="139" spans="1:5" x14ac:dyDescent="0.2">
      <c r="A139" s="62">
        <v>98312</v>
      </c>
      <c r="B139" s="15" t="s">
        <v>10</v>
      </c>
      <c r="C139" s="16">
        <v>31</v>
      </c>
      <c r="D139" s="16">
        <v>47</v>
      </c>
      <c r="E139" s="70">
        <v>64</v>
      </c>
    </row>
    <row r="140" spans="1:5" x14ac:dyDescent="0.2">
      <c r="A140" s="62">
        <v>98321</v>
      </c>
      <c r="B140" s="15" t="s">
        <v>10</v>
      </c>
      <c r="C140" s="16">
        <v>7</v>
      </c>
      <c r="D140" s="16">
        <v>14</v>
      </c>
      <c r="E140" s="70">
        <v>13</v>
      </c>
    </row>
    <row r="141" spans="1:5" x14ac:dyDescent="0.2">
      <c r="A141" s="62">
        <v>98327</v>
      </c>
      <c r="B141" s="15" t="s">
        <v>10</v>
      </c>
      <c r="C141" s="16">
        <v>1</v>
      </c>
      <c r="D141" s="16">
        <v>1</v>
      </c>
      <c r="E141" s="70">
        <v>1</v>
      </c>
    </row>
    <row r="142" spans="1:5" x14ac:dyDescent="0.2">
      <c r="A142" s="62">
        <v>98328</v>
      </c>
      <c r="B142" s="15" t="s">
        <v>10</v>
      </c>
      <c r="C142" s="16"/>
      <c r="D142" s="16">
        <v>1</v>
      </c>
      <c r="E142" s="70"/>
    </row>
    <row r="143" spans="1:5" x14ac:dyDescent="0.2">
      <c r="A143" s="62">
        <v>98329</v>
      </c>
      <c r="B143" s="15" t="s">
        <v>10</v>
      </c>
      <c r="C143" s="16"/>
      <c r="D143" s="16">
        <v>1</v>
      </c>
      <c r="E143" s="70"/>
    </row>
    <row r="144" spans="1:5" x14ac:dyDescent="0.2">
      <c r="A144" s="62">
        <v>98332</v>
      </c>
      <c r="B144" s="15" t="s">
        <v>10</v>
      </c>
      <c r="C144" s="16">
        <v>1</v>
      </c>
      <c r="D144" s="16"/>
      <c r="E144" s="70">
        <v>1</v>
      </c>
    </row>
    <row r="145" spans="1:5" x14ac:dyDescent="0.2">
      <c r="A145" s="62">
        <v>98335</v>
      </c>
      <c r="B145" s="15" t="s">
        <v>10</v>
      </c>
      <c r="C145" s="16">
        <v>3</v>
      </c>
      <c r="D145" s="16">
        <v>2</v>
      </c>
      <c r="E145" s="70">
        <v>4</v>
      </c>
    </row>
    <row r="146" spans="1:5" x14ac:dyDescent="0.2">
      <c r="A146" s="62">
        <v>98337</v>
      </c>
      <c r="B146" s="15" t="s">
        <v>10</v>
      </c>
      <c r="C146" s="16">
        <v>12</v>
      </c>
      <c r="D146" s="16">
        <v>17</v>
      </c>
      <c r="E146" s="70">
        <v>18</v>
      </c>
    </row>
    <row r="147" spans="1:5" x14ac:dyDescent="0.2">
      <c r="A147" s="62">
        <v>98338</v>
      </c>
      <c r="B147" s="15" t="s">
        <v>10</v>
      </c>
      <c r="C147" s="16">
        <v>9</v>
      </c>
      <c r="D147" s="16">
        <v>11</v>
      </c>
      <c r="E147" s="70">
        <v>5</v>
      </c>
    </row>
    <row r="148" spans="1:5" x14ac:dyDescent="0.2">
      <c r="A148" s="62">
        <v>98340</v>
      </c>
      <c r="B148" s="15" t="s">
        <v>10</v>
      </c>
      <c r="C148" s="16"/>
      <c r="D148" s="16"/>
      <c r="E148" s="70">
        <v>3</v>
      </c>
    </row>
    <row r="149" spans="1:5" x14ac:dyDescent="0.2">
      <c r="A149" s="62">
        <v>98342</v>
      </c>
      <c r="B149" s="15" t="s">
        <v>10</v>
      </c>
      <c r="C149" s="16">
        <v>6</v>
      </c>
      <c r="D149" s="16">
        <v>5</v>
      </c>
      <c r="E149" s="70">
        <v>3</v>
      </c>
    </row>
    <row r="150" spans="1:5" x14ac:dyDescent="0.2">
      <c r="A150" s="62">
        <v>98346</v>
      </c>
      <c r="B150" s="15" t="s">
        <v>10</v>
      </c>
      <c r="C150" s="16">
        <v>25</v>
      </c>
      <c r="D150" s="16">
        <v>6</v>
      </c>
      <c r="E150" s="70">
        <v>86</v>
      </c>
    </row>
    <row r="151" spans="1:5" x14ac:dyDescent="0.2">
      <c r="A151" s="62">
        <v>98354</v>
      </c>
      <c r="B151" s="15" t="s">
        <v>10</v>
      </c>
      <c r="C151" s="16"/>
      <c r="D151" s="16">
        <v>1</v>
      </c>
      <c r="E151" s="70"/>
    </row>
    <row r="152" spans="1:5" x14ac:dyDescent="0.2">
      <c r="A152" s="62">
        <v>98359</v>
      </c>
      <c r="B152" s="15" t="s">
        <v>10</v>
      </c>
      <c r="C152" s="16">
        <v>4</v>
      </c>
      <c r="D152" s="16"/>
      <c r="E152" s="70">
        <v>5</v>
      </c>
    </row>
    <row r="153" spans="1:5" x14ac:dyDescent="0.2">
      <c r="A153" s="62">
        <v>98360</v>
      </c>
      <c r="B153" s="15" t="s">
        <v>10</v>
      </c>
      <c r="C153" s="16">
        <v>8</v>
      </c>
      <c r="D153" s="16">
        <v>4</v>
      </c>
      <c r="E153" s="70">
        <v>9</v>
      </c>
    </row>
    <row r="154" spans="1:5" x14ac:dyDescent="0.2">
      <c r="A154" s="62">
        <v>98366</v>
      </c>
      <c r="B154" s="15" t="s">
        <v>10</v>
      </c>
      <c r="C154" s="16">
        <v>27</v>
      </c>
      <c r="D154" s="16">
        <v>30</v>
      </c>
      <c r="E154" s="70">
        <v>32</v>
      </c>
    </row>
    <row r="155" spans="1:5" x14ac:dyDescent="0.2">
      <c r="A155" s="62">
        <v>98367</v>
      </c>
      <c r="B155" s="15" t="s">
        <v>10</v>
      </c>
      <c r="C155" s="16">
        <v>14</v>
      </c>
      <c r="D155" s="16">
        <v>13</v>
      </c>
      <c r="E155" s="70">
        <v>19</v>
      </c>
    </row>
    <row r="156" spans="1:5" x14ac:dyDescent="0.2">
      <c r="A156" s="62">
        <v>98370</v>
      </c>
      <c r="B156" s="15" t="s">
        <v>10</v>
      </c>
      <c r="C156" s="16">
        <v>22</v>
      </c>
      <c r="D156" s="16">
        <v>22</v>
      </c>
      <c r="E156" s="70">
        <v>23</v>
      </c>
    </row>
    <row r="157" spans="1:5" x14ac:dyDescent="0.2">
      <c r="A157" s="62">
        <v>98371</v>
      </c>
      <c r="B157" s="15" t="s">
        <v>10</v>
      </c>
      <c r="C157" s="16">
        <v>23</v>
      </c>
      <c r="D157" s="16">
        <v>31</v>
      </c>
      <c r="E157" s="70">
        <v>33</v>
      </c>
    </row>
    <row r="158" spans="1:5" x14ac:dyDescent="0.2">
      <c r="A158" s="62">
        <v>98372</v>
      </c>
      <c r="B158" s="15" t="s">
        <v>10</v>
      </c>
      <c r="C158" s="16">
        <v>17</v>
      </c>
      <c r="D158" s="16">
        <v>20</v>
      </c>
      <c r="E158" s="70">
        <v>26</v>
      </c>
    </row>
    <row r="159" spans="1:5" x14ac:dyDescent="0.2">
      <c r="A159" s="62">
        <v>98373</v>
      </c>
      <c r="B159" s="15" t="s">
        <v>10</v>
      </c>
      <c r="C159" s="16">
        <v>12</v>
      </c>
      <c r="D159" s="16">
        <v>19</v>
      </c>
      <c r="E159" s="70">
        <v>31</v>
      </c>
    </row>
    <row r="160" spans="1:5" x14ac:dyDescent="0.2">
      <c r="A160" s="62">
        <v>98374</v>
      </c>
      <c r="B160" s="15" t="s">
        <v>10</v>
      </c>
      <c r="C160" s="16">
        <v>21</v>
      </c>
      <c r="D160" s="16">
        <v>43</v>
      </c>
      <c r="E160" s="70">
        <v>37</v>
      </c>
    </row>
    <row r="161" spans="1:5" x14ac:dyDescent="0.2">
      <c r="A161" s="62">
        <v>98375</v>
      </c>
      <c r="B161" s="15" t="s">
        <v>10</v>
      </c>
      <c r="C161" s="16">
        <v>13</v>
      </c>
      <c r="D161" s="16">
        <v>19</v>
      </c>
      <c r="E161" s="70">
        <v>21</v>
      </c>
    </row>
    <row r="162" spans="1:5" x14ac:dyDescent="0.2">
      <c r="A162" s="62">
        <v>98380</v>
      </c>
      <c r="B162" s="15" t="s">
        <v>10</v>
      </c>
      <c r="C162" s="16"/>
      <c r="D162" s="16">
        <v>1</v>
      </c>
      <c r="E162" s="70">
        <v>3</v>
      </c>
    </row>
    <row r="163" spans="1:5" x14ac:dyDescent="0.2">
      <c r="A163" s="62">
        <v>98383</v>
      </c>
      <c r="B163" s="15" t="s">
        <v>10</v>
      </c>
      <c r="C163" s="16">
        <v>5</v>
      </c>
      <c r="D163" s="16">
        <v>16</v>
      </c>
      <c r="E163" s="70">
        <v>9</v>
      </c>
    </row>
    <row r="164" spans="1:5" x14ac:dyDescent="0.2">
      <c r="A164" s="62">
        <v>98387</v>
      </c>
      <c r="B164" s="15" t="s">
        <v>10</v>
      </c>
      <c r="C164" s="16">
        <v>9</v>
      </c>
      <c r="D164" s="16">
        <v>32</v>
      </c>
      <c r="E164" s="70">
        <v>11</v>
      </c>
    </row>
    <row r="165" spans="1:5" x14ac:dyDescent="0.2">
      <c r="A165" s="62">
        <v>98388</v>
      </c>
      <c r="B165" s="15" t="s">
        <v>10</v>
      </c>
      <c r="C165" s="16"/>
      <c r="D165" s="16"/>
      <c r="E165" s="70">
        <v>3</v>
      </c>
    </row>
    <row r="166" spans="1:5" x14ac:dyDescent="0.2">
      <c r="A166" s="62">
        <v>98390</v>
      </c>
      <c r="B166" s="15" t="s">
        <v>10</v>
      </c>
      <c r="C166" s="16">
        <v>6</v>
      </c>
      <c r="D166" s="16">
        <v>17</v>
      </c>
      <c r="E166" s="70">
        <v>10</v>
      </c>
    </row>
    <row r="167" spans="1:5" x14ac:dyDescent="0.2">
      <c r="A167" s="62">
        <v>98391</v>
      </c>
      <c r="B167" s="15" t="s">
        <v>10</v>
      </c>
      <c r="C167" s="16">
        <v>18</v>
      </c>
      <c r="D167" s="16">
        <v>36</v>
      </c>
      <c r="E167" s="70">
        <v>39</v>
      </c>
    </row>
    <row r="168" spans="1:5" x14ac:dyDescent="0.2">
      <c r="A168" s="62">
        <v>98392</v>
      </c>
      <c r="B168" s="15" t="s">
        <v>10</v>
      </c>
      <c r="C168" s="16">
        <v>25</v>
      </c>
      <c r="D168" s="16">
        <v>18</v>
      </c>
      <c r="E168" s="70">
        <v>17</v>
      </c>
    </row>
    <row r="169" spans="1:5" x14ac:dyDescent="0.2">
      <c r="A169" s="62">
        <v>98396</v>
      </c>
      <c r="B169" s="15" t="s">
        <v>10</v>
      </c>
      <c r="C169" s="16">
        <v>1</v>
      </c>
      <c r="D169" s="16"/>
      <c r="E169" s="70">
        <v>1</v>
      </c>
    </row>
    <row r="170" spans="1:5" x14ac:dyDescent="0.2">
      <c r="A170" s="62">
        <v>98403</v>
      </c>
      <c r="B170" s="15" t="s">
        <v>10</v>
      </c>
      <c r="C170" s="16">
        <v>1</v>
      </c>
      <c r="D170" s="16"/>
      <c r="E170" s="70">
        <v>1</v>
      </c>
    </row>
    <row r="171" spans="1:5" x14ac:dyDescent="0.2">
      <c r="A171" s="62">
        <v>98404</v>
      </c>
      <c r="B171" s="15" t="s">
        <v>10</v>
      </c>
      <c r="C171" s="16">
        <v>20</v>
      </c>
      <c r="D171" s="16">
        <v>24</v>
      </c>
      <c r="E171" s="70">
        <v>9</v>
      </c>
    </row>
    <row r="172" spans="1:5" x14ac:dyDescent="0.2">
      <c r="A172" s="62">
        <v>98405</v>
      </c>
      <c r="B172" s="15" t="s">
        <v>10</v>
      </c>
      <c r="C172" s="16">
        <v>13</v>
      </c>
      <c r="D172" s="16">
        <v>5</v>
      </c>
      <c r="E172" s="70">
        <v>7</v>
      </c>
    </row>
    <row r="173" spans="1:5" x14ac:dyDescent="0.2">
      <c r="A173" s="62">
        <v>98406</v>
      </c>
      <c r="B173" s="15" t="s">
        <v>10</v>
      </c>
      <c r="C173" s="16">
        <v>2</v>
      </c>
      <c r="D173" s="16">
        <v>3</v>
      </c>
      <c r="E173" s="70">
        <v>6</v>
      </c>
    </row>
    <row r="174" spans="1:5" x14ac:dyDescent="0.2">
      <c r="A174" s="62">
        <v>98407</v>
      </c>
      <c r="B174" s="15" t="s">
        <v>10</v>
      </c>
      <c r="C174" s="16">
        <v>1</v>
      </c>
      <c r="D174" s="16">
        <v>3</v>
      </c>
      <c r="E174" s="70">
        <v>1</v>
      </c>
    </row>
    <row r="175" spans="1:5" x14ac:dyDescent="0.2">
      <c r="A175" s="62">
        <v>98408</v>
      </c>
      <c r="B175" s="15" t="s">
        <v>10</v>
      </c>
      <c r="C175" s="16">
        <v>6</v>
      </c>
      <c r="D175" s="16">
        <v>8</v>
      </c>
      <c r="E175" s="70">
        <v>6</v>
      </c>
    </row>
    <row r="176" spans="1:5" x14ac:dyDescent="0.2">
      <c r="A176" s="62">
        <v>98409</v>
      </c>
      <c r="B176" s="15" t="s">
        <v>10</v>
      </c>
      <c r="C176" s="16">
        <v>4</v>
      </c>
      <c r="D176" s="16">
        <v>5</v>
      </c>
      <c r="E176" s="70">
        <v>5</v>
      </c>
    </row>
    <row r="177" spans="1:5" x14ac:dyDescent="0.2">
      <c r="A177" s="62">
        <v>98418</v>
      </c>
      <c r="B177" s="15" t="s">
        <v>10</v>
      </c>
      <c r="C177" s="16">
        <v>6</v>
      </c>
      <c r="D177" s="16">
        <v>5</v>
      </c>
      <c r="E177" s="70">
        <v>5</v>
      </c>
    </row>
    <row r="178" spans="1:5" x14ac:dyDescent="0.2">
      <c r="A178" s="62">
        <v>98422</v>
      </c>
      <c r="B178" s="15" t="s">
        <v>10</v>
      </c>
      <c r="C178" s="16">
        <v>5</v>
      </c>
      <c r="D178" s="16">
        <v>2</v>
      </c>
      <c r="E178" s="70">
        <v>2</v>
      </c>
    </row>
    <row r="179" spans="1:5" x14ac:dyDescent="0.2">
      <c r="A179" s="62">
        <v>98424</v>
      </c>
      <c r="B179" s="15" t="s">
        <v>10</v>
      </c>
      <c r="C179" s="16">
        <v>1</v>
      </c>
      <c r="D179" s="16">
        <v>3</v>
      </c>
      <c r="E179" s="70">
        <v>1</v>
      </c>
    </row>
    <row r="180" spans="1:5" x14ac:dyDescent="0.2">
      <c r="A180" s="62">
        <v>98439</v>
      </c>
      <c r="B180" s="15" t="s">
        <v>10</v>
      </c>
      <c r="C180" s="16">
        <v>14</v>
      </c>
      <c r="D180" s="16">
        <v>9</v>
      </c>
      <c r="E180" s="70">
        <v>9</v>
      </c>
    </row>
    <row r="181" spans="1:5" x14ac:dyDescent="0.2">
      <c r="A181" s="62">
        <v>98443</v>
      </c>
      <c r="B181" s="15" t="s">
        <v>10</v>
      </c>
      <c r="C181" s="16"/>
      <c r="D181" s="16">
        <v>1</v>
      </c>
      <c r="E181" s="70">
        <v>2</v>
      </c>
    </row>
    <row r="182" spans="1:5" x14ac:dyDescent="0.2">
      <c r="A182" s="62">
        <v>98444</v>
      </c>
      <c r="B182" s="15" t="s">
        <v>10</v>
      </c>
      <c r="C182" s="16">
        <v>4</v>
      </c>
      <c r="D182" s="16">
        <v>7</v>
      </c>
      <c r="E182" s="70">
        <v>4</v>
      </c>
    </row>
    <row r="183" spans="1:5" x14ac:dyDescent="0.2">
      <c r="A183" s="62">
        <v>98445</v>
      </c>
      <c r="B183" s="15" t="s">
        <v>10</v>
      </c>
      <c r="C183" s="16">
        <v>7</v>
      </c>
      <c r="D183" s="16">
        <v>13</v>
      </c>
      <c r="E183" s="70">
        <v>9</v>
      </c>
    </row>
    <row r="184" spans="1:5" x14ac:dyDescent="0.2">
      <c r="A184" s="62">
        <v>98446</v>
      </c>
      <c r="B184" s="15" t="s">
        <v>10</v>
      </c>
      <c r="C184" s="16">
        <v>4</v>
      </c>
      <c r="D184" s="16">
        <v>4</v>
      </c>
      <c r="E184" s="70">
        <v>1</v>
      </c>
    </row>
    <row r="185" spans="1:5" x14ac:dyDescent="0.2">
      <c r="A185" s="62">
        <v>98466</v>
      </c>
      <c r="B185" s="15" t="s">
        <v>10</v>
      </c>
      <c r="C185" s="16">
        <v>2</v>
      </c>
      <c r="D185" s="16">
        <v>6</v>
      </c>
      <c r="E185" s="70">
        <v>4</v>
      </c>
    </row>
    <row r="186" spans="1:5" x14ac:dyDescent="0.2">
      <c r="A186" s="62">
        <v>98467</v>
      </c>
      <c r="B186" s="15" t="s">
        <v>10</v>
      </c>
      <c r="C186" s="16">
        <v>1</v>
      </c>
      <c r="D186" s="16">
        <v>2</v>
      </c>
      <c r="E186" s="70"/>
    </row>
    <row r="187" spans="1:5" x14ac:dyDescent="0.2">
      <c r="A187" s="62">
        <v>98498</v>
      </c>
      <c r="B187" s="15" t="s">
        <v>10</v>
      </c>
      <c r="C187" s="16">
        <v>14</v>
      </c>
      <c r="D187" s="16">
        <v>31</v>
      </c>
      <c r="E187" s="70">
        <v>21</v>
      </c>
    </row>
    <row r="188" spans="1:5" x14ac:dyDescent="0.2">
      <c r="A188" s="62">
        <v>98499</v>
      </c>
      <c r="B188" s="15" t="s">
        <v>10</v>
      </c>
      <c r="C188" s="16">
        <v>3</v>
      </c>
      <c r="D188" s="16">
        <v>14</v>
      </c>
      <c r="E188" s="70">
        <v>7</v>
      </c>
    </row>
    <row r="189" spans="1:5" x14ac:dyDescent="0.2">
      <c r="A189" s="62">
        <v>98501</v>
      </c>
      <c r="B189" s="15" t="s">
        <v>10</v>
      </c>
      <c r="C189" s="16">
        <v>88</v>
      </c>
      <c r="D189" s="16">
        <v>58</v>
      </c>
      <c r="E189" s="70">
        <v>70</v>
      </c>
    </row>
    <row r="190" spans="1:5" x14ac:dyDescent="0.2">
      <c r="A190" s="62">
        <v>98502</v>
      </c>
      <c r="B190" s="15" t="s">
        <v>10</v>
      </c>
      <c r="C190" s="16">
        <v>93</v>
      </c>
      <c r="D190" s="16">
        <v>84</v>
      </c>
      <c r="E190" s="70">
        <v>84</v>
      </c>
    </row>
    <row r="191" spans="1:5" x14ac:dyDescent="0.2">
      <c r="A191" s="62">
        <v>98503</v>
      </c>
      <c r="B191" s="15" t="s">
        <v>10</v>
      </c>
      <c r="C191" s="16">
        <v>107</v>
      </c>
      <c r="D191" s="16">
        <v>84</v>
      </c>
      <c r="E191" s="70">
        <v>95</v>
      </c>
    </row>
    <row r="192" spans="1:5" x14ac:dyDescent="0.2">
      <c r="A192" s="62">
        <v>98506</v>
      </c>
      <c r="B192" s="15" t="s">
        <v>10</v>
      </c>
      <c r="C192" s="16">
        <v>29</v>
      </c>
      <c r="D192" s="16">
        <v>28</v>
      </c>
      <c r="E192" s="70">
        <v>24</v>
      </c>
    </row>
    <row r="193" spans="1:5" x14ac:dyDescent="0.2">
      <c r="A193" s="62">
        <v>98512</v>
      </c>
      <c r="B193" s="15" t="s">
        <v>10</v>
      </c>
      <c r="C193" s="16">
        <v>41</v>
      </c>
      <c r="D193" s="16">
        <v>40</v>
      </c>
      <c r="E193" s="70">
        <v>41</v>
      </c>
    </row>
    <row r="194" spans="1:5" x14ac:dyDescent="0.2">
      <c r="A194" s="62">
        <v>98513</v>
      </c>
      <c r="B194" s="15" t="s">
        <v>10</v>
      </c>
      <c r="C194" s="16">
        <v>40</v>
      </c>
      <c r="D194" s="16">
        <v>43</v>
      </c>
      <c r="E194" s="70">
        <v>44</v>
      </c>
    </row>
    <row r="195" spans="1:5" x14ac:dyDescent="0.2">
      <c r="A195" s="62">
        <v>98516</v>
      </c>
      <c r="B195" s="15" t="s">
        <v>10</v>
      </c>
      <c r="C195" s="16">
        <v>41</v>
      </c>
      <c r="D195" s="16">
        <v>33</v>
      </c>
      <c r="E195" s="70">
        <v>39</v>
      </c>
    </row>
    <row r="196" spans="1:5" x14ac:dyDescent="0.2">
      <c r="A196" s="62">
        <v>98530</v>
      </c>
      <c r="B196" s="15" t="s">
        <v>10</v>
      </c>
      <c r="C196" s="16"/>
      <c r="D196" s="16">
        <v>3</v>
      </c>
      <c r="E196" s="70">
        <v>1</v>
      </c>
    </row>
    <row r="197" spans="1:5" x14ac:dyDescent="0.2">
      <c r="A197" s="62">
        <v>98531</v>
      </c>
      <c r="B197" s="15" t="s">
        <v>10</v>
      </c>
      <c r="C197" s="16">
        <v>7</v>
      </c>
      <c r="D197" s="16">
        <v>9</v>
      </c>
      <c r="E197" s="70">
        <v>5</v>
      </c>
    </row>
    <row r="198" spans="1:5" x14ac:dyDescent="0.2">
      <c r="A198" s="62">
        <v>98532</v>
      </c>
      <c r="B198" s="15" t="s">
        <v>10</v>
      </c>
      <c r="C198" s="16"/>
      <c r="D198" s="16">
        <v>1</v>
      </c>
      <c r="E198" s="70">
        <v>2</v>
      </c>
    </row>
    <row r="199" spans="1:5" x14ac:dyDescent="0.2">
      <c r="A199" s="62">
        <v>98558</v>
      </c>
      <c r="B199" s="15" t="s">
        <v>10</v>
      </c>
      <c r="C199" s="16"/>
      <c r="D199" s="16"/>
      <c r="E199" s="70">
        <v>1</v>
      </c>
    </row>
    <row r="200" spans="1:5" x14ac:dyDescent="0.2">
      <c r="A200" s="62">
        <v>98568</v>
      </c>
      <c r="B200" s="15" t="s">
        <v>10</v>
      </c>
      <c r="C200" s="16"/>
      <c r="D200" s="16">
        <v>1</v>
      </c>
      <c r="E200" s="70"/>
    </row>
    <row r="201" spans="1:5" x14ac:dyDescent="0.2">
      <c r="A201" s="62">
        <v>98576</v>
      </c>
      <c r="B201" s="15" t="s">
        <v>10</v>
      </c>
      <c r="C201" s="16">
        <v>12</v>
      </c>
      <c r="D201" s="16">
        <v>11</v>
      </c>
      <c r="E201" s="70">
        <v>6</v>
      </c>
    </row>
    <row r="202" spans="1:5" x14ac:dyDescent="0.2">
      <c r="A202" s="62">
        <v>98579</v>
      </c>
      <c r="B202" s="15" t="s">
        <v>10</v>
      </c>
      <c r="C202" s="16">
        <v>18</v>
      </c>
      <c r="D202" s="16">
        <v>29</v>
      </c>
      <c r="E202" s="70">
        <v>12</v>
      </c>
    </row>
    <row r="203" spans="1:5" x14ac:dyDescent="0.2">
      <c r="A203" s="62">
        <v>98580</v>
      </c>
      <c r="B203" s="15" t="s">
        <v>10</v>
      </c>
      <c r="C203" s="16">
        <v>3</v>
      </c>
      <c r="D203" s="16">
        <v>8</v>
      </c>
      <c r="E203" s="70">
        <v>9</v>
      </c>
    </row>
    <row r="204" spans="1:5" x14ac:dyDescent="0.2">
      <c r="A204" s="62">
        <v>98589</v>
      </c>
      <c r="B204" s="15" t="s">
        <v>10</v>
      </c>
      <c r="C204" s="16">
        <v>9</v>
      </c>
      <c r="D204" s="16">
        <v>10</v>
      </c>
      <c r="E204" s="70">
        <v>4</v>
      </c>
    </row>
    <row r="205" spans="1:5" x14ac:dyDescent="0.2">
      <c r="A205" s="62">
        <v>98597</v>
      </c>
      <c r="B205" s="15" t="s">
        <v>10</v>
      </c>
      <c r="C205" s="16">
        <v>36</v>
      </c>
      <c r="D205" s="16">
        <v>41</v>
      </c>
      <c r="E205" s="70">
        <v>41</v>
      </c>
    </row>
    <row r="206" spans="1:5" x14ac:dyDescent="0.2">
      <c r="A206" s="62">
        <v>98922</v>
      </c>
      <c r="B206" s="15" t="s">
        <v>10</v>
      </c>
      <c r="C206" s="16">
        <v>5</v>
      </c>
      <c r="D206" s="16">
        <v>6</v>
      </c>
      <c r="E206" s="70">
        <v>5</v>
      </c>
    </row>
    <row r="207" spans="1:5" x14ac:dyDescent="0.2">
      <c r="A207" s="62">
        <v>98925</v>
      </c>
      <c r="B207" s="15" t="s">
        <v>10</v>
      </c>
      <c r="C207" s="16"/>
      <c r="D207" s="16">
        <v>1</v>
      </c>
      <c r="E207" s="70"/>
    </row>
    <row r="208" spans="1:5" x14ac:dyDescent="0.2">
      <c r="A208" s="62">
        <v>98926</v>
      </c>
      <c r="B208" s="15" t="s">
        <v>10</v>
      </c>
      <c r="C208" s="16">
        <v>6</v>
      </c>
      <c r="D208" s="16">
        <v>9</v>
      </c>
      <c r="E208" s="70">
        <v>5</v>
      </c>
    </row>
    <row r="209" spans="1:5" x14ac:dyDescent="0.2">
      <c r="A209" s="62">
        <v>98934</v>
      </c>
      <c r="B209" s="15" t="s">
        <v>10</v>
      </c>
      <c r="C209" s="16">
        <v>2</v>
      </c>
      <c r="D209" s="16">
        <v>1</v>
      </c>
      <c r="E209" s="70">
        <v>2</v>
      </c>
    </row>
    <row r="210" spans="1:5" x14ac:dyDescent="0.2">
      <c r="A210" s="62">
        <v>98940</v>
      </c>
      <c r="B210" s="15" t="s">
        <v>10</v>
      </c>
      <c r="C210" s="16"/>
      <c r="D210" s="16">
        <v>1</v>
      </c>
      <c r="E210" s="70">
        <v>1</v>
      </c>
    </row>
    <row r="211" spans="1:5" x14ac:dyDescent="0.2">
      <c r="A211" s="62">
        <v>98941</v>
      </c>
      <c r="B211" s="15" t="s">
        <v>10</v>
      </c>
      <c r="C211" s="16">
        <v>1</v>
      </c>
      <c r="D211" s="16">
        <v>2</v>
      </c>
      <c r="E211" s="70">
        <v>1</v>
      </c>
    </row>
    <row r="212" spans="1:5" x14ac:dyDescent="0.2">
      <c r="A212" s="62">
        <v>98943</v>
      </c>
      <c r="B212" s="15" t="s">
        <v>10</v>
      </c>
      <c r="C212" s="16">
        <v>1</v>
      </c>
      <c r="D212" s="16">
        <v>2</v>
      </c>
      <c r="E212" s="70">
        <v>1</v>
      </c>
    </row>
    <row r="213" spans="1:5" ht="16" thickBot="1" x14ac:dyDescent="0.25">
      <c r="A213" s="62"/>
      <c r="B213" s="15" t="s">
        <v>10</v>
      </c>
      <c r="C213" s="16">
        <v>3</v>
      </c>
      <c r="D213" s="16">
        <v>1</v>
      </c>
      <c r="E213" s="70">
        <v>1</v>
      </c>
    </row>
    <row r="214" spans="1:5" ht="16" thickBot="1" x14ac:dyDescent="0.25">
      <c r="A214" s="189" t="s">
        <v>354</v>
      </c>
      <c r="B214" s="187"/>
      <c r="C214" s="188">
        <f>SUM(C10:C213)</f>
        <v>3162</v>
      </c>
      <c r="D214" s="188">
        <f t="shared" ref="D214:E214" si="0">SUM(D10:D213)</f>
        <v>3679</v>
      </c>
      <c r="E214" s="188">
        <f t="shared" si="0"/>
        <v>2943</v>
      </c>
    </row>
    <row r="215" spans="1:5" x14ac:dyDescent="0.2">
      <c r="A215" s="88"/>
      <c r="B215" s="3"/>
      <c r="C215" s="3"/>
      <c r="D215" s="3"/>
      <c r="E215" s="50"/>
    </row>
    <row r="216" spans="1:5" x14ac:dyDescent="0.2">
      <c r="A216" s="88"/>
      <c r="B216" s="3"/>
      <c r="C216" s="3"/>
      <c r="D216" s="3"/>
      <c r="E216" s="50"/>
    </row>
    <row r="217" spans="1:5" x14ac:dyDescent="0.2">
      <c r="A217" s="88"/>
      <c r="B217" s="3"/>
      <c r="C217" s="3"/>
      <c r="D217" s="3"/>
      <c r="E217" s="50"/>
    </row>
    <row r="218" spans="1:5" x14ac:dyDescent="0.2">
      <c r="A218" s="88"/>
      <c r="B218" s="3"/>
      <c r="C218" s="3"/>
      <c r="D218" s="3"/>
      <c r="E218" s="50"/>
    </row>
    <row r="219" spans="1:5" x14ac:dyDescent="0.2">
      <c r="A219" s="88"/>
      <c r="B219" s="3"/>
      <c r="C219" s="3"/>
      <c r="D219" s="3"/>
      <c r="E219" s="50"/>
    </row>
  </sheetData>
  <mergeCells count="3">
    <mergeCell ref="A1:L1"/>
    <mergeCell ref="A8:B8"/>
    <mergeCell ref="C8:E8"/>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abSelected="1" topLeftCell="BC14" zoomScale="136" workbookViewId="0">
      <pane ySplit="3" topLeftCell="A179" activePane="bottomLeft" state="frozen"/>
      <selection activeCell="A14" sqref="A14"/>
      <selection pane="bottomLeft" activeCell="BJ213" sqref="BJ213:BL213"/>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hidden="1" thickBot="1" x14ac:dyDescent="0.25">
      <c r="A1" s="140" t="s">
        <v>0</v>
      </c>
      <c r="B1" s="141"/>
      <c r="C1" s="141"/>
      <c r="D1" s="141"/>
      <c r="E1" s="141"/>
      <c r="F1" s="142"/>
      <c r="G1" s="32"/>
      <c r="H1" s="28"/>
      <c r="I1" s="28"/>
      <c r="J1" s="28"/>
      <c r="K1" s="28"/>
      <c r="L1" s="28"/>
      <c r="M1" s="28"/>
    </row>
    <row r="2" spans="1:64" hidden="1" x14ac:dyDescent="0.2">
      <c r="A2" s="1">
        <v>1</v>
      </c>
      <c r="B2" s="2" t="s">
        <v>67</v>
      </c>
      <c r="C2" s="3"/>
      <c r="D2" s="3"/>
      <c r="E2" s="3"/>
      <c r="F2" s="3"/>
      <c r="G2" s="4"/>
      <c r="H2" s="3"/>
      <c r="I2" s="3"/>
      <c r="J2" s="3"/>
      <c r="K2" s="3"/>
      <c r="L2" s="3"/>
      <c r="M2" s="3"/>
    </row>
    <row r="3" spans="1:64" hidden="1" x14ac:dyDescent="0.2">
      <c r="A3" s="5">
        <v>2</v>
      </c>
      <c r="B3" s="29" t="s">
        <v>2</v>
      </c>
      <c r="C3" s="3"/>
      <c r="D3" s="3"/>
      <c r="E3" s="3"/>
      <c r="F3" s="3"/>
      <c r="G3" s="4"/>
      <c r="H3" s="3"/>
      <c r="I3" s="3"/>
      <c r="J3" s="3"/>
      <c r="K3" s="3"/>
      <c r="L3" s="3"/>
      <c r="M3" s="3"/>
    </row>
    <row r="4" spans="1:64" hidden="1" x14ac:dyDescent="0.2">
      <c r="A4" s="5">
        <v>3</v>
      </c>
      <c r="B4" s="3" t="s">
        <v>68</v>
      </c>
      <c r="C4" s="3"/>
      <c r="D4" s="3"/>
      <c r="E4" s="3"/>
      <c r="F4" s="3"/>
      <c r="G4" s="4"/>
      <c r="H4" s="3"/>
      <c r="I4" s="3"/>
      <c r="J4" s="3"/>
      <c r="K4" s="3"/>
      <c r="L4" s="3"/>
      <c r="M4" s="3"/>
    </row>
    <row r="5" spans="1:64" hidden="1" x14ac:dyDescent="0.2">
      <c r="A5" s="5">
        <v>4</v>
      </c>
      <c r="B5" s="3" t="s">
        <v>69</v>
      </c>
      <c r="C5" s="3"/>
      <c r="D5" s="3"/>
      <c r="E5" s="3"/>
      <c r="F5" s="3"/>
      <c r="G5" s="4"/>
      <c r="H5" s="3"/>
      <c r="I5" s="3"/>
      <c r="J5" s="3"/>
      <c r="K5" s="3"/>
      <c r="L5" s="3"/>
      <c r="M5" s="3"/>
    </row>
    <row r="6" spans="1:64" hidden="1" x14ac:dyDescent="0.2">
      <c r="A6" s="5">
        <v>5</v>
      </c>
      <c r="B6" s="3" t="s">
        <v>70</v>
      </c>
      <c r="C6" s="3"/>
      <c r="D6" s="3"/>
      <c r="E6" s="3"/>
      <c r="F6" s="3"/>
      <c r="G6" s="4"/>
      <c r="H6" s="3"/>
      <c r="I6" s="3"/>
      <c r="J6" s="3"/>
      <c r="K6" s="3"/>
      <c r="L6" s="3"/>
      <c r="M6" s="3"/>
      <c r="AL6" s="177"/>
      <c r="AM6" s="177"/>
      <c r="AN6" s="177"/>
    </row>
    <row r="7" spans="1:64" hidden="1" x14ac:dyDescent="0.2">
      <c r="A7" s="5">
        <v>6</v>
      </c>
      <c r="B7" s="3" t="s">
        <v>71</v>
      </c>
      <c r="C7" s="3"/>
      <c r="D7" s="3"/>
      <c r="E7" s="3"/>
      <c r="F7" s="3"/>
      <c r="G7" s="4"/>
      <c r="H7" s="3"/>
      <c r="I7" s="3"/>
      <c r="J7" s="3"/>
      <c r="K7" s="3"/>
      <c r="L7" s="3"/>
      <c r="M7" s="3"/>
      <c r="AL7" s="177"/>
      <c r="AM7" s="177"/>
      <c r="AN7" s="177"/>
    </row>
    <row r="8" spans="1:64" hidden="1" x14ac:dyDescent="0.2">
      <c r="A8" s="5">
        <v>7</v>
      </c>
      <c r="B8" s="3" t="s">
        <v>72</v>
      </c>
      <c r="C8" s="3"/>
      <c r="D8" s="3"/>
      <c r="E8" s="3"/>
      <c r="F8" s="3"/>
      <c r="G8" s="4"/>
      <c r="H8" s="3"/>
      <c r="I8" s="3"/>
      <c r="J8" s="3"/>
      <c r="K8" s="3"/>
      <c r="L8" s="3"/>
      <c r="M8" s="3"/>
      <c r="AL8" s="177"/>
      <c r="AM8" s="177"/>
      <c r="AN8" s="177"/>
    </row>
    <row r="9" spans="1:64" hidden="1" x14ac:dyDescent="0.2">
      <c r="A9" s="5">
        <v>8</v>
      </c>
      <c r="B9" s="3" t="s">
        <v>5</v>
      </c>
      <c r="C9" s="3"/>
      <c r="D9" s="3"/>
      <c r="E9" s="3"/>
      <c r="F9" s="3"/>
      <c r="G9" s="4"/>
      <c r="H9" s="3"/>
      <c r="I9" s="3"/>
      <c r="J9" s="3"/>
      <c r="K9" s="3"/>
      <c r="L9" s="3"/>
      <c r="M9" s="3"/>
      <c r="AL9" s="177"/>
      <c r="AM9" s="177"/>
      <c r="AN9" s="177"/>
    </row>
    <row r="10" spans="1:64" hidden="1" x14ac:dyDescent="0.2">
      <c r="A10" s="5">
        <v>9</v>
      </c>
      <c r="B10" s="3" t="s">
        <v>73</v>
      </c>
      <c r="C10" s="3"/>
      <c r="D10" s="3"/>
      <c r="E10" s="3"/>
      <c r="F10" s="3"/>
      <c r="G10" s="4"/>
      <c r="H10" s="3"/>
      <c r="I10" s="3"/>
      <c r="J10" s="3"/>
      <c r="K10" s="3"/>
      <c r="L10" s="3"/>
      <c r="M10" s="3"/>
      <c r="AL10" s="177"/>
      <c r="AM10" s="177"/>
      <c r="AN10" s="177"/>
    </row>
    <row r="11" spans="1:64" hidden="1" x14ac:dyDescent="0.2">
      <c r="A11" s="5">
        <v>10</v>
      </c>
      <c r="B11" s="3" t="s">
        <v>74</v>
      </c>
      <c r="C11" s="3"/>
      <c r="D11" s="3"/>
      <c r="E11" s="3"/>
      <c r="F11" s="3"/>
      <c r="G11" s="4"/>
      <c r="H11" s="3"/>
      <c r="I11" s="3"/>
      <c r="J11" s="3"/>
      <c r="K11" s="3"/>
      <c r="L11" s="3"/>
      <c r="M11" s="3"/>
      <c r="AL11" s="177"/>
      <c r="AM11" s="177"/>
      <c r="AN11" s="177"/>
    </row>
    <row r="12" spans="1:64" hidden="1" x14ac:dyDescent="0.2">
      <c r="A12" s="5">
        <v>11</v>
      </c>
      <c r="B12" s="6" t="s">
        <v>75</v>
      </c>
      <c r="C12" s="3"/>
      <c r="D12" s="3"/>
      <c r="E12" s="3"/>
      <c r="F12" s="3"/>
      <c r="G12" s="4"/>
      <c r="H12" s="3"/>
      <c r="I12" s="3"/>
      <c r="J12" s="3"/>
      <c r="K12" s="3"/>
      <c r="L12" s="3"/>
      <c r="M12" s="3"/>
    </row>
    <row r="13" spans="1:64" ht="16" hidden="1" thickBot="1" x14ac:dyDescent="0.25"/>
    <row r="14" spans="1:64" ht="30" customHeight="1" thickBot="1" x14ac:dyDescent="0.25">
      <c r="B14" s="146" t="s">
        <v>90</v>
      </c>
      <c r="C14" s="146"/>
      <c r="D14" s="156" t="s">
        <v>66</v>
      </c>
      <c r="E14" s="156"/>
      <c r="F14" s="156"/>
      <c r="H14" s="178" t="s">
        <v>65</v>
      </c>
      <c r="I14" s="179"/>
      <c r="J14" s="179"/>
      <c r="K14" s="179"/>
      <c r="L14" s="179"/>
      <c r="M14" s="179"/>
      <c r="N14" s="179"/>
      <c r="O14" s="179"/>
      <c r="P14" s="179"/>
      <c r="Q14" s="179"/>
      <c r="R14" s="179"/>
      <c r="S14" s="179"/>
      <c r="T14" s="179"/>
      <c r="U14" s="180"/>
      <c r="W14" s="178" t="s">
        <v>64</v>
      </c>
      <c r="X14" s="179"/>
      <c r="Y14" s="179"/>
      <c r="Z14" s="179"/>
      <c r="AA14" s="179"/>
      <c r="AB14" s="179"/>
      <c r="AC14" s="179"/>
      <c r="AD14" s="179"/>
      <c r="AE14" s="179"/>
      <c r="AF14" s="179"/>
      <c r="AG14" s="179"/>
      <c r="AH14" s="179"/>
      <c r="AI14" s="179"/>
      <c r="AJ14" s="180"/>
      <c r="AL14" s="143" t="s">
        <v>59</v>
      </c>
      <c r="AM14" s="144"/>
      <c r="AN14" s="145"/>
      <c r="AP14" s="143" t="s">
        <v>58</v>
      </c>
      <c r="AQ14" s="144"/>
      <c r="AR14" s="144"/>
      <c r="AS14" s="144"/>
      <c r="AT14" s="145"/>
      <c r="AV14" s="178" t="s">
        <v>56</v>
      </c>
      <c r="AW14" s="179"/>
      <c r="AX14" s="179"/>
      <c r="AY14" s="179"/>
      <c r="AZ14" s="180"/>
      <c r="BB14" s="178" t="s">
        <v>55</v>
      </c>
      <c r="BC14" s="179"/>
      <c r="BD14" s="179"/>
      <c r="BE14" s="179"/>
      <c r="BF14" s="180"/>
      <c r="BH14" s="178" t="s">
        <v>54</v>
      </c>
      <c r="BI14" s="179"/>
      <c r="BJ14" s="179"/>
      <c r="BK14" s="179"/>
      <c r="BL14" s="180"/>
    </row>
    <row r="15" spans="1:64" ht="16" thickBot="1" x14ac:dyDescent="0.25">
      <c r="B15" s="11" t="s">
        <v>8</v>
      </c>
      <c r="C15" s="11" t="s">
        <v>9</v>
      </c>
      <c r="D15" s="76">
        <v>44743</v>
      </c>
      <c r="E15" s="76">
        <v>44774</v>
      </c>
      <c r="F15" s="76">
        <v>44805</v>
      </c>
      <c r="H15" s="175" t="s">
        <v>8</v>
      </c>
      <c r="I15" s="175" t="s">
        <v>9</v>
      </c>
      <c r="J15" s="176">
        <v>44743</v>
      </c>
      <c r="K15" s="175"/>
      <c r="L15" s="175"/>
      <c r="M15" s="175"/>
      <c r="N15" s="176">
        <v>44774</v>
      </c>
      <c r="O15" s="175"/>
      <c r="P15" s="175"/>
      <c r="Q15" s="175"/>
      <c r="R15" s="176">
        <v>44805</v>
      </c>
      <c r="S15" s="175"/>
      <c r="T15" s="175"/>
      <c r="U15" s="175"/>
      <c r="W15" s="175" t="s">
        <v>8</v>
      </c>
      <c r="X15" s="175" t="s">
        <v>9</v>
      </c>
      <c r="Y15" s="176">
        <v>44743</v>
      </c>
      <c r="Z15" s="175"/>
      <c r="AA15" s="175"/>
      <c r="AB15" s="175"/>
      <c r="AC15" s="176">
        <v>44774</v>
      </c>
      <c r="AD15" s="175"/>
      <c r="AE15" s="175"/>
      <c r="AF15" s="175"/>
      <c r="AG15" s="176">
        <v>44805</v>
      </c>
      <c r="AH15" s="175"/>
      <c r="AI15" s="175"/>
      <c r="AJ15" s="175"/>
      <c r="AL15" s="76">
        <v>44743</v>
      </c>
      <c r="AM15" s="76">
        <v>44774</v>
      </c>
      <c r="AN15" s="76">
        <v>44805</v>
      </c>
      <c r="AP15" s="7" t="s">
        <v>8</v>
      </c>
      <c r="AQ15" s="7" t="s">
        <v>9</v>
      </c>
      <c r="AR15" s="76">
        <v>44743</v>
      </c>
      <c r="AS15" s="76">
        <v>44774</v>
      </c>
      <c r="AT15" s="76">
        <v>44805</v>
      </c>
      <c r="AV15" s="7" t="s">
        <v>8</v>
      </c>
      <c r="AW15" s="7" t="s">
        <v>9</v>
      </c>
      <c r="AX15" s="76">
        <v>44743</v>
      </c>
      <c r="AY15" s="76">
        <v>44774</v>
      </c>
      <c r="AZ15" s="76">
        <v>44805</v>
      </c>
      <c r="BB15" s="7" t="s">
        <v>8</v>
      </c>
      <c r="BC15" s="7" t="s">
        <v>9</v>
      </c>
      <c r="BD15" s="76">
        <v>44743</v>
      </c>
      <c r="BE15" s="76">
        <v>44774</v>
      </c>
      <c r="BF15" s="76">
        <v>44805</v>
      </c>
      <c r="BH15" s="7" t="s">
        <v>8</v>
      </c>
      <c r="BI15" s="7" t="s">
        <v>9</v>
      </c>
      <c r="BJ15" s="76">
        <v>44743</v>
      </c>
      <c r="BK15" s="76">
        <v>44774</v>
      </c>
      <c r="BL15" s="76">
        <v>44805</v>
      </c>
    </row>
    <row r="16" spans="1:64" ht="15" customHeight="1" thickBot="1" x14ac:dyDescent="0.25">
      <c r="B16" s="80">
        <v>98001</v>
      </c>
      <c r="C16" s="63" t="s">
        <v>345</v>
      </c>
      <c r="D16" s="45">
        <v>219</v>
      </c>
      <c r="E16" s="45">
        <v>169</v>
      </c>
      <c r="F16" s="45">
        <v>188</v>
      </c>
      <c r="H16" s="175"/>
      <c r="I16" s="175"/>
      <c r="J16" s="7" t="s">
        <v>60</v>
      </c>
      <c r="K16" s="7" t="s">
        <v>61</v>
      </c>
      <c r="L16" s="7" t="s">
        <v>62</v>
      </c>
      <c r="M16" s="7" t="s">
        <v>63</v>
      </c>
      <c r="N16" s="7" t="s">
        <v>60</v>
      </c>
      <c r="O16" s="7" t="s">
        <v>61</v>
      </c>
      <c r="P16" s="7" t="s">
        <v>62</v>
      </c>
      <c r="Q16" s="7" t="s">
        <v>63</v>
      </c>
      <c r="R16" s="7" t="s">
        <v>60</v>
      </c>
      <c r="S16" s="7" t="s">
        <v>61</v>
      </c>
      <c r="T16" s="7" t="s">
        <v>62</v>
      </c>
      <c r="U16" s="7" t="s">
        <v>63</v>
      </c>
      <c r="W16" s="175"/>
      <c r="X16" s="175"/>
      <c r="Y16" s="7" t="s">
        <v>60</v>
      </c>
      <c r="Z16" s="7" t="s">
        <v>61</v>
      </c>
      <c r="AA16" s="7" t="s">
        <v>62</v>
      </c>
      <c r="AB16" s="7" t="s">
        <v>63</v>
      </c>
      <c r="AC16" s="7" t="s">
        <v>60</v>
      </c>
      <c r="AD16" s="7" t="s">
        <v>61</v>
      </c>
      <c r="AE16" s="7" t="s">
        <v>62</v>
      </c>
      <c r="AF16" s="7" t="s">
        <v>63</v>
      </c>
      <c r="AG16" s="7" t="s">
        <v>60</v>
      </c>
      <c r="AH16" s="7" t="s">
        <v>61</v>
      </c>
      <c r="AI16" s="7" t="s">
        <v>62</v>
      </c>
      <c r="AJ16" s="7" t="s">
        <v>63</v>
      </c>
      <c r="AL16" s="103">
        <v>-36531339.159999996</v>
      </c>
      <c r="AM16" s="103">
        <v>-36157700.270000003</v>
      </c>
      <c r="AN16" s="103">
        <v>-39332587.890000001</v>
      </c>
      <c r="AP16" s="150" t="s">
        <v>57</v>
      </c>
      <c r="AQ16" s="151"/>
      <c r="AR16" s="151"/>
      <c r="AS16" s="151"/>
      <c r="AT16" s="152"/>
      <c r="AV16" s="72" t="s">
        <v>93</v>
      </c>
      <c r="AW16" s="72" t="s">
        <v>345</v>
      </c>
      <c r="AX16" s="49">
        <v>9</v>
      </c>
      <c r="AY16" s="49">
        <v>14</v>
      </c>
      <c r="AZ16" s="49">
        <v>1</v>
      </c>
      <c r="BB16" s="72" t="s">
        <v>93</v>
      </c>
      <c r="BC16" s="72" t="s">
        <v>345</v>
      </c>
      <c r="BD16" s="74">
        <v>1188.23</v>
      </c>
      <c r="BE16" s="74">
        <v>95415.1</v>
      </c>
      <c r="BF16" s="74">
        <v>1733.67</v>
      </c>
      <c r="BH16" s="72">
        <v>98001</v>
      </c>
      <c r="BI16" s="72" t="s">
        <v>10</v>
      </c>
      <c r="BJ16" s="74"/>
      <c r="BK16" s="74"/>
      <c r="BL16" s="74">
        <v>-1349.56</v>
      </c>
    </row>
    <row r="17" spans="2:64" ht="15.75" customHeight="1" thickBot="1" x14ac:dyDescent="0.25">
      <c r="B17" s="56">
        <v>98001</v>
      </c>
      <c r="C17" s="62" t="s">
        <v>10</v>
      </c>
      <c r="D17" s="46">
        <v>1975</v>
      </c>
      <c r="E17" s="46">
        <v>1918</v>
      </c>
      <c r="F17" s="46">
        <v>1943</v>
      </c>
      <c r="H17" s="72">
        <v>98001</v>
      </c>
      <c r="I17" s="72" t="s">
        <v>345</v>
      </c>
      <c r="J17" s="74">
        <v>168121.98</v>
      </c>
      <c r="K17" s="74">
        <v>21936.38</v>
      </c>
      <c r="L17" s="74">
        <v>185172.52</v>
      </c>
      <c r="M17" s="74">
        <v>675186.179999999</v>
      </c>
      <c r="N17" s="74">
        <v>145095.03</v>
      </c>
      <c r="O17" s="74">
        <v>72449.960000000006</v>
      </c>
      <c r="P17" s="74">
        <v>110592.209999999</v>
      </c>
      <c r="Q17" s="74">
        <v>485195.64</v>
      </c>
      <c r="R17" s="74">
        <v>137185.26</v>
      </c>
      <c r="S17" s="74">
        <v>44948.77</v>
      </c>
      <c r="T17" s="74">
        <v>124143.54</v>
      </c>
      <c r="U17" s="74">
        <v>722401.16999999899</v>
      </c>
      <c r="W17" s="72">
        <v>98001</v>
      </c>
      <c r="X17" s="13" t="s">
        <v>10</v>
      </c>
      <c r="Y17" s="74">
        <v>33860.18</v>
      </c>
      <c r="Z17" s="74">
        <v>33893.910000000003</v>
      </c>
      <c r="AA17" s="74">
        <v>145509.549999999</v>
      </c>
      <c r="AB17" s="74">
        <v>248453.90999999901</v>
      </c>
      <c r="AC17" s="74">
        <v>25217.32</v>
      </c>
      <c r="AD17" s="74">
        <v>29875.99</v>
      </c>
      <c r="AE17" s="74">
        <v>169723.639999999</v>
      </c>
      <c r="AF17" s="74">
        <v>255005.739999999</v>
      </c>
      <c r="AG17" s="74">
        <v>26070.2</v>
      </c>
      <c r="AH17" s="74">
        <v>21743.03</v>
      </c>
      <c r="AI17" s="74">
        <v>178681.959999999</v>
      </c>
      <c r="AJ17" s="74">
        <v>259630.91</v>
      </c>
      <c r="AL17" s="169" t="s">
        <v>77</v>
      </c>
      <c r="AM17" s="170"/>
      <c r="AN17" s="171"/>
      <c r="AP17" s="153"/>
      <c r="AQ17" s="154"/>
      <c r="AR17" s="154"/>
      <c r="AS17" s="154"/>
      <c r="AT17" s="155"/>
      <c r="AV17" s="73" t="s">
        <v>93</v>
      </c>
      <c r="AW17" s="73" t="s">
        <v>10</v>
      </c>
      <c r="AX17" s="33">
        <v>33</v>
      </c>
      <c r="AY17" s="33">
        <v>27</v>
      </c>
      <c r="AZ17" s="33">
        <v>34</v>
      </c>
      <c r="BB17" s="73" t="s">
        <v>93</v>
      </c>
      <c r="BC17" s="73" t="s">
        <v>10</v>
      </c>
      <c r="BD17" s="75">
        <v>34464.35</v>
      </c>
      <c r="BE17" s="75">
        <v>45227.38</v>
      </c>
      <c r="BF17" s="75">
        <v>38624.410000000003</v>
      </c>
      <c r="BH17" s="73">
        <v>98002</v>
      </c>
      <c r="BI17" s="73" t="s">
        <v>345</v>
      </c>
      <c r="BJ17" s="75"/>
      <c r="BK17" s="75">
        <v>-1301.82</v>
      </c>
      <c r="BL17" s="75"/>
    </row>
    <row r="18" spans="2:64" x14ac:dyDescent="0.2">
      <c r="B18" s="81">
        <v>98002</v>
      </c>
      <c r="C18" s="62" t="s">
        <v>345</v>
      </c>
      <c r="D18" s="46">
        <v>362</v>
      </c>
      <c r="E18" s="46">
        <v>271</v>
      </c>
      <c r="F18" s="46">
        <v>367</v>
      </c>
      <c r="H18" s="73">
        <v>98001</v>
      </c>
      <c r="I18" s="73" t="s">
        <v>10</v>
      </c>
      <c r="J18" s="75">
        <v>188302.26</v>
      </c>
      <c r="K18" s="75">
        <v>151946.70000000001</v>
      </c>
      <c r="L18" s="75">
        <v>830563.23</v>
      </c>
      <c r="M18" s="75">
        <v>1405519.76</v>
      </c>
      <c r="N18" s="75">
        <v>140237.63</v>
      </c>
      <c r="O18" s="75">
        <v>151440.37</v>
      </c>
      <c r="P18" s="75">
        <v>913935.40000000095</v>
      </c>
      <c r="Q18" s="75">
        <v>1404698.03</v>
      </c>
      <c r="R18" s="75">
        <v>136632.32999999999</v>
      </c>
      <c r="S18" s="75">
        <v>113575.19</v>
      </c>
      <c r="T18" s="75">
        <v>930123.49999999895</v>
      </c>
      <c r="U18" s="75">
        <v>1379431.77999999</v>
      </c>
      <c r="W18" s="73">
        <v>98002</v>
      </c>
      <c r="X18" s="15" t="s">
        <v>10</v>
      </c>
      <c r="Y18" s="75">
        <v>70060.86</v>
      </c>
      <c r="Z18" s="75">
        <v>77619.34</v>
      </c>
      <c r="AA18" s="75">
        <v>310342.59999999899</v>
      </c>
      <c r="AB18" s="75">
        <v>530908.36</v>
      </c>
      <c r="AC18" s="75">
        <v>49802.47</v>
      </c>
      <c r="AD18" s="75">
        <v>59118.6</v>
      </c>
      <c r="AE18" s="75">
        <v>353551.679999999</v>
      </c>
      <c r="AF18" s="75">
        <v>537478.47</v>
      </c>
      <c r="AG18" s="75">
        <v>61707.26</v>
      </c>
      <c r="AH18" s="75">
        <v>42775.43</v>
      </c>
      <c r="AI18" s="75">
        <v>362624.09</v>
      </c>
      <c r="AJ18" s="75">
        <v>542167.74</v>
      </c>
      <c r="AL18" s="169"/>
      <c r="AM18" s="170"/>
      <c r="AN18" s="171"/>
      <c r="AV18" s="73" t="s">
        <v>95</v>
      </c>
      <c r="AW18" s="73" t="s">
        <v>345</v>
      </c>
      <c r="AX18" s="33"/>
      <c r="AY18" s="33">
        <v>12</v>
      </c>
      <c r="AZ18" s="33">
        <v>10</v>
      </c>
      <c r="BB18" s="73" t="s">
        <v>95</v>
      </c>
      <c r="BC18" s="73" t="s">
        <v>345</v>
      </c>
      <c r="BD18" s="75"/>
      <c r="BE18" s="75">
        <v>19123.48</v>
      </c>
      <c r="BF18" s="75">
        <v>6930.26</v>
      </c>
      <c r="BH18" s="73">
        <v>98002</v>
      </c>
      <c r="BI18" s="73" t="s">
        <v>10</v>
      </c>
      <c r="BJ18" s="75">
        <v>-693.93</v>
      </c>
      <c r="BK18" s="75">
        <v>-1931.44</v>
      </c>
      <c r="BL18" s="75">
        <v>-304.99</v>
      </c>
    </row>
    <row r="19" spans="2:64" x14ac:dyDescent="0.2">
      <c r="B19" s="56">
        <v>98002</v>
      </c>
      <c r="C19" s="62" t="s">
        <v>10</v>
      </c>
      <c r="D19" s="46">
        <v>4756</v>
      </c>
      <c r="E19" s="46">
        <v>4669</v>
      </c>
      <c r="F19" s="46">
        <v>4814</v>
      </c>
      <c r="H19" s="73">
        <v>98002</v>
      </c>
      <c r="I19" s="73" t="s">
        <v>345</v>
      </c>
      <c r="J19" s="75">
        <v>64036.959999999999</v>
      </c>
      <c r="K19" s="75">
        <v>25233.02</v>
      </c>
      <c r="L19" s="75">
        <v>206948.26</v>
      </c>
      <c r="M19" s="75">
        <v>603653.98</v>
      </c>
      <c r="N19" s="75">
        <v>20241.830000000002</v>
      </c>
      <c r="O19" s="75">
        <v>14561.79</v>
      </c>
      <c r="P19" s="75">
        <v>190507.78</v>
      </c>
      <c r="Q19" s="75">
        <v>305127.859999999</v>
      </c>
      <c r="R19" s="75">
        <v>28656.89</v>
      </c>
      <c r="S19" s="75">
        <v>12218.47</v>
      </c>
      <c r="T19" s="75">
        <v>188441.27</v>
      </c>
      <c r="U19" s="75">
        <v>571347.4</v>
      </c>
      <c r="W19" s="73">
        <v>98003</v>
      </c>
      <c r="X19" s="15" t="s">
        <v>10</v>
      </c>
      <c r="Y19" s="75">
        <v>98586.14</v>
      </c>
      <c r="Z19" s="75">
        <v>92601.83</v>
      </c>
      <c r="AA19" s="75">
        <v>344670.07999999903</v>
      </c>
      <c r="AB19" s="75">
        <v>626492.04</v>
      </c>
      <c r="AC19" s="75">
        <v>78659.17</v>
      </c>
      <c r="AD19" s="75">
        <v>87414.52</v>
      </c>
      <c r="AE19" s="75">
        <v>394109.99</v>
      </c>
      <c r="AF19" s="75">
        <v>638000.51</v>
      </c>
      <c r="AG19" s="75">
        <v>66664.06</v>
      </c>
      <c r="AH19" s="75">
        <v>70351.31</v>
      </c>
      <c r="AI19" s="75">
        <v>432332.9</v>
      </c>
      <c r="AJ19" s="75">
        <v>644084.63</v>
      </c>
      <c r="AL19" s="169"/>
      <c r="AM19" s="170"/>
      <c r="AN19" s="171"/>
      <c r="AV19" s="73" t="s">
        <v>95</v>
      </c>
      <c r="AW19" s="73" t="s">
        <v>10</v>
      </c>
      <c r="AX19" s="33">
        <v>63</v>
      </c>
      <c r="AY19" s="33">
        <v>89</v>
      </c>
      <c r="AZ19" s="33">
        <v>76</v>
      </c>
      <c r="BB19" s="73" t="s">
        <v>95</v>
      </c>
      <c r="BC19" s="73" t="s">
        <v>10</v>
      </c>
      <c r="BD19" s="75">
        <v>44371.43</v>
      </c>
      <c r="BE19" s="75">
        <v>45449.59</v>
      </c>
      <c r="BF19" s="75">
        <v>56317.39</v>
      </c>
      <c r="BH19" s="73">
        <v>98003</v>
      </c>
      <c r="BI19" s="73" t="s">
        <v>345</v>
      </c>
      <c r="BJ19" s="75"/>
      <c r="BK19" s="75">
        <v>-1655.28</v>
      </c>
      <c r="BL19" s="75">
        <v>-356.45</v>
      </c>
    </row>
    <row r="20" spans="2:64" x14ac:dyDescent="0.2">
      <c r="B20" s="81">
        <v>98003</v>
      </c>
      <c r="C20" s="62" t="s">
        <v>345</v>
      </c>
      <c r="D20" s="46">
        <v>400</v>
      </c>
      <c r="E20" s="46">
        <v>273</v>
      </c>
      <c r="F20" s="46">
        <v>319</v>
      </c>
      <c r="H20" s="73">
        <v>98002</v>
      </c>
      <c r="I20" s="73" t="s">
        <v>10</v>
      </c>
      <c r="J20" s="75">
        <v>281695.13</v>
      </c>
      <c r="K20" s="75">
        <v>285492.06</v>
      </c>
      <c r="L20" s="75">
        <v>1349697.22</v>
      </c>
      <c r="M20" s="75">
        <v>2305855.9199999901</v>
      </c>
      <c r="N20" s="75">
        <v>204457.62</v>
      </c>
      <c r="O20" s="75">
        <v>220405.85</v>
      </c>
      <c r="P20" s="75">
        <v>1496119.23999999</v>
      </c>
      <c r="Q20" s="75">
        <v>2338435.2200000002</v>
      </c>
      <c r="R20" s="75">
        <v>261699.72</v>
      </c>
      <c r="S20" s="75">
        <v>166369.85</v>
      </c>
      <c r="T20" s="75">
        <v>1545023.9499999899</v>
      </c>
      <c r="U20" s="75">
        <v>2399598.2299999902</v>
      </c>
      <c r="W20" s="73">
        <v>98004</v>
      </c>
      <c r="X20" s="15" t="s">
        <v>10</v>
      </c>
      <c r="Y20" s="75">
        <v>8582.9599999999991</v>
      </c>
      <c r="Z20" s="75">
        <v>9500.6</v>
      </c>
      <c r="AA20" s="75">
        <v>45148.679999999898</v>
      </c>
      <c r="AB20" s="75">
        <v>71570.789999999994</v>
      </c>
      <c r="AC20" s="75">
        <v>6338.52</v>
      </c>
      <c r="AD20" s="75">
        <v>6574.73</v>
      </c>
      <c r="AE20" s="75">
        <v>44045.929999999898</v>
      </c>
      <c r="AF20" s="75">
        <v>63409.120000000003</v>
      </c>
      <c r="AG20" s="75">
        <v>5890.31</v>
      </c>
      <c r="AH20" s="75">
        <v>6081.29</v>
      </c>
      <c r="AI20" s="75">
        <v>50633.39</v>
      </c>
      <c r="AJ20" s="75">
        <v>70004.800000000003</v>
      </c>
      <c r="AL20" s="169"/>
      <c r="AM20" s="170"/>
      <c r="AN20" s="171"/>
      <c r="AV20" s="73" t="s">
        <v>96</v>
      </c>
      <c r="AW20" s="73" t="s">
        <v>345</v>
      </c>
      <c r="AX20" s="33">
        <v>3</v>
      </c>
      <c r="AY20" s="33">
        <v>9</v>
      </c>
      <c r="AZ20" s="33">
        <v>16</v>
      </c>
      <c r="BB20" s="73" t="s">
        <v>96</v>
      </c>
      <c r="BC20" s="73" t="s">
        <v>345</v>
      </c>
      <c r="BD20" s="75">
        <v>2667.71</v>
      </c>
      <c r="BE20" s="75">
        <v>3454.71</v>
      </c>
      <c r="BF20" s="75">
        <v>20226.29</v>
      </c>
      <c r="BH20" s="73">
        <v>98003</v>
      </c>
      <c r="BI20" s="73" t="s">
        <v>10</v>
      </c>
      <c r="BJ20" s="75">
        <v>-707.26</v>
      </c>
      <c r="BK20" s="75">
        <v>-1484.92</v>
      </c>
      <c r="BL20" s="75">
        <v>-1183.69</v>
      </c>
    </row>
    <row r="21" spans="2:64" x14ac:dyDescent="0.2">
      <c r="B21" s="56">
        <v>98003</v>
      </c>
      <c r="C21" s="62" t="s">
        <v>10</v>
      </c>
      <c r="D21" s="46">
        <v>4729</v>
      </c>
      <c r="E21" s="46">
        <v>4615</v>
      </c>
      <c r="F21" s="46">
        <v>4756</v>
      </c>
      <c r="H21" s="73">
        <v>98003</v>
      </c>
      <c r="I21" s="73" t="s">
        <v>345</v>
      </c>
      <c r="J21" s="75">
        <v>29525.18</v>
      </c>
      <c r="K21" s="75">
        <v>20638.11</v>
      </c>
      <c r="L21" s="75">
        <v>270460.23</v>
      </c>
      <c r="M21" s="75">
        <v>392252.41</v>
      </c>
      <c r="N21" s="75">
        <v>23355.25</v>
      </c>
      <c r="O21" s="75">
        <v>21168.82</v>
      </c>
      <c r="P21" s="75">
        <v>281367.64</v>
      </c>
      <c r="Q21" s="75">
        <v>366786.85</v>
      </c>
      <c r="R21" s="75">
        <v>26887.47</v>
      </c>
      <c r="S21" s="75">
        <v>18120.990000000002</v>
      </c>
      <c r="T21" s="75">
        <v>278768.92</v>
      </c>
      <c r="U21" s="75">
        <v>483611.45</v>
      </c>
      <c r="W21" s="73">
        <v>98005</v>
      </c>
      <c r="X21" s="15" t="s">
        <v>10</v>
      </c>
      <c r="Y21" s="75">
        <v>6918.85</v>
      </c>
      <c r="Z21" s="75">
        <v>7324.32</v>
      </c>
      <c r="AA21" s="75">
        <v>31694.389999999901</v>
      </c>
      <c r="AB21" s="75">
        <v>52704.81</v>
      </c>
      <c r="AC21" s="75">
        <v>4880.75</v>
      </c>
      <c r="AD21" s="75">
        <v>5233.08</v>
      </c>
      <c r="AE21" s="75">
        <v>30381.1499999999</v>
      </c>
      <c r="AF21" s="75">
        <v>47411.609999999899</v>
      </c>
      <c r="AG21" s="75">
        <v>4726.49</v>
      </c>
      <c r="AH21" s="75">
        <v>4116.4799999999996</v>
      </c>
      <c r="AI21" s="75">
        <v>27018.36</v>
      </c>
      <c r="AJ21" s="75">
        <v>41576.230000000003</v>
      </c>
      <c r="AL21" s="169"/>
      <c r="AM21" s="170"/>
      <c r="AN21" s="171"/>
      <c r="AV21" s="73" t="s">
        <v>96</v>
      </c>
      <c r="AW21" s="73" t="s">
        <v>10</v>
      </c>
      <c r="AX21" s="33">
        <v>89</v>
      </c>
      <c r="AY21" s="33">
        <v>106</v>
      </c>
      <c r="AZ21" s="33">
        <v>107</v>
      </c>
      <c r="BB21" s="73" t="s">
        <v>96</v>
      </c>
      <c r="BC21" s="73" t="s">
        <v>10</v>
      </c>
      <c r="BD21" s="75">
        <v>54818.83</v>
      </c>
      <c r="BE21" s="75">
        <v>74226.86</v>
      </c>
      <c r="BF21" s="75">
        <v>53927.72</v>
      </c>
      <c r="BH21" s="73">
        <v>98004</v>
      </c>
      <c r="BI21" s="73" t="s">
        <v>345</v>
      </c>
      <c r="BJ21" s="75"/>
      <c r="BK21" s="75">
        <v>-9585.1299999999992</v>
      </c>
      <c r="BL21" s="75">
        <v>-3054.55</v>
      </c>
    </row>
    <row r="22" spans="2:64" x14ac:dyDescent="0.2">
      <c r="B22" s="81">
        <v>98004</v>
      </c>
      <c r="C22" s="62" t="s">
        <v>345</v>
      </c>
      <c r="D22" s="46">
        <v>213</v>
      </c>
      <c r="E22" s="46">
        <v>200</v>
      </c>
      <c r="F22" s="46">
        <v>248</v>
      </c>
      <c r="H22" s="73">
        <v>98003</v>
      </c>
      <c r="I22" s="73" t="s">
        <v>10</v>
      </c>
      <c r="J22" s="75">
        <v>384816.36</v>
      </c>
      <c r="K22" s="75">
        <v>332878.96000000002</v>
      </c>
      <c r="L22" s="75">
        <v>1679406.23999999</v>
      </c>
      <c r="M22" s="75">
        <v>2837810.8099999898</v>
      </c>
      <c r="N22" s="75">
        <v>314782.27</v>
      </c>
      <c r="O22" s="75">
        <v>313278.59000000003</v>
      </c>
      <c r="P22" s="75">
        <v>1806527.65</v>
      </c>
      <c r="Q22" s="75">
        <v>2803374.48</v>
      </c>
      <c r="R22" s="75">
        <v>278058.45</v>
      </c>
      <c r="S22" s="75">
        <v>258210.07</v>
      </c>
      <c r="T22" s="75">
        <v>1935158.38</v>
      </c>
      <c r="U22" s="75">
        <v>2857719.48</v>
      </c>
      <c r="W22" s="73">
        <v>98006</v>
      </c>
      <c r="X22" s="15" t="s">
        <v>10</v>
      </c>
      <c r="Y22" s="75">
        <v>12109.71</v>
      </c>
      <c r="Z22" s="75">
        <v>13715.89</v>
      </c>
      <c r="AA22" s="75">
        <v>57222.639999999898</v>
      </c>
      <c r="AB22" s="75">
        <v>94965.679999999906</v>
      </c>
      <c r="AC22" s="75">
        <v>9703.5300000000007</v>
      </c>
      <c r="AD22" s="75">
        <v>10468.549999999999</v>
      </c>
      <c r="AE22" s="75">
        <v>62728.6499999999</v>
      </c>
      <c r="AF22" s="75">
        <v>93537.919999999998</v>
      </c>
      <c r="AG22" s="75">
        <v>8917.69</v>
      </c>
      <c r="AH22" s="75">
        <v>9035.27</v>
      </c>
      <c r="AI22" s="75">
        <v>63947.1899999999</v>
      </c>
      <c r="AJ22" s="75">
        <v>93614.92</v>
      </c>
      <c r="AL22" s="169"/>
      <c r="AM22" s="170"/>
      <c r="AN22" s="171"/>
      <c r="AQ22" s="130"/>
      <c r="AR22" s="130"/>
      <c r="AS22" s="130"/>
      <c r="AV22" s="73" t="s">
        <v>97</v>
      </c>
      <c r="AW22" s="73" t="s">
        <v>345</v>
      </c>
      <c r="AX22" s="33">
        <v>4</v>
      </c>
      <c r="AY22" s="33">
        <v>6</v>
      </c>
      <c r="AZ22" s="33">
        <v>4</v>
      </c>
      <c r="BB22" s="73" t="s">
        <v>97</v>
      </c>
      <c r="BC22" s="73" t="s">
        <v>345</v>
      </c>
      <c r="BD22" s="75">
        <v>3409.3599999999997</v>
      </c>
      <c r="BE22" s="75">
        <v>224.88</v>
      </c>
      <c r="BF22" s="75">
        <v>16380.66</v>
      </c>
      <c r="BH22" s="73">
        <v>98004</v>
      </c>
      <c r="BI22" s="73" t="s">
        <v>10</v>
      </c>
      <c r="BJ22" s="75">
        <v>-821.56</v>
      </c>
      <c r="BK22" s="75">
        <v>-669.49</v>
      </c>
      <c r="BL22" s="75">
        <v>-1563.39</v>
      </c>
    </row>
    <row r="23" spans="2:64" x14ac:dyDescent="0.2">
      <c r="B23" s="56">
        <v>98004</v>
      </c>
      <c r="C23" s="62" t="s">
        <v>10</v>
      </c>
      <c r="D23" s="46">
        <v>2337</v>
      </c>
      <c r="E23" s="46">
        <v>2348</v>
      </c>
      <c r="F23" s="46">
        <v>2489</v>
      </c>
      <c r="H23" s="73">
        <v>98004</v>
      </c>
      <c r="I23" s="73" t="s">
        <v>345</v>
      </c>
      <c r="J23" s="75">
        <v>37743.730000000003</v>
      </c>
      <c r="K23" s="75">
        <v>26096.63</v>
      </c>
      <c r="L23" s="75">
        <v>119950.069999999</v>
      </c>
      <c r="M23" s="75">
        <v>591485.64999999898</v>
      </c>
      <c r="N23" s="75">
        <v>45060.86</v>
      </c>
      <c r="O23" s="75">
        <v>13371.6</v>
      </c>
      <c r="P23" s="75">
        <v>127705.579999999</v>
      </c>
      <c r="Q23" s="75">
        <v>359349.049999999</v>
      </c>
      <c r="R23" s="75">
        <v>30916.81</v>
      </c>
      <c r="S23" s="75">
        <v>15355.41</v>
      </c>
      <c r="T23" s="75">
        <v>112366.249999999</v>
      </c>
      <c r="U23" s="75">
        <v>364168.049999999</v>
      </c>
      <c r="W23" s="73">
        <v>98007</v>
      </c>
      <c r="X23" s="15" t="s">
        <v>10</v>
      </c>
      <c r="Y23" s="75">
        <v>20156.29</v>
      </c>
      <c r="Z23" s="75">
        <v>21478.27</v>
      </c>
      <c r="AA23" s="75">
        <v>85263.77</v>
      </c>
      <c r="AB23" s="75">
        <v>146274.93</v>
      </c>
      <c r="AC23" s="75">
        <v>15944.86</v>
      </c>
      <c r="AD23" s="75">
        <v>16331.95</v>
      </c>
      <c r="AE23" s="75">
        <v>85721.88</v>
      </c>
      <c r="AF23" s="75">
        <v>136245.53</v>
      </c>
      <c r="AG23" s="75">
        <v>14504.18</v>
      </c>
      <c r="AH23" s="75">
        <v>13305.99</v>
      </c>
      <c r="AI23" s="75">
        <v>83872.519999999902</v>
      </c>
      <c r="AJ23" s="75">
        <v>131330.95000000001</v>
      </c>
      <c r="AL23" s="169"/>
      <c r="AM23" s="170"/>
      <c r="AN23" s="171"/>
      <c r="AQ23" s="130"/>
      <c r="AR23" s="130"/>
      <c r="AS23" s="130"/>
      <c r="AV23" s="73" t="s">
        <v>97</v>
      </c>
      <c r="AW23" s="73" t="s">
        <v>10</v>
      </c>
      <c r="AX23" s="33">
        <v>46</v>
      </c>
      <c r="AY23" s="33">
        <v>95</v>
      </c>
      <c r="AZ23" s="33">
        <v>77</v>
      </c>
      <c r="BB23" s="73" t="s">
        <v>97</v>
      </c>
      <c r="BC23" s="73" t="s">
        <v>10</v>
      </c>
      <c r="BD23" s="75">
        <v>10094.01</v>
      </c>
      <c r="BE23" s="75">
        <v>34055.75</v>
      </c>
      <c r="BF23" s="75">
        <v>16497.34</v>
      </c>
      <c r="BH23" s="73">
        <v>98005</v>
      </c>
      <c r="BI23" s="73" t="s">
        <v>345</v>
      </c>
      <c r="BJ23" s="75">
        <v>-874.74</v>
      </c>
      <c r="BK23" s="75"/>
      <c r="BL23" s="75"/>
    </row>
    <row r="24" spans="2:64" x14ac:dyDescent="0.2">
      <c r="B24" s="81">
        <v>98005</v>
      </c>
      <c r="C24" s="62" t="s">
        <v>345</v>
      </c>
      <c r="D24" s="46">
        <v>172</v>
      </c>
      <c r="E24" s="46">
        <v>180</v>
      </c>
      <c r="F24" s="46">
        <v>225</v>
      </c>
      <c r="H24" s="73">
        <v>98004</v>
      </c>
      <c r="I24" s="73" t="s">
        <v>10</v>
      </c>
      <c r="J24" s="75">
        <v>100665.32</v>
      </c>
      <c r="K24" s="75">
        <v>92115</v>
      </c>
      <c r="L24" s="75">
        <v>453842.08</v>
      </c>
      <c r="M24" s="75">
        <v>799320.49</v>
      </c>
      <c r="N24" s="75">
        <v>84227</v>
      </c>
      <c r="O24" s="75">
        <v>68136.73</v>
      </c>
      <c r="P24" s="75">
        <v>446287.68</v>
      </c>
      <c r="Q24" s="75">
        <v>739414.22</v>
      </c>
      <c r="R24" s="75">
        <v>85294.720000000001</v>
      </c>
      <c r="S24" s="75">
        <v>65663.240000000005</v>
      </c>
      <c r="T24" s="75">
        <v>456658.1</v>
      </c>
      <c r="U24" s="75">
        <v>783753.12</v>
      </c>
      <c r="W24" s="73">
        <v>98008</v>
      </c>
      <c r="X24" s="15" t="s">
        <v>10</v>
      </c>
      <c r="Y24" s="75">
        <v>8028.27</v>
      </c>
      <c r="Z24" s="75">
        <v>8637.65</v>
      </c>
      <c r="AA24" s="75">
        <v>41513.71</v>
      </c>
      <c r="AB24" s="75">
        <v>67340.56</v>
      </c>
      <c r="AC24" s="75">
        <v>7383.36</v>
      </c>
      <c r="AD24" s="75">
        <v>6748.9</v>
      </c>
      <c r="AE24" s="75">
        <v>46996.45</v>
      </c>
      <c r="AF24" s="75">
        <v>68875.479999999894</v>
      </c>
      <c r="AG24" s="75">
        <v>5562.58</v>
      </c>
      <c r="AH24" s="75">
        <v>5232.09</v>
      </c>
      <c r="AI24" s="75">
        <v>36739.160000000003</v>
      </c>
      <c r="AJ24" s="75">
        <v>55188.24</v>
      </c>
      <c r="AL24" s="169"/>
      <c r="AM24" s="170"/>
      <c r="AN24" s="171"/>
      <c r="AQ24" s="130"/>
      <c r="AR24" s="130"/>
      <c r="AS24" s="130"/>
      <c r="AV24" s="73" t="s">
        <v>98</v>
      </c>
      <c r="AW24" s="73" t="s">
        <v>345</v>
      </c>
      <c r="AX24" s="33">
        <v>3</v>
      </c>
      <c r="AY24" s="33">
        <v>7</v>
      </c>
      <c r="AZ24" s="33">
        <v>2</v>
      </c>
      <c r="BB24" s="73" t="s">
        <v>98</v>
      </c>
      <c r="BC24" s="73" t="s">
        <v>345</v>
      </c>
      <c r="BD24" s="75"/>
      <c r="BE24" s="75">
        <v>7974.4800000000005</v>
      </c>
      <c r="BF24" s="75">
        <v>1921.78</v>
      </c>
      <c r="BH24" s="73">
        <v>98005</v>
      </c>
      <c r="BI24" s="73" t="s">
        <v>10</v>
      </c>
      <c r="BJ24" s="75">
        <v>-289.89</v>
      </c>
      <c r="BK24" s="75"/>
      <c r="BL24" s="75">
        <v>-254.94</v>
      </c>
    </row>
    <row r="25" spans="2:64" x14ac:dyDescent="0.2">
      <c r="B25" s="56">
        <v>98005</v>
      </c>
      <c r="C25" s="62" t="s">
        <v>10</v>
      </c>
      <c r="D25" s="46">
        <v>1027</v>
      </c>
      <c r="E25" s="46">
        <v>1018</v>
      </c>
      <c r="F25" s="46">
        <v>1067</v>
      </c>
      <c r="H25" s="73">
        <v>98005</v>
      </c>
      <c r="I25" s="73" t="s">
        <v>345</v>
      </c>
      <c r="J25" s="75">
        <v>23330.05</v>
      </c>
      <c r="K25" s="75">
        <v>13418.78</v>
      </c>
      <c r="L25" s="75">
        <v>77966.11</v>
      </c>
      <c r="M25" s="75">
        <v>302367.39999999898</v>
      </c>
      <c r="N25" s="75">
        <v>10510.29</v>
      </c>
      <c r="O25" s="75">
        <v>12042.28</v>
      </c>
      <c r="P25" s="75">
        <v>71639.92</v>
      </c>
      <c r="Q25" s="75">
        <v>209130.07</v>
      </c>
      <c r="R25" s="75">
        <v>18987.55</v>
      </c>
      <c r="S25" s="75">
        <v>4983.3999999999996</v>
      </c>
      <c r="T25" s="75">
        <v>70073.039999999994</v>
      </c>
      <c r="U25" s="75">
        <v>193272.709999999</v>
      </c>
      <c r="W25" s="73">
        <v>98010</v>
      </c>
      <c r="X25" s="15" t="s">
        <v>10</v>
      </c>
      <c r="Y25" s="75">
        <v>4862.87</v>
      </c>
      <c r="Z25" s="75">
        <v>4132.78</v>
      </c>
      <c r="AA25" s="75">
        <v>16180.38</v>
      </c>
      <c r="AB25" s="75">
        <v>28571.2599999999</v>
      </c>
      <c r="AC25" s="75">
        <v>3098.28</v>
      </c>
      <c r="AD25" s="75">
        <v>4507.99</v>
      </c>
      <c r="AE25" s="75">
        <v>17629</v>
      </c>
      <c r="AF25" s="75">
        <v>30467.449999999899</v>
      </c>
      <c r="AG25" s="75">
        <v>3969.06</v>
      </c>
      <c r="AH25" s="75">
        <v>2284.2600000000002</v>
      </c>
      <c r="AI25" s="75">
        <v>19848.91</v>
      </c>
      <c r="AJ25" s="75">
        <v>30026.58</v>
      </c>
      <c r="AL25" s="169"/>
      <c r="AM25" s="170"/>
      <c r="AN25" s="171"/>
      <c r="AV25" s="73" t="s">
        <v>98</v>
      </c>
      <c r="AW25" s="73" t="s">
        <v>10</v>
      </c>
      <c r="AX25" s="33">
        <v>19</v>
      </c>
      <c r="AY25" s="33">
        <v>23</v>
      </c>
      <c r="AZ25" s="33">
        <v>27</v>
      </c>
      <c r="BB25" s="73" t="s">
        <v>98</v>
      </c>
      <c r="BC25" s="73" t="s">
        <v>10</v>
      </c>
      <c r="BD25" s="75">
        <v>5284.21</v>
      </c>
      <c r="BE25" s="75">
        <v>18005.84</v>
      </c>
      <c r="BF25" s="75">
        <v>9052.1299999999992</v>
      </c>
      <c r="BH25" s="73">
        <v>98006</v>
      </c>
      <c r="BI25" s="73" t="s">
        <v>345</v>
      </c>
      <c r="BJ25" s="75"/>
      <c r="BK25" s="75">
        <v>-765.56</v>
      </c>
      <c r="BL25" s="75"/>
    </row>
    <row r="26" spans="2:64" x14ac:dyDescent="0.2">
      <c r="B26" s="81">
        <v>98006</v>
      </c>
      <c r="C26" s="62" t="s">
        <v>345</v>
      </c>
      <c r="D26" s="46">
        <v>135</v>
      </c>
      <c r="E26" s="46">
        <v>114</v>
      </c>
      <c r="F26" s="46">
        <v>218</v>
      </c>
      <c r="H26" s="73">
        <v>98005</v>
      </c>
      <c r="I26" s="73" t="s">
        <v>10</v>
      </c>
      <c r="J26" s="75">
        <v>50638.85</v>
      </c>
      <c r="K26" s="75">
        <v>45722.95</v>
      </c>
      <c r="L26" s="75">
        <v>217161.49</v>
      </c>
      <c r="M26" s="75">
        <v>388994.14</v>
      </c>
      <c r="N26" s="75">
        <v>40116.25</v>
      </c>
      <c r="O26" s="75">
        <v>35407.360000000001</v>
      </c>
      <c r="P26" s="75">
        <v>205601.24</v>
      </c>
      <c r="Q26" s="75">
        <v>354534.47</v>
      </c>
      <c r="R26" s="75">
        <v>41918.04</v>
      </c>
      <c r="S26" s="75">
        <v>28618.37</v>
      </c>
      <c r="T26" s="75">
        <v>204409.97</v>
      </c>
      <c r="U26" s="75">
        <v>352904.26</v>
      </c>
      <c r="W26" s="73">
        <v>98011</v>
      </c>
      <c r="X26" s="15" t="s">
        <v>10</v>
      </c>
      <c r="Y26" s="75">
        <v>18477.32</v>
      </c>
      <c r="Z26" s="75">
        <v>9970.8700000000008</v>
      </c>
      <c r="AA26" s="75">
        <v>54104.92</v>
      </c>
      <c r="AB26" s="75">
        <v>93370.44</v>
      </c>
      <c r="AC26" s="75">
        <v>8676.64</v>
      </c>
      <c r="AD26" s="75">
        <v>17604.25</v>
      </c>
      <c r="AE26" s="75">
        <v>54651.15</v>
      </c>
      <c r="AF26" s="75">
        <v>91400.29</v>
      </c>
      <c r="AG26" s="75">
        <v>9172.26</v>
      </c>
      <c r="AH26" s="75">
        <v>7635.04</v>
      </c>
      <c r="AI26" s="75">
        <v>66021.759999999995</v>
      </c>
      <c r="AJ26" s="75">
        <v>101319.12</v>
      </c>
      <c r="AL26" s="169"/>
      <c r="AM26" s="170"/>
      <c r="AN26" s="171"/>
      <c r="AV26" s="73" t="s">
        <v>99</v>
      </c>
      <c r="AW26" s="73" t="s">
        <v>345</v>
      </c>
      <c r="AX26" s="33"/>
      <c r="AY26" s="33"/>
      <c r="AZ26" s="33">
        <v>2</v>
      </c>
      <c r="BB26" s="73" t="s">
        <v>99</v>
      </c>
      <c r="BC26" s="73" t="s">
        <v>345</v>
      </c>
      <c r="BD26" s="75"/>
      <c r="BE26" s="75"/>
      <c r="BF26" s="75">
        <v>445.53</v>
      </c>
      <c r="BH26" s="73">
        <v>98006</v>
      </c>
      <c r="BI26" s="73" t="s">
        <v>10</v>
      </c>
      <c r="BJ26" s="75">
        <v>-282.54000000000002</v>
      </c>
      <c r="BK26" s="75">
        <v>-712.93</v>
      </c>
      <c r="BL26" s="75">
        <v>-1540.54</v>
      </c>
    </row>
    <row r="27" spans="2:64" x14ac:dyDescent="0.2">
      <c r="B27" s="56">
        <v>98006</v>
      </c>
      <c r="C27" s="62" t="s">
        <v>10</v>
      </c>
      <c r="D27" s="46">
        <v>1290</v>
      </c>
      <c r="E27" s="46">
        <v>1325</v>
      </c>
      <c r="F27" s="46">
        <v>1339</v>
      </c>
      <c r="H27" s="73">
        <v>98006</v>
      </c>
      <c r="I27" s="73" t="s">
        <v>345</v>
      </c>
      <c r="J27" s="75">
        <v>29069.75</v>
      </c>
      <c r="K27" s="75">
        <v>25307.17</v>
      </c>
      <c r="L27" s="75">
        <v>93148.77</v>
      </c>
      <c r="M27" s="75">
        <v>209595.44999999899</v>
      </c>
      <c r="N27" s="75">
        <v>23984.28</v>
      </c>
      <c r="O27" s="75">
        <v>18433.62</v>
      </c>
      <c r="P27" s="75">
        <v>102785.77999999899</v>
      </c>
      <c r="Q27" s="75">
        <v>188110.76</v>
      </c>
      <c r="R27" s="75">
        <v>35166.67</v>
      </c>
      <c r="S27" s="75">
        <v>19825.21</v>
      </c>
      <c r="T27" s="75">
        <v>114734.36</v>
      </c>
      <c r="U27" s="75">
        <v>269704.78000000003</v>
      </c>
      <c r="W27" s="73">
        <v>98012</v>
      </c>
      <c r="X27" s="15" t="s">
        <v>10</v>
      </c>
      <c r="Y27" s="75">
        <v>3240.11</v>
      </c>
      <c r="Z27" s="75">
        <v>3739.83</v>
      </c>
      <c r="AA27" s="75">
        <v>10778.15</v>
      </c>
      <c r="AB27" s="75">
        <v>20358.939999999999</v>
      </c>
      <c r="AC27" s="75">
        <v>2236.9899999999998</v>
      </c>
      <c r="AD27" s="75">
        <v>2776.68</v>
      </c>
      <c r="AE27" s="75">
        <v>12689.73</v>
      </c>
      <c r="AF27" s="75">
        <v>19380.2399999999</v>
      </c>
      <c r="AG27" s="75">
        <v>1507.62</v>
      </c>
      <c r="AH27" s="75">
        <v>2099.2399999999998</v>
      </c>
      <c r="AI27" s="75">
        <v>14663.55</v>
      </c>
      <c r="AJ27" s="75">
        <v>19808.13</v>
      </c>
      <c r="AL27" s="169"/>
      <c r="AM27" s="170"/>
      <c r="AN27" s="171"/>
      <c r="AV27" s="73" t="s">
        <v>99</v>
      </c>
      <c r="AW27" s="73" t="s">
        <v>10</v>
      </c>
      <c r="AX27" s="33">
        <v>15</v>
      </c>
      <c r="AY27" s="33">
        <v>21</v>
      </c>
      <c r="AZ27" s="33">
        <v>28</v>
      </c>
      <c r="BB27" s="73" t="s">
        <v>99</v>
      </c>
      <c r="BC27" s="73" t="s">
        <v>10</v>
      </c>
      <c r="BD27" s="75">
        <v>5537.89</v>
      </c>
      <c r="BE27" s="75">
        <v>14926.51</v>
      </c>
      <c r="BF27" s="75">
        <v>11683.78</v>
      </c>
      <c r="BH27" s="73">
        <v>98007</v>
      </c>
      <c r="BI27" s="73" t="s">
        <v>10</v>
      </c>
      <c r="BJ27" s="75">
        <v>-226.01</v>
      </c>
      <c r="BK27" s="75">
        <v>-326.06</v>
      </c>
      <c r="BL27" s="75">
        <v>-3778.11</v>
      </c>
    </row>
    <row r="28" spans="2:64" x14ac:dyDescent="0.2">
      <c r="B28" s="81">
        <v>98007</v>
      </c>
      <c r="C28" s="62" t="s">
        <v>345</v>
      </c>
      <c r="D28" s="46">
        <v>123</v>
      </c>
      <c r="E28" s="46">
        <v>112</v>
      </c>
      <c r="F28" s="46">
        <v>181</v>
      </c>
      <c r="H28" s="73">
        <v>98006</v>
      </c>
      <c r="I28" s="73" t="s">
        <v>10</v>
      </c>
      <c r="J28" s="75">
        <v>85334.01</v>
      </c>
      <c r="K28" s="75">
        <v>85383.18</v>
      </c>
      <c r="L28" s="75">
        <v>318512.28000000003</v>
      </c>
      <c r="M28" s="75">
        <v>629461.32999999903</v>
      </c>
      <c r="N28" s="75">
        <v>76357.119999999995</v>
      </c>
      <c r="O28" s="75">
        <v>58317.8</v>
      </c>
      <c r="P28" s="75">
        <v>335870.55999999901</v>
      </c>
      <c r="Q28" s="75">
        <v>594039.68999999901</v>
      </c>
      <c r="R28" s="75">
        <v>69128.240000000005</v>
      </c>
      <c r="S28" s="75">
        <v>55353.919999999998</v>
      </c>
      <c r="T28" s="75">
        <v>330077.18</v>
      </c>
      <c r="U28" s="75">
        <v>584880.93999999901</v>
      </c>
      <c r="W28" s="73">
        <v>98014</v>
      </c>
      <c r="X28" s="15" t="s">
        <v>10</v>
      </c>
      <c r="Y28" s="75">
        <v>2982.58</v>
      </c>
      <c r="Z28" s="75">
        <v>4367.03</v>
      </c>
      <c r="AA28" s="75">
        <v>20780.13</v>
      </c>
      <c r="AB28" s="75">
        <v>32056.880000000001</v>
      </c>
      <c r="AC28" s="75">
        <v>2054.86</v>
      </c>
      <c r="AD28" s="75">
        <v>2625.85</v>
      </c>
      <c r="AE28" s="75">
        <v>19752.12</v>
      </c>
      <c r="AF28" s="75">
        <v>27645.31</v>
      </c>
      <c r="AG28" s="75">
        <v>2464.17</v>
      </c>
      <c r="AH28" s="75">
        <v>1961.39</v>
      </c>
      <c r="AI28" s="75">
        <v>21599.16</v>
      </c>
      <c r="AJ28" s="75">
        <v>30021.539999999899</v>
      </c>
      <c r="AL28" s="169"/>
      <c r="AM28" s="170"/>
      <c r="AN28" s="171"/>
      <c r="AV28" s="73" t="s">
        <v>100</v>
      </c>
      <c r="AW28" s="73" t="s">
        <v>345</v>
      </c>
      <c r="AX28" s="33">
        <v>2</v>
      </c>
      <c r="AY28" s="33"/>
      <c r="AZ28" s="33">
        <v>1</v>
      </c>
      <c r="BB28" s="73" t="s">
        <v>100</v>
      </c>
      <c r="BC28" s="73" t="s">
        <v>345</v>
      </c>
      <c r="BD28" s="75">
        <v>4998.09</v>
      </c>
      <c r="BE28" s="75"/>
      <c r="BF28" s="75"/>
      <c r="BH28" s="73">
        <v>98008</v>
      </c>
      <c r="BI28" s="73" t="s">
        <v>10</v>
      </c>
      <c r="BJ28" s="75">
        <v>-144.62</v>
      </c>
      <c r="BK28" s="75">
        <v>-60.62</v>
      </c>
      <c r="BL28" s="75">
        <v>-947.74</v>
      </c>
    </row>
    <row r="29" spans="2:64" x14ac:dyDescent="0.2">
      <c r="B29" s="56">
        <v>98007</v>
      </c>
      <c r="C29" s="62" t="s">
        <v>10</v>
      </c>
      <c r="D29" s="46">
        <v>1761</v>
      </c>
      <c r="E29" s="46">
        <v>1733</v>
      </c>
      <c r="F29" s="46">
        <v>1827</v>
      </c>
      <c r="H29" s="73">
        <v>98007</v>
      </c>
      <c r="I29" s="73" t="s">
        <v>345</v>
      </c>
      <c r="J29" s="75">
        <v>27461.439999999999</v>
      </c>
      <c r="K29" s="75">
        <v>16983.810000000001</v>
      </c>
      <c r="L29" s="75">
        <v>64845.23</v>
      </c>
      <c r="M29" s="75">
        <v>185989.96</v>
      </c>
      <c r="N29" s="75">
        <v>8602.43</v>
      </c>
      <c r="O29" s="75">
        <v>5972.49</v>
      </c>
      <c r="P29" s="75">
        <v>46862.38</v>
      </c>
      <c r="Q29" s="75">
        <v>115670.82</v>
      </c>
      <c r="R29" s="75">
        <v>11591.42</v>
      </c>
      <c r="S29" s="75">
        <v>4717.91</v>
      </c>
      <c r="T29" s="75">
        <v>47478.81</v>
      </c>
      <c r="U29" s="75">
        <v>198959.32</v>
      </c>
      <c r="W29" s="73">
        <v>98019</v>
      </c>
      <c r="X29" s="15" t="s">
        <v>10</v>
      </c>
      <c r="Y29" s="75">
        <v>7091.78</v>
      </c>
      <c r="Z29" s="75">
        <v>7753.2</v>
      </c>
      <c r="AA29" s="75">
        <v>31024.76</v>
      </c>
      <c r="AB29" s="75">
        <v>52163.069999999898</v>
      </c>
      <c r="AC29" s="75">
        <v>1025.21</v>
      </c>
      <c r="AD29" s="75">
        <v>5150.1400000000003</v>
      </c>
      <c r="AE29" s="75">
        <v>39688.449999999903</v>
      </c>
      <c r="AF29" s="75">
        <v>50916.859999999899</v>
      </c>
      <c r="AG29" s="75">
        <v>4619.91</v>
      </c>
      <c r="AH29" s="75">
        <v>947.32</v>
      </c>
      <c r="AI29" s="75">
        <v>41044.559999999998</v>
      </c>
      <c r="AJ29" s="75">
        <v>51869.599999999897</v>
      </c>
      <c r="AL29" s="169"/>
      <c r="AM29" s="170"/>
      <c r="AN29" s="171"/>
      <c r="AV29" s="73" t="s">
        <v>100</v>
      </c>
      <c r="AW29" s="73" t="s">
        <v>10</v>
      </c>
      <c r="AX29" s="33">
        <v>40</v>
      </c>
      <c r="AY29" s="33">
        <v>44</v>
      </c>
      <c r="AZ29" s="33">
        <v>38</v>
      </c>
      <c r="BB29" s="73" t="s">
        <v>100</v>
      </c>
      <c r="BC29" s="73" t="s">
        <v>10</v>
      </c>
      <c r="BD29" s="75">
        <v>15107.1</v>
      </c>
      <c r="BE29" s="75">
        <v>13734.17</v>
      </c>
      <c r="BF29" s="75">
        <v>18707.3</v>
      </c>
      <c r="BH29" s="73">
        <v>98011</v>
      </c>
      <c r="BI29" s="73" t="s">
        <v>10</v>
      </c>
      <c r="BJ29" s="75">
        <v>-463.78</v>
      </c>
      <c r="BK29" s="75">
        <v>-898.62</v>
      </c>
      <c r="BL29" s="75"/>
    </row>
    <row r="30" spans="2:64" x14ac:dyDescent="0.2">
      <c r="B30" s="81">
        <v>98008</v>
      </c>
      <c r="C30" s="62" t="s">
        <v>345</v>
      </c>
      <c r="D30" s="46">
        <v>85</v>
      </c>
      <c r="E30" s="46">
        <v>64</v>
      </c>
      <c r="F30" s="46">
        <v>117</v>
      </c>
      <c r="H30" s="73">
        <v>98007</v>
      </c>
      <c r="I30" s="73" t="s">
        <v>10</v>
      </c>
      <c r="J30" s="75">
        <v>86309.36</v>
      </c>
      <c r="K30" s="75">
        <v>82845</v>
      </c>
      <c r="L30" s="75">
        <v>371020.06999999902</v>
      </c>
      <c r="M30" s="75">
        <v>657414.01</v>
      </c>
      <c r="N30" s="75">
        <v>68503.88</v>
      </c>
      <c r="O30" s="75">
        <v>66087.149999999994</v>
      </c>
      <c r="P30" s="75">
        <v>389723.78999999899</v>
      </c>
      <c r="Q30" s="75">
        <v>629553.43000000005</v>
      </c>
      <c r="R30" s="75">
        <v>67492.490000000005</v>
      </c>
      <c r="S30" s="75">
        <v>53682.25</v>
      </c>
      <c r="T30" s="75">
        <v>393421.15999999898</v>
      </c>
      <c r="U30" s="75">
        <v>631736.679999999</v>
      </c>
      <c r="W30" s="73">
        <v>98020</v>
      </c>
      <c r="X30" s="15" t="s">
        <v>10</v>
      </c>
      <c r="Y30" s="75">
        <v>312.83999999999997</v>
      </c>
      <c r="Z30" s="75">
        <v>374.99</v>
      </c>
      <c r="AA30" s="75">
        <v>876.44</v>
      </c>
      <c r="AB30" s="75">
        <v>1877.52</v>
      </c>
      <c r="AC30" s="75">
        <v>266.08</v>
      </c>
      <c r="AD30" s="75">
        <v>312.83999999999997</v>
      </c>
      <c r="AE30" s="75">
        <v>1051.4299999999901</v>
      </c>
      <c r="AF30" s="75">
        <v>1788.12</v>
      </c>
      <c r="AG30" s="75">
        <v>104.56</v>
      </c>
      <c r="AH30" s="75">
        <v>188.93</v>
      </c>
      <c r="AI30" s="75">
        <v>728.14</v>
      </c>
      <c r="AJ30" s="75">
        <v>1135.6400000000001</v>
      </c>
      <c r="AL30" s="169"/>
      <c r="AM30" s="170"/>
      <c r="AN30" s="171"/>
      <c r="AV30" s="73" t="s">
        <v>101</v>
      </c>
      <c r="AW30" s="73" t="s">
        <v>345</v>
      </c>
      <c r="AX30" s="33">
        <v>1</v>
      </c>
      <c r="AY30" s="33">
        <v>4</v>
      </c>
      <c r="AZ30" s="33">
        <v>1</v>
      </c>
      <c r="BB30" s="73" t="s">
        <v>101</v>
      </c>
      <c r="BC30" s="73" t="s">
        <v>345</v>
      </c>
      <c r="BD30" s="75">
        <v>354.9</v>
      </c>
      <c r="BE30" s="75">
        <v>9380.75</v>
      </c>
      <c r="BF30" s="75"/>
      <c r="BH30" s="73">
        <v>98012</v>
      </c>
      <c r="BI30" s="73" t="s">
        <v>10</v>
      </c>
      <c r="BJ30" s="75"/>
      <c r="BK30" s="75"/>
      <c r="BL30" s="75">
        <v>-321.85000000000002</v>
      </c>
    </row>
    <row r="31" spans="2:64" x14ac:dyDescent="0.2">
      <c r="B31" s="56">
        <v>98008</v>
      </c>
      <c r="C31" s="62" t="s">
        <v>10</v>
      </c>
      <c r="D31" s="46">
        <v>801</v>
      </c>
      <c r="E31" s="46">
        <v>801</v>
      </c>
      <c r="F31" s="46">
        <v>843</v>
      </c>
      <c r="H31" s="73">
        <v>98008</v>
      </c>
      <c r="I31" s="73" t="s">
        <v>345</v>
      </c>
      <c r="J31" s="75">
        <v>13981</v>
      </c>
      <c r="K31" s="75">
        <v>6622.54</v>
      </c>
      <c r="L31" s="75">
        <v>32170.719999999899</v>
      </c>
      <c r="M31" s="75">
        <v>134567.87</v>
      </c>
      <c r="N31" s="75">
        <v>16329.83</v>
      </c>
      <c r="O31" s="75">
        <v>9388.68</v>
      </c>
      <c r="P31" s="75">
        <v>27476.720000000001</v>
      </c>
      <c r="Q31" s="75">
        <v>90428.41</v>
      </c>
      <c r="R31" s="75">
        <v>21503.52</v>
      </c>
      <c r="S31" s="75">
        <v>8508.92</v>
      </c>
      <c r="T31" s="75">
        <v>30064.589999999898</v>
      </c>
      <c r="U31" s="75">
        <v>117376.9</v>
      </c>
      <c r="W31" s="73">
        <v>98021</v>
      </c>
      <c r="X31" s="15" t="s">
        <v>10</v>
      </c>
      <c r="Y31" s="75">
        <v>963.21</v>
      </c>
      <c r="Z31" s="75">
        <v>1141.0999999999999</v>
      </c>
      <c r="AA31" s="75">
        <v>3661.52</v>
      </c>
      <c r="AB31" s="75">
        <v>6623.13</v>
      </c>
      <c r="AC31" s="75">
        <v>772.61</v>
      </c>
      <c r="AD31" s="75">
        <v>921.83</v>
      </c>
      <c r="AE31" s="75">
        <v>4147.18</v>
      </c>
      <c r="AF31" s="75">
        <v>6549.78</v>
      </c>
      <c r="AG31" s="75">
        <v>501.56</v>
      </c>
      <c r="AH31" s="75">
        <v>652.76</v>
      </c>
      <c r="AI31" s="75">
        <v>4531.18</v>
      </c>
      <c r="AJ31" s="75">
        <v>6265.7399999999898</v>
      </c>
      <c r="AL31" s="169"/>
      <c r="AM31" s="170"/>
      <c r="AN31" s="171"/>
      <c r="AV31" s="73" t="s">
        <v>101</v>
      </c>
      <c r="AW31" s="73" t="s">
        <v>10</v>
      </c>
      <c r="AX31" s="33">
        <v>13</v>
      </c>
      <c r="AY31" s="33">
        <v>8</v>
      </c>
      <c r="AZ31" s="33">
        <v>9</v>
      </c>
      <c r="BB31" s="73" t="s">
        <v>101</v>
      </c>
      <c r="BC31" s="73" t="s">
        <v>10</v>
      </c>
      <c r="BD31" s="75">
        <v>4379.46</v>
      </c>
      <c r="BE31" s="75">
        <v>10281.16</v>
      </c>
      <c r="BF31" s="75">
        <v>2898.08</v>
      </c>
      <c r="BH31" s="73">
        <v>98019</v>
      </c>
      <c r="BI31" s="73" t="s">
        <v>10</v>
      </c>
      <c r="BJ31" s="75"/>
      <c r="BK31" s="75"/>
      <c r="BL31" s="75">
        <v>-171.22</v>
      </c>
    </row>
    <row r="32" spans="2:64" x14ac:dyDescent="0.2">
      <c r="B32" s="81">
        <v>98010</v>
      </c>
      <c r="C32" s="62" t="s">
        <v>345</v>
      </c>
      <c r="D32" s="46">
        <v>70</v>
      </c>
      <c r="E32" s="46">
        <v>62</v>
      </c>
      <c r="F32" s="46">
        <v>66</v>
      </c>
      <c r="H32" s="73">
        <v>98008</v>
      </c>
      <c r="I32" s="73" t="s">
        <v>10</v>
      </c>
      <c r="J32" s="75">
        <v>47081.71</v>
      </c>
      <c r="K32" s="75">
        <v>41092.26</v>
      </c>
      <c r="L32" s="75">
        <v>215391.73</v>
      </c>
      <c r="M32" s="75">
        <v>381137.43999999901</v>
      </c>
      <c r="N32" s="75">
        <v>40016.82</v>
      </c>
      <c r="O32" s="75">
        <v>33257.269999999997</v>
      </c>
      <c r="P32" s="75">
        <v>223358</v>
      </c>
      <c r="Q32" s="75">
        <v>369548.94999999902</v>
      </c>
      <c r="R32" s="75">
        <v>37497.67</v>
      </c>
      <c r="S32" s="75">
        <v>26979.78</v>
      </c>
      <c r="T32" s="75">
        <v>220522.29</v>
      </c>
      <c r="U32" s="75">
        <v>382878.03</v>
      </c>
      <c r="W32" s="73">
        <v>98022</v>
      </c>
      <c r="X32" s="15" t="s">
        <v>10</v>
      </c>
      <c r="Y32" s="75">
        <v>22573.82</v>
      </c>
      <c r="Z32" s="75">
        <v>19117.13</v>
      </c>
      <c r="AA32" s="75">
        <v>87412.14</v>
      </c>
      <c r="AB32" s="75">
        <v>153976.94</v>
      </c>
      <c r="AC32" s="75">
        <v>19349.73</v>
      </c>
      <c r="AD32" s="75">
        <v>19764.84</v>
      </c>
      <c r="AE32" s="75">
        <v>93725.909999999902</v>
      </c>
      <c r="AF32" s="75">
        <v>163097.15</v>
      </c>
      <c r="AG32" s="75">
        <v>21869.19</v>
      </c>
      <c r="AH32" s="75">
        <v>15963.86</v>
      </c>
      <c r="AI32" s="75">
        <v>103571.399999999</v>
      </c>
      <c r="AJ32" s="75">
        <v>172544.43999999901</v>
      </c>
      <c r="AL32" s="169"/>
      <c r="AM32" s="170"/>
      <c r="AN32" s="171"/>
      <c r="AV32" s="73" t="s">
        <v>102</v>
      </c>
      <c r="AW32" s="73" t="s">
        <v>345</v>
      </c>
      <c r="AX32" s="33">
        <v>1</v>
      </c>
      <c r="AY32" s="33">
        <v>1</v>
      </c>
      <c r="AZ32" s="33"/>
      <c r="BB32" s="73" t="s">
        <v>102</v>
      </c>
      <c r="BC32" s="73" t="s">
        <v>345</v>
      </c>
      <c r="BD32" s="75"/>
      <c r="BE32" s="75">
        <v>0.01</v>
      </c>
      <c r="BF32" s="75"/>
      <c r="BH32" s="73">
        <v>98021</v>
      </c>
      <c r="BI32" s="73" t="s">
        <v>10</v>
      </c>
      <c r="BJ32" s="75">
        <v>-38.26</v>
      </c>
      <c r="BK32" s="75"/>
      <c r="BL32" s="75">
        <v>-1113.44</v>
      </c>
    </row>
    <row r="33" spans="2:64" x14ac:dyDescent="0.2">
      <c r="B33" s="56">
        <v>98010</v>
      </c>
      <c r="C33" s="62" t="s">
        <v>10</v>
      </c>
      <c r="D33" s="46">
        <v>457</v>
      </c>
      <c r="E33" s="46">
        <v>481</v>
      </c>
      <c r="F33" s="46">
        <v>486</v>
      </c>
      <c r="H33" s="73">
        <v>98010</v>
      </c>
      <c r="I33" s="73" t="s">
        <v>345</v>
      </c>
      <c r="J33" s="75">
        <v>2081</v>
      </c>
      <c r="K33" s="75">
        <v>1116.74</v>
      </c>
      <c r="L33" s="75">
        <v>8066.5</v>
      </c>
      <c r="M33" s="75">
        <v>23998.4399999999</v>
      </c>
      <c r="N33" s="75">
        <v>1196.19</v>
      </c>
      <c r="O33" s="75">
        <v>522.85</v>
      </c>
      <c r="P33" s="75">
        <v>8146.9</v>
      </c>
      <c r="Q33" s="75">
        <v>25264.03</v>
      </c>
      <c r="R33" s="75">
        <v>2428.27</v>
      </c>
      <c r="S33" s="75">
        <v>723.73</v>
      </c>
      <c r="T33" s="75">
        <v>8525.5899999999892</v>
      </c>
      <c r="U33" s="75">
        <v>22687.49</v>
      </c>
      <c r="W33" s="73">
        <v>98023</v>
      </c>
      <c r="X33" s="15" t="s">
        <v>10</v>
      </c>
      <c r="Y33" s="75">
        <v>69634.679999999993</v>
      </c>
      <c r="Z33" s="75">
        <v>68696.56</v>
      </c>
      <c r="AA33" s="75">
        <v>233090.71</v>
      </c>
      <c r="AB33" s="75">
        <v>440672.80999999901</v>
      </c>
      <c r="AC33" s="75">
        <v>57160.05</v>
      </c>
      <c r="AD33" s="75">
        <v>58509.74</v>
      </c>
      <c r="AE33" s="75">
        <v>263344.28000000003</v>
      </c>
      <c r="AF33" s="75">
        <v>441137.859999999</v>
      </c>
      <c r="AG33" s="75">
        <v>50654.78</v>
      </c>
      <c r="AH33" s="75">
        <v>47763.57</v>
      </c>
      <c r="AI33" s="75">
        <v>280689.38</v>
      </c>
      <c r="AJ33" s="75">
        <v>439929.87999999902</v>
      </c>
      <c r="AL33" s="169"/>
      <c r="AM33" s="170"/>
      <c r="AN33" s="171"/>
      <c r="AV33" s="73" t="s">
        <v>102</v>
      </c>
      <c r="AW33" s="73" t="s">
        <v>10</v>
      </c>
      <c r="AX33" s="33">
        <v>4</v>
      </c>
      <c r="AY33" s="33">
        <v>12</v>
      </c>
      <c r="AZ33" s="33">
        <v>7</v>
      </c>
      <c r="BB33" s="73" t="s">
        <v>102</v>
      </c>
      <c r="BC33" s="73" t="s">
        <v>10</v>
      </c>
      <c r="BD33" s="75">
        <v>766.49</v>
      </c>
      <c r="BE33" s="75">
        <v>11525.54</v>
      </c>
      <c r="BF33" s="75">
        <v>4404.16</v>
      </c>
      <c r="BH33" s="73">
        <v>98022</v>
      </c>
      <c r="BI33" s="73" t="s">
        <v>10</v>
      </c>
      <c r="BJ33" s="75">
        <v>-44.26</v>
      </c>
      <c r="BK33" s="75">
        <v>-400.66</v>
      </c>
      <c r="BL33" s="75"/>
    </row>
    <row r="34" spans="2:64" x14ac:dyDescent="0.2">
      <c r="B34" s="81">
        <v>98011</v>
      </c>
      <c r="C34" s="62" t="s">
        <v>345</v>
      </c>
      <c r="D34" s="46">
        <v>93</v>
      </c>
      <c r="E34" s="46">
        <v>79</v>
      </c>
      <c r="F34" s="46">
        <v>87</v>
      </c>
      <c r="H34" s="73">
        <v>98010</v>
      </c>
      <c r="I34" s="73" t="s">
        <v>10</v>
      </c>
      <c r="J34" s="75">
        <v>32936.910000000003</v>
      </c>
      <c r="K34" s="75">
        <v>24235.01</v>
      </c>
      <c r="L34" s="75">
        <v>140454.29999999999</v>
      </c>
      <c r="M34" s="75">
        <v>254737.56999999899</v>
      </c>
      <c r="N34" s="75">
        <v>25056.33</v>
      </c>
      <c r="O34" s="75">
        <v>26540.21</v>
      </c>
      <c r="P34" s="75">
        <v>132243.72999999899</v>
      </c>
      <c r="Q34" s="75">
        <v>236275.43</v>
      </c>
      <c r="R34" s="75">
        <v>24575.75</v>
      </c>
      <c r="S34" s="75">
        <v>18756.57</v>
      </c>
      <c r="T34" s="75">
        <v>143786.99999999901</v>
      </c>
      <c r="U34" s="75">
        <v>248200.77</v>
      </c>
      <c r="W34" s="73">
        <v>98024</v>
      </c>
      <c r="X34" s="15" t="s">
        <v>10</v>
      </c>
      <c r="Y34" s="75">
        <v>2895.96</v>
      </c>
      <c r="Z34" s="75">
        <v>2986.35</v>
      </c>
      <c r="AA34" s="75">
        <v>21422.1699999999</v>
      </c>
      <c r="AB34" s="75">
        <v>30725.66</v>
      </c>
      <c r="AC34" s="75">
        <v>2290.1799999999998</v>
      </c>
      <c r="AD34" s="75">
        <v>2628</v>
      </c>
      <c r="AE34" s="75">
        <v>23567.16</v>
      </c>
      <c r="AF34" s="75">
        <v>32470.39</v>
      </c>
      <c r="AG34" s="75">
        <v>3141.87</v>
      </c>
      <c r="AH34" s="75">
        <v>1990.83</v>
      </c>
      <c r="AI34" s="75">
        <v>25710.2399999999</v>
      </c>
      <c r="AJ34" s="75">
        <v>34149.81</v>
      </c>
      <c r="AL34" s="169"/>
      <c r="AM34" s="170"/>
      <c r="AN34" s="171"/>
      <c r="AV34" s="73" t="s">
        <v>103</v>
      </c>
      <c r="AW34" s="73" t="s">
        <v>345</v>
      </c>
      <c r="AX34" s="33">
        <v>2</v>
      </c>
      <c r="AY34" s="33">
        <v>1</v>
      </c>
      <c r="AZ34" s="33"/>
      <c r="BB34" s="73" t="s">
        <v>103</v>
      </c>
      <c r="BC34" s="73" t="s">
        <v>345</v>
      </c>
      <c r="BD34" s="75">
        <v>170.11</v>
      </c>
      <c r="BE34" s="75">
        <v>787.13</v>
      </c>
      <c r="BF34" s="75"/>
      <c r="BH34" s="73">
        <v>98023</v>
      </c>
      <c r="BI34" s="73" t="s">
        <v>10</v>
      </c>
      <c r="BJ34" s="75">
        <v>-807.21</v>
      </c>
      <c r="BK34" s="75">
        <v>-132.08000000000001</v>
      </c>
      <c r="BL34" s="75">
        <v>-977.92</v>
      </c>
    </row>
    <row r="35" spans="2:64" x14ac:dyDescent="0.2">
      <c r="B35" s="56">
        <v>98011</v>
      </c>
      <c r="C35" s="62" t="s">
        <v>10</v>
      </c>
      <c r="D35" s="46">
        <v>1402</v>
      </c>
      <c r="E35" s="46">
        <v>1300</v>
      </c>
      <c r="F35" s="46">
        <v>1402</v>
      </c>
      <c r="H35" s="73">
        <v>98011</v>
      </c>
      <c r="I35" s="73" t="s">
        <v>345</v>
      </c>
      <c r="J35" s="75">
        <v>9068.35</v>
      </c>
      <c r="K35" s="75">
        <v>8707.5400000000009</v>
      </c>
      <c r="L35" s="75">
        <v>12954.0199999999</v>
      </c>
      <c r="M35" s="75">
        <v>179793.9</v>
      </c>
      <c r="N35" s="75">
        <v>7189.25</v>
      </c>
      <c r="O35" s="75">
        <v>4966.95</v>
      </c>
      <c r="P35" s="75">
        <v>19041.8</v>
      </c>
      <c r="Q35" s="75">
        <v>80339.389999999898</v>
      </c>
      <c r="R35" s="75">
        <v>5341.46</v>
      </c>
      <c r="S35" s="75">
        <v>4361.5</v>
      </c>
      <c r="T35" s="75">
        <v>20651.57</v>
      </c>
      <c r="U35" s="75">
        <v>92483.31</v>
      </c>
      <c r="W35" s="73">
        <v>98026</v>
      </c>
      <c r="X35" s="15" t="s">
        <v>10</v>
      </c>
      <c r="Y35" s="75">
        <v>1481.76</v>
      </c>
      <c r="Z35" s="75">
        <v>1723.59</v>
      </c>
      <c r="AA35" s="75">
        <v>4068.3099999999899</v>
      </c>
      <c r="AB35" s="75">
        <v>8418.2099999999991</v>
      </c>
      <c r="AC35" s="75">
        <v>888.9</v>
      </c>
      <c r="AD35" s="75">
        <v>1205.23</v>
      </c>
      <c r="AE35" s="75">
        <v>4805.74</v>
      </c>
      <c r="AF35" s="75">
        <v>7577.8399999999901</v>
      </c>
      <c r="AG35" s="75">
        <v>438.71</v>
      </c>
      <c r="AH35" s="75">
        <v>503.74</v>
      </c>
      <c r="AI35" s="75">
        <v>4663.13</v>
      </c>
      <c r="AJ35" s="75">
        <v>6537.24</v>
      </c>
      <c r="AL35" s="169"/>
      <c r="AM35" s="170"/>
      <c r="AN35" s="171"/>
      <c r="AV35" s="73" t="s">
        <v>103</v>
      </c>
      <c r="AW35" s="73" t="s">
        <v>10</v>
      </c>
      <c r="AX35" s="33">
        <v>40</v>
      </c>
      <c r="AY35" s="33">
        <v>36</v>
      </c>
      <c r="AZ35" s="33">
        <v>40</v>
      </c>
      <c r="BB35" s="73" t="s">
        <v>103</v>
      </c>
      <c r="BC35" s="73" t="s">
        <v>10</v>
      </c>
      <c r="BD35" s="75">
        <v>12416.62</v>
      </c>
      <c r="BE35" s="75">
        <v>14800.71</v>
      </c>
      <c r="BF35" s="75">
        <v>23986.83</v>
      </c>
      <c r="BH35" s="73">
        <v>98024</v>
      </c>
      <c r="BI35" s="73" t="s">
        <v>10</v>
      </c>
      <c r="BJ35" s="75"/>
      <c r="BK35" s="75">
        <v>-820.33</v>
      </c>
      <c r="BL35" s="75">
        <v>-1513.13</v>
      </c>
    </row>
    <row r="36" spans="2:64" x14ac:dyDescent="0.2">
      <c r="B36" s="81">
        <v>98012</v>
      </c>
      <c r="C36" s="62" t="s">
        <v>345</v>
      </c>
      <c r="D36" s="46">
        <v>36</v>
      </c>
      <c r="E36" s="46">
        <v>26</v>
      </c>
      <c r="F36" s="46">
        <v>31</v>
      </c>
      <c r="H36" s="73">
        <v>98011</v>
      </c>
      <c r="I36" s="73" t="s">
        <v>10</v>
      </c>
      <c r="J36" s="75">
        <v>87081.77</v>
      </c>
      <c r="K36" s="75">
        <v>64998.55</v>
      </c>
      <c r="L36" s="75">
        <v>308876.48</v>
      </c>
      <c r="M36" s="75">
        <v>571956.74</v>
      </c>
      <c r="N36" s="75">
        <v>69588.289999999994</v>
      </c>
      <c r="O36" s="75">
        <v>66317.36</v>
      </c>
      <c r="P36" s="75">
        <v>321239.53000000003</v>
      </c>
      <c r="Q36" s="75">
        <v>548684.79</v>
      </c>
      <c r="R36" s="75">
        <v>60136.18</v>
      </c>
      <c r="S36" s="75">
        <v>51550.38</v>
      </c>
      <c r="T36" s="75">
        <v>335656</v>
      </c>
      <c r="U36" s="75">
        <v>562848.93000000098</v>
      </c>
      <c r="W36" s="73">
        <v>98027</v>
      </c>
      <c r="X36" s="15" t="s">
        <v>10</v>
      </c>
      <c r="Y36" s="75">
        <v>11011.74</v>
      </c>
      <c r="Z36" s="75">
        <v>10189.32</v>
      </c>
      <c r="AA36" s="75">
        <v>54255.040000000001</v>
      </c>
      <c r="AB36" s="75">
        <v>86598.1899999999</v>
      </c>
      <c r="AC36" s="75">
        <v>8524.02</v>
      </c>
      <c r="AD36" s="75">
        <v>9224.92</v>
      </c>
      <c r="AE36" s="75">
        <v>53667.65</v>
      </c>
      <c r="AF36" s="75">
        <v>82099.42</v>
      </c>
      <c r="AG36" s="75">
        <v>8346.58</v>
      </c>
      <c r="AH36" s="75">
        <v>7204.59</v>
      </c>
      <c r="AI36" s="75">
        <v>56471.959999999897</v>
      </c>
      <c r="AJ36" s="75">
        <v>84340.52</v>
      </c>
      <c r="AL36" s="169"/>
      <c r="AM36" s="170"/>
      <c r="AN36" s="171"/>
      <c r="AV36" s="73" t="s">
        <v>269</v>
      </c>
      <c r="AW36" s="73" t="s">
        <v>10</v>
      </c>
      <c r="AX36" s="33">
        <v>12</v>
      </c>
      <c r="AY36" s="33">
        <v>13</v>
      </c>
      <c r="AZ36" s="33">
        <v>18</v>
      </c>
      <c r="BB36" s="73" t="s">
        <v>269</v>
      </c>
      <c r="BC36" s="73" t="s">
        <v>10</v>
      </c>
      <c r="BD36" s="75">
        <v>4409.09</v>
      </c>
      <c r="BE36" s="75">
        <v>4592.55</v>
      </c>
      <c r="BF36" s="75">
        <v>4725.3500000000004</v>
      </c>
      <c r="BH36" s="73">
        <v>98026</v>
      </c>
      <c r="BI36" s="73" t="s">
        <v>10</v>
      </c>
      <c r="BJ36" s="75">
        <v>-356.35</v>
      </c>
      <c r="BK36" s="75"/>
      <c r="BL36" s="75"/>
    </row>
    <row r="37" spans="2:64" x14ac:dyDescent="0.2">
      <c r="B37" s="56">
        <v>98012</v>
      </c>
      <c r="C37" s="62" t="s">
        <v>10</v>
      </c>
      <c r="D37" s="46">
        <v>1380</v>
      </c>
      <c r="E37" s="46">
        <v>1355</v>
      </c>
      <c r="F37" s="46">
        <v>1442</v>
      </c>
      <c r="H37" s="73">
        <v>98012</v>
      </c>
      <c r="I37" s="73" t="s">
        <v>345</v>
      </c>
      <c r="J37" s="75">
        <v>2035.78</v>
      </c>
      <c r="K37" s="75">
        <v>1153.05</v>
      </c>
      <c r="L37" s="75">
        <v>8537.5499999999993</v>
      </c>
      <c r="M37" s="75">
        <v>20422.77</v>
      </c>
      <c r="N37" s="75">
        <v>1292.0899999999999</v>
      </c>
      <c r="O37" s="75">
        <v>1514.03</v>
      </c>
      <c r="P37" s="75">
        <v>6396.44</v>
      </c>
      <c r="Q37" s="75">
        <v>11849.0099999999</v>
      </c>
      <c r="R37" s="75">
        <v>1516.01</v>
      </c>
      <c r="S37" s="75">
        <v>591.54</v>
      </c>
      <c r="T37" s="75">
        <v>6719.2599999999902</v>
      </c>
      <c r="U37" s="75">
        <v>14094.41</v>
      </c>
      <c r="W37" s="73">
        <v>98028</v>
      </c>
      <c r="X37" s="15" t="s">
        <v>10</v>
      </c>
      <c r="Y37" s="75">
        <v>9193.3799999999992</v>
      </c>
      <c r="Z37" s="75">
        <v>8508.4500000000007</v>
      </c>
      <c r="AA37" s="75">
        <v>45917.249999999898</v>
      </c>
      <c r="AB37" s="75">
        <v>73184.279999999897</v>
      </c>
      <c r="AC37" s="75">
        <v>7687.66</v>
      </c>
      <c r="AD37" s="75">
        <v>7937.24</v>
      </c>
      <c r="AE37" s="75">
        <v>49466.79</v>
      </c>
      <c r="AF37" s="75">
        <v>72847.929999999993</v>
      </c>
      <c r="AG37" s="75">
        <v>6230.85</v>
      </c>
      <c r="AH37" s="75">
        <v>6014.06</v>
      </c>
      <c r="AI37" s="75">
        <v>49235.85</v>
      </c>
      <c r="AJ37" s="75">
        <v>70200.69</v>
      </c>
      <c r="AL37" s="169"/>
      <c r="AM37" s="170"/>
      <c r="AN37" s="171"/>
      <c r="AV37" s="73" t="s">
        <v>105</v>
      </c>
      <c r="AW37" s="73" t="s">
        <v>10</v>
      </c>
      <c r="AX37" s="33">
        <v>3</v>
      </c>
      <c r="AY37" s="33">
        <v>4</v>
      </c>
      <c r="AZ37" s="33">
        <v>2</v>
      </c>
      <c r="BB37" s="73" t="s">
        <v>105</v>
      </c>
      <c r="BC37" s="73" t="s">
        <v>10</v>
      </c>
      <c r="BD37" s="75">
        <v>6928.65</v>
      </c>
      <c r="BE37" s="75">
        <v>4677.1899999999996</v>
      </c>
      <c r="BF37" s="75">
        <v>1493.15</v>
      </c>
      <c r="BH37" s="73">
        <v>98027</v>
      </c>
      <c r="BI37" s="73" t="s">
        <v>10</v>
      </c>
      <c r="BJ37" s="75"/>
      <c r="BK37" s="75"/>
      <c r="BL37" s="75">
        <v>-345.32</v>
      </c>
    </row>
    <row r="38" spans="2:64" x14ac:dyDescent="0.2">
      <c r="B38" s="81">
        <v>98013</v>
      </c>
      <c r="C38" s="62" t="s">
        <v>345</v>
      </c>
      <c r="D38" s="46"/>
      <c r="E38" s="46">
        <v>2</v>
      </c>
      <c r="F38" s="46"/>
      <c r="H38" s="73">
        <v>98012</v>
      </c>
      <c r="I38" s="73" t="s">
        <v>10</v>
      </c>
      <c r="J38" s="75">
        <v>53869.61</v>
      </c>
      <c r="K38" s="75">
        <v>44987.1</v>
      </c>
      <c r="L38" s="75">
        <v>204085.58</v>
      </c>
      <c r="M38" s="75">
        <v>367687.51999999897</v>
      </c>
      <c r="N38" s="75">
        <v>38358.44</v>
      </c>
      <c r="O38" s="75">
        <v>40740.660000000003</v>
      </c>
      <c r="P38" s="75">
        <v>217428.359999999</v>
      </c>
      <c r="Q38" s="75">
        <v>341207.56999999902</v>
      </c>
      <c r="R38" s="75">
        <v>27382.34</v>
      </c>
      <c r="S38" s="75">
        <v>29270.67</v>
      </c>
      <c r="T38" s="75">
        <v>226895.31999999899</v>
      </c>
      <c r="U38" s="75">
        <v>324507.299999999</v>
      </c>
      <c r="W38" s="73">
        <v>98029</v>
      </c>
      <c r="X38" s="15" t="s">
        <v>10</v>
      </c>
      <c r="Y38" s="75">
        <v>13899.06</v>
      </c>
      <c r="Z38" s="75">
        <v>13853.1</v>
      </c>
      <c r="AA38" s="75">
        <v>65833.539999999994</v>
      </c>
      <c r="AB38" s="75">
        <v>106318.939999999</v>
      </c>
      <c r="AC38" s="75">
        <v>9675.8799999999992</v>
      </c>
      <c r="AD38" s="75">
        <v>11064.03</v>
      </c>
      <c r="AE38" s="75">
        <v>69960.100000000006</v>
      </c>
      <c r="AF38" s="75">
        <v>104266.68</v>
      </c>
      <c r="AG38" s="75">
        <v>10868.11</v>
      </c>
      <c r="AH38" s="75">
        <v>8274.6299999999992</v>
      </c>
      <c r="AI38" s="75">
        <v>70715.86</v>
      </c>
      <c r="AJ38" s="75">
        <v>105724.55999999899</v>
      </c>
      <c r="AL38" s="169"/>
      <c r="AM38" s="170"/>
      <c r="AN38" s="171"/>
      <c r="AV38" s="73" t="s">
        <v>106</v>
      </c>
      <c r="AW38" s="73" t="s">
        <v>345</v>
      </c>
      <c r="AX38" s="33">
        <v>1</v>
      </c>
      <c r="AY38" s="33"/>
      <c r="AZ38" s="33">
        <v>1</v>
      </c>
      <c r="BB38" s="73" t="s">
        <v>106</v>
      </c>
      <c r="BC38" s="73" t="s">
        <v>345</v>
      </c>
      <c r="BD38" s="75">
        <v>1996.81</v>
      </c>
      <c r="BE38" s="75"/>
      <c r="BF38" s="75">
        <v>0.05</v>
      </c>
      <c r="BH38" s="73">
        <v>98028</v>
      </c>
      <c r="BI38" s="73" t="s">
        <v>10</v>
      </c>
      <c r="BJ38" s="75">
        <v>-98.74</v>
      </c>
      <c r="BK38" s="75"/>
      <c r="BL38" s="75">
        <v>-97.16</v>
      </c>
    </row>
    <row r="39" spans="2:64" x14ac:dyDescent="0.2">
      <c r="B39" s="56">
        <v>98014</v>
      </c>
      <c r="C39" s="62" t="s">
        <v>345</v>
      </c>
      <c r="D39" s="46">
        <v>121</v>
      </c>
      <c r="E39" s="46">
        <v>96</v>
      </c>
      <c r="F39" s="46">
        <v>121</v>
      </c>
      <c r="H39" s="73">
        <v>98013</v>
      </c>
      <c r="I39" s="73" t="s">
        <v>345</v>
      </c>
      <c r="J39" s="75"/>
      <c r="K39" s="75"/>
      <c r="L39" s="75"/>
      <c r="M39" s="75"/>
      <c r="N39" s="75"/>
      <c r="O39" s="75"/>
      <c r="P39" s="75"/>
      <c r="Q39" s="75">
        <v>218.35</v>
      </c>
      <c r="R39" s="75"/>
      <c r="S39" s="75"/>
      <c r="T39" s="75"/>
      <c r="U39" s="75"/>
      <c r="W39" s="73">
        <v>98030</v>
      </c>
      <c r="X39" s="15" t="s">
        <v>10</v>
      </c>
      <c r="Y39" s="75">
        <v>56144.46</v>
      </c>
      <c r="Z39" s="75">
        <v>61973.95</v>
      </c>
      <c r="AA39" s="75">
        <v>235658.37</v>
      </c>
      <c r="AB39" s="75">
        <v>414374.63</v>
      </c>
      <c r="AC39" s="75">
        <v>50257.39</v>
      </c>
      <c r="AD39" s="75">
        <v>50363.55</v>
      </c>
      <c r="AE39" s="75">
        <v>263183.23</v>
      </c>
      <c r="AF39" s="75">
        <v>417901.09</v>
      </c>
      <c r="AG39" s="75">
        <v>44708.37</v>
      </c>
      <c r="AH39" s="75">
        <v>44191.54</v>
      </c>
      <c r="AI39" s="75">
        <v>274076.81</v>
      </c>
      <c r="AJ39" s="75">
        <v>417160.15999999898</v>
      </c>
      <c r="AL39" s="169"/>
      <c r="AM39" s="170"/>
      <c r="AN39" s="171"/>
      <c r="AV39" s="73" t="s">
        <v>106</v>
      </c>
      <c r="AW39" s="73" t="s">
        <v>10</v>
      </c>
      <c r="AX39" s="33"/>
      <c r="AY39" s="33">
        <v>1</v>
      </c>
      <c r="AZ39" s="33">
        <v>7</v>
      </c>
      <c r="BB39" s="73" t="s">
        <v>106</v>
      </c>
      <c r="BC39" s="73" t="s">
        <v>10</v>
      </c>
      <c r="BD39" s="75"/>
      <c r="BE39" s="75">
        <v>2468.02</v>
      </c>
      <c r="BF39" s="75">
        <v>1782.11</v>
      </c>
      <c r="BH39" s="73">
        <v>98029</v>
      </c>
      <c r="BI39" s="73" t="s">
        <v>10</v>
      </c>
      <c r="BJ39" s="75">
        <v>-223.63</v>
      </c>
      <c r="BK39" s="75">
        <v>-710.97</v>
      </c>
      <c r="BL39" s="75">
        <v>-941.43</v>
      </c>
    </row>
    <row r="40" spans="2:64" x14ac:dyDescent="0.2">
      <c r="B40" s="81">
        <v>98014</v>
      </c>
      <c r="C40" s="62" t="s">
        <v>10</v>
      </c>
      <c r="D40" s="46">
        <v>516</v>
      </c>
      <c r="E40" s="46">
        <v>492</v>
      </c>
      <c r="F40" s="46">
        <v>528</v>
      </c>
      <c r="H40" s="73">
        <v>98014</v>
      </c>
      <c r="I40" s="73" t="s">
        <v>345</v>
      </c>
      <c r="J40" s="75">
        <v>5148.38</v>
      </c>
      <c r="K40" s="75">
        <v>7688.69</v>
      </c>
      <c r="L40" s="75">
        <v>49028.419999999896</v>
      </c>
      <c r="M40" s="75">
        <v>127704.36999999901</v>
      </c>
      <c r="N40" s="75">
        <v>10974.9</v>
      </c>
      <c r="O40" s="75">
        <v>3096.97</v>
      </c>
      <c r="P40" s="75">
        <v>53107.95</v>
      </c>
      <c r="Q40" s="75">
        <v>103796.02</v>
      </c>
      <c r="R40" s="75">
        <v>7908.29</v>
      </c>
      <c r="S40" s="75">
        <v>9363.3700000000008</v>
      </c>
      <c r="T40" s="75">
        <v>53175.43</v>
      </c>
      <c r="U40" s="75">
        <v>114387.29</v>
      </c>
      <c r="W40" s="73">
        <v>98031</v>
      </c>
      <c r="X40" s="15" t="s">
        <v>10</v>
      </c>
      <c r="Y40" s="75">
        <v>47972.800000000003</v>
      </c>
      <c r="Z40" s="75">
        <v>47500.2</v>
      </c>
      <c r="AA40" s="75">
        <v>187938.82</v>
      </c>
      <c r="AB40" s="75">
        <v>330979.82999999903</v>
      </c>
      <c r="AC40" s="75">
        <v>37312.35</v>
      </c>
      <c r="AD40" s="75">
        <v>43053.66</v>
      </c>
      <c r="AE40" s="75">
        <v>201162.15999999901</v>
      </c>
      <c r="AF40" s="75">
        <v>325156.15000000002</v>
      </c>
      <c r="AG40" s="75">
        <v>35468.69</v>
      </c>
      <c r="AH40" s="75">
        <v>31880.37</v>
      </c>
      <c r="AI40" s="75">
        <v>221891.77999999901</v>
      </c>
      <c r="AJ40" s="75">
        <v>335231.99</v>
      </c>
      <c r="AL40" s="169"/>
      <c r="AM40" s="170"/>
      <c r="AN40" s="171"/>
      <c r="AV40" s="73" t="s">
        <v>270</v>
      </c>
      <c r="AW40" s="73" t="s">
        <v>345</v>
      </c>
      <c r="AX40" s="33"/>
      <c r="AY40" s="33">
        <v>1</v>
      </c>
      <c r="AZ40" s="33">
        <v>1</v>
      </c>
      <c r="BB40" s="73" t="s">
        <v>270</v>
      </c>
      <c r="BC40" s="73" t="s">
        <v>345</v>
      </c>
      <c r="BD40" s="75"/>
      <c r="BE40" s="75">
        <v>159.86000000000001</v>
      </c>
      <c r="BF40" s="75">
        <v>472.78</v>
      </c>
      <c r="BH40" s="73">
        <v>98030</v>
      </c>
      <c r="BI40" s="73" t="s">
        <v>345</v>
      </c>
      <c r="BJ40" s="75"/>
      <c r="BK40" s="75"/>
      <c r="BL40" s="75">
        <v>-330</v>
      </c>
    </row>
    <row r="41" spans="2:64" x14ac:dyDescent="0.2">
      <c r="B41" s="56">
        <v>98019</v>
      </c>
      <c r="C41" s="62" t="s">
        <v>345</v>
      </c>
      <c r="D41" s="46">
        <v>35</v>
      </c>
      <c r="E41" s="46">
        <v>34</v>
      </c>
      <c r="F41" s="46">
        <v>58</v>
      </c>
      <c r="H41" s="73">
        <v>98014</v>
      </c>
      <c r="I41" s="73" t="s">
        <v>10</v>
      </c>
      <c r="J41" s="75">
        <v>24684.43</v>
      </c>
      <c r="K41" s="75">
        <v>18843.8</v>
      </c>
      <c r="L41" s="75">
        <v>82937.709999999905</v>
      </c>
      <c r="M41" s="75">
        <v>183678.05999999901</v>
      </c>
      <c r="N41" s="75">
        <v>16660.23</v>
      </c>
      <c r="O41" s="75">
        <v>15073.34</v>
      </c>
      <c r="P41" s="75">
        <v>86600.15</v>
      </c>
      <c r="Q41" s="75">
        <v>183313.50999999899</v>
      </c>
      <c r="R41" s="75">
        <v>26174.12</v>
      </c>
      <c r="S41" s="75">
        <v>11166.07</v>
      </c>
      <c r="T41" s="75">
        <v>85401.049999999901</v>
      </c>
      <c r="U41" s="75">
        <v>183756.429999999</v>
      </c>
      <c r="W41" s="73">
        <v>98032</v>
      </c>
      <c r="X41" s="15" t="s">
        <v>10</v>
      </c>
      <c r="Y41" s="75">
        <v>54904.77</v>
      </c>
      <c r="Z41" s="75">
        <v>55534.65</v>
      </c>
      <c r="AA41" s="75">
        <v>230930.73</v>
      </c>
      <c r="AB41" s="75">
        <v>399503.24999999901</v>
      </c>
      <c r="AC41" s="75">
        <v>48393.59</v>
      </c>
      <c r="AD41" s="75">
        <v>47577.919999999998</v>
      </c>
      <c r="AE41" s="75">
        <v>255452.78999999899</v>
      </c>
      <c r="AF41" s="75">
        <v>401522.31</v>
      </c>
      <c r="AG41" s="75">
        <v>43412.69</v>
      </c>
      <c r="AH41" s="75">
        <v>42874.34</v>
      </c>
      <c r="AI41" s="75">
        <v>268647.42</v>
      </c>
      <c r="AJ41" s="75">
        <v>404857.38999999902</v>
      </c>
      <c r="AL41" s="169"/>
      <c r="AM41" s="170"/>
      <c r="AN41" s="171"/>
      <c r="AV41" s="73" t="s">
        <v>270</v>
      </c>
      <c r="AW41" s="73" t="s">
        <v>10</v>
      </c>
      <c r="AX41" s="33">
        <v>2</v>
      </c>
      <c r="AY41" s="33">
        <v>2</v>
      </c>
      <c r="AZ41" s="33">
        <v>1</v>
      </c>
      <c r="BB41" s="73" t="s">
        <v>270</v>
      </c>
      <c r="BC41" s="73" t="s">
        <v>10</v>
      </c>
      <c r="BD41" s="75">
        <v>156.85</v>
      </c>
      <c r="BE41" s="75">
        <v>369.9</v>
      </c>
      <c r="BF41" s="75">
        <v>268.26</v>
      </c>
      <c r="BH41" s="73">
        <v>98030</v>
      </c>
      <c r="BI41" s="73" t="s">
        <v>10</v>
      </c>
      <c r="BJ41" s="75">
        <v>-405.83</v>
      </c>
      <c r="BK41" s="75">
        <v>-814.87</v>
      </c>
      <c r="BL41" s="75">
        <v>-430.68</v>
      </c>
    </row>
    <row r="42" spans="2:64" ht="16" thickBot="1" x14ac:dyDescent="0.25">
      <c r="B42" s="81">
        <v>98019</v>
      </c>
      <c r="C42" s="62" t="s">
        <v>10</v>
      </c>
      <c r="D42" s="46">
        <v>380</v>
      </c>
      <c r="E42" s="46">
        <v>340</v>
      </c>
      <c r="F42" s="46">
        <v>336</v>
      </c>
      <c r="H42" s="73">
        <v>98019</v>
      </c>
      <c r="I42" s="73" t="s">
        <v>345</v>
      </c>
      <c r="J42" s="75">
        <v>1548.03</v>
      </c>
      <c r="K42" s="75">
        <v>1236.82</v>
      </c>
      <c r="L42" s="75">
        <v>14692.04</v>
      </c>
      <c r="M42" s="75">
        <v>21408.48</v>
      </c>
      <c r="N42" s="75">
        <v>811.38</v>
      </c>
      <c r="O42" s="75">
        <v>954.15</v>
      </c>
      <c r="P42" s="75">
        <v>12694.289999999901</v>
      </c>
      <c r="Q42" s="75">
        <v>17074.769999999899</v>
      </c>
      <c r="R42" s="75">
        <v>1038.29</v>
      </c>
      <c r="S42" s="75">
        <v>789.85</v>
      </c>
      <c r="T42" s="75">
        <v>12877.03</v>
      </c>
      <c r="U42" s="75">
        <v>20834.55</v>
      </c>
      <c r="W42" s="73">
        <v>98033</v>
      </c>
      <c r="X42" s="15" t="s">
        <v>10</v>
      </c>
      <c r="Y42" s="75">
        <v>8326.56</v>
      </c>
      <c r="Z42" s="75">
        <v>8832.1</v>
      </c>
      <c r="AA42" s="75">
        <v>32305.109999999899</v>
      </c>
      <c r="AB42" s="75">
        <v>57577.31</v>
      </c>
      <c r="AC42" s="75">
        <v>6204.42</v>
      </c>
      <c r="AD42" s="75">
        <v>7267.16</v>
      </c>
      <c r="AE42" s="75">
        <v>38004.800000000003</v>
      </c>
      <c r="AF42" s="75">
        <v>58073.14</v>
      </c>
      <c r="AG42" s="75">
        <v>5898.87</v>
      </c>
      <c r="AH42" s="75">
        <v>5418.52</v>
      </c>
      <c r="AI42" s="75">
        <v>38637.65</v>
      </c>
      <c r="AJ42" s="75">
        <v>57952.1</v>
      </c>
      <c r="AL42" s="172"/>
      <c r="AM42" s="173"/>
      <c r="AN42" s="174"/>
      <c r="AV42" s="73" t="s">
        <v>271</v>
      </c>
      <c r="AW42" s="73" t="s">
        <v>345</v>
      </c>
      <c r="AX42" s="33"/>
      <c r="AY42" s="33"/>
      <c r="AZ42" s="33">
        <v>2</v>
      </c>
      <c r="BB42" s="73" t="s">
        <v>271</v>
      </c>
      <c r="BC42" s="73" t="s">
        <v>345</v>
      </c>
      <c r="BD42" s="75"/>
      <c r="BE42" s="75"/>
      <c r="BF42" s="75">
        <v>8355.42</v>
      </c>
      <c r="BH42" s="73">
        <v>98031</v>
      </c>
      <c r="BI42" s="73" t="s">
        <v>10</v>
      </c>
      <c r="BJ42" s="75">
        <v>-661.93</v>
      </c>
      <c r="BK42" s="75">
        <v>-188.82</v>
      </c>
      <c r="BL42" s="75">
        <v>-383.06</v>
      </c>
    </row>
    <row r="43" spans="2:64" x14ac:dyDescent="0.2">
      <c r="B43" s="56">
        <v>98020</v>
      </c>
      <c r="C43" s="62" t="s">
        <v>345</v>
      </c>
      <c r="D43" s="46">
        <v>14</v>
      </c>
      <c r="E43" s="46">
        <v>13</v>
      </c>
      <c r="F43" s="46">
        <v>15</v>
      </c>
      <c r="H43" s="73">
        <v>98019</v>
      </c>
      <c r="I43" s="73" t="s">
        <v>10</v>
      </c>
      <c r="J43" s="75">
        <v>30280.44</v>
      </c>
      <c r="K43" s="75">
        <v>27623.99</v>
      </c>
      <c r="L43" s="75">
        <v>165226.89000000001</v>
      </c>
      <c r="M43" s="75">
        <v>267460.55999999901</v>
      </c>
      <c r="N43" s="75">
        <v>5331.14</v>
      </c>
      <c r="O43" s="75">
        <v>22980.36</v>
      </c>
      <c r="P43" s="75">
        <v>193178.16999999899</v>
      </c>
      <c r="Q43" s="75">
        <v>257494.86999999901</v>
      </c>
      <c r="R43" s="75">
        <v>21570.37</v>
      </c>
      <c r="S43" s="75">
        <v>4543.5600000000004</v>
      </c>
      <c r="T43" s="75">
        <v>195680.139999999</v>
      </c>
      <c r="U43" s="75">
        <v>259082.11999999901</v>
      </c>
      <c r="W43" s="73">
        <v>98034</v>
      </c>
      <c r="X43" s="15" t="s">
        <v>10</v>
      </c>
      <c r="Y43" s="75">
        <v>23774.73</v>
      </c>
      <c r="Z43" s="75">
        <v>21538.58</v>
      </c>
      <c r="AA43" s="75">
        <v>90731.58</v>
      </c>
      <c r="AB43" s="75">
        <v>158744.28999999899</v>
      </c>
      <c r="AC43" s="75">
        <v>17777.41</v>
      </c>
      <c r="AD43" s="75">
        <v>19390.150000000001</v>
      </c>
      <c r="AE43" s="75">
        <v>99440.029999999897</v>
      </c>
      <c r="AF43" s="75">
        <v>154340.41</v>
      </c>
      <c r="AG43" s="75">
        <v>15585.95</v>
      </c>
      <c r="AH43" s="75">
        <v>16201.86</v>
      </c>
      <c r="AI43" s="75">
        <v>105859.65</v>
      </c>
      <c r="AJ43" s="75">
        <v>157883.76999999999</v>
      </c>
      <c r="AV43" s="73" t="s">
        <v>271</v>
      </c>
      <c r="AW43" s="73" t="s">
        <v>10</v>
      </c>
      <c r="AX43" s="33">
        <v>8</v>
      </c>
      <c r="AY43" s="33">
        <v>6</v>
      </c>
      <c r="AZ43" s="33">
        <v>7</v>
      </c>
      <c r="BB43" s="73" t="s">
        <v>271</v>
      </c>
      <c r="BC43" s="73" t="s">
        <v>10</v>
      </c>
      <c r="BD43" s="75">
        <v>3017.98</v>
      </c>
      <c r="BE43" s="75">
        <v>645</v>
      </c>
      <c r="BF43" s="75">
        <v>749.07</v>
      </c>
      <c r="BH43" s="73">
        <v>98032</v>
      </c>
      <c r="BI43" s="73" t="s">
        <v>345</v>
      </c>
      <c r="BJ43" s="75">
        <v>-152.54</v>
      </c>
      <c r="BK43" s="75">
        <v>-152.54</v>
      </c>
      <c r="BL43" s="75">
        <v>-152.54</v>
      </c>
    </row>
    <row r="44" spans="2:64" x14ac:dyDescent="0.2">
      <c r="B44" s="81">
        <v>98020</v>
      </c>
      <c r="C44" s="62" t="s">
        <v>10</v>
      </c>
      <c r="D44" s="46">
        <v>317</v>
      </c>
      <c r="E44" s="46">
        <v>319</v>
      </c>
      <c r="F44" s="46">
        <v>334</v>
      </c>
      <c r="H44" s="73">
        <v>98020</v>
      </c>
      <c r="I44" s="73" t="s">
        <v>345</v>
      </c>
      <c r="J44" s="75">
        <v>678.74</v>
      </c>
      <c r="K44" s="75">
        <v>894.83</v>
      </c>
      <c r="L44" s="75">
        <v>5458.31</v>
      </c>
      <c r="M44" s="75">
        <v>14512.81</v>
      </c>
      <c r="N44" s="75">
        <v>823.13</v>
      </c>
      <c r="O44" s="75">
        <v>599.98</v>
      </c>
      <c r="P44" s="75">
        <v>5271.2199999999903</v>
      </c>
      <c r="Q44" s="75">
        <v>7975.72</v>
      </c>
      <c r="R44" s="75">
        <v>746.97</v>
      </c>
      <c r="S44" s="75">
        <v>653.29</v>
      </c>
      <c r="T44" s="75">
        <v>4267.3999999999996</v>
      </c>
      <c r="U44" s="75">
        <v>7247.0599999999904</v>
      </c>
      <c r="W44" s="73">
        <v>98036</v>
      </c>
      <c r="X44" s="15" t="s">
        <v>10</v>
      </c>
      <c r="Y44" s="75">
        <v>2026.48</v>
      </c>
      <c r="Z44" s="75">
        <v>2447.94</v>
      </c>
      <c r="AA44" s="75">
        <v>16380.32</v>
      </c>
      <c r="AB44" s="75">
        <v>22616.36</v>
      </c>
      <c r="AC44" s="75">
        <v>1454.45</v>
      </c>
      <c r="AD44" s="75">
        <v>1819.47</v>
      </c>
      <c r="AE44" s="75">
        <v>17661.05</v>
      </c>
      <c r="AF44" s="75">
        <v>22324.05</v>
      </c>
      <c r="AG44" s="75">
        <v>1181.43</v>
      </c>
      <c r="AH44" s="75">
        <v>1280.8900000000001</v>
      </c>
      <c r="AI44" s="75">
        <v>18836.3</v>
      </c>
      <c r="AJ44" s="75">
        <v>22448.58</v>
      </c>
      <c r="AV44" s="73" t="s">
        <v>107</v>
      </c>
      <c r="AW44" s="73" t="s">
        <v>345</v>
      </c>
      <c r="AX44" s="33"/>
      <c r="AY44" s="33">
        <v>5</v>
      </c>
      <c r="AZ44" s="33"/>
      <c r="BB44" s="73" t="s">
        <v>107</v>
      </c>
      <c r="BC44" s="73" t="s">
        <v>345</v>
      </c>
      <c r="BD44" s="75"/>
      <c r="BE44" s="75">
        <v>4010.25</v>
      </c>
      <c r="BF44" s="75"/>
      <c r="BH44" s="73">
        <v>98032</v>
      </c>
      <c r="BI44" s="73" t="s">
        <v>10</v>
      </c>
      <c r="BJ44" s="75">
        <v>-1400</v>
      </c>
      <c r="BK44" s="75">
        <v>-355.44</v>
      </c>
      <c r="BL44" s="75">
        <v>-938.78</v>
      </c>
    </row>
    <row r="45" spans="2:64" x14ac:dyDescent="0.2">
      <c r="B45" s="56">
        <v>98021</v>
      </c>
      <c r="C45" s="62" t="s">
        <v>345</v>
      </c>
      <c r="D45" s="46">
        <v>24</v>
      </c>
      <c r="E45" s="46">
        <v>31</v>
      </c>
      <c r="F45" s="46">
        <v>33</v>
      </c>
      <c r="H45" s="73">
        <v>98020</v>
      </c>
      <c r="I45" s="73" t="s">
        <v>10</v>
      </c>
      <c r="J45" s="75">
        <v>10530.98</v>
      </c>
      <c r="K45" s="75">
        <v>9545.49</v>
      </c>
      <c r="L45" s="75">
        <v>40584.9</v>
      </c>
      <c r="M45" s="75">
        <v>77797.819999999905</v>
      </c>
      <c r="N45" s="75">
        <v>8282.08</v>
      </c>
      <c r="O45" s="75">
        <v>7109.02</v>
      </c>
      <c r="P45" s="75">
        <v>44320.2</v>
      </c>
      <c r="Q45" s="75">
        <v>71410.240000000005</v>
      </c>
      <c r="R45" s="75">
        <v>7257.8</v>
      </c>
      <c r="S45" s="75">
        <v>5921.25</v>
      </c>
      <c r="T45" s="75">
        <v>47370.03</v>
      </c>
      <c r="U45" s="75">
        <v>72196.61</v>
      </c>
      <c r="W45" s="73">
        <v>98037</v>
      </c>
      <c r="X45" s="15" t="s">
        <v>10</v>
      </c>
      <c r="Y45" s="75">
        <v>2232.73</v>
      </c>
      <c r="Z45" s="75">
        <v>1889.1</v>
      </c>
      <c r="AA45" s="75">
        <v>5760.47</v>
      </c>
      <c r="AB45" s="75">
        <v>11869.96</v>
      </c>
      <c r="AC45" s="75">
        <v>1562.7</v>
      </c>
      <c r="AD45" s="75">
        <v>1946.32</v>
      </c>
      <c r="AE45" s="75">
        <v>5972.8699999999899</v>
      </c>
      <c r="AF45" s="75">
        <v>10799.22</v>
      </c>
      <c r="AG45" s="75">
        <v>1056.58</v>
      </c>
      <c r="AH45" s="75">
        <v>1489.93</v>
      </c>
      <c r="AI45" s="75">
        <v>7278.77</v>
      </c>
      <c r="AJ45" s="75">
        <v>11027.64</v>
      </c>
      <c r="AV45" s="73" t="s">
        <v>107</v>
      </c>
      <c r="AW45" s="73" t="s">
        <v>10</v>
      </c>
      <c r="AX45" s="33">
        <v>21</v>
      </c>
      <c r="AY45" s="33">
        <v>17</v>
      </c>
      <c r="AZ45" s="33">
        <v>21</v>
      </c>
      <c r="BB45" s="73" t="s">
        <v>107</v>
      </c>
      <c r="BC45" s="73" t="s">
        <v>10</v>
      </c>
      <c r="BD45" s="75">
        <v>17484.240000000002</v>
      </c>
      <c r="BE45" s="75">
        <v>11490.92</v>
      </c>
      <c r="BF45" s="75">
        <v>11756.91</v>
      </c>
      <c r="BH45" s="73">
        <v>98033</v>
      </c>
      <c r="BI45" s="73" t="s">
        <v>10</v>
      </c>
      <c r="BJ45" s="75">
        <v>-1363.28</v>
      </c>
      <c r="BK45" s="75">
        <v>-234.36</v>
      </c>
      <c r="BL45" s="75">
        <v>-1742.6</v>
      </c>
    </row>
    <row r="46" spans="2:64" x14ac:dyDescent="0.2">
      <c r="B46" s="81">
        <v>98021</v>
      </c>
      <c r="C46" s="62" t="s">
        <v>10</v>
      </c>
      <c r="D46" s="46">
        <v>620</v>
      </c>
      <c r="E46" s="46">
        <v>570</v>
      </c>
      <c r="F46" s="46">
        <v>598</v>
      </c>
      <c r="H46" s="73">
        <v>98021</v>
      </c>
      <c r="I46" s="73" t="s">
        <v>345</v>
      </c>
      <c r="J46" s="75">
        <v>1901.67</v>
      </c>
      <c r="K46" s="75">
        <v>2422.5500000000002</v>
      </c>
      <c r="L46" s="75">
        <v>16257.9399999999</v>
      </c>
      <c r="M46" s="75">
        <v>87754.75</v>
      </c>
      <c r="N46" s="75">
        <v>1274.33</v>
      </c>
      <c r="O46" s="75">
        <v>1137.72</v>
      </c>
      <c r="P46" s="75">
        <v>10595.0099999999</v>
      </c>
      <c r="Q46" s="75">
        <v>38150.65</v>
      </c>
      <c r="R46" s="75">
        <v>1010.66</v>
      </c>
      <c r="S46" s="75">
        <v>605.98</v>
      </c>
      <c r="T46" s="75">
        <v>3765.05</v>
      </c>
      <c r="U46" s="75">
        <v>112883.98</v>
      </c>
      <c r="W46" s="73">
        <v>98038</v>
      </c>
      <c r="X46" s="15" t="s">
        <v>10</v>
      </c>
      <c r="Y46" s="75">
        <v>17611.25</v>
      </c>
      <c r="Z46" s="75">
        <v>17594.37</v>
      </c>
      <c r="AA46" s="75">
        <v>98279.309999999896</v>
      </c>
      <c r="AB46" s="75">
        <v>149957.459999999</v>
      </c>
      <c r="AC46" s="75">
        <v>13949.31</v>
      </c>
      <c r="AD46" s="75">
        <v>14855.93</v>
      </c>
      <c r="AE46" s="75">
        <v>104258.049999999</v>
      </c>
      <c r="AF46" s="75">
        <v>151552.12</v>
      </c>
      <c r="AG46" s="75">
        <v>14620.37</v>
      </c>
      <c r="AH46" s="75">
        <v>11936.91</v>
      </c>
      <c r="AI46" s="75">
        <v>110190.97</v>
      </c>
      <c r="AJ46" s="75">
        <v>154113.23000000001</v>
      </c>
      <c r="AV46" s="73" t="s">
        <v>108</v>
      </c>
      <c r="AW46" s="73" t="s">
        <v>345</v>
      </c>
      <c r="AX46" s="33"/>
      <c r="AY46" s="33">
        <v>1</v>
      </c>
      <c r="AZ46" s="33"/>
      <c r="BB46" s="73" t="s">
        <v>108</v>
      </c>
      <c r="BC46" s="73" t="s">
        <v>345</v>
      </c>
      <c r="BD46" s="75"/>
      <c r="BE46" s="75">
        <v>97.98</v>
      </c>
      <c r="BF46" s="75"/>
      <c r="BH46" s="73">
        <v>98034</v>
      </c>
      <c r="BI46" s="73" t="s">
        <v>345</v>
      </c>
      <c r="BJ46" s="75"/>
      <c r="BK46" s="75"/>
      <c r="BL46" s="75">
        <v>-1039.47</v>
      </c>
    </row>
    <row r="47" spans="2:64" x14ac:dyDescent="0.2">
      <c r="B47" s="56">
        <v>98022</v>
      </c>
      <c r="C47" s="62" t="s">
        <v>345</v>
      </c>
      <c r="D47" s="46">
        <v>239</v>
      </c>
      <c r="E47" s="46">
        <v>240</v>
      </c>
      <c r="F47" s="46">
        <v>253</v>
      </c>
      <c r="H47" s="73">
        <v>98021</v>
      </c>
      <c r="I47" s="73" t="s">
        <v>10</v>
      </c>
      <c r="J47" s="75">
        <v>20190.18</v>
      </c>
      <c r="K47" s="75">
        <v>19114.88</v>
      </c>
      <c r="L47" s="75">
        <v>81704.12</v>
      </c>
      <c r="M47" s="75">
        <v>149716.459999999</v>
      </c>
      <c r="N47" s="75">
        <v>15122.89</v>
      </c>
      <c r="O47" s="75">
        <v>14057.83</v>
      </c>
      <c r="P47" s="75">
        <v>84587.799999999901</v>
      </c>
      <c r="Q47" s="75">
        <v>131481.99</v>
      </c>
      <c r="R47" s="75">
        <v>11015.34</v>
      </c>
      <c r="S47" s="75">
        <v>11055.46</v>
      </c>
      <c r="T47" s="75">
        <v>86365.089999999895</v>
      </c>
      <c r="U47" s="75">
        <v>125125.69</v>
      </c>
      <c r="W47" s="73">
        <v>98039</v>
      </c>
      <c r="X47" s="15" t="s">
        <v>10</v>
      </c>
      <c r="Y47" s="75">
        <v>651.04</v>
      </c>
      <c r="Z47" s="75">
        <v>739.84</v>
      </c>
      <c r="AA47" s="75">
        <v>1569.28</v>
      </c>
      <c r="AB47" s="75">
        <v>3428.43</v>
      </c>
      <c r="AC47" s="75">
        <v>468.27</v>
      </c>
      <c r="AD47" s="75">
        <v>651.04</v>
      </c>
      <c r="AE47" s="75">
        <v>2309.12</v>
      </c>
      <c r="AF47" s="75">
        <v>3776.75</v>
      </c>
      <c r="AG47" s="75">
        <v>269.82</v>
      </c>
      <c r="AH47" s="75">
        <v>416.85</v>
      </c>
      <c r="AI47" s="75">
        <v>2758.85</v>
      </c>
      <c r="AJ47" s="75">
        <v>3680.96</v>
      </c>
      <c r="AV47" s="73" t="s">
        <v>108</v>
      </c>
      <c r="AW47" s="73" t="s">
        <v>10</v>
      </c>
      <c r="AX47" s="33">
        <v>93</v>
      </c>
      <c r="AY47" s="33">
        <v>90</v>
      </c>
      <c r="AZ47" s="33">
        <v>67</v>
      </c>
      <c r="BB47" s="73" t="s">
        <v>108</v>
      </c>
      <c r="BC47" s="73" t="s">
        <v>10</v>
      </c>
      <c r="BD47" s="75">
        <v>55732.53</v>
      </c>
      <c r="BE47" s="75">
        <v>74596.7</v>
      </c>
      <c r="BF47" s="75">
        <v>42401.99</v>
      </c>
      <c r="BH47" s="73">
        <v>98034</v>
      </c>
      <c r="BI47" s="73" t="s">
        <v>10</v>
      </c>
      <c r="BJ47" s="75">
        <v>-544.74</v>
      </c>
      <c r="BK47" s="75">
        <v>-686.11</v>
      </c>
      <c r="BL47" s="75">
        <v>-1152.68</v>
      </c>
    </row>
    <row r="48" spans="2:64" x14ac:dyDescent="0.2">
      <c r="B48" s="81">
        <v>98022</v>
      </c>
      <c r="C48" s="62" t="s">
        <v>10</v>
      </c>
      <c r="D48" s="46">
        <v>2043</v>
      </c>
      <c r="E48" s="46">
        <v>2048</v>
      </c>
      <c r="F48" s="46">
        <v>2085</v>
      </c>
      <c r="H48" s="73">
        <v>98022</v>
      </c>
      <c r="I48" s="73" t="s">
        <v>345</v>
      </c>
      <c r="J48" s="75">
        <v>20858.62</v>
      </c>
      <c r="K48" s="75">
        <v>12706.98</v>
      </c>
      <c r="L48" s="75">
        <v>277800.36999999901</v>
      </c>
      <c r="M48" s="75">
        <v>456237.239999999</v>
      </c>
      <c r="N48" s="75">
        <v>47588.2</v>
      </c>
      <c r="O48" s="75">
        <v>17123.009999999998</v>
      </c>
      <c r="P48" s="75">
        <v>281682.14999999898</v>
      </c>
      <c r="Q48" s="75">
        <v>459278.99999999901</v>
      </c>
      <c r="R48" s="75">
        <v>31736.46</v>
      </c>
      <c r="S48" s="75">
        <v>38803.57</v>
      </c>
      <c r="T48" s="75">
        <v>290547.06</v>
      </c>
      <c r="U48" s="75">
        <v>482364.01</v>
      </c>
      <c r="W48" s="73">
        <v>98040</v>
      </c>
      <c r="X48" s="15" t="s">
        <v>10</v>
      </c>
      <c r="Y48" s="75">
        <v>2491.94</v>
      </c>
      <c r="Z48" s="75">
        <v>2797.34</v>
      </c>
      <c r="AA48" s="75">
        <v>23218.28</v>
      </c>
      <c r="AB48" s="75">
        <v>30998.45</v>
      </c>
      <c r="AC48" s="75">
        <v>1621.54</v>
      </c>
      <c r="AD48" s="75">
        <v>2348.64</v>
      </c>
      <c r="AE48" s="75">
        <v>21099.659999999902</v>
      </c>
      <c r="AF48" s="75">
        <v>26890.47</v>
      </c>
      <c r="AG48" s="75">
        <v>1442.72</v>
      </c>
      <c r="AH48" s="75">
        <v>1527.6</v>
      </c>
      <c r="AI48" s="75">
        <v>23356.609999999899</v>
      </c>
      <c r="AJ48" s="75">
        <v>27992.91</v>
      </c>
      <c r="AV48" s="73" t="s">
        <v>109</v>
      </c>
      <c r="AW48" s="73" t="s">
        <v>10</v>
      </c>
      <c r="AX48" s="33">
        <v>2</v>
      </c>
      <c r="AY48" s="33">
        <v>4</v>
      </c>
      <c r="AZ48" s="33">
        <v>2</v>
      </c>
      <c r="BB48" s="73" t="s">
        <v>109</v>
      </c>
      <c r="BC48" s="73" t="s">
        <v>10</v>
      </c>
      <c r="BD48" s="75">
        <v>1130.28</v>
      </c>
      <c r="BE48" s="75">
        <v>526.79</v>
      </c>
      <c r="BF48" s="75">
        <v>748.95</v>
      </c>
      <c r="BH48" s="73">
        <v>98036</v>
      </c>
      <c r="BI48" s="73" t="s">
        <v>10</v>
      </c>
      <c r="BJ48" s="75">
        <v>-59.06</v>
      </c>
      <c r="BK48" s="75">
        <v>-116.45</v>
      </c>
      <c r="BL48" s="75"/>
    </row>
    <row r="49" spans="2:64" x14ac:dyDescent="0.2">
      <c r="B49" s="56">
        <v>98023</v>
      </c>
      <c r="C49" s="62" t="s">
        <v>345</v>
      </c>
      <c r="D49" s="46">
        <v>87</v>
      </c>
      <c r="E49" s="46">
        <v>44</v>
      </c>
      <c r="F49" s="46">
        <v>84</v>
      </c>
      <c r="H49" s="73">
        <v>98022</v>
      </c>
      <c r="I49" s="73" t="s">
        <v>10</v>
      </c>
      <c r="J49" s="75">
        <v>109634.95</v>
      </c>
      <c r="K49" s="75">
        <v>88863.55</v>
      </c>
      <c r="L49" s="75">
        <v>508308.69999999902</v>
      </c>
      <c r="M49" s="75">
        <v>932784.62</v>
      </c>
      <c r="N49" s="75">
        <v>105291.67</v>
      </c>
      <c r="O49" s="75">
        <v>78752.42</v>
      </c>
      <c r="P49" s="75">
        <v>535251.43000000005</v>
      </c>
      <c r="Q49" s="75">
        <v>963277.6</v>
      </c>
      <c r="R49" s="75">
        <v>109307.48</v>
      </c>
      <c r="S49" s="75">
        <v>77332.38</v>
      </c>
      <c r="T49" s="75">
        <v>543343</v>
      </c>
      <c r="U49" s="75">
        <v>978471.66999999899</v>
      </c>
      <c r="W49" s="73">
        <v>98042</v>
      </c>
      <c r="X49" s="15" t="s">
        <v>10</v>
      </c>
      <c r="Y49" s="75">
        <v>38719.18</v>
      </c>
      <c r="Z49" s="75">
        <v>39863.14</v>
      </c>
      <c r="AA49" s="75">
        <v>159974.39999999999</v>
      </c>
      <c r="AB49" s="75">
        <v>276378.15999999898</v>
      </c>
      <c r="AC49" s="75">
        <v>29907.55</v>
      </c>
      <c r="AD49" s="75">
        <v>33178.379999999997</v>
      </c>
      <c r="AE49" s="75">
        <v>179146.13</v>
      </c>
      <c r="AF49" s="75">
        <v>279942.65000000002</v>
      </c>
      <c r="AG49" s="75">
        <v>30050.99</v>
      </c>
      <c r="AH49" s="75">
        <v>25923.119999999999</v>
      </c>
      <c r="AI49" s="75">
        <v>174225.71</v>
      </c>
      <c r="AJ49" s="75">
        <v>266642.21999999997</v>
      </c>
      <c r="AV49" s="73" t="s">
        <v>272</v>
      </c>
      <c r="AW49" s="73" t="s">
        <v>345</v>
      </c>
      <c r="AX49" s="33"/>
      <c r="AY49" s="33">
        <v>1</v>
      </c>
      <c r="AZ49" s="33"/>
      <c r="BB49" s="73" t="s">
        <v>272</v>
      </c>
      <c r="BC49" s="73" t="s">
        <v>345</v>
      </c>
      <c r="BD49" s="75"/>
      <c r="BE49" s="75">
        <v>269.23</v>
      </c>
      <c r="BF49" s="75"/>
      <c r="BH49" s="73">
        <v>98037</v>
      </c>
      <c r="BI49" s="73" t="s">
        <v>10</v>
      </c>
      <c r="BJ49" s="75">
        <v>-368.65</v>
      </c>
      <c r="BK49" s="75">
        <v>-181.15</v>
      </c>
      <c r="BL49" s="75">
        <v>-78.94</v>
      </c>
    </row>
    <row r="50" spans="2:64" x14ac:dyDescent="0.2">
      <c r="B50" s="81">
        <v>98023</v>
      </c>
      <c r="C50" s="62" t="s">
        <v>10</v>
      </c>
      <c r="D50" s="46">
        <v>3769</v>
      </c>
      <c r="E50" s="46">
        <v>3719</v>
      </c>
      <c r="F50" s="46">
        <v>3780</v>
      </c>
      <c r="H50" s="73">
        <v>98023</v>
      </c>
      <c r="I50" s="73" t="s">
        <v>345</v>
      </c>
      <c r="J50" s="75">
        <v>5669.87</v>
      </c>
      <c r="K50" s="75">
        <v>5858.67</v>
      </c>
      <c r="L50" s="75">
        <v>22198.82</v>
      </c>
      <c r="M50" s="75">
        <v>82599.209999999905</v>
      </c>
      <c r="N50" s="75">
        <v>24935.24</v>
      </c>
      <c r="O50" s="75">
        <v>4523.66</v>
      </c>
      <c r="P50" s="75">
        <v>27485.179999999898</v>
      </c>
      <c r="Q50" s="75">
        <v>81141.679999999993</v>
      </c>
      <c r="R50" s="75">
        <v>5802.14</v>
      </c>
      <c r="S50" s="75">
        <v>23740.76</v>
      </c>
      <c r="T50" s="75">
        <v>32284.94</v>
      </c>
      <c r="U50" s="75">
        <v>128308.75999999901</v>
      </c>
      <c r="W50" s="73">
        <v>98043</v>
      </c>
      <c r="X50" s="15" t="s">
        <v>10</v>
      </c>
      <c r="Y50" s="75">
        <v>815.28</v>
      </c>
      <c r="Z50" s="75">
        <v>862.88</v>
      </c>
      <c r="AA50" s="75">
        <v>4704.17</v>
      </c>
      <c r="AB50" s="75">
        <v>7301.16</v>
      </c>
      <c r="AC50" s="75">
        <v>614.51</v>
      </c>
      <c r="AD50" s="75">
        <v>714.86</v>
      </c>
      <c r="AE50" s="75">
        <v>5341.88</v>
      </c>
      <c r="AF50" s="75">
        <v>7296.9799999999896</v>
      </c>
      <c r="AG50" s="75">
        <v>431.3</v>
      </c>
      <c r="AH50" s="75">
        <v>512.38</v>
      </c>
      <c r="AI50" s="75">
        <v>5588.51</v>
      </c>
      <c r="AJ50" s="75">
        <v>7039.76</v>
      </c>
      <c r="AV50" s="73" t="s">
        <v>272</v>
      </c>
      <c r="AW50" s="73" t="s">
        <v>10</v>
      </c>
      <c r="AX50" s="33">
        <v>7</v>
      </c>
      <c r="AY50" s="33">
        <v>11</v>
      </c>
      <c r="AZ50" s="33">
        <v>5</v>
      </c>
      <c r="BB50" s="73" t="s">
        <v>272</v>
      </c>
      <c r="BC50" s="73" t="s">
        <v>10</v>
      </c>
      <c r="BD50" s="75">
        <v>1920.43</v>
      </c>
      <c r="BE50" s="75">
        <v>5422.38</v>
      </c>
      <c r="BF50" s="75">
        <v>1048.8900000000001</v>
      </c>
      <c r="BH50" s="73">
        <v>98038</v>
      </c>
      <c r="BI50" s="73" t="s">
        <v>10</v>
      </c>
      <c r="BJ50" s="75">
        <v>-844.78</v>
      </c>
      <c r="BK50" s="75">
        <v>-623.23</v>
      </c>
      <c r="BL50" s="75">
        <v>-693.11</v>
      </c>
    </row>
    <row r="51" spans="2:64" x14ac:dyDescent="0.2">
      <c r="B51" s="56">
        <v>98024</v>
      </c>
      <c r="C51" s="62" t="s">
        <v>345</v>
      </c>
      <c r="D51" s="46">
        <v>24</v>
      </c>
      <c r="E51" s="46">
        <v>19</v>
      </c>
      <c r="F51" s="46">
        <v>24</v>
      </c>
      <c r="H51" s="73">
        <v>98023</v>
      </c>
      <c r="I51" s="73" t="s">
        <v>10</v>
      </c>
      <c r="J51" s="75">
        <v>340920.53</v>
      </c>
      <c r="K51" s="75">
        <v>295628.65999999997</v>
      </c>
      <c r="L51" s="75">
        <v>1503040.67</v>
      </c>
      <c r="M51" s="75">
        <v>2510785.5299999998</v>
      </c>
      <c r="N51" s="75">
        <v>264049.56</v>
      </c>
      <c r="O51" s="75">
        <v>271199.21999999997</v>
      </c>
      <c r="P51" s="75">
        <v>1583962.21</v>
      </c>
      <c r="Q51" s="75">
        <v>2465390.16</v>
      </c>
      <c r="R51" s="75">
        <v>242733.31</v>
      </c>
      <c r="S51" s="75">
        <v>212611.49</v>
      </c>
      <c r="T51" s="75">
        <v>1683260.35</v>
      </c>
      <c r="U51" s="75">
        <v>2493924.9700000002</v>
      </c>
      <c r="W51" s="73">
        <v>98045</v>
      </c>
      <c r="X51" s="15" t="s">
        <v>10</v>
      </c>
      <c r="Y51" s="75">
        <v>4198.43</v>
      </c>
      <c r="Z51" s="75">
        <v>4814.58</v>
      </c>
      <c r="AA51" s="75">
        <v>17749.79</v>
      </c>
      <c r="AB51" s="75">
        <v>31347.67</v>
      </c>
      <c r="AC51" s="75">
        <v>3325.79</v>
      </c>
      <c r="AD51" s="75">
        <v>3644.12</v>
      </c>
      <c r="AE51" s="75">
        <v>18271.91</v>
      </c>
      <c r="AF51" s="75">
        <v>29401.49</v>
      </c>
      <c r="AG51" s="75">
        <v>2810.23</v>
      </c>
      <c r="AH51" s="75">
        <v>3014.69</v>
      </c>
      <c r="AI51" s="75">
        <v>20038.64</v>
      </c>
      <c r="AJ51" s="75">
        <v>30358.23</v>
      </c>
      <c r="AV51" s="73" t="s">
        <v>110</v>
      </c>
      <c r="AW51" s="73" t="s">
        <v>345</v>
      </c>
      <c r="AX51" s="33">
        <v>2</v>
      </c>
      <c r="AY51" s="33">
        <v>2</v>
      </c>
      <c r="AZ51" s="33"/>
      <c r="BB51" s="73" t="s">
        <v>110</v>
      </c>
      <c r="BC51" s="73" t="s">
        <v>345</v>
      </c>
      <c r="BD51" s="75">
        <v>1549.78</v>
      </c>
      <c r="BE51" s="75">
        <v>9452.3100000000013</v>
      </c>
      <c r="BF51" s="75"/>
      <c r="BH51" s="73">
        <v>98039</v>
      </c>
      <c r="BI51" s="73" t="s">
        <v>10</v>
      </c>
      <c r="BJ51" s="75">
        <v>-99.73</v>
      </c>
      <c r="BK51" s="75"/>
      <c r="BL51" s="75"/>
    </row>
    <row r="52" spans="2:64" x14ac:dyDescent="0.2">
      <c r="B52" s="81">
        <v>98024</v>
      </c>
      <c r="C52" s="62" t="s">
        <v>10</v>
      </c>
      <c r="D52" s="46">
        <v>279</v>
      </c>
      <c r="E52" s="46">
        <v>294</v>
      </c>
      <c r="F52" s="46">
        <v>282</v>
      </c>
      <c r="H52" s="73">
        <v>98024</v>
      </c>
      <c r="I52" s="73" t="s">
        <v>345</v>
      </c>
      <c r="J52" s="75">
        <v>1644.41</v>
      </c>
      <c r="K52" s="75">
        <v>810.79</v>
      </c>
      <c r="L52" s="75">
        <v>556.51</v>
      </c>
      <c r="M52" s="75">
        <v>6447.92</v>
      </c>
      <c r="N52" s="75">
        <v>810.11</v>
      </c>
      <c r="O52" s="75">
        <v>247.98</v>
      </c>
      <c r="P52" s="75">
        <v>944.21</v>
      </c>
      <c r="Q52" s="75">
        <v>5101.17</v>
      </c>
      <c r="R52" s="75">
        <v>705.01</v>
      </c>
      <c r="S52" s="75">
        <v>503.7</v>
      </c>
      <c r="T52" s="75">
        <v>981.98</v>
      </c>
      <c r="U52" s="75">
        <v>5190.57</v>
      </c>
      <c r="W52" s="73">
        <v>98047</v>
      </c>
      <c r="X52" s="15" t="s">
        <v>10</v>
      </c>
      <c r="Y52" s="75">
        <v>7586</v>
      </c>
      <c r="Z52" s="75">
        <v>8380.4500000000007</v>
      </c>
      <c r="AA52" s="75">
        <v>25097.48</v>
      </c>
      <c r="AB52" s="75">
        <v>49490.289999999899</v>
      </c>
      <c r="AC52" s="75">
        <v>441.89</v>
      </c>
      <c r="AD52" s="75">
        <v>6540.65</v>
      </c>
      <c r="AE52" s="75">
        <v>33488.379999999997</v>
      </c>
      <c r="AF52" s="75">
        <v>48107.409999999902</v>
      </c>
      <c r="AG52" s="75">
        <v>6726.77</v>
      </c>
      <c r="AH52" s="75">
        <v>398.95</v>
      </c>
      <c r="AI52" s="75">
        <v>35392.8299999999</v>
      </c>
      <c r="AJ52" s="75">
        <v>51077.77</v>
      </c>
      <c r="AV52" s="73" t="s">
        <v>110</v>
      </c>
      <c r="AW52" s="73" t="s">
        <v>10</v>
      </c>
      <c r="AX52" s="33">
        <v>8</v>
      </c>
      <c r="AY52" s="33">
        <v>15</v>
      </c>
      <c r="AZ52" s="33">
        <v>26</v>
      </c>
      <c r="BB52" s="73" t="s">
        <v>110</v>
      </c>
      <c r="BC52" s="73" t="s">
        <v>10</v>
      </c>
      <c r="BD52" s="75">
        <v>2590.42</v>
      </c>
      <c r="BE52" s="75">
        <v>5036.2299999999996</v>
      </c>
      <c r="BF52" s="75">
        <v>7229.39</v>
      </c>
      <c r="BH52" s="73">
        <v>98040</v>
      </c>
      <c r="BI52" s="73" t="s">
        <v>10</v>
      </c>
      <c r="BJ52" s="75">
        <v>-945.33</v>
      </c>
      <c r="BK52" s="75">
        <v>-250</v>
      </c>
      <c r="BL52" s="75">
        <v>-250</v>
      </c>
    </row>
    <row r="53" spans="2:64" x14ac:dyDescent="0.2">
      <c r="B53" s="56">
        <v>98026</v>
      </c>
      <c r="C53" s="62" t="s">
        <v>345</v>
      </c>
      <c r="D53" s="46">
        <v>20</v>
      </c>
      <c r="E53" s="46">
        <v>17</v>
      </c>
      <c r="F53" s="46">
        <v>19</v>
      </c>
      <c r="H53" s="73">
        <v>98024</v>
      </c>
      <c r="I53" s="73" t="s">
        <v>10</v>
      </c>
      <c r="J53" s="75">
        <v>18878.34</v>
      </c>
      <c r="K53" s="75">
        <v>16178.93</v>
      </c>
      <c r="L53" s="75">
        <v>87302.56</v>
      </c>
      <c r="M53" s="75">
        <v>151915.46</v>
      </c>
      <c r="N53" s="75">
        <v>13939.73</v>
      </c>
      <c r="O53" s="75">
        <v>13496.98</v>
      </c>
      <c r="P53" s="75">
        <v>95725.49</v>
      </c>
      <c r="Q53" s="75">
        <v>157162.32999999999</v>
      </c>
      <c r="R53" s="75">
        <v>17751.66</v>
      </c>
      <c r="S53" s="75">
        <v>10464.07</v>
      </c>
      <c r="T53" s="75">
        <v>101227.14</v>
      </c>
      <c r="U53" s="75">
        <v>161921.60000000001</v>
      </c>
      <c r="W53" s="73">
        <v>98051</v>
      </c>
      <c r="X53" s="15" t="s">
        <v>10</v>
      </c>
      <c r="Y53" s="75">
        <v>5105.99</v>
      </c>
      <c r="Z53" s="75">
        <v>3982.53</v>
      </c>
      <c r="AA53" s="75">
        <v>39542.269999999997</v>
      </c>
      <c r="AB53" s="75">
        <v>51234.18</v>
      </c>
      <c r="AC53" s="75">
        <v>1925.35</v>
      </c>
      <c r="AD53" s="75">
        <v>4431.1000000000004</v>
      </c>
      <c r="AE53" s="75">
        <v>40603.29</v>
      </c>
      <c r="AF53" s="75">
        <v>50233.919999999998</v>
      </c>
      <c r="AG53" s="75">
        <v>2441.9699999999998</v>
      </c>
      <c r="AH53" s="75">
        <v>1666.74</v>
      </c>
      <c r="AI53" s="75">
        <v>33389.3999999999</v>
      </c>
      <c r="AJ53" s="75">
        <v>39646.39</v>
      </c>
      <c r="AV53" s="73" t="s">
        <v>111</v>
      </c>
      <c r="AW53" s="73" t="s">
        <v>345</v>
      </c>
      <c r="AX53" s="33">
        <v>3</v>
      </c>
      <c r="AY53" s="33">
        <v>1</v>
      </c>
      <c r="AZ53" s="33"/>
      <c r="BB53" s="73" t="s">
        <v>111</v>
      </c>
      <c r="BC53" s="73" t="s">
        <v>345</v>
      </c>
      <c r="BD53" s="75">
        <v>4108.2</v>
      </c>
      <c r="BE53" s="75">
        <v>33.21</v>
      </c>
      <c r="BF53" s="75"/>
      <c r="BH53" s="73">
        <v>98042</v>
      </c>
      <c r="BI53" s="73" t="s">
        <v>345</v>
      </c>
      <c r="BJ53" s="75"/>
      <c r="BK53" s="75">
        <v>-426.02</v>
      </c>
      <c r="BL53" s="75"/>
    </row>
    <row r="54" spans="2:64" x14ac:dyDescent="0.2">
      <c r="B54" s="81">
        <v>98026</v>
      </c>
      <c r="C54" s="62" t="s">
        <v>10</v>
      </c>
      <c r="D54" s="46">
        <v>752</v>
      </c>
      <c r="E54" s="46">
        <v>738</v>
      </c>
      <c r="F54" s="46">
        <v>742</v>
      </c>
      <c r="H54" s="73">
        <v>98026</v>
      </c>
      <c r="I54" s="73" t="s">
        <v>345</v>
      </c>
      <c r="J54" s="75">
        <v>4462.04</v>
      </c>
      <c r="K54" s="75">
        <v>612.37</v>
      </c>
      <c r="L54" s="75">
        <v>2377.44</v>
      </c>
      <c r="M54" s="75">
        <v>17710.4399999999</v>
      </c>
      <c r="N54" s="75">
        <v>813.56</v>
      </c>
      <c r="O54" s="75">
        <v>423.93</v>
      </c>
      <c r="P54" s="75">
        <v>2756.25</v>
      </c>
      <c r="Q54" s="75">
        <v>5914.69</v>
      </c>
      <c r="R54" s="75">
        <v>408.43</v>
      </c>
      <c r="S54" s="75">
        <v>364.3</v>
      </c>
      <c r="T54" s="75">
        <v>3180.18</v>
      </c>
      <c r="U54" s="75">
        <v>5600.75</v>
      </c>
      <c r="W54" s="73">
        <v>98052</v>
      </c>
      <c r="X54" s="15" t="s">
        <v>10</v>
      </c>
      <c r="Y54" s="75">
        <v>19920.11</v>
      </c>
      <c r="Z54" s="75">
        <v>21314</v>
      </c>
      <c r="AA54" s="75">
        <v>65809.33</v>
      </c>
      <c r="AB54" s="75">
        <v>124429.87</v>
      </c>
      <c r="AC54" s="75">
        <v>16320.42</v>
      </c>
      <c r="AD54" s="75">
        <v>16992.61</v>
      </c>
      <c r="AE54" s="75">
        <v>75077.31</v>
      </c>
      <c r="AF54" s="75">
        <v>126262.849999999</v>
      </c>
      <c r="AG54" s="75">
        <v>14607.44</v>
      </c>
      <c r="AH54" s="75">
        <v>13354.19</v>
      </c>
      <c r="AI54" s="75">
        <v>80479.06</v>
      </c>
      <c r="AJ54" s="75">
        <v>126802.069999999</v>
      </c>
      <c r="AV54" s="73" t="s">
        <v>111</v>
      </c>
      <c r="AW54" s="73" t="s">
        <v>10</v>
      </c>
      <c r="AX54" s="33">
        <v>23</v>
      </c>
      <c r="AY54" s="33">
        <v>22</v>
      </c>
      <c r="AZ54" s="33">
        <v>15</v>
      </c>
      <c r="BB54" s="73" t="s">
        <v>111</v>
      </c>
      <c r="BC54" s="73" t="s">
        <v>10</v>
      </c>
      <c r="BD54" s="75">
        <v>7372.53</v>
      </c>
      <c r="BE54" s="75">
        <v>13082</v>
      </c>
      <c r="BF54" s="75">
        <v>2572.84</v>
      </c>
      <c r="BH54" s="73">
        <v>98042</v>
      </c>
      <c r="BI54" s="73" t="s">
        <v>10</v>
      </c>
      <c r="BJ54" s="75">
        <v>-50</v>
      </c>
      <c r="BK54" s="75">
        <v>-477.17</v>
      </c>
      <c r="BL54" s="75">
        <v>-1263.01</v>
      </c>
    </row>
    <row r="55" spans="2:64" x14ac:dyDescent="0.2">
      <c r="B55" s="56">
        <v>98027</v>
      </c>
      <c r="C55" s="62" t="s">
        <v>345</v>
      </c>
      <c r="D55" s="46">
        <v>179</v>
      </c>
      <c r="E55" s="46">
        <v>132</v>
      </c>
      <c r="F55" s="46">
        <v>163</v>
      </c>
      <c r="H55" s="73">
        <v>98026</v>
      </c>
      <c r="I55" s="73" t="s">
        <v>10</v>
      </c>
      <c r="J55" s="75">
        <v>27764.36</v>
      </c>
      <c r="K55" s="75">
        <v>26235.040000000001</v>
      </c>
      <c r="L55" s="75">
        <v>100924.129999999</v>
      </c>
      <c r="M55" s="75">
        <v>188852.01</v>
      </c>
      <c r="N55" s="75">
        <v>18373.13</v>
      </c>
      <c r="O55" s="75">
        <v>19830.400000000001</v>
      </c>
      <c r="P55" s="75">
        <v>105334.099999999</v>
      </c>
      <c r="Q55" s="75">
        <v>167310.55999999901</v>
      </c>
      <c r="R55" s="75">
        <v>12429.75</v>
      </c>
      <c r="S55" s="75">
        <v>13507.57</v>
      </c>
      <c r="T55" s="75">
        <v>109566.09</v>
      </c>
      <c r="U55" s="75">
        <v>156140.03999999899</v>
      </c>
      <c r="W55" s="73">
        <v>98053</v>
      </c>
      <c r="X55" s="15" t="s">
        <v>10</v>
      </c>
      <c r="Y55" s="75">
        <v>3820.46</v>
      </c>
      <c r="Z55" s="75">
        <v>3394.32</v>
      </c>
      <c r="AA55" s="75">
        <v>12655.869999999901</v>
      </c>
      <c r="AB55" s="75">
        <v>24015.219999999899</v>
      </c>
      <c r="AC55" s="75">
        <v>2703.28</v>
      </c>
      <c r="AD55" s="75">
        <v>2886.25</v>
      </c>
      <c r="AE55" s="75">
        <v>10948.24</v>
      </c>
      <c r="AF55" s="75">
        <v>20036.809999999899</v>
      </c>
      <c r="AG55" s="75">
        <v>2360.54</v>
      </c>
      <c r="AH55" s="75">
        <v>1646.96</v>
      </c>
      <c r="AI55" s="75">
        <v>11399.2</v>
      </c>
      <c r="AJ55" s="75">
        <v>18557.259999999998</v>
      </c>
      <c r="AV55" s="73" t="s">
        <v>112</v>
      </c>
      <c r="AW55" s="73" t="s">
        <v>345</v>
      </c>
      <c r="AX55" s="33"/>
      <c r="AY55" s="33"/>
      <c r="AZ55" s="33">
        <v>3</v>
      </c>
      <c r="BB55" s="73" t="s">
        <v>112</v>
      </c>
      <c r="BC55" s="73" t="s">
        <v>345</v>
      </c>
      <c r="BD55" s="75"/>
      <c r="BE55" s="75"/>
      <c r="BF55" s="75">
        <v>4237.3500000000004</v>
      </c>
      <c r="BH55" s="73">
        <v>98045</v>
      </c>
      <c r="BI55" s="73" t="s">
        <v>10</v>
      </c>
      <c r="BJ55" s="75">
        <v>-250</v>
      </c>
      <c r="BK55" s="75">
        <v>-206.48</v>
      </c>
      <c r="BL55" s="75"/>
    </row>
    <row r="56" spans="2:64" x14ac:dyDescent="0.2">
      <c r="B56" s="81">
        <v>98027</v>
      </c>
      <c r="C56" s="62" t="s">
        <v>10</v>
      </c>
      <c r="D56" s="46">
        <v>1430</v>
      </c>
      <c r="E56" s="46">
        <v>1387</v>
      </c>
      <c r="F56" s="46">
        <v>1502</v>
      </c>
      <c r="H56" s="73">
        <v>98027</v>
      </c>
      <c r="I56" s="73" t="s">
        <v>345</v>
      </c>
      <c r="J56" s="75">
        <v>21757</v>
      </c>
      <c r="K56" s="75">
        <v>10425.48</v>
      </c>
      <c r="L56" s="75">
        <v>66014.16</v>
      </c>
      <c r="M56" s="75">
        <v>167661.68</v>
      </c>
      <c r="N56" s="75">
        <v>30223.98</v>
      </c>
      <c r="O56" s="75">
        <v>9129.64</v>
      </c>
      <c r="P56" s="75">
        <v>59267.76</v>
      </c>
      <c r="Q56" s="75">
        <v>156245.76000000001</v>
      </c>
      <c r="R56" s="75">
        <v>27299.72</v>
      </c>
      <c r="S56" s="75">
        <v>26571.58</v>
      </c>
      <c r="T56" s="75">
        <v>66151.73</v>
      </c>
      <c r="U56" s="75">
        <v>202432.49</v>
      </c>
      <c r="W56" s="73">
        <v>98055</v>
      </c>
      <c r="X56" s="15" t="s">
        <v>10</v>
      </c>
      <c r="Y56" s="75">
        <v>22969.599999999999</v>
      </c>
      <c r="Z56" s="75">
        <v>24960.11</v>
      </c>
      <c r="AA56" s="75">
        <v>105323.549999999</v>
      </c>
      <c r="AB56" s="75">
        <v>180626.73</v>
      </c>
      <c r="AC56" s="75">
        <v>22146.48</v>
      </c>
      <c r="AD56" s="75">
        <v>20743.8</v>
      </c>
      <c r="AE56" s="75">
        <v>117113.03</v>
      </c>
      <c r="AF56" s="75">
        <v>183286.11</v>
      </c>
      <c r="AG56" s="75">
        <v>21020.3</v>
      </c>
      <c r="AH56" s="75">
        <v>19509.400000000001</v>
      </c>
      <c r="AI56" s="75">
        <v>127308.39</v>
      </c>
      <c r="AJ56" s="75">
        <v>192933.18</v>
      </c>
      <c r="AV56" s="73" t="s">
        <v>112</v>
      </c>
      <c r="AW56" s="73" t="s">
        <v>10</v>
      </c>
      <c r="AX56" s="33">
        <v>14</v>
      </c>
      <c r="AY56" s="33">
        <v>21</v>
      </c>
      <c r="AZ56" s="33">
        <v>22</v>
      </c>
      <c r="BB56" s="73" t="s">
        <v>112</v>
      </c>
      <c r="BC56" s="73" t="s">
        <v>10</v>
      </c>
      <c r="BD56" s="75">
        <v>5604.89</v>
      </c>
      <c r="BE56" s="75">
        <v>8542.4699999999993</v>
      </c>
      <c r="BF56" s="75">
        <v>8229.93</v>
      </c>
      <c r="BH56" s="73">
        <v>98047</v>
      </c>
      <c r="BI56" s="73" t="s">
        <v>345</v>
      </c>
      <c r="BJ56" s="75">
        <v>-505.4</v>
      </c>
      <c r="BK56" s="75"/>
      <c r="BL56" s="75"/>
    </row>
    <row r="57" spans="2:64" x14ac:dyDescent="0.2">
      <c r="B57" s="56">
        <v>98028</v>
      </c>
      <c r="C57" s="62" t="s">
        <v>345</v>
      </c>
      <c r="D57" s="46">
        <v>56</v>
      </c>
      <c r="E57" s="46">
        <v>53</v>
      </c>
      <c r="F57" s="46">
        <v>63</v>
      </c>
      <c r="H57" s="73">
        <v>98027</v>
      </c>
      <c r="I57" s="73" t="s">
        <v>10</v>
      </c>
      <c r="J57" s="75">
        <v>82720.83</v>
      </c>
      <c r="K57" s="75">
        <v>69770.240000000005</v>
      </c>
      <c r="L57" s="75">
        <v>409247.47</v>
      </c>
      <c r="M57" s="75">
        <v>690712.89</v>
      </c>
      <c r="N57" s="75">
        <v>67306.53</v>
      </c>
      <c r="O57" s="75">
        <v>61364.73</v>
      </c>
      <c r="P57" s="75">
        <v>432757.81999999902</v>
      </c>
      <c r="Q57" s="75">
        <v>708128.43</v>
      </c>
      <c r="R57" s="75">
        <v>91624.39</v>
      </c>
      <c r="S57" s="75">
        <v>52309.61</v>
      </c>
      <c r="T57" s="75">
        <v>440973.61999999901</v>
      </c>
      <c r="U57" s="75">
        <v>741630.44</v>
      </c>
      <c r="W57" s="73">
        <v>98056</v>
      </c>
      <c r="X57" s="15" t="s">
        <v>10</v>
      </c>
      <c r="Y57" s="75">
        <v>22887.83</v>
      </c>
      <c r="Z57" s="75">
        <v>29124.57</v>
      </c>
      <c r="AA57" s="75">
        <v>106674.86999999901</v>
      </c>
      <c r="AB57" s="75">
        <v>182525.85</v>
      </c>
      <c r="AC57" s="75">
        <v>20183.32</v>
      </c>
      <c r="AD57" s="75">
        <v>20587.29</v>
      </c>
      <c r="AE57" s="75">
        <v>119564.99</v>
      </c>
      <c r="AF57" s="75">
        <v>182154.209999999</v>
      </c>
      <c r="AG57" s="75">
        <v>18297.37</v>
      </c>
      <c r="AH57" s="75">
        <v>17853.97</v>
      </c>
      <c r="AI57" s="75">
        <v>125551.889999999</v>
      </c>
      <c r="AJ57" s="75">
        <v>184094.55999999901</v>
      </c>
      <c r="AV57" s="73" t="s">
        <v>113</v>
      </c>
      <c r="AW57" s="73" t="s">
        <v>345</v>
      </c>
      <c r="AX57" s="33">
        <v>1</v>
      </c>
      <c r="AY57" s="33">
        <v>2</v>
      </c>
      <c r="AZ57" s="33">
        <v>21</v>
      </c>
      <c r="BB57" s="73" t="s">
        <v>113</v>
      </c>
      <c r="BC57" s="73" t="s">
        <v>345</v>
      </c>
      <c r="BD57" s="75">
        <v>11864.11</v>
      </c>
      <c r="BE57" s="75">
        <v>67.37</v>
      </c>
      <c r="BF57" s="75">
        <v>13994.89</v>
      </c>
      <c r="BH57" s="73">
        <v>98052</v>
      </c>
      <c r="BI57" s="73" t="s">
        <v>345</v>
      </c>
      <c r="BJ57" s="75">
        <v>-683.59</v>
      </c>
      <c r="BK57" s="75">
        <v>-67.02</v>
      </c>
      <c r="BL57" s="75"/>
    </row>
    <row r="58" spans="2:64" x14ac:dyDescent="0.2">
      <c r="B58" s="81">
        <v>98028</v>
      </c>
      <c r="C58" s="62" t="s">
        <v>10</v>
      </c>
      <c r="D58" s="46">
        <v>944</v>
      </c>
      <c r="E58" s="46">
        <v>885</v>
      </c>
      <c r="F58" s="46">
        <v>930</v>
      </c>
      <c r="H58" s="73">
        <v>98028</v>
      </c>
      <c r="I58" s="73" t="s">
        <v>345</v>
      </c>
      <c r="J58" s="75">
        <v>2770.5</v>
      </c>
      <c r="K58" s="75">
        <v>1781.05</v>
      </c>
      <c r="L58" s="75">
        <v>19194.139999999901</v>
      </c>
      <c r="M58" s="75">
        <v>37131.89</v>
      </c>
      <c r="N58" s="75">
        <v>7101.98</v>
      </c>
      <c r="O58" s="75">
        <v>2658.91</v>
      </c>
      <c r="P58" s="75">
        <v>20857.6499999999</v>
      </c>
      <c r="Q58" s="75">
        <v>45267.98</v>
      </c>
      <c r="R58" s="75">
        <v>4287.7</v>
      </c>
      <c r="S58" s="75">
        <v>5873.8</v>
      </c>
      <c r="T58" s="75">
        <v>22570.76</v>
      </c>
      <c r="U58" s="75">
        <v>88334.93</v>
      </c>
      <c r="W58" s="73">
        <v>98057</v>
      </c>
      <c r="X58" s="15" t="s">
        <v>10</v>
      </c>
      <c r="Y58" s="75">
        <v>12533.79</v>
      </c>
      <c r="Z58" s="75">
        <v>14179.58</v>
      </c>
      <c r="AA58" s="75">
        <v>46562.14</v>
      </c>
      <c r="AB58" s="75">
        <v>86657.67</v>
      </c>
      <c r="AC58" s="75">
        <v>11674.23</v>
      </c>
      <c r="AD58" s="75">
        <v>10828.02</v>
      </c>
      <c r="AE58" s="75">
        <v>54582.99</v>
      </c>
      <c r="AF58" s="75">
        <v>89995.349999999904</v>
      </c>
      <c r="AG58" s="75">
        <v>10802.77</v>
      </c>
      <c r="AH58" s="75">
        <v>10484.4</v>
      </c>
      <c r="AI58" s="75">
        <v>59005.2</v>
      </c>
      <c r="AJ58" s="75">
        <v>93067.4</v>
      </c>
      <c r="AV58" s="73" t="s">
        <v>113</v>
      </c>
      <c r="AW58" s="73" t="s">
        <v>10</v>
      </c>
      <c r="AX58" s="33">
        <v>56</v>
      </c>
      <c r="AY58" s="33">
        <v>69</v>
      </c>
      <c r="AZ58" s="33">
        <v>54</v>
      </c>
      <c r="BB58" s="73" t="s">
        <v>113</v>
      </c>
      <c r="BC58" s="73" t="s">
        <v>10</v>
      </c>
      <c r="BD58" s="75">
        <v>29874.46</v>
      </c>
      <c r="BE58" s="75">
        <v>41993.96</v>
      </c>
      <c r="BF58" s="75">
        <v>39357.910000000003</v>
      </c>
      <c r="BH58" s="73">
        <v>98052</v>
      </c>
      <c r="BI58" s="73" t="s">
        <v>10</v>
      </c>
      <c r="BJ58" s="75">
        <v>-833.59</v>
      </c>
      <c r="BK58" s="75">
        <v>-407.01</v>
      </c>
      <c r="BL58" s="75">
        <v>-1812.73</v>
      </c>
    </row>
    <row r="59" spans="2:64" x14ac:dyDescent="0.2">
      <c r="B59" s="56">
        <v>98029</v>
      </c>
      <c r="C59" s="62" t="s">
        <v>345</v>
      </c>
      <c r="D59" s="46">
        <v>62</v>
      </c>
      <c r="E59" s="46">
        <v>49</v>
      </c>
      <c r="F59" s="46">
        <v>88</v>
      </c>
      <c r="H59" s="73">
        <v>98028</v>
      </c>
      <c r="I59" s="73" t="s">
        <v>10</v>
      </c>
      <c r="J59" s="75">
        <v>57660.38</v>
      </c>
      <c r="K59" s="75">
        <v>46965.37</v>
      </c>
      <c r="L59" s="75">
        <v>254449.39</v>
      </c>
      <c r="M59" s="75">
        <v>440959.91</v>
      </c>
      <c r="N59" s="75">
        <v>46024.51</v>
      </c>
      <c r="O59" s="75">
        <v>41041.019999999997</v>
      </c>
      <c r="P59" s="75">
        <v>261072.53</v>
      </c>
      <c r="Q59" s="75">
        <v>417388.57999999903</v>
      </c>
      <c r="R59" s="75">
        <v>46141.9</v>
      </c>
      <c r="S59" s="75">
        <v>34507.480000000003</v>
      </c>
      <c r="T59" s="75">
        <v>268306.38999999902</v>
      </c>
      <c r="U59" s="75">
        <v>425324.99</v>
      </c>
      <c r="W59" s="73">
        <v>98058</v>
      </c>
      <c r="X59" s="15" t="s">
        <v>10</v>
      </c>
      <c r="Y59" s="75">
        <v>34375.410000000003</v>
      </c>
      <c r="Z59" s="75">
        <v>40781.14</v>
      </c>
      <c r="AA59" s="75">
        <v>163698.69999999899</v>
      </c>
      <c r="AB59" s="75">
        <v>277738.25</v>
      </c>
      <c r="AC59" s="75">
        <v>32989.699999999997</v>
      </c>
      <c r="AD59" s="75">
        <v>30749.89</v>
      </c>
      <c r="AE59" s="75">
        <v>182658.99999999901</v>
      </c>
      <c r="AF59" s="75">
        <v>277789.14999999898</v>
      </c>
      <c r="AG59" s="75">
        <v>26834.7</v>
      </c>
      <c r="AH59" s="75">
        <v>29827.46</v>
      </c>
      <c r="AI59" s="75">
        <v>198770.25</v>
      </c>
      <c r="AJ59" s="75">
        <v>291218</v>
      </c>
      <c r="AV59" s="73" t="s">
        <v>114</v>
      </c>
      <c r="AW59" s="73" t="s">
        <v>345</v>
      </c>
      <c r="AX59" s="33">
        <v>3</v>
      </c>
      <c r="AY59" s="33">
        <v>6</v>
      </c>
      <c r="AZ59" s="33">
        <v>8</v>
      </c>
      <c r="BB59" s="73" t="s">
        <v>114</v>
      </c>
      <c r="BC59" s="73" t="s">
        <v>345</v>
      </c>
      <c r="BD59" s="75">
        <v>862.31999999999994</v>
      </c>
      <c r="BE59" s="75">
        <v>9454.0300000000007</v>
      </c>
      <c r="BF59" s="75">
        <v>25547.42</v>
      </c>
      <c r="BH59" s="73">
        <v>98053</v>
      </c>
      <c r="BI59" s="73" t="s">
        <v>10</v>
      </c>
      <c r="BJ59" s="75">
        <v>-100</v>
      </c>
      <c r="BK59" s="75">
        <v>-100</v>
      </c>
      <c r="BL59" s="75">
        <v>-100</v>
      </c>
    </row>
    <row r="60" spans="2:64" x14ac:dyDescent="0.2">
      <c r="B60" s="81">
        <v>98029</v>
      </c>
      <c r="C60" s="62" t="s">
        <v>10</v>
      </c>
      <c r="D60" s="46">
        <v>1475</v>
      </c>
      <c r="E60" s="46">
        <v>1412</v>
      </c>
      <c r="F60" s="46">
        <v>1572</v>
      </c>
      <c r="H60" s="73">
        <v>98029</v>
      </c>
      <c r="I60" s="73" t="s">
        <v>345</v>
      </c>
      <c r="J60" s="75">
        <v>1163.49</v>
      </c>
      <c r="K60" s="75">
        <v>597.54999999999995</v>
      </c>
      <c r="L60" s="75">
        <v>11600.059999999899</v>
      </c>
      <c r="M60" s="75">
        <v>48574.62</v>
      </c>
      <c r="N60" s="75">
        <v>5346.21</v>
      </c>
      <c r="O60" s="75">
        <v>676.03</v>
      </c>
      <c r="P60" s="75">
        <v>11697.7699999999</v>
      </c>
      <c r="Q60" s="75">
        <v>48312.45</v>
      </c>
      <c r="R60" s="75">
        <v>994.36</v>
      </c>
      <c r="S60" s="75">
        <v>716.69</v>
      </c>
      <c r="T60" s="75">
        <v>11725.99</v>
      </c>
      <c r="U60" s="75">
        <v>71631.239999999903</v>
      </c>
      <c r="W60" s="73">
        <v>98059</v>
      </c>
      <c r="X60" s="15" t="s">
        <v>10</v>
      </c>
      <c r="Y60" s="75">
        <v>16114.42</v>
      </c>
      <c r="Z60" s="75">
        <v>19237.93</v>
      </c>
      <c r="AA60" s="75">
        <v>92994.17</v>
      </c>
      <c r="AB60" s="75">
        <v>145395.02999999901</v>
      </c>
      <c r="AC60" s="75">
        <v>13974.57</v>
      </c>
      <c r="AD60" s="75">
        <v>14643.53</v>
      </c>
      <c r="AE60" s="75">
        <v>91549</v>
      </c>
      <c r="AF60" s="75">
        <v>135865.96</v>
      </c>
      <c r="AG60" s="75">
        <v>13160.84</v>
      </c>
      <c r="AH60" s="75">
        <v>12711.22</v>
      </c>
      <c r="AI60" s="75">
        <v>96251.45</v>
      </c>
      <c r="AJ60" s="75">
        <v>138730.5</v>
      </c>
      <c r="AV60" s="73" t="s">
        <v>114</v>
      </c>
      <c r="AW60" s="73" t="s">
        <v>10</v>
      </c>
      <c r="AX60" s="33">
        <v>38</v>
      </c>
      <c r="AY60" s="33">
        <v>53</v>
      </c>
      <c r="AZ60" s="33">
        <v>55</v>
      </c>
      <c r="BB60" s="73" t="s">
        <v>114</v>
      </c>
      <c r="BC60" s="73" t="s">
        <v>10</v>
      </c>
      <c r="BD60" s="75">
        <v>17383.68</v>
      </c>
      <c r="BE60" s="75">
        <v>51605.78</v>
      </c>
      <c r="BF60" s="75">
        <v>47446.35</v>
      </c>
      <c r="BH60" s="73">
        <v>98055</v>
      </c>
      <c r="BI60" s="73" t="s">
        <v>10</v>
      </c>
      <c r="BJ60" s="75">
        <v>-380.15</v>
      </c>
      <c r="BK60" s="75">
        <v>-2277.7600000000002</v>
      </c>
      <c r="BL60" s="75">
        <v>-125</v>
      </c>
    </row>
    <row r="61" spans="2:64" x14ac:dyDescent="0.2">
      <c r="B61" s="56">
        <v>98030</v>
      </c>
      <c r="C61" s="62" t="s">
        <v>345</v>
      </c>
      <c r="D61" s="46">
        <v>167</v>
      </c>
      <c r="E61" s="46">
        <v>135</v>
      </c>
      <c r="F61" s="46">
        <v>152</v>
      </c>
      <c r="H61" s="73">
        <v>98029</v>
      </c>
      <c r="I61" s="73" t="s">
        <v>10</v>
      </c>
      <c r="J61" s="75">
        <v>79396.850000000006</v>
      </c>
      <c r="K61" s="75">
        <v>61470.84</v>
      </c>
      <c r="L61" s="75">
        <v>300800.21999999898</v>
      </c>
      <c r="M61" s="75">
        <v>562713.61</v>
      </c>
      <c r="N61" s="75">
        <v>56438.81</v>
      </c>
      <c r="O61" s="75">
        <v>55221.67</v>
      </c>
      <c r="P61" s="75">
        <v>307701.05999999901</v>
      </c>
      <c r="Q61" s="75">
        <v>540503.17000000004</v>
      </c>
      <c r="R61" s="75">
        <v>61144.68</v>
      </c>
      <c r="S61" s="75">
        <v>42506.9</v>
      </c>
      <c r="T61" s="75">
        <v>320611.59999999899</v>
      </c>
      <c r="U61" s="75">
        <v>573372.36</v>
      </c>
      <c r="W61" s="73">
        <v>98065</v>
      </c>
      <c r="X61" s="15" t="s">
        <v>10</v>
      </c>
      <c r="Y61" s="75">
        <v>6282.33</v>
      </c>
      <c r="Z61" s="75">
        <v>6257.49</v>
      </c>
      <c r="AA61" s="75">
        <v>41250.65</v>
      </c>
      <c r="AB61" s="75">
        <v>59677.179999999898</v>
      </c>
      <c r="AC61" s="75">
        <v>4978.1400000000003</v>
      </c>
      <c r="AD61" s="75">
        <v>5182.45</v>
      </c>
      <c r="AE61" s="75">
        <v>44451.0799999999</v>
      </c>
      <c r="AF61" s="75">
        <v>60743.2599999999</v>
      </c>
      <c r="AG61" s="75">
        <v>4361.3900000000003</v>
      </c>
      <c r="AH61" s="75">
        <v>3338.65</v>
      </c>
      <c r="AI61" s="75">
        <v>37112.68</v>
      </c>
      <c r="AJ61" s="75">
        <v>49600.279999999897</v>
      </c>
      <c r="AV61" s="73" t="s">
        <v>115</v>
      </c>
      <c r="AW61" s="73" t="s">
        <v>345</v>
      </c>
      <c r="AX61" s="33">
        <v>11</v>
      </c>
      <c r="AY61" s="33">
        <v>17</v>
      </c>
      <c r="AZ61" s="33">
        <v>17</v>
      </c>
      <c r="BB61" s="73" t="s">
        <v>115</v>
      </c>
      <c r="BC61" s="73" t="s">
        <v>345</v>
      </c>
      <c r="BD61" s="75">
        <v>19865.54</v>
      </c>
      <c r="BE61" s="75">
        <v>18643.439999999999</v>
      </c>
      <c r="BF61" s="75">
        <v>51202.979999999996</v>
      </c>
      <c r="BH61" s="73">
        <v>98056</v>
      </c>
      <c r="BI61" s="73" t="s">
        <v>10</v>
      </c>
      <c r="BJ61" s="75">
        <v>-555.74</v>
      </c>
      <c r="BK61" s="75">
        <v>-981.99</v>
      </c>
      <c r="BL61" s="75">
        <v>-739.39</v>
      </c>
    </row>
    <row r="62" spans="2:64" x14ac:dyDescent="0.2">
      <c r="B62" s="81">
        <v>98030</v>
      </c>
      <c r="C62" s="62" t="s">
        <v>10</v>
      </c>
      <c r="D62" s="46">
        <v>3228</v>
      </c>
      <c r="E62" s="46">
        <v>3180</v>
      </c>
      <c r="F62" s="46">
        <v>3307</v>
      </c>
      <c r="H62" s="73">
        <v>98030</v>
      </c>
      <c r="I62" s="73" t="s">
        <v>345</v>
      </c>
      <c r="J62" s="75">
        <v>10815.22</v>
      </c>
      <c r="K62" s="75">
        <v>12401.62</v>
      </c>
      <c r="L62" s="75">
        <v>41602.269999999997</v>
      </c>
      <c r="M62" s="75">
        <v>116755.129999999</v>
      </c>
      <c r="N62" s="75">
        <v>12511.32</v>
      </c>
      <c r="O62" s="75">
        <v>8425.3799999999992</v>
      </c>
      <c r="P62" s="75">
        <v>47829.8</v>
      </c>
      <c r="Q62" s="75">
        <v>98094.259999999893</v>
      </c>
      <c r="R62" s="75">
        <v>16301.31</v>
      </c>
      <c r="S62" s="75">
        <v>8459.11</v>
      </c>
      <c r="T62" s="75">
        <v>44939.95</v>
      </c>
      <c r="U62" s="75">
        <v>127810.84</v>
      </c>
      <c r="W62" s="73">
        <v>98068</v>
      </c>
      <c r="X62" s="15" t="s">
        <v>10</v>
      </c>
      <c r="Y62" s="75"/>
      <c r="Z62" s="75">
        <v>72.61</v>
      </c>
      <c r="AA62" s="75">
        <v>585.33000000000004</v>
      </c>
      <c r="AB62" s="75">
        <v>790.84</v>
      </c>
      <c r="AC62" s="75">
        <v>132.9</v>
      </c>
      <c r="AD62" s="75"/>
      <c r="AE62" s="75">
        <v>657.94</v>
      </c>
      <c r="AF62" s="75">
        <v>790.84</v>
      </c>
      <c r="AG62" s="75"/>
      <c r="AH62" s="75">
        <v>132.9</v>
      </c>
      <c r="AI62" s="75">
        <v>657.94</v>
      </c>
      <c r="AJ62" s="75">
        <v>898.5</v>
      </c>
      <c r="AV62" s="73" t="s">
        <v>115</v>
      </c>
      <c r="AW62" s="73" t="s">
        <v>10</v>
      </c>
      <c r="AX62" s="33">
        <v>101</v>
      </c>
      <c r="AY62" s="33">
        <v>112</v>
      </c>
      <c r="AZ62" s="33">
        <v>112</v>
      </c>
      <c r="BB62" s="73" t="s">
        <v>115</v>
      </c>
      <c r="BC62" s="73" t="s">
        <v>10</v>
      </c>
      <c r="BD62" s="75">
        <v>52237.98</v>
      </c>
      <c r="BE62" s="75">
        <v>79999.06</v>
      </c>
      <c r="BF62" s="75">
        <v>65121</v>
      </c>
      <c r="BH62" s="73">
        <v>98057</v>
      </c>
      <c r="BI62" s="73" t="s">
        <v>345</v>
      </c>
      <c r="BJ62" s="75"/>
      <c r="BK62" s="75">
        <v>-530.08000000000004</v>
      </c>
      <c r="BL62" s="75"/>
    </row>
    <row r="63" spans="2:64" x14ac:dyDescent="0.2">
      <c r="B63" s="56">
        <v>98031</v>
      </c>
      <c r="C63" s="62" t="s">
        <v>345</v>
      </c>
      <c r="D63" s="46">
        <v>141</v>
      </c>
      <c r="E63" s="46">
        <v>137</v>
      </c>
      <c r="F63" s="46">
        <v>130</v>
      </c>
      <c r="H63" s="73">
        <v>98030</v>
      </c>
      <c r="I63" s="73" t="s">
        <v>10</v>
      </c>
      <c r="J63" s="75">
        <v>213767.46</v>
      </c>
      <c r="K63" s="75">
        <v>213356.65</v>
      </c>
      <c r="L63" s="75">
        <v>1066056.47</v>
      </c>
      <c r="M63" s="75">
        <v>1787350.71</v>
      </c>
      <c r="N63" s="75">
        <v>188961.77</v>
      </c>
      <c r="O63" s="75">
        <v>174847.67</v>
      </c>
      <c r="P63" s="75">
        <v>1146845.22</v>
      </c>
      <c r="Q63" s="75">
        <v>1779191.63</v>
      </c>
      <c r="R63" s="75">
        <v>179864.62</v>
      </c>
      <c r="S63" s="75">
        <v>156104.41</v>
      </c>
      <c r="T63" s="75">
        <v>1183296.18</v>
      </c>
      <c r="U63" s="75">
        <v>1814086.37</v>
      </c>
      <c r="W63" s="73">
        <v>98070</v>
      </c>
      <c r="X63" s="15" t="s">
        <v>10</v>
      </c>
      <c r="Y63" s="75">
        <v>4588.75</v>
      </c>
      <c r="Z63" s="75">
        <v>5760.31</v>
      </c>
      <c r="AA63" s="75">
        <v>16201.73</v>
      </c>
      <c r="AB63" s="75">
        <v>31757.24</v>
      </c>
      <c r="AC63" s="75">
        <v>3489.81</v>
      </c>
      <c r="AD63" s="75">
        <v>3500.34</v>
      </c>
      <c r="AE63" s="75">
        <v>18988.359999999899</v>
      </c>
      <c r="AF63" s="75">
        <v>29905.34</v>
      </c>
      <c r="AG63" s="75">
        <v>2837.96</v>
      </c>
      <c r="AH63" s="75">
        <v>2543.9899999999998</v>
      </c>
      <c r="AI63" s="75">
        <v>19142.5799999999</v>
      </c>
      <c r="AJ63" s="75">
        <v>27908.229999999901</v>
      </c>
      <c r="AV63" s="73" t="s">
        <v>116</v>
      </c>
      <c r="AW63" s="73" t="s">
        <v>345</v>
      </c>
      <c r="AX63" s="33">
        <v>6</v>
      </c>
      <c r="AY63" s="33">
        <v>1</v>
      </c>
      <c r="AZ63" s="33">
        <v>3</v>
      </c>
      <c r="BB63" s="73" t="s">
        <v>116</v>
      </c>
      <c r="BC63" s="73" t="s">
        <v>345</v>
      </c>
      <c r="BD63" s="75">
        <v>1464.94</v>
      </c>
      <c r="BE63" s="75"/>
      <c r="BF63" s="75">
        <v>926.46</v>
      </c>
      <c r="BH63" s="73">
        <v>98057</v>
      </c>
      <c r="BI63" s="73" t="s">
        <v>10</v>
      </c>
      <c r="BJ63" s="75">
        <v>-388.54</v>
      </c>
      <c r="BK63" s="75">
        <v>-758.98</v>
      </c>
      <c r="BL63" s="75">
        <v>-1106.82</v>
      </c>
    </row>
    <row r="64" spans="2:64" x14ac:dyDescent="0.2">
      <c r="B64" s="81">
        <v>98031</v>
      </c>
      <c r="C64" s="62" t="s">
        <v>10</v>
      </c>
      <c r="D64" s="46">
        <v>2852</v>
      </c>
      <c r="E64" s="46">
        <v>2860</v>
      </c>
      <c r="F64" s="46">
        <v>2882</v>
      </c>
      <c r="H64" s="73">
        <v>98031</v>
      </c>
      <c r="I64" s="73" t="s">
        <v>345</v>
      </c>
      <c r="J64" s="75">
        <v>32198.45</v>
      </c>
      <c r="K64" s="75">
        <v>12085.11</v>
      </c>
      <c r="L64" s="75">
        <v>97029.29</v>
      </c>
      <c r="M64" s="75">
        <v>190601.52</v>
      </c>
      <c r="N64" s="75">
        <v>10074.57</v>
      </c>
      <c r="O64" s="75">
        <v>21270.99</v>
      </c>
      <c r="P64" s="75">
        <v>97608.62</v>
      </c>
      <c r="Q64" s="75">
        <v>150779.60999999999</v>
      </c>
      <c r="R64" s="75">
        <v>9835.08</v>
      </c>
      <c r="S64" s="75">
        <v>7017.05</v>
      </c>
      <c r="T64" s="75">
        <v>85080.4</v>
      </c>
      <c r="U64" s="75">
        <v>134096.95999999999</v>
      </c>
      <c r="W64" s="73">
        <v>98072</v>
      </c>
      <c r="X64" s="15" t="s">
        <v>10</v>
      </c>
      <c r="Y64" s="75">
        <v>4639.41</v>
      </c>
      <c r="Z64" s="75">
        <v>5693.24</v>
      </c>
      <c r="AA64" s="75">
        <v>22916.909999999902</v>
      </c>
      <c r="AB64" s="75">
        <v>39099.97</v>
      </c>
      <c r="AC64" s="75">
        <v>4114.3900000000003</v>
      </c>
      <c r="AD64" s="75">
        <v>4065.99</v>
      </c>
      <c r="AE64" s="75">
        <v>25974.27</v>
      </c>
      <c r="AF64" s="75">
        <v>38373.129999999997</v>
      </c>
      <c r="AG64" s="75">
        <v>3363.61</v>
      </c>
      <c r="AH64" s="75">
        <v>3791.05</v>
      </c>
      <c r="AI64" s="75">
        <v>27732.93</v>
      </c>
      <c r="AJ64" s="75">
        <v>39327.409999999902</v>
      </c>
      <c r="AV64" s="73" t="s">
        <v>116</v>
      </c>
      <c r="AW64" s="73" t="s">
        <v>10</v>
      </c>
      <c r="AX64" s="33">
        <v>33</v>
      </c>
      <c r="AY64" s="33">
        <v>34</v>
      </c>
      <c r="AZ64" s="33">
        <v>31</v>
      </c>
      <c r="BB64" s="73" t="s">
        <v>116</v>
      </c>
      <c r="BC64" s="73" t="s">
        <v>10</v>
      </c>
      <c r="BD64" s="75">
        <v>7940.15</v>
      </c>
      <c r="BE64" s="75">
        <v>19241</v>
      </c>
      <c r="BF64" s="75">
        <v>8927.6299999999992</v>
      </c>
      <c r="BH64" s="73">
        <v>98058</v>
      </c>
      <c r="BI64" s="73" t="s">
        <v>10</v>
      </c>
      <c r="BJ64" s="75">
        <v>-380.39</v>
      </c>
      <c r="BK64" s="75">
        <v>-665.61</v>
      </c>
      <c r="BL64" s="75">
        <v>-297.29000000000002</v>
      </c>
    </row>
    <row r="65" spans="2:64" x14ac:dyDescent="0.2">
      <c r="B65" s="56">
        <v>98032</v>
      </c>
      <c r="C65" s="62" t="s">
        <v>345</v>
      </c>
      <c r="D65" s="46">
        <v>511</v>
      </c>
      <c r="E65" s="46">
        <v>517</v>
      </c>
      <c r="F65" s="46">
        <v>559</v>
      </c>
      <c r="H65" s="73">
        <v>98031</v>
      </c>
      <c r="I65" s="73" t="s">
        <v>10</v>
      </c>
      <c r="J65" s="75">
        <v>199909.36</v>
      </c>
      <c r="K65" s="75">
        <v>201211.66</v>
      </c>
      <c r="L65" s="75">
        <v>1015965.12</v>
      </c>
      <c r="M65" s="75">
        <v>1689806.4199999899</v>
      </c>
      <c r="N65" s="75">
        <v>171011.63</v>
      </c>
      <c r="O65" s="75">
        <v>161118.29999999999</v>
      </c>
      <c r="P65" s="75">
        <v>1072151.81</v>
      </c>
      <c r="Q65" s="75">
        <v>1664234.56</v>
      </c>
      <c r="R65" s="75">
        <v>173530.85</v>
      </c>
      <c r="S65" s="75">
        <v>133872.42000000001</v>
      </c>
      <c r="T65" s="75">
        <v>1078350.6599999999</v>
      </c>
      <c r="U65" s="75">
        <v>1651088.7</v>
      </c>
      <c r="W65" s="73">
        <v>98074</v>
      </c>
      <c r="X65" s="15" t="s">
        <v>10</v>
      </c>
      <c r="Y65" s="75">
        <v>3937.13</v>
      </c>
      <c r="Z65" s="75">
        <v>2675.44</v>
      </c>
      <c r="AA65" s="75">
        <v>17260.71</v>
      </c>
      <c r="AB65" s="75">
        <v>26703.03</v>
      </c>
      <c r="AC65" s="75">
        <v>2202.9299999999998</v>
      </c>
      <c r="AD65" s="75">
        <v>3012.25</v>
      </c>
      <c r="AE65" s="75">
        <v>19923.429999999898</v>
      </c>
      <c r="AF65" s="75">
        <v>27323.84</v>
      </c>
      <c r="AG65" s="75">
        <v>1561.29</v>
      </c>
      <c r="AH65" s="75">
        <v>1514.21</v>
      </c>
      <c r="AI65" s="75">
        <v>21318.709999999901</v>
      </c>
      <c r="AJ65" s="75">
        <v>26942.65</v>
      </c>
      <c r="AV65" s="73" t="s">
        <v>117</v>
      </c>
      <c r="AW65" s="73" t="s">
        <v>345</v>
      </c>
      <c r="AX65" s="33">
        <v>5</v>
      </c>
      <c r="AY65" s="33">
        <v>6</v>
      </c>
      <c r="AZ65" s="33">
        <v>7</v>
      </c>
      <c r="BB65" s="73" t="s">
        <v>117</v>
      </c>
      <c r="BC65" s="73" t="s">
        <v>345</v>
      </c>
      <c r="BD65" s="75">
        <v>204.21</v>
      </c>
      <c r="BE65" s="75">
        <v>25172.51</v>
      </c>
      <c r="BF65" s="75">
        <v>1482.6</v>
      </c>
      <c r="BH65" s="73">
        <v>98059</v>
      </c>
      <c r="BI65" s="73" t="s">
        <v>10</v>
      </c>
      <c r="BJ65" s="75">
        <v>-207.32</v>
      </c>
      <c r="BK65" s="75">
        <v>-422.46</v>
      </c>
      <c r="BL65" s="75">
        <v>-1500.39</v>
      </c>
    </row>
    <row r="66" spans="2:64" x14ac:dyDescent="0.2">
      <c r="B66" s="81">
        <v>98032</v>
      </c>
      <c r="C66" s="62" t="s">
        <v>10</v>
      </c>
      <c r="D66" s="46">
        <v>4111</v>
      </c>
      <c r="E66" s="46">
        <v>4100</v>
      </c>
      <c r="F66" s="46">
        <v>4343</v>
      </c>
      <c r="H66" s="73">
        <v>98032</v>
      </c>
      <c r="I66" s="73" t="s">
        <v>345</v>
      </c>
      <c r="J66" s="75">
        <v>51371.24</v>
      </c>
      <c r="K66" s="75">
        <v>68427.009999999995</v>
      </c>
      <c r="L66" s="75">
        <v>450087.01</v>
      </c>
      <c r="M66" s="75">
        <v>840652.01999999897</v>
      </c>
      <c r="N66" s="75">
        <v>71454.03</v>
      </c>
      <c r="O66" s="75">
        <v>32693.93</v>
      </c>
      <c r="P66" s="75">
        <v>433493.27</v>
      </c>
      <c r="Q66" s="75">
        <v>902992.20999999903</v>
      </c>
      <c r="R66" s="75">
        <v>104314.2</v>
      </c>
      <c r="S66" s="75">
        <v>36402.82</v>
      </c>
      <c r="T66" s="75">
        <v>396344.14</v>
      </c>
      <c r="U66" s="75">
        <v>846855.68999999901</v>
      </c>
      <c r="W66" s="73">
        <v>98075</v>
      </c>
      <c r="X66" s="15" t="s">
        <v>10</v>
      </c>
      <c r="Y66" s="75">
        <v>2550.7399999999998</v>
      </c>
      <c r="Z66" s="75">
        <v>1886.81</v>
      </c>
      <c r="AA66" s="75">
        <v>10548.57</v>
      </c>
      <c r="AB66" s="75">
        <v>16882.349999999999</v>
      </c>
      <c r="AC66" s="75">
        <v>1574.75</v>
      </c>
      <c r="AD66" s="75">
        <v>1790.97</v>
      </c>
      <c r="AE66" s="75">
        <v>11475.1</v>
      </c>
      <c r="AF66" s="75">
        <v>17063.16</v>
      </c>
      <c r="AG66" s="75">
        <v>1616.74</v>
      </c>
      <c r="AH66" s="75">
        <v>1370.45</v>
      </c>
      <c r="AI66" s="75">
        <v>13136.27</v>
      </c>
      <c r="AJ66" s="75">
        <v>20032.75</v>
      </c>
      <c r="AV66" s="73" t="s">
        <v>117</v>
      </c>
      <c r="AW66" s="73" t="s">
        <v>10</v>
      </c>
      <c r="AX66" s="33">
        <v>61</v>
      </c>
      <c r="AY66" s="33">
        <v>71</v>
      </c>
      <c r="AZ66" s="33">
        <v>66</v>
      </c>
      <c r="BB66" s="73" t="s">
        <v>117</v>
      </c>
      <c r="BC66" s="73" t="s">
        <v>10</v>
      </c>
      <c r="BD66" s="75">
        <v>13478.21</v>
      </c>
      <c r="BE66" s="75">
        <v>26360.53</v>
      </c>
      <c r="BF66" s="75">
        <v>19361.189999999999</v>
      </c>
      <c r="BH66" s="73">
        <v>98065</v>
      </c>
      <c r="BI66" s="73" t="s">
        <v>10</v>
      </c>
      <c r="BJ66" s="75">
        <v>-3397.31</v>
      </c>
      <c r="BK66" s="75">
        <v>-247.98</v>
      </c>
      <c r="BL66" s="75">
        <v>-488.89</v>
      </c>
    </row>
    <row r="67" spans="2:64" x14ac:dyDescent="0.2">
      <c r="B67" s="56">
        <v>98033</v>
      </c>
      <c r="C67" s="62" t="s">
        <v>345</v>
      </c>
      <c r="D67" s="46">
        <v>136</v>
      </c>
      <c r="E67" s="46">
        <v>136</v>
      </c>
      <c r="F67" s="46">
        <v>143</v>
      </c>
      <c r="H67" s="73">
        <v>98032</v>
      </c>
      <c r="I67" s="73" t="s">
        <v>10</v>
      </c>
      <c r="J67" s="75">
        <v>262379.96999999997</v>
      </c>
      <c r="K67" s="75">
        <v>258430.9</v>
      </c>
      <c r="L67" s="75">
        <v>1390977.20999999</v>
      </c>
      <c r="M67" s="75">
        <v>2245599.52</v>
      </c>
      <c r="N67" s="75">
        <v>229841.17</v>
      </c>
      <c r="O67" s="75">
        <v>216934.19</v>
      </c>
      <c r="P67" s="75">
        <v>1463213.56</v>
      </c>
      <c r="Q67" s="75">
        <v>2222099.9499999899</v>
      </c>
      <c r="R67" s="75">
        <v>216645.33</v>
      </c>
      <c r="S67" s="75">
        <v>189289.48</v>
      </c>
      <c r="T67" s="75">
        <v>1508112.26</v>
      </c>
      <c r="U67" s="75">
        <v>2244939.9199999901</v>
      </c>
      <c r="W67" s="73">
        <v>98077</v>
      </c>
      <c r="X67" s="15" t="s">
        <v>10</v>
      </c>
      <c r="Y67" s="75">
        <v>3350.86</v>
      </c>
      <c r="Z67" s="75">
        <v>4071.45</v>
      </c>
      <c r="AA67" s="75">
        <v>21407.1</v>
      </c>
      <c r="AB67" s="75">
        <v>31808.089999999898</v>
      </c>
      <c r="AC67" s="75">
        <v>2357.5500000000002</v>
      </c>
      <c r="AD67" s="75">
        <v>3080.29</v>
      </c>
      <c r="AE67" s="75">
        <v>23432.59</v>
      </c>
      <c r="AF67" s="75">
        <v>32058.1</v>
      </c>
      <c r="AG67" s="75">
        <v>2673.89</v>
      </c>
      <c r="AH67" s="75">
        <v>2194.25</v>
      </c>
      <c r="AI67" s="75">
        <v>25205.269999999899</v>
      </c>
      <c r="AJ67" s="75">
        <v>32198.42</v>
      </c>
      <c r="AV67" s="73" t="s">
        <v>273</v>
      </c>
      <c r="AW67" s="73" t="s">
        <v>345</v>
      </c>
      <c r="AX67" s="33">
        <v>1</v>
      </c>
      <c r="AY67" s="33">
        <v>2</v>
      </c>
      <c r="AZ67" s="33"/>
      <c r="BB67" s="73" t="s">
        <v>273</v>
      </c>
      <c r="BC67" s="73" t="s">
        <v>345</v>
      </c>
      <c r="BD67" s="75">
        <v>628.99</v>
      </c>
      <c r="BE67" s="75">
        <v>581.95000000000005</v>
      </c>
      <c r="BF67" s="75"/>
      <c r="BH67" s="73">
        <v>98070</v>
      </c>
      <c r="BI67" s="73" t="s">
        <v>10</v>
      </c>
      <c r="BJ67" s="75">
        <v>-823.86</v>
      </c>
      <c r="BK67" s="75">
        <v>-181.13</v>
      </c>
      <c r="BL67" s="75">
        <v>-95</v>
      </c>
    </row>
    <row r="68" spans="2:64" x14ac:dyDescent="0.2">
      <c r="B68" s="81">
        <v>98033</v>
      </c>
      <c r="C68" s="62" t="s">
        <v>10</v>
      </c>
      <c r="D68" s="46">
        <v>1599</v>
      </c>
      <c r="E68" s="46">
        <v>1509</v>
      </c>
      <c r="F68" s="46">
        <v>1604</v>
      </c>
      <c r="H68" s="73">
        <v>98033</v>
      </c>
      <c r="I68" s="73" t="s">
        <v>345</v>
      </c>
      <c r="J68" s="75">
        <v>25122.45</v>
      </c>
      <c r="K68" s="75">
        <v>6276.98</v>
      </c>
      <c r="L68" s="75">
        <v>75965.350000000006</v>
      </c>
      <c r="M68" s="75">
        <v>147711.01999999999</v>
      </c>
      <c r="N68" s="75">
        <v>14602.89</v>
      </c>
      <c r="O68" s="75">
        <v>21480.6</v>
      </c>
      <c r="P68" s="75">
        <v>79502.449999999895</v>
      </c>
      <c r="Q68" s="75">
        <v>145247.98000000001</v>
      </c>
      <c r="R68" s="75">
        <v>14117.27</v>
      </c>
      <c r="S68" s="75">
        <v>10795.23</v>
      </c>
      <c r="T68" s="75">
        <v>98087.41</v>
      </c>
      <c r="U68" s="75">
        <v>174811.56</v>
      </c>
      <c r="W68" s="73">
        <v>98087</v>
      </c>
      <c r="X68" s="15" t="s">
        <v>10</v>
      </c>
      <c r="Y68" s="75">
        <v>1943.66</v>
      </c>
      <c r="Z68" s="75">
        <v>2259.0100000000002</v>
      </c>
      <c r="AA68" s="75">
        <v>7054.42</v>
      </c>
      <c r="AB68" s="75">
        <v>12964.25</v>
      </c>
      <c r="AC68" s="75">
        <v>1198.75</v>
      </c>
      <c r="AD68" s="75">
        <v>1531.2</v>
      </c>
      <c r="AE68" s="75">
        <v>7523.28999999999</v>
      </c>
      <c r="AF68" s="75">
        <v>11280.97</v>
      </c>
      <c r="AG68" s="75">
        <v>837.28</v>
      </c>
      <c r="AH68" s="75">
        <v>1054.8399999999999</v>
      </c>
      <c r="AI68" s="75">
        <v>8163.98</v>
      </c>
      <c r="AJ68" s="75">
        <v>10848.7</v>
      </c>
      <c r="AV68" s="73" t="s">
        <v>273</v>
      </c>
      <c r="AW68" s="73" t="s">
        <v>10</v>
      </c>
      <c r="AX68" s="33">
        <v>10</v>
      </c>
      <c r="AY68" s="33">
        <v>6</v>
      </c>
      <c r="AZ68" s="33">
        <v>9</v>
      </c>
      <c r="BB68" s="73" t="s">
        <v>273</v>
      </c>
      <c r="BC68" s="73" t="s">
        <v>10</v>
      </c>
      <c r="BD68" s="75">
        <v>2703.7</v>
      </c>
      <c r="BE68" s="75">
        <v>2059.2800000000002</v>
      </c>
      <c r="BF68" s="75">
        <v>4687.6000000000004</v>
      </c>
      <c r="BH68" s="73">
        <v>98072</v>
      </c>
      <c r="BI68" s="73" t="s">
        <v>345</v>
      </c>
      <c r="BJ68" s="75"/>
      <c r="BK68" s="75"/>
      <c r="BL68" s="75">
        <v>-139.49</v>
      </c>
    </row>
    <row r="69" spans="2:64" x14ac:dyDescent="0.2">
      <c r="B69" s="56">
        <v>98034</v>
      </c>
      <c r="C69" s="62" t="s">
        <v>345</v>
      </c>
      <c r="D69" s="46">
        <v>117</v>
      </c>
      <c r="E69" s="46">
        <v>101</v>
      </c>
      <c r="F69" s="46">
        <v>111</v>
      </c>
      <c r="H69" s="73">
        <v>98033</v>
      </c>
      <c r="I69" s="73" t="s">
        <v>10</v>
      </c>
      <c r="J69" s="75">
        <v>76797.990000000005</v>
      </c>
      <c r="K69" s="75">
        <v>69009.91</v>
      </c>
      <c r="L69" s="75">
        <v>298108.86999999901</v>
      </c>
      <c r="M69" s="75">
        <v>563180.23</v>
      </c>
      <c r="N69" s="75">
        <v>65210.23</v>
      </c>
      <c r="O69" s="75">
        <v>51989.33</v>
      </c>
      <c r="P69" s="75">
        <v>305386.179999999</v>
      </c>
      <c r="Q69" s="75">
        <v>532963.78999999899</v>
      </c>
      <c r="R69" s="75">
        <v>64914.82</v>
      </c>
      <c r="S69" s="75">
        <v>48506.34</v>
      </c>
      <c r="T69" s="75">
        <v>317122.21999999898</v>
      </c>
      <c r="U69" s="75">
        <v>559500.46999999904</v>
      </c>
      <c r="W69" s="73">
        <v>98092</v>
      </c>
      <c r="X69" s="15" t="s">
        <v>10</v>
      </c>
      <c r="Y69" s="75">
        <v>62142.52</v>
      </c>
      <c r="Z69" s="75">
        <v>64519.91</v>
      </c>
      <c r="AA69" s="75">
        <v>322468.51999999897</v>
      </c>
      <c r="AB69" s="75">
        <v>521400.68</v>
      </c>
      <c r="AC69" s="75">
        <v>55295.12</v>
      </c>
      <c r="AD69" s="75">
        <v>52381.33</v>
      </c>
      <c r="AE69" s="75">
        <v>340913.53999999899</v>
      </c>
      <c r="AF69" s="75">
        <v>524301.14</v>
      </c>
      <c r="AG69" s="75">
        <v>59728.24</v>
      </c>
      <c r="AH69" s="75">
        <v>47460.65</v>
      </c>
      <c r="AI69" s="75">
        <v>360338.18999999901</v>
      </c>
      <c r="AJ69" s="75">
        <v>551563.64999999898</v>
      </c>
      <c r="AV69" s="73" t="s">
        <v>274</v>
      </c>
      <c r="AW69" s="73" t="s">
        <v>345</v>
      </c>
      <c r="AX69" s="33">
        <v>1</v>
      </c>
      <c r="AY69" s="33">
        <v>1</v>
      </c>
      <c r="AZ69" s="33">
        <v>1</v>
      </c>
      <c r="BB69" s="73" t="s">
        <v>274</v>
      </c>
      <c r="BC69" s="73" t="s">
        <v>345</v>
      </c>
      <c r="BD69" s="75">
        <v>35.869999999999997</v>
      </c>
      <c r="BE69" s="75">
        <v>338.4</v>
      </c>
      <c r="BF69" s="75">
        <v>1261.54</v>
      </c>
      <c r="BH69" s="73">
        <v>98072</v>
      </c>
      <c r="BI69" s="73" t="s">
        <v>10</v>
      </c>
      <c r="BJ69" s="75">
        <v>-118.83</v>
      </c>
      <c r="BK69" s="75">
        <v>-373.78</v>
      </c>
      <c r="BL69" s="75">
        <v>-332.59</v>
      </c>
    </row>
    <row r="70" spans="2:64" x14ac:dyDescent="0.2">
      <c r="B70" s="81">
        <v>98034</v>
      </c>
      <c r="C70" s="62" t="s">
        <v>10</v>
      </c>
      <c r="D70" s="46">
        <v>2722</v>
      </c>
      <c r="E70" s="46">
        <v>2651</v>
      </c>
      <c r="F70" s="46">
        <v>2855</v>
      </c>
      <c r="H70" s="73">
        <v>98034</v>
      </c>
      <c r="I70" s="73" t="s">
        <v>345</v>
      </c>
      <c r="J70" s="75">
        <v>22255.1</v>
      </c>
      <c r="K70" s="75">
        <v>19036.72</v>
      </c>
      <c r="L70" s="75">
        <v>116658.83</v>
      </c>
      <c r="M70" s="75">
        <v>277778.27999999898</v>
      </c>
      <c r="N70" s="75">
        <v>26490.38</v>
      </c>
      <c r="O70" s="75">
        <v>11716.39</v>
      </c>
      <c r="P70" s="75">
        <v>108547.29</v>
      </c>
      <c r="Q70" s="75">
        <v>236280.61999999901</v>
      </c>
      <c r="R70" s="75">
        <v>12860.5</v>
      </c>
      <c r="S70" s="75">
        <v>11772.98</v>
      </c>
      <c r="T70" s="75">
        <v>120018.68</v>
      </c>
      <c r="U70" s="75">
        <v>186839.579999999</v>
      </c>
      <c r="W70" s="73">
        <v>98101</v>
      </c>
      <c r="X70" s="15" t="s">
        <v>10</v>
      </c>
      <c r="Y70" s="75">
        <v>50.62</v>
      </c>
      <c r="Z70" s="75">
        <v>114.54</v>
      </c>
      <c r="AA70" s="75">
        <v>539.46</v>
      </c>
      <c r="AB70" s="75">
        <v>783.88</v>
      </c>
      <c r="AC70" s="75">
        <v>79.260000000000005</v>
      </c>
      <c r="AD70" s="75">
        <v>50.62</v>
      </c>
      <c r="AE70" s="75">
        <v>248</v>
      </c>
      <c r="AF70" s="75">
        <v>390.17</v>
      </c>
      <c r="AG70" s="75">
        <v>12.29</v>
      </c>
      <c r="AH70" s="75">
        <v>13.48</v>
      </c>
      <c r="AI70" s="75">
        <v>96.78</v>
      </c>
      <c r="AJ70" s="75">
        <v>136.03</v>
      </c>
      <c r="AV70" s="73" t="s">
        <v>274</v>
      </c>
      <c r="AW70" s="73" t="s">
        <v>10</v>
      </c>
      <c r="AX70" s="33">
        <v>11</v>
      </c>
      <c r="AY70" s="33">
        <v>7</v>
      </c>
      <c r="AZ70" s="33">
        <v>7</v>
      </c>
      <c r="BB70" s="73" t="s">
        <v>274</v>
      </c>
      <c r="BC70" s="73" t="s">
        <v>10</v>
      </c>
      <c r="BD70" s="75">
        <v>7535.64</v>
      </c>
      <c r="BE70" s="75">
        <v>433.26</v>
      </c>
      <c r="BF70" s="75">
        <v>2924.23</v>
      </c>
      <c r="BH70" s="73">
        <v>98074</v>
      </c>
      <c r="BI70" s="73" t="s">
        <v>10</v>
      </c>
      <c r="BJ70" s="75"/>
      <c r="BK70" s="75">
        <v>-671.88</v>
      </c>
      <c r="BL70" s="75"/>
    </row>
    <row r="71" spans="2:64" x14ac:dyDescent="0.2">
      <c r="B71" s="56">
        <v>98036</v>
      </c>
      <c r="C71" s="62" t="s">
        <v>345</v>
      </c>
      <c r="D71" s="46">
        <v>57</v>
      </c>
      <c r="E71" s="46">
        <v>61</v>
      </c>
      <c r="F71" s="46">
        <v>63</v>
      </c>
      <c r="H71" s="73">
        <v>98034</v>
      </c>
      <c r="I71" s="73" t="s">
        <v>10</v>
      </c>
      <c r="J71" s="75">
        <v>153270.84</v>
      </c>
      <c r="K71" s="75">
        <v>121820.58</v>
      </c>
      <c r="L71" s="75">
        <v>625074.52999999898</v>
      </c>
      <c r="M71" s="75">
        <v>1105574.1999999899</v>
      </c>
      <c r="N71" s="75">
        <v>125522.22</v>
      </c>
      <c r="O71" s="75">
        <v>118162.5</v>
      </c>
      <c r="P71" s="75">
        <v>659728.15</v>
      </c>
      <c r="Q71" s="75">
        <v>1075677.50999999</v>
      </c>
      <c r="R71" s="75">
        <v>114698.71</v>
      </c>
      <c r="S71" s="75">
        <v>100142.63</v>
      </c>
      <c r="T71" s="75">
        <v>689030.14999999898</v>
      </c>
      <c r="U71" s="75">
        <v>1113521.55999999</v>
      </c>
      <c r="W71" s="73">
        <v>98102</v>
      </c>
      <c r="X71" s="15" t="s">
        <v>10</v>
      </c>
      <c r="Y71" s="75">
        <v>348.98</v>
      </c>
      <c r="Z71" s="75">
        <v>474.76</v>
      </c>
      <c r="AA71" s="75">
        <v>1363.27</v>
      </c>
      <c r="AB71" s="75">
        <v>2365.1</v>
      </c>
      <c r="AC71" s="75">
        <v>153.94999999999999</v>
      </c>
      <c r="AD71" s="75">
        <v>330.81</v>
      </c>
      <c r="AE71" s="75">
        <v>1543.71999999999</v>
      </c>
      <c r="AF71" s="75">
        <v>2130.0100000000002</v>
      </c>
      <c r="AG71" s="75">
        <v>101.53</v>
      </c>
      <c r="AH71" s="75">
        <v>153.94999999999999</v>
      </c>
      <c r="AI71" s="75">
        <v>1874.53</v>
      </c>
      <c r="AJ71" s="75">
        <v>2227.8200000000002</v>
      </c>
      <c r="AV71" s="73" t="s">
        <v>118</v>
      </c>
      <c r="AW71" s="73" t="s">
        <v>345</v>
      </c>
      <c r="AX71" s="33">
        <v>1</v>
      </c>
      <c r="AY71" s="33">
        <v>2</v>
      </c>
      <c r="AZ71" s="33">
        <v>2</v>
      </c>
      <c r="BB71" s="73" t="s">
        <v>118</v>
      </c>
      <c r="BC71" s="73" t="s">
        <v>345</v>
      </c>
      <c r="BD71" s="75">
        <v>108.3</v>
      </c>
      <c r="BE71" s="75">
        <v>351.04</v>
      </c>
      <c r="BF71" s="75">
        <v>1600.32</v>
      </c>
      <c r="BH71" s="73">
        <v>98087</v>
      </c>
      <c r="BI71" s="73" t="s">
        <v>10</v>
      </c>
      <c r="BJ71" s="75">
        <v>-173.71</v>
      </c>
      <c r="BK71" s="75"/>
      <c r="BL71" s="75"/>
    </row>
    <row r="72" spans="2:64" x14ac:dyDescent="0.2">
      <c r="B72" s="81">
        <v>98036</v>
      </c>
      <c r="C72" s="62" t="s">
        <v>10</v>
      </c>
      <c r="D72" s="46">
        <v>840</v>
      </c>
      <c r="E72" s="46">
        <v>787</v>
      </c>
      <c r="F72" s="46">
        <v>778</v>
      </c>
      <c r="H72" s="73">
        <v>98036</v>
      </c>
      <c r="I72" s="73" t="s">
        <v>345</v>
      </c>
      <c r="J72" s="75">
        <v>5915.12</v>
      </c>
      <c r="K72" s="75">
        <v>3838.59</v>
      </c>
      <c r="L72" s="75">
        <v>28424.17</v>
      </c>
      <c r="M72" s="75">
        <v>53046.54</v>
      </c>
      <c r="N72" s="75">
        <v>2962.55</v>
      </c>
      <c r="O72" s="75">
        <v>3331.21</v>
      </c>
      <c r="P72" s="75">
        <v>30162.289999999899</v>
      </c>
      <c r="Q72" s="75">
        <v>56653.96</v>
      </c>
      <c r="R72" s="75">
        <v>3121.3</v>
      </c>
      <c r="S72" s="75">
        <v>2622.33</v>
      </c>
      <c r="T72" s="75">
        <v>30562.119999999901</v>
      </c>
      <c r="U72" s="75">
        <v>46375.43</v>
      </c>
      <c r="W72" s="73">
        <v>98103</v>
      </c>
      <c r="X72" s="15" t="s">
        <v>10</v>
      </c>
      <c r="Y72" s="75">
        <v>1423.74</v>
      </c>
      <c r="Z72" s="75">
        <v>1560.81</v>
      </c>
      <c r="AA72" s="75">
        <v>7255.87</v>
      </c>
      <c r="AB72" s="75">
        <v>11487.36</v>
      </c>
      <c r="AC72" s="75">
        <v>832.7</v>
      </c>
      <c r="AD72" s="75">
        <v>1183.68</v>
      </c>
      <c r="AE72" s="75">
        <v>7954.7999999999902</v>
      </c>
      <c r="AF72" s="75">
        <v>10560.879999999899</v>
      </c>
      <c r="AG72" s="75">
        <v>485.9</v>
      </c>
      <c r="AH72" s="75">
        <v>722.76</v>
      </c>
      <c r="AI72" s="75">
        <v>7152.88</v>
      </c>
      <c r="AJ72" s="75">
        <v>9039.82</v>
      </c>
      <c r="AV72" s="73" t="s">
        <v>118</v>
      </c>
      <c r="AW72" s="73" t="s">
        <v>10</v>
      </c>
      <c r="AX72" s="33">
        <v>13</v>
      </c>
      <c r="AY72" s="33">
        <v>14</v>
      </c>
      <c r="AZ72" s="33">
        <v>23</v>
      </c>
      <c r="BB72" s="73" t="s">
        <v>118</v>
      </c>
      <c r="BC72" s="73" t="s">
        <v>10</v>
      </c>
      <c r="BD72" s="75">
        <v>16280.36</v>
      </c>
      <c r="BE72" s="75">
        <v>6953.36</v>
      </c>
      <c r="BF72" s="75">
        <v>14187.23</v>
      </c>
      <c r="BH72" s="73">
        <v>98092</v>
      </c>
      <c r="BI72" s="73" t="s">
        <v>10</v>
      </c>
      <c r="BJ72" s="75">
        <v>-276.14999999999998</v>
      </c>
      <c r="BK72" s="75">
        <v>-75</v>
      </c>
      <c r="BL72" s="75">
        <v>-618.47</v>
      </c>
    </row>
    <row r="73" spans="2:64" x14ac:dyDescent="0.2">
      <c r="B73" s="56">
        <v>98037</v>
      </c>
      <c r="C73" s="62" t="s">
        <v>345</v>
      </c>
      <c r="D73" s="46">
        <v>38</v>
      </c>
      <c r="E73" s="46">
        <v>34</v>
      </c>
      <c r="F73" s="46">
        <v>33</v>
      </c>
      <c r="H73" s="73">
        <v>98036</v>
      </c>
      <c r="I73" s="73" t="s">
        <v>10</v>
      </c>
      <c r="J73" s="75">
        <v>31601.360000000001</v>
      </c>
      <c r="K73" s="75">
        <v>30407.68</v>
      </c>
      <c r="L73" s="75">
        <v>143589.51999999999</v>
      </c>
      <c r="M73" s="75">
        <v>254882.34999999899</v>
      </c>
      <c r="N73" s="75">
        <v>32172.87</v>
      </c>
      <c r="O73" s="75">
        <v>24188.98</v>
      </c>
      <c r="P73" s="75">
        <v>150301.17000000001</v>
      </c>
      <c r="Q73" s="75">
        <v>233038.06999999899</v>
      </c>
      <c r="R73" s="75">
        <v>18211.349999999999</v>
      </c>
      <c r="S73" s="75">
        <v>22581.47</v>
      </c>
      <c r="T73" s="75">
        <v>154505.34999999899</v>
      </c>
      <c r="U73" s="75">
        <v>221434.19999999899</v>
      </c>
      <c r="W73" s="73">
        <v>98104</v>
      </c>
      <c r="X73" s="15" t="s">
        <v>10</v>
      </c>
      <c r="Y73" s="75"/>
      <c r="Z73" s="75"/>
      <c r="AA73" s="75"/>
      <c r="AB73" s="75"/>
      <c r="AC73" s="75"/>
      <c r="AD73" s="75"/>
      <c r="AE73" s="75"/>
      <c r="AF73" s="75"/>
      <c r="AG73" s="75"/>
      <c r="AH73" s="75"/>
      <c r="AI73" s="75"/>
      <c r="AJ73" s="75">
        <v>13.48</v>
      </c>
      <c r="AV73" s="73" t="s">
        <v>119</v>
      </c>
      <c r="AW73" s="73" t="s">
        <v>10</v>
      </c>
      <c r="AX73" s="33">
        <v>2</v>
      </c>
      <c r="AY73" s="33"/>
      <c r="AZ73" s="33"/>
      <c r="BB73" s="73" t="s">
        <v>119</v>
      </c>
      <c r="BC73" s="73" t="s">
        <v>10</v>
      </c>
      <c r="BD73" s="75">
        <v>576.07000000000005</v>
      </c>
      <c r="BE73" s="75"/>
      <c r="BF73" s="75"/>
      <c r="BH73" s="73">
        <v>98103</v>
      </c>
      <c r="BI73" s="73" t="s">
        <v>345</v>
      </c>
      <c r="BJ73" s="75">
        <v>-300</v>
      </c>
      <c r="BK73" s="75">
        <v>-300</v>
      </c>
      <c r="BL73" s="75"/>
    </row>
    <row r="74" spans="2:64" x14ac:dyDescent="0.2">
      <c r="B74" s="81">
        <v>98037</v>
      </c>
      <c r="C74" s="62" t="s">
        <v>10</v>
      </c>
      <c r="D74" s="46">
        <v>642</v>
      </c>
      <c r="E74" s="46">
        <v>629</v>
      </c>
      <c r="F74" s="46">
        <v>649</v>
      </c>
      <c r="H74" s="73">
        <v>98037</v>
      </c>
      <c r="I74" s="73" t="s">
        <v>345</v>
      </c>
      <c r="J74" s="75">
        <v>2169.4899999999998</v>
      </c>
      <c r="K74" s="75">
        <v>1784.42</v>
      </c>
      <c r="L74" s="75">
        <v>20455.569999999901</v>
      </c>
      <c r="M74" s="75">
        <v>43975.14</v>
      </c>
      <c r="N74" s="75">
        <v>2038.57</v>
      </c>
      <c r="O74" s="75">
        <v>1309.97</v>
      </c>
      <c r="P74" s="75">
        <v>7688.4299999999903</v>
      </c>
      <c r="Q74" s="75">
        <v>15162.7699999999</v>
      </c>
      <c r="R74" s="75">
        <v>1869.51</v>
      </c>
      <c r="S74" s="75">
        <v>1373.46</v>
      </c>
      <c r="T74" s="75">
        <v>7964.84</v>
      </c>
      <c r="U74" s="75">
        <v>21084.969999999899</v>
      </c>
      <c r="W74" s="73">
        <v>98105</v>
      </c>
      <c r="X74" s="15" t="s">
        <v>10</v>
      </c>
      <c r="Y74" s="75">
        <v>604.71</v>
      </c>
      <c r="Z74" s="75">
        <v>816.93</v>
      </c>
      <c r="AA74" s="75">
        <v>4057.1499999999901</v>
      </c>
      <c r="AB74" s="75">
        <v>5802.4</v>
      </c>
      <c r="AC74" s="75">
        <v>233.08</v>
      </c>
      <c r="AD74" s="75">
        <v>504.26</v>
      </c>
      <c r="AE74" s="75">
        <v>4881.38</v>
      </c>
      <c r="AF74" s="75">
        <v>5872.84</v>
      </c>
      <c r="AG74" s="75">
        <v>214.26</v>
      </c>
      <c r="AH74" s="75">
        <v>206.13</v>
      </c>
      <c r="AI74" s="75">
        <v>5219.12</v>
      </c>
      <c r="AJ74" s="75">
        <v>5876.4199999999901</v>
      </c>
      <c r="AV74" s="73" t="s">
        <v>120</v>
      </c>
      <c r="AW74" s="73" t="s">
        <v>345</v>
      </c>
      <c r="AX74" s="33">
        <v>7</v>
      </c>
      <c r="AY74" s="33">
        <v>5</v>
      </c>
      <c r="AZ74" s="33"/>
      <c r="BB74" s="73" t="s">
        <v>120</v>
      </c>
      <c r="BC74" s="73" t="s">
        <v>345</v>
      </c>
      <c r="BD74" s="75">
        <v>2480.48</v>
      </c>
      <c r="BE74" s="75">
        <v>491.15</v>
      </c>
      <c r="BF74" s="75"/>
      <c r="BH74" s="73">
        <v>98103</v>
      </c>
      <c r="BI74" s="73" t="s">
        <v>10</v>
      </c>
      <c r="BJ74" s="75">
        <v>-78.540000000000006</v>
      </c>
      <c r="BK74" s="75"/>
      <c r="BL74" s="75">
        <v>-652.12</v>
      </c>
    </row>
    <row r="75" spans="2:64" x14ac:dyDescent="0.2">
      <c r="B75" s="56">
        <v>98038</v>
      </c>
      <c r="C75" s="62" t="s">
        <v>345</v>
      </c>
      <c r="D75" s="46">
        <v>148</v>
      </c>
      <c r="E75" s="46">
        <v>158</v>
      </c>
      <c r="F75" s="46">
        <v>137</v>
      </c>
      <c r="H75" s="73">
        <v>98037</v>
      </c>
      <c r="I75" s="73" t="s">
        <v>10</v>
      </c>
      <c r="J75" s="75">
        <v>26851.59</v>
      </c>
      <c r="K75" s="75">
        <v>26257.75</v>
      </c>
      <c r="L75" s="75">
        <v>99548.21</v>
      </c>
      <c r="M75" s="75">
        <v>186257.769999999</v>
      </c>
      <c r="N75" s="75">
        <v>21021.47</v>
      </c>
      <c r="O75" s="75">
        <v>20316.25</v>
      </c>
      <c r="P75" s="75">
        <v>106804.45</v>
      </c>
      <c r="Q75" s="75">
        <v>172824.77</v>
      </c>
      <c r="R75" s="75">
        <v>16773.16</v>
      </c>
      <c r="S75" s="75">
        <v>17412.91</v>
      </c>
      <c r="T75" s="75">
        <v>108033.72</v>
      </c>
      <c r="U75" s="75">
        <v>162058.74</v>
      </c>
      <c r="W75" s="73">
        <v>98106</v>
      </c>
      <c r="X75" s="15" t="s">
        <v>10</v>
      </c>
      <c r="Y75" s="75">
        <v>1723.35</v>
      </c>
      <c r="Z75" s="75">
        <v>1945.8</v>
      </c>
      <c r="AA75" s="75">
        <v>8589.0099999999893</v>
      </c>
      <c r="AB75" s="75">
        <v>13587.44</v>
      </c>
      <c r="AC75" s="75">
        <v>1088.8499999999999</v>
      </c>
      <c r="AD75" s="75">
        <v>1333.42</v>
      </c>
      <c r="AE75" s="75">
        <v>6886.3599999999897</v>
      </c>
      <c r="AF75" s="75">
        <v>10342.41</v>
      </c>
      <c r="AG75" s="75">
        <v>781.9</v>
      </c>
      <c r="AH75" s="75">
        <v>934.63</v>
      </c>
      <c r="AI75" s="75">
        <v>7155.53999999999</v>
      </c>
      <c r="AJ75" s="75">
        <v>9794.9699999999993</v>
      </c>
      <c r="AV75" s="73" t="s">
        <v>120</v>
      </c>
      <c r="AW75" s="73" t="s">
        <v>10</v>
      </c>
      <c r="AX75" s="33">
        <v>11</v>
      </c>
      <c r="AY75" s="33">
        <v>11</v>
      </c>
      <c r="AZ75" s="33">
        <v>12</v>
      </c>
      <c r="BB75" s="73" t="s">
        <v>120</v>
      </c>
      <c r="BC75" s="73" t="s">
        <v>10</v>
      </c>
      <c r="BD75" s="75">
        <v>13156.3</v>
      </c>
      <c r="BE75" s="75">
        <v>6050.08</v>
      </c>
      <c r="BF75" s="75">
        <v>5140.9399999999996</v>
      </c>
      <c r="BH75" s="73">
        <v>98104</v>
      </c>
      <c r="BI75" s="73" t="s">
        <v>10</v>
      </c>
      <c r="BJ75" s="75">
        <v>-80.13</v>
      </c>
      <c r="BK75" s="75">
        <v>-350.9</v>
      </c>
      <c r="BL75" s="75"/>
    </row>
    <row r="76" spans="2:64" x14ac:dyDescent="0.2">
      <c r="B76" s="81">
        <v>98038</v>
      </c>
      <c r="C76" s="62" t="s">
        <v>10</v>
      </c>
      <c r="D76" s="46">
        <v>1761</v>
      </c>
      <c r="E76" s="46">
        <v>1739</v>
      </c>
      <c r="F76" s="46">
        <v>1725</v>
      </c>
      <c r="H76" s="73">
        <v>98038</v>
      </c>
      <c r="I76" s="73" t="s">
        <v>345</v>
      </c>
      <c r="J76" s="75">
        <v>8048.02</v>
      </c>
      <c r="K76" s="75">
        <v>6061.29</v>
      </c>
      <c r="L76" s="75">
        <v>65076.06</v>
      </c>
      <c r="M76" s="75">
        <v>123983.329999999</v>
      </c>
      <c r="N76" s="75">
        <v>9106.34</v>
      </c>
      <c r="O76" s="75">
        <v>5155.8999999999996</v>
      </c>
      <c r="P76" s="75">
        <v>65333.09</v>
      </c>
      <c r="Q76" s="75">
        <v>332677.27</v>
      </c>
      <c r="R76" s="75">
        <v>7437.14</v>
      </c>
      <c r="S76" s="75">
        <v>4412.67</v>
      </c>
      <c r="T76" s="75">
        <v>69076.34</v>
      </c>
      <c r="U76" s="75">
        <v>438715.84</v>
      </c>
      <c r="W76" s="73">
        <v>98107</v>
      </c>
      <c r="X76" s="15" t="s">
        <v>10</v>
      </c>
      <c r="Y76" s="75">
        <v>375.48</v>
      </c>
      <c r="Z76" s="75">
        <v>440.96</v>
      </c>
      <c r="AA76" s="75">
        <v>1471.44</v>
      </c>
      <c r="AB76" s="75">
        <v>2551.04</v>
      </c>
      <c r="AC76" s="75">
        <v>262.02999999999997</v>
      </c>
      <c r="AD76" s="75">
        <v>375.48</v>
      </c>
      <c r="AE76" s="75">
        <v>1838.34</v>
      </c>
      <c r="AF76" s="75">
        <v>2652.7</v>
      </c>
      <c r="AG76" s="75">
        <v>138.62</v>
      </c>
      <c r="AH76" s="75">
        <v>197.41</v>
      </c>
      <c r="AI76" s="75">
        <v>1778.45999999999</v>
      </c>
      <c r="AJ76" s="75">
        <v>2245.41</v>
      </c>
      <c r="AV76" s="73" t="s">
        <v>121</v>
      </c>
      <c r="AW76" s="73" t="s">
        <v>345</v>
      </c>
      <c r="AX76" s="33">
        <v>2</v>
      </c>
      <c r="AY76" s="33">
        <v>5</v>
      </c>
      <c r="AZ76" s="33">
        <v>1</v>
      </c>
      <c r="BB76" s="73" t="s">
        <v>121</v>
      </c>
      <c r="BC76" s="73" t="s">
        <v>345</v>
      </c>
      <c r="BD76" s="75">
        <v>433.51</v>
      </c>
      <c r="BE76" s="75">
        <v>10606.64</v>
      </c>
      <c r="BF76" s="75">
        <v>45.57</v>
      </c>
      <c r="BH76" s="73">
        <v>98105</v>
      </c>
      <c r="BI76" s="73" t="s">
        <v>10</v>
      </c>
      <c r="BJ76" s="75">
        <v>-139.41999999999999</v>
      </c>
      <c r="BK76" s="75">
        <v>-50.56</v>
      </c>
      <c r="BL76" s="75">
        <v>-174.06</v>
      </c>
    </row>
    <row r="77" spans="2:64" x14ac:dyDescent="0.2">
      <c r="B77" s="56">
        <v>98039</v>
      </c>
      <c r="C77" s="62" t="s">
        <v>345</v>
      </c>
      <c r="D77" s="46">
        <v>12</v>
      </c>
      <c r="E77" s="46">
        <v>13</v>
      </c>
      <c r="F77" s="46">
        <v>9</v>
      </c>
      <c r="H77" s="73">
        <v>98038</v>
      </c>
      <c r="I77" s="73" t="s">
        <v>10</v>
      </c>
      <c r="J77" s="75">
        <v>125597.43</v>
      </c>
      <c r="K77" s="75">
        <v>97108.02</v>
      </c>
      <c r="L77" s="75">
        <v>579267.85</v>
      </c>
      <c r="M77" s="75">
        <v>995948.17</v>
      </c>
      <c r="N77" s="75">
        <v>92839.01</v>
      </c>
      <c r="O77" s="75">
        <v>83235.56</v>
      </c>
      <c r="P77" s="75">
        <v>608484.15</v>
      </c>
      <c r="Q77" s="75">
        <v>1005027.71</v>
      </c>
      <c r="R77" s="75">
        <v>107802.15</v>
      </c>
      <c r="S77" s="75">
        <v>64823.13</v>
      </c>
      <c r="T77" s="75">
        <v>620239.53999999899</v>
      </c>
      <c r="U77" s="75">
        <v>1006900.27999999</v>
      </c>
      <c r="W77" s="73">
        <v>98108</v>
      </c>
      <c r="X77" s="15" t="s">
        <v>10</v>
      </c>
      <c r="Y77" s="75">
        <v>4764.17</v>
      </c>
      <c r="Z77" s="75">
        <v>5453.09</v>
      </c>
      <c r="AA77" s="75">
        <v>19802.7399999999</v>
      </c>
      <c r="AB77" s="75">
        <v>34841.5799999999</v>
      </c>
      <c r="AC77" s="75">
        <v>3943.56</v>
      </c>
      <c r="AD77" s="75">
        <v>4302.59</v>
      </c>
      <c r="AE77" s="75">
        <v>22259.41</v>
      </c>
      <c r="AF77" s="75">
        <v>34773.56</v>
      </c>
      <c r="AG77" s="75">
        <v>3683.77</v>
      </c>
      <c r="AH77" s="75">
        <v>3438.07</v>
      </c>
      <c r="AI77" s="75">
        <v>24508.0799999999</v>
      </c>
      <c r="AJ77" s="75">
        <v>35728.479999999901</v>
      </c>
      <c r="AV77" s="73" t="s">
        <v>121</v>
      </c>
      <c r="AW77" s="73" t="s">
        <v>10</v>
      </c>
      <c r="AX77" s="33">
        <v>27</v>
      </c>
      <c r="AY77" s="33">
        <v>42</v>
      </c>
      <c r="AZ77" s="33">
        <v>43</v>
      </c>
      <c r="BB77" s="73" t="s">
        <v>121</v>
      </c>
      <c r="BC77" s="73" t="s">
        <v>10</v>
      </c>
      <c r="BD77" s="75">
        <v>20969.18</v>
      </c>
      <c r="BE77" s="75">
        <v>39118.11</v>
      </c>
      <c r="BF77" s="75">
        <v>22457.27</v>
      </c>
      <c r="BH77" s="73">
        <v>98106</v>
      </c>
      <c r="BI77" s="73" t="s">
        <v>10</v>
      </c>
      <c r="BJ77" s="75">
        <v>-585.61</v>
      </c>
      <c r="BK77" s="75">
        <v>-168.56</v>
      </c>
      <c r="BL77" s="75">
        <v>-96.52</v>
      </c>
    </row>
    <row r="78" spans="2:64" x14ac:dyDescent="0.2">
      <c r="B78" s="81">
        <v>98039</v>
      </c>
      <c r="C78" s="62" t="s">
        <v>10</v>
      </c>
      <c r="D78" s="46">
        <v>69</v>
      </c>
      <c r="E78" s="46">
        <v>75</v>
      </c>
      <c r="F78" s="46">
        <v>65</v>
      </c>
      <c r="H78" s="73">
        <v>98039</v>
      </c>
      <c r="I78" s="73" t="s">
        <v>345</v>
      </c>
      <c r="J78" s="75">
        <v>528.74</v>
      </c>
      <c r="K78" s="75">
        <v>157.51</v>
      </c>
      <c r="L78" s="75">
        <v>511.2</v>
      </c>
      <c r="M78" s="75">
        <v>2214.7799999999902</v>
      </c>
      <c r="N78" s="75">
        <v>687.13</v>
      </c>
      <c r="O78" s="75">
        <v>517.61</v>
      </c>
      <c r="P78" s="75">
        <v>449.96</v>
      </c>
      <c r="Q78" s="75">
        <v>2884.0099999999902</v>
      </c>
      <c r="R78" s="75">
        <v>418.53</v>
      </c>
      <c r="S78" s="75">
        <v>525.54</v>
      </c>
      <c r="T78" s="75">
        <v>535.91</v>
      </c>
      <c r="U78" s="75">
        <v>1949.9299999999901</v>
      </c>
      <c r="W78" s="73">
        <v>98109</v>
      </c>
      <c r="X78" s="15" t="s">
        <v>10</v>
      </c>
      <c r="Y78" s="75">
        <v>150.34</v>
      </c>
      <c r="Z78" s="75">
        <v>113.97</v>
      </c>
      <c r="AA78" s="75">
        <v>739.91</v>
      </c>
      <c r="AB78" s="75">
        <v>1119.0899999999999</v>
      </c>
      <c r="AC78" s="75">
        <v>80.78</v>
      </c>
      <c r="AD78" s="75">
        <v>115</v>
      </c>
      <c r="AE78" s="75">
        <v>853.88</v>
      </c>
      <c r="AF78" s="75">
        <v>1156.98</v>
      </c>
      <c r="AG78" s="75">
        <v>69.77</v>
      </c>
      <c r="AH78" s="75">
        <v>80.78</v>
      </c>
      <c r="AI78" s="75">
        <v>968.88</v>
      </c>
      <c r="AJ78" s="75">
        <v>1228.3499999999999</v>
      </c>
      <c r="AV78" s="73" t="s">
        <v>275</v>
      </c>
      <c r="AW78" s="73" t="s">
        <v>345</v>
      </c>
      <c r="AX78" s="33">
        <v>1</v>
      </c>
      <c r="AY78" s="33"/>
      <c r="AZ78" s="33"/>
      <c r="BB78" s="73" t="s">
        <v>275</v>
      </c>
      <c r="BC78" s="73" t="s">
        <v>345</v>
      </c>
      <c r="BD78" s="75">
        <v>762.26</v>
      </c>
      <c r="BE78" s="75"/>
      <c r="BF78" s="75"/>
      <c r="BH78" s="73">
        <v>98107</v>
      </c>
      <c r="BI78" s="73" t="s">
        <v>10</v>
      </c>
      <c r="BJ78" s="75">
        <v>-46.41</v>
      </c>
      <c r="BK78" s="75">
        <v>-265.81</v>
      </c>
      <c r="BL78" s="75">
        <v>-120.49</v>
      </c>
    </row>
    <row r="79" spans="2:64" x14ac:dyDescent="0.2">
      <c r="B79" s="56">
        <v>98040</v>
      </c>
      <c r="C79" s="62" t="s">
        <v>345</v>
      </c>
      <c r="D79" s="46">
        <v>55</v>
      </c>
      <c r="E79" s="46">
        <v>46</v>
      </c>
      <c r="F79" s="46">
        <v>98</v>
      </c>
      <c r="H79" s="73">
        <v>98039</v>
      </c>
      <c r="I79" s="73" t="s">
        <v>10</v>
      </c>
      <c r="J79" s="75">
        <v>11693.72</v>
      </c>
      <c r="K79" s="75">
        <v>3485.39</v>
      </c>
      <c r="L79" s="75">
        <v>18008</v>
      </c>
      <c r="M79" s="75">
        <v>44521.16</v>
      </c>
      <c r="N79" s="75">
        <v>5491.86</v>
      </c>
      <c r="O79" s="75">
        <v>4485.3599999999997</v>
      </c>
      <c r="P79" s="75">
        <v>20947.55</v>
      </c>
      <c r="Q79" s="75">
        <v>41644.03</v>
      </c>
      <c r="R79" s="75">
        <v>4861.01</v>
      </c>
      <c r="S79" s="75">
        <v>4056.86</v>
      </c>
      <c r="T79" s="75">
        <v>20855.060000000001</v>
      </c>
      <c r="U79" s="75">
        <v>39803.5</v>
      </c>
      <c r="W79" s="73">
        <v>98110</v>
      </c>
      <c r="X79" s="15" t="s">
        <v>10</v>
      </c>
      <c r="Y79" s="75">
        <v>5559.61</v>
      </c>
      <c r="Z79" s="75">
        <v>5265.11</v>
      </c>
      <c r="AA79" s="75">
        <v>22430.6</v>
      </c>
      <c r="AB79" s="75">
        <v>38609.82</v>
      </c>
      <c r="AC79" s="75">
        <v>3427.79</v>
      </c>
      <c r="AD79" s="75">
        <v>3645</v>
      </c>
      <c r="AE79" s="75">
        <v>21771.839999999898</v>
      </c>
      <c r="AF79" s="75">
        <v>34315.1499999999</v>
      </c>
      <c r="AG79" s="75">
        <v>4366.29</v>
      </c>
      <c r="AH79" s="75">
        <v>2862.44</v>
      </c>
      <c r="AI79" s="75">
        <v>21989.14</v>
      </c>
      <c r="AJ79" s="75">
        <v>35692.44</v>
      </c>
      <c r="AV79" s="73" t="s">
        <v>275</v>
      </c>
      <c r="AW79" s="73" t="s">
        <v>10</v>
      </c>
      <c r="AX79" s="33">
        <v>1</v>
      </c>
      <c r="AY79" s="33">
        <v>5</v>
      </c>
      <c r="AZ79" s="33">
        <v>8</v>
      </c>
      <c r="BB79" s="73" t="s">
        <v>275</v>
      </c>
      <c r="BC79" s="73" t="s">
        <v>10</v>
      </c>
      <c r="BD79" s="75">
        <v>150.18</v>
      </c>
      <c r="BE79" s="75">
        <v>1822.07</v>
      </c>
      <c r="BF79" s="75">
        <v>2394.6999999999998</v>
      </c>
      <c r="BH79" s="73">
        <v>98108</v>
      </c>
      <c r="BI79" s="73" t="s">
        <v>10</v>
      </c>
      <c r="BJ79" s="75"/>
      <c r="BK79" s="75"/>
      <c r="BL79" s="75">
        <v>-222.45</v>
      </c>
    </row>
    <row r="80" spans="2:64" x14ac:dyDescent="0.2">
      <c r="B80" s="81">
        <v>98040</v>
      </c>
      <c r="C80" s="62" t="s">
        <v>10</v>
      </c>
      <c r="D80" s="46">
        <v>795</v>
      </c>
      <c r="E80" s="46">
        <v>793</v>
      </c>
      <c r="F80" s="46">
        <v>815</v>
      </c>
      <c r="H80" s="73">
        <v>98040</v>
      </c>
      <c r="I80" s="73" t="s">
        <v>345</v>
      </c>
      <c r="J80" s="75">
        <v>6852.16</v>
      </c>
      <c r="K80" s="75">
        <v>1933.75</v>
      </c>
      <c r="L80" s="75">
        <v>20350.879999999899</v>
      </c>
      <c r="M80" s="75">
        <v>51996.42</v>
      </c>
      <c r="N80" s="75">
        <v>1653.83</v>
      </c>
      <c r="O80" s="75">
        <v>4022.15</v>
      </c>
      <c r="P80" s="75">
        <v>16927.799999999901</v>
      </c>
      <c r="Q80" s="75">
        <v>96686.849999999904</v>
      </c>
      <c r="R80" s="75">
        <v>20012.77</v>
      </c>
      <c r="S80" s="75">
        <v>1544.71</v>
      </c>
      <c r="T80" s="75">
        <v>20400.04</v>
      </c>
      <c r="U80" s="75">
        <v>73835.09</v>
      </c>
      <c r="W80" s="73">
        <v>98112</v>
      </c>
      <c r="X80" s="15" t="s">
        <v>10</v>
      </c>
      <c r="Y80" s="75">
        <v>963.91</v>
      </c>
      <c r="Z80" s="75">
        <v>1136.25</v>
      </c>
      <c r="AA80" s="75">
        <v>3086.4</v>
      </c>
      <c r="AB80" s="75">
        <v>5929.2999999999902</v>
      </c>
      <c r="AC80" s="75">
        <v>537.04999999999995</v>
      </c>
      <c r="AD80" s="75">
        <v>734.46</v>
      </c>
      <c r="AE80" s="75">
        <v>3051.57</v>
      </c>
      <c r="AF80" s="75">
        <v>4784.88</v>
      </c>
      <c r="AG80" s="75">
        <v>391.48</v>
      </c>
      <c r="AH80" s="75">
        <v>484.46</v>
      </c>
      <c r="AI80" s="75">
        <v>3258.2399999999898</v>
      </c>
      <c r="AJ80" s="75">
        <v>4488.58</v>
      </c>
      <c r="AV80" s="73" t="s">
        <v>122</v>
      </c>
      <c r="AW80" s="73" t="s">
        <v>10</v>
      </c>
      <c r="AX80" s="33">
        <v>7</v>
      </c>
      <c r="AY80" s="33">
        <v>9</v>
      </c>
      <c r="AZ80" s="33">
        <v>6</v>
      </c>
      <c r="BB80" s="73" t="s">
        <v>122</v>
      </c>
      <c r="BC80" s="73" t="s">
        <v>10</v>
      </c>
      <c r="BD80" s="75">
        <v>5128.79</v>
      </c>
      <c r="BE80" s="75">
        <v>9110.2099999999991</v>
      </c>
      <c r="BF80" s="75">
        <v>2543.85</v>
      </c>
      <c r="BH80" s="73">
        <v>98109</v>
      </c>
      <c r="BI80" s="73" t="s">
        <v>10</v>
      </c>
      <c r="BJ80" s="75">
        <v>-229.57</v>
      </c>
      <c r="BK80" s="75">
        <v>-53.61</v>
      </c>
      <c r="BL80" s="75"/>
    </row>
    <row r="81" spans="2:64" x14ac:dyDescent="0.2">
      <c r="B81" s="56">
        <v>98042</v>
      </c>
      <c r="C81" s="62" t="s">
        <v>345</v>
      </c>
      <c r="D81" s="46">
        <v>173</v>
      </c>
      <c r="E81" s="46">
        <v>135</v>
      </c>
      <c r="F81" s="46">
        <v>172</v>
      </c>
      <c r="H81" s="73">
        <v>98040</v>
      </c>
      <c r="I81" s="73" t="s">
        <v>10</v>
      </c>
      <c r="J81" s="75">
        <v>42445.42</v>
      </c>
      <c r="K81" s="75">
        <v>29881.87</v>
      </c>
      <c r="L81" s="75">
        <v>165030.31999999899</v>
      </c>
      <c r="M81" s="75">
        <v>304698.14999999898</v>
      </c>
      <c r="N81" s="75">
        <v>32273.93</v>
      </c>
      <c r="O81" s="75">
        <v>27632.29</v>
      </c>
      <c r="P81" s="75">
        <v>166041.49999999901</v>
      </c>
      <c r="Q81" s="75">
        <v>287166.93</v>
      </c>
      <c r="R81" s="75">
        <v>28829.72</v>
      </c>
      <c r="S81" s="75">
        <v>21948.21</v>
      </c>
      <c r="T81" s="75">
        <v>167397.08999999901</v>
      </c>
      <c r="U81" s="75">
        <v>301961.61</v>
      </c>
      <c r="W81" s="73">
        <v>98115</v>
      </c>
      <c r="X81" s="15" t="s">
        <v>10</v>
      </c>
      <c r="Y81" s="75">
        <v>1079.8399999999999</v>
      </c>
      <c r="Z81" s="75">
        <v>1306.5999999999999</v>
      </c>
      <c r="AA81" s="75">
        <v>5302.87</v>
      </c>
      <c r="AB81" s="75">
        <v>8578.82</v>
      </c>
      <c r="AC81" s="75">
        <v>324.97000000000003</v>
      </c>
      <c r="AD81" s="75">
        <v>816.42</v>
      </c>
      <c r="AE81" s="75">
        <v>7068.87</v>
      </c>
      <c r="AF81" s="75">
        <v>8992.4599999999991</v>
      </c>
      <c r="AG81" s="75">
        <v>537.04</v>
      </c>
      <c r="AH81" s="75">
        <v>324.97000000000003</v>
      </c>
      <c r="AI81" s="75">
        <v>7673.68</v>
      </c>
      <c r="AJ81" s="75">
        <v>9140.33</v>
      </c>
      <c r="AV81" s="73" t="s">
        <v>123</v>
      </c>
      <c r="AW81" s="73" t="s">
        <v>345</v>
      </c>
      <c r="AX81" s="33">
        <v>1</v>
      </c>
      <c r="AY81" s="33"/>
      <c r="AZ81" s="33"/>
      <c r="BB81" s="73" t="s">
        <v>123</v>
      </c>
      <c r="BC81" s="73" t="s">
        <v>345</v>
      </c>
      <c r="BD81" s="75"/>
      <c r="BE81" s="75"/>
      <c r="BF81" s="75"/>
      <c r="BH81" s="73">
        <v>98110</v>
      </c>
      <c r="BI81" s="73" t="s">
        <v>10</v>
      </c>
      <c r="BJ81" s="75">
        <v>-132.91999999999999</v>
      </c>
      <c r="BK81" s="75">
        <v>-66.459999999999994</v>
      </c>
      <c r="BL81" s="75">
        <v>-142.93</v>
      </c>
    </row>
    <row r="82" spans="2:64" x14ac:dyDescent="0.2">
      <c r="B82" s="81">
        <v>98042</v>
      </c>
      <c r="C82" s="62" t="s">
        <v>10</v>
      </c>
      <c r="D82" s="46">
        <v>3018</v>
      </c>
      <c r="E82" s="46">
        <v>2932</v>
      </c>
      <c r="F82" s="46">
        <v>3038</v>
      </c>
      <c r="H82" s="73">
        <v>98042</v>
      </c>
      <c r="I82" s="73" t="s">
        <v>345</v>
      </c>
      <c r="J82" s="75">
        <v>15987.02</v>
      </c>
      <c r="K82" s="75">
        <v>5383.01</v>
      </c>
      <c r="L82" s="75">
        <v>33720.539999999899</v>
      </c>
      <c r="M82" s="75">
        <v>126958.749999999</v>
      </c>
      <c r="N82" s="75">
        <v>9483.2099999999991</v>
      </c>
      <c r="O82" s="75">
        <v>10643.32</v>
      </c>
      <c r="P82" s="75">
        <v>24197.4899999999</v>
      </c>
      <c r="Q82" s="75">
        <v>133971.12</v>
      </c>
      <c r="R82" s="75">
        <v>9871.35</v>
      </c>
      <c r="S82" s="75">
        <v>7412</v>
      </c>
      <c r="T82" s="75">
        <v>33345.230000000003</v>
      </c>
      <c r="U82" s="75">
        <v>151522.76999999999</v>
      </c>
      <c r="W82" s="73">
        <v>98116</v>
      </c>
      <c r="X82" s="15" t="s">
        <v>10</v>
      </c>
      <c r="Y82" s="75">
        <v>976.49</v>
      </c>
      <c r="Z82" s="75">
        <v>626.05999999999995</v>
      </c>
      <c r="AA82" s="75">
        <v>2103.4899999999998</v>
      </c>
      <c r="AB82" s="75">
        <v>4558.67</v>
      </c>
      <c r="AC82" s="75">
        <v>390.48</v>
      </c>
      <c r="AD82" s="75">
        <v>544.98</v>
      </c>
      <c r="AE82" s="75">
        <v>2368.62</v>
      </c>
      <c r="AF82" s="75">
        <v>3632.91</v>
      </c>
      <c r="AG82" s="75">
        <v>198.97</v>
      </c>
      <c r="AH82" s="75">
        <v>202.33</v>
      </c>
      <c r="AI82" s="75">
        <v>2309.48</v>
      </c>
      <c r="AJ82" s="75">
        <v>2899.4399999999901</v>
      </c>
      <c r="AV82" s="73" t="s">
        <v>123</v>
      </c>
      <c r="AW82" s="73" t="s">
        <v>10</v>
      </c>
      <c r="AX82" s="33">
        <v>12</v>
      </c>
      <c r="AY82" s="33">
        <v>14</v>
      </c>
      <c r="AZ82" s="33">
        <v>18</v>
      </c>
      <c r="BB82" s="73" t="s">
        <v>123</v>
      </c>
      <c r="BC82" s="73" t="s">
        <v>10</v>
      </c>
      <c r="BD82" s="75">
        <v>12703.08</v>
      </c>
      <c r="BE82" s="75">
        <v>9306.73</v>
      </c>
      <c r="BF82" s="75">
        <v>11274.45</v>
      </c>
      <c r="BH82" s="73">
        <v>98112</v>
      </c>
      <c r="BI82" s="73" t="s">
        <v>10</v>
      </c>
      <c r="BJ82" s="75"/>
      <c r="BK82" s="75">
        <v>-365.97</v>
      </c>
      <c r="BL82" s="75">
        <v>-553.29999999999995</v>
      </c>
    </row>
    <row r="83" spans="2:64" x14ac:dyDescent="0.2">
      <c r="B83" s="56">
        <v>98043</v>
      </c>
      <c r="C83" s="62" t="s">
        <v>345</v>
      </c>
      <c r="D83" s="46">
        <v>33</v>
      </c>
      <c r="E83" s="46">
        <v>28</v>
      </c>
      <c r="F83" s="46">
        <v>25</v>
      </c>
      <c r="H83" s="73">
        <v>98042</v>
      </c>
      <c r="I83" s="73" t="s">
        <v>10</v>
      </c>
      <c r="J83" s="75">
        <v>220741.19</v>
      </c>
      <c r="K83" s="75">
        <v>195107.69</v>
      </c>
      <c r="L83" s="75">
        <v>983575.14999999898</v>
      </c>
      <c r="M83" s="75">
        <v>1747629.39</v>
      </c>
      <c r="N83" s="75">
        <v>179396.19</v>
      </c>
      <c r="O83" s="75">
        <v>175802.43</v>
      </c>
      <c r="P83" s="75">
        <v>1042898.6999999901</v>
      </c>
      <c r="Q83" s="75">
        <v>1722236.57</v>
      </c>
      <c r="R83" s="75">
        <v>177686.38</v>
      </c>
      <c r="S83" s="75">
        <v>138039.46</v>
      </c>
      <c r="T83" s="75">
        <v>1088361.49</v>
      </c>
      <c r="U83" s="75">
        <v>1768214.07</v>
      </c>
      <c r="W83" s="73">
        <v>98117</v>
      </c>
      <c r="X83" s="15" t="s">
        <v>10</v>
      </c>
      <c r="Y83" s="75">
        <v>891.73</v>
      </c>
      <c r="Z83" s="75">
        <v>982.99</v>
      </c>
      <c r="AA83" s="75">
        <v>4297.3599999999997</v>
      </c>
      <c r="AB83" s="75">
        <v>6924.65</v>
      </c>
      <c r="AC83" s="75">
        <v>649.04</v>
      </c>
      <c r="AD83" s="75">
        <v>747.14</v>
      </c>
      <c r="AE83" s="75">
        <v>4803.16</v>
      </c>
      <c r="AF83" s="75">
        <v>6642.88</v>
      </c>
      <c r="AG83" s="75">
        <v>427.7</v>
      </c>
      <c r="AH83" s="75">
        <v>649.04</v>
      </c>
      <c r="AI83" s="75">
        <v>5250.2999999999902</v>
      </c>
      <c r="AJ83" s="75">
        <v>6823.39</v>
      </c>
      <c r="AV83" s="73" t="s">
        <v>124</v>
      </c>
      <c r="AW83" s="73" t="s">
        <v>10</v>
      </c>
      <c r="AX83" s="33"/>
      <c r="AY83" s="33">
        <v>2</v>
      </c>
      <c r="AZ83" s="33">
        <v>1</v>
      </c>
      <c r="BB83" s="73" t="s">
        <v>124</v>
      </c>
      <c r="BC83" s="73" t="s">
        <v>10</v>
      </c>
      <c r="BD83" s="75"/>
      <c r="BE83" s="75">
        <v>4431.29</v>
      </c>
      <c r="BF83" s="75">
        <v>1844.44</v>
      </c>
      <c r="BH83" s="73">
        <v>98115</v>
      </c>
      <c r="BI83" s="73" t="s">
        <v>345</v>
      </c>
      <c r="BJ83" s="75">
        <v>-306.89999999999998</v>
      </c>
      <c r="BK83" s="75"/>
      <c r="BL83" s="75"/>
    </row>
    <row r="84" spans="2:64" x14ac:dyDescent="0.2">
      <c r="B84" s="81">
        <v>98043</v>
      </c>
      <c r="C84" s="62" t="s">
        <v>10</v>
      </c>
      <c r="D84" s="46">
        <v>473</v>
      </c>
      <c r="E84" s="46">
        <v>457</v>
      </c>
      <c r="F84" s="46">
        <v>437</v>
      </c>
      <c r="H84" s="73">
        <v>98043</v>
      </c>
      <c r="I84" s="73" t="s">
        <v>345</v>
      </c>
      <c r="J84" s="75">
        <v>1131.74</v>
      </c>
      <c r="K84" s="75">
        <v>1109.6099999999999</v>
      </c>
      <c r="L84" s="75">
        <v>1763.72</v>
      </c>
      <c r="M84" s="75">
        <v>7863.0999999999904</v>
      </c>
      <c r="N84" s="75">
        <v>1043.45</v>
      </c>
      <c r="O84" s="75">
        <v>668.09</v>
      </c>
      <c r="P84" s="75">
        <v>2335.64</v>
      </c>
      <c r="Q84" s="75">
        <v>6299.22</v>
      </c>
      <c r="R84" s="75">
        <v>907.64</v>
      </c>
      <c r="S84" s="75">
        <v>794.79</v>
      </c>
      <c r="T84" s="75">
        <v>3003.73</v>
      </c>
      <c r="U84" s="75">
        <v>6792.46</v>
      </c>
      <c r="W84" s="73">
        <v>98118</v>
      </c>
      <c r="X84" s="15" t="s">
        <v>10</v>
      </c>
      <c r="Y84" s="75">
        <v>7214.86</v>
      </c>
      <c r="Z84" s="75">
        <v>9678.16</v>
      </c>
      <c r="AA84" s="75">
        <v>36811.359999999899</v>
      </c>
      <c r="AB84" s="75">
        <v>61152.5</v>
      </c>
      <c r="AC84" s="75">
        <v>5543.73</v>
      </c>
      <c r="AD84" s="75">
        <v>6479.58</v>
      </c>
      <c r="AE84" s="75">
        <v>40150.5799999999</v>
      </c>
      <c r="AF84" s="75">
        <v>56556.039999999899</v>
      </c>
      <c r="AG84" s="75">
        <v>3976.97</v>
      </c>
      <c r="AH84" s="75">
        <v>5168.33</v>
      </c>
      <c r="AI84" s="75">
        <v>43399.949999999903</v>
      </c>
      <c r="AJ84" s="75">
        <v>56512.79</v>
      </c>
      <c r="AV84" s="73" t="s">
        <v>125</v>
      </c>
      <c r="AW84" s="73" t="s">
        <v>10</v>
      </c>
      <c r="AX84" s="33"/>
      <c r="AY84" s="33"/>
      <c r="AZ84" s="33">
        <v>2</v>
      </c>
      <c r="BB84" s="73" t="s">
        <v>125</v>
      </c>
      <c r="BC84" s="73" t="s">
        <v>10</v>
      </c>
      <c r="BD84" s="75"/>
      <c r="BE84" s="75"/>
      <c r="BF84" s="75">
        <v>9915.8799999999992</v>
      </c>
      <c r="BH84" s="73">
        <v>98115</v>
      </c>
      <c r="BI84" s="73" t="s">
        <v>10</v>
      </c>
      <c r="BJ84" s="75">
        <v>-215.23</v>
      </c>
      <c r="BK84" s="75">
        <v>-179.72</v>
      </c>
      <c r="BL84" s="75">
        <v>-439.58</v>
      </c>
    </row>
    <row r="85" spans="2:64" x14ac:dyDescent="0.2">
      <c r="B85" s="56">
        <v>98045</v>
      </c>
      <c r="C85" s="62" t="s">
        <v>345</v>
      </c>
      <c r="D85" s="46">
        <v>73</v>
      </c>
      <c r="E85" s="46">
        <v>71</v>
      </c>
      <c r="F85" s="46">
        <v>115</v>
      </c>
      <c r="H85" s="73">
        <v>98043</v>
      </c>
      <c r="I85" s="73" t="s">
        <v>10</v>
      </c>
      <c r="J85" s="75">
        <v>18129.59</v>
      </c>
      <c r="K85" s="75">
        <v>16998.37</v>
      </c>
      <c r="L85" s="75">
        <v>79440.25</v>
      </c>
      <c r="M85" s="75">
        <v>133570.99</v>
      </c>
      <c r="N85" s="75">
        <v>11557.52</v>
      </c>
      <c r="O85" s="75">
        <v>12501.37</v>
      </c>
      <c r="P85" s="75">
        <v>82872.12</v>
      </c>
      <c r="Q85" s="75">
        <v>120007.35</v>
      </c>
      <c r="R85" s="75">
        <v>7980.87</v>
      </c>
      <c r="S85" s="75">
        <v>9258.57</v>
      </c>
      <c r="T85" s="75">
        <v>87259.989999999903</v>
      </c>
      <c r="U85" s="75">
        <v>116163.349999999</v>
      </c>
      <c r="W85" s="73">
        <v>98119</v>
      </c>
      <c r="X85" s="15" t="s">
        <v>10</v>
      </c>
      <c r="Y85" s="75">
        <v>327.72</v>
      </c>
      <c r="Z85" s="75">
        <v>316.16000000000003</v>
      </c>
      <c r="AA85" s="75">
        <v>913.57999999999902</v>
      </c>
      <c r="AB85" s="75">
        <v>1767.83</v>
      </c>
      <c r="AC85" s="75">
        <v>148.94</v>
      </c>
      <c r="AD85" s="75">
        <v>221.22</v>
      </c>
      <c r="AE85" s="75">
        <v>695.67</v>
      </c>
      <c r="AF85" s="75">
        <v>1151.8499999999999</v>
      </c>
      <c r="AG85" s="75">
        <v>86.02</v>
      </c>
      <c r="AH85" s="75">
        <v>148.94</v>
      </c>
      <c r="AI85" s="75">
        <v>916.88999999999896</v>
      </c>
      <c r="AJ85" s="75">
        <v>1275.3399999999999</v>
      </c>
      <c r="AV85" s="73" t="s">
        <v>126</v>
      </c>
      <c r="AW85" s="73" t="s">
        <v>345</v>
      </c>
      <c r="AX85" s="33">
        <v>20</v>
      </c>
      <c r="AY85" s="33">
        <v>9</v>
      </c>
      <c r="AZ85" s="33">
        <v>5</v>
      </c>
      <c r="BB85" s="73" t="s">
        <v>126</v>
      </c>
      <c r="BC85" s="73" t="s">
        <v>345</v>
      </c>
      <c r="BD85" s="75">
        <v>18542.240000000002</v>
      </c>
      <c r="BE85" s="75">
        <v>16129.15</v>
      </c>
      <c r="BF85" s="75">
        <v>2146.7600000000002</v>
      </c>
      <c r="BH85" s="73">
        <v>98116</v>
      </c>
      <c r="BI85" s="73" t="s">
        <v>10</v>
      </c>
      <c r="BJ85" s="75"/>
      <c r="BK85" s="75">
        <v>-59.35</v>
      </c>
      <c r="BL85" s="75"/>
    </row>
    <row r="86" spans="2:64" x14ac:dyDescent="0.2">
      <c r="B86" s="81">
        <v>98045</v>
      </c>
      <c r="C86" s="62" t="s">
        <v>10</v>
      </c>
      <c r="D86" s="46">
        <v>732</v>
      </c>
      <c r="E86" s="46">
        <v>726</v>
      </c>
      <c r="F86" s="46">
        <v>753</v>
      </c>
      <c r="H86" s="73">
        <v>98045</v>
      </c>
      <c r="I86" s="73" t="s">
        <v>345</v>
      </c>
      <c r="J86" s="75">
        <v>3627.12</v>
      </c>
      <c r="K86" s="75">
        <v>3325.97</v>
      </c>
      <c r="L86" s="75">
        <v>296627.61</v>
      </c>
      <c r="M86" s="75">
        <v>338548.17</v>
      </c>
      <c r="N86" s="75">
        <v>7193.24</v>
      </c>
      <c r="O86" s="75">
        <v>2466.0300000000002</v>
      </c>
      <c r="P86" s="75">
        <v>295765.36</v>
      </c>
      <c r="Q86" s="75">
        <v>333102.46000000002</v>
      </c>
      <c r="R86" s="75">
        <v>12040.08</v>
      </c>
      <c r="S86" s="75">
        <v>6302.34</v>
      </c>
      <c r="T86" s="75">
        <v>293558.28000000003</v>
      </c>
      <c r="U86" s="75">
        <v>348291.95</v>
      </c>
      <c r="W86" s="73">
        <v>98121</v>
      </c>
      <c r="X86" s="15" t="s">
        <v>10</v>
      </c>
      <c r="Y86" s="75">
        <v>42.42</v>
      </c>
      <c r="Z86" s="75">
        <v>43.96</v>
      </c>
      <c r="AA86" s="75">
        <v>282.48</v>
      </c>
      <c r="AB86" s="75">
        <v>471.98999999999899</v>
      </c>
      <c r="AC86" s="75">
        <v>103.13</v>
      </c>
      <c r="AD86" s="75">
        <v>42.42</v>
      </c>
      <c r="AE86" s="75">
        <v>326.44</v>
      </c>
      <c r="AF86" s="75">
        <v>541.08000000000004</v>
      </c>
      <c r="AG86" s="75">
        <v>69.09</v>
      </c>
      <c r="AH86" s="75">
        <v>103.13</v>
      </c>
      <c r="AI86" s="75">
        <v>356.57</v>
      </c>
      <c r="AJ86" s="75">
        <v>592.84</v>
      </c>
      <c r="AV86" s="73" t="s">
        <v>126</v>
      </c>
      <c r="AW86" s="73" t="s">
        <v>10</v>
      </c>
      <c r="AX86" s="33">
        <v>116</v>
      </c>
      <c r="AY86" s="33">
        <v>81</v>
      </c>
      <c r="AZ86" s="33">
        <v>66</v>
      </c>
      <c r="BB86" s="73" t="s">
        <v>126</v>
      </c>
      <c r="BC86" s="73" t="s">
        <v>10</v>
      </c>
      <c r="BD86" s="75">
        <v>22001.54</v>
      </c>
      <c r="BE86" s="75">
        <v>17980.71</v>
      </c>
      <c r="BF86" s="75">
        <v>16209.85</v>
      </c>
      <c r="BH86" s="73">
        <v>98117</v>
      </c>
      <c r="BI86" s="73" t="s">
        <v>10</v>
      </c>
      <c r="BJ86" s="75"/>
      <c r="BK86" s="75">
        <v>-218.28</v>
      </c>
      <c r="BL86" s="75">
        <v>-218.28</v>
      </c>
    </row>
    <row r="87" spans="2:64" x14ac:dyDescent="0.2">
      <c r="B87" s="56">
        <v>98047</v>
      </c>
      <c r="C87" s="62" t="s">
        <v>345</v>
      </c>
      <c r="D87" s="46">
        <v>38</v>
      </c>
      <c r="E87" s="46">
        <v>41</v>
      </c>
      <c r="F87" s="46">
        <v>45</v>
      </c>
      <c r="H87" s="73">
        <v>98045</v>
      </c>
      <c r="I87" s="73" t="s">
        <v>10</v>
      </c>
      <c r="J87" s="75">
        <v>40048.94</v>
      </c>
      <c r="K87" s="75">
        <v>33864.86</v>
      </c>
      <c r="L87" s="75">
        <v>179446.21</v>
      </c>
      <c r="M87" s="75">
        <v>325048.92</v>
      </c>
      <c r="N87" s="75">
        <v>31514.71</v>
      </c>
      <c r="O87" s="75">
        <v>28359.23</v>
      </c>
      <c r="P87" s="75">
        <v>176855.94</v>
      </c>
      <c r="Q87" s="75">
        <v>304226.82</v>
      </c>
      <c r="R87" s="75">
        <v>32090.35</v>
      </c>
      <c r="S87" s="75">
        <v>22911.39</v>
      </c>
      <c r="T87" s="75">
        <v>182055.35</v>
      </c>
      <c r="U87" s="75">
        <v>309704.69999999902</v>
      </c>
      <c r="W87" s="73">
        <v>98122</v>
      </c>
      <c r="X87" s="15" t="s">
        <v>10</v>
      </c>
      <c r="Y87" s="75">
        <v>2202.71</v>
      </c>
      <c r="Z87" s="75">
        <v>2444.65</v>
      </c>
      <c r="AA87" s="75">
        <v>14722</v>
      </c>
      <c r="AB87" s="75">
        <v>20592.599999999999</v>
      </c>
      <c r="AC87" s="75">
        <v>1012.32</v>
      </c>
      <c r="AD87" s="75">
        <v>1990.04</v>
      </c>
      <c r="AE87" s="75">
        <v>14948.05</v>
      </c>
      <c r="AF87" s="75">
        <v>19578.060000000001</v>
      </c>
      <c r="AG87" s="75">
        <v>1585.4</v>
      </c>
      <c r="AH87" s="75">
        <v>937.95</v>
      </c>
      <c r="AI87" s="75">
        <v>15254.82</v>
      </c>
      <c r="AJ87" s="75">
        <v>18546.93</v>
      </c>
      <c r="AV87" s="73" t="s">
        <v>127</v>
      </c>
      <c r="AW87" s="73" t="s">
        <v>10</v>
      </c>
      <c r="AX87" s="33">
        <v>3</v>
      </c>
      <c r="AY87" s="33">
        <v>3</v>
      </c>
      <c r="AZ87" s="33">
        <v>8</v>
      </c>
      <c r="BB87" s="73" t="s">
        <v>127</v>
      </c>
      <c r="BC87" s="73" t="s">
        <v>10</v>
      </c>
      <c r="BD87" s="75">
        <v>1965.89</v>
      </c>
      <c r="BE87" s="75">
        <v>1996.83</v>
      </c>
      <c r="BF87" s="75">
        <v>1526.42</v>
      </c>
      <c r="BH87" s="73">
        <v>98118</v>
      </c>
      <c r="BI87" s="73" t="s">
        <v>10</v>
      </c>
      <c r="BJ87" s="75"/>
      <c r="BK87" s="75"/>
      <c r="BL87" s="75">
        <v>-296.64999999999998</v>
      </c>
    </row>
    <row r="88" spans="2:64" x14ac:dyDescent="0.2">
      <c r="B88" s="81">
        <v>98047</v>
      </c>
      <c r="C88" s="62" t="s">
        <v>10</v>
      </c>
      <c r="D88" s="46">
        <v>538</v>
      </c>
      <c r="E88" s="46">
        <v>515</v>
      </c>
      <c r="F88" s="46">
        <v>514</v>
      </c>
      <c r="H88" s="73">
        <v>98047</v>
      </c>
      <c r="I88" s="73" t="s">
        <v>345</v>
      </c>
      <c r="J88" s="75">
        <v>8586.16</v>
      </c>
      <c r="K88" s="75">
        <v>4269.32</v>
      </c>
      <c r="L88" s="75">
        <v>28070.249999999902</v>
      </c>
      <c r="M88" s="75">
        <v>58557.18</v>
      </c>
      <c r="N88" s="75">
        <v>12256.22</v>
      </c>
      <c r="O88" s="75">
        <v>7233.59</v>
      </c>
      <c r="P88" s="75">
        <v>32459.429999999898</v>
      </c>
      <c r="Q88" s="75">
        <v>63096.139999999898</v>
      </c>
      <c r="R88" s="75">
        <v>8670.4599999999991</v>
      </c>
      <c r="S88" s="75">
        <v>11047.51</v>
      </c>
      <c r="T88" s="75">
        <v>39297.14</v>
      </c>
      <c r="U88" s="75">
        <v>81858.369999999893</v>
      </c>
      <c r="W88" s="73">
        <v>98125</v>
      </c>
      <c r="X88" s="15" t="s">
        <v>10</v>
      </c>
      <c r="Y88" s="75">
        <v>1442.13</v>
      </c>
      <c r="Z88" s="75">
        <v>1697.63</v>
      </c>
      <c r="AA88" s="75">
        <v>7958.58</v>
      </c>
      <c r="AB88" s="75">
        <v>13311.299999999899</v>
      </c>
      <c r="AC88" s="75">
        <v>884.39</v>
      </c>
      <c r="AD88" s="75">
        <v>1129.05</v>
      </c>
      <c r="AE88" s="75">
        <v>7063.6399999999903</v>
      </c>
      <c r="AF88" s="75">
        <v>10055.27</v>
      </c>
      <c r="AG88" s="75">
        <v>776.35</v>
      </c>
      <c r="AH88" s="75">
        <v>714.92</v>
      </c>
      <c r="AI88" s="75">
        <v>7543.36</v>
      </c>
      <c r="AJ88" s="75">
        <v>9604.7900000000009</v>
      </c>
      <c r="AV88" s="73" t="s">
        <v>128</v>
      </c>
      <c r="AW88" s="73" t="s">
        <v>345</v>
      </c>
      <c r="AX88" s="33">
        <v>2</v>
      </c>
      <c r="AY88" s="33">
        <v>4</v>
      </c>
      <c r="AZ88" s="33"/>
      <c r="BB88" s="73" t="s">
        <v>128</v>
      </c>
      <c r="BC88" s="73" t="s">
        <v>345</v>
      </c>
      <c r="BD88" s="75">
        <v>628.49</v>
      </c>
      <c r="BE88" s="75">
        <v>13705.810000000001</v>
      </c>
      <c r="BF88" s="75"/>
      <c r="BH88" s="73">
        <v>98119</v>
      </c>
      <c r="BI88" s="73" t="s">
        <v>10</v>
      </c>
      <c r="BJ88" s="75">
        <v>-96.02</v>
      </c>
      <c r="BK88" s="75">
        <v>-734.39</v>
      </c>
      <c r="BL88" s="75">
        <v>-1224.3699999999999</v>
      </c>
    </row>
    <row r="89" spans="2:64" x14ac:dyDescent="0.2">
      <c r="B89" s="56">
        <v>98050</v>
      </c>
      <c r="C89" s="62" t="s">
        <v>345</v>
      </c>
      <c r="D89" s="46">
        <v>5</v>
      </c>
      <c r="E89" s="46">
        <v>3</v>
      </c>
      <c r="F89" s="46">
        <v>9</v>
      </c>
      <c r="H89" s="73">
        <v>98047</v>
      </c>
      <c r="I89" s="73" t="s">
        <v>10</v>
      </c>
      <c r="J89" s="75">
        <v>52194.62</v>
      </c>
      <c r="K89" s="75">
        <v>37984.75</v>
      </c>
      <c r="L89" s="75">
        <v>244957.639999999</v>
      </c>
      <c r="M89" s="75">
        <v>386719.86</v>
      </c>
      <c r="N89" s="75">
        <v>7758.21</v>
      </c>
      <c r="O89" s="75">
        <v>43416.17</v>
      </c>
      <c r="P89" s="75">
        <v>290041.09999999899</v>
      </c>
      <c r="Q89" s="75">
        <v>392377.22</v>
      </c>
      <c r="R89" s="75">
        <v>36216.660000000003</v>
      </c>
      <c r="S89" s="75">
        <v>6221.51</v>
      </c>
      <c r="T89" s="75">
        <v>306278.88</v>
      </c>
      <c r="U89" s="75">
        <v>406711.679999999</v>
      </c>
      <c r="W89" s="73">
        <v>98126</v>
      </c>
      <c r="X89" s="15" t="s">
        <v>10</v>
      </c>
      <c r="Y89" s="75">
        <v>4705.57</v>
      </c>
      <c r="Z89" s="75">
        <v>4430.4799999999996</v>
      </c>
      <c r="AA89" s="75">
        <v>17747.28</v>
      </c>
      <c r="AB89" s="75">
        <v>30550.59</v>
      </c>
      <c r="AC89" s="75">
        <v>3007.2</v>
      </c>
      <c r="AD89" s="75">
        <v>3839.26</v>
      </c>
      <c r="AE89" s="75">
        <v>15541.26</v>
      </c>
      <c r="AF89" s="75">
        <v>24721.979999999901</v>
      </c>
      <c r="AG89" s="75">
        <v>2268.52</v>
      </c>
      <c r="AH89" s="75">
        <v>2857.01</v>
      </c>
      <c r="AI89" s="75">
        <v>18430.47</v>
      </c>
      <c r="AJ89" s="75">
        <v>25913.26</v>
      </c>
      <c r="AV89" s="73" t="s">
        <v>128</v>
      </c>
      <c r="AW89" s="73" t="s">
        <v>10</v>
      </c>
      <c r="AX89" s="33">
        <v>45</v>
      </c>
      <c r="AY89" s="33">
        <v>64</v>
      </c>
      <c r="AZ89" s="33">
        <v>48</v>
      </c>
      <c r="BB89" s="73" t="s">
        <v>128</v>
      </c>
      <c r="BC89" s="73" t="s">
        <v>10</v>
      </c>
      <c r="BD89" s="75">
        <v>23193</v>
      </c>
      <c r="BE89" s="75">
        <v>39863.03</v>
      </c>
      <c r="BF89" s="75">
        <v>31133.08</v>
      </c>
      <c r="BH89" s="73">
        <v>98122</v>
      </c>
      <c r="BI89" s="73" t="s">
        <v>10</v>
      </c>
      <c r="BJ89" s="75"/>
      <c r="BK89" s="75">
        <v>-191.01</v>
      </c>
      <c r="BL89" s="75">
        <v>-144.9</v>
      </c>
    </row>
    <row r="90" spans="2:64" x14ac:dyDescent="0.2">
      <c r="B90" s="81">
        <v>98050</v>
      </c>
      <c r="C90" s="62" t="s">
        <v>10</v>
      </c>
      <c r="D90" s="46">
        <v>23</v>
      </c>
      <c r="E90" s="46">
        <v>15</v>
      </c>
      <c r="F90" s="46">
        <v>18</v>
      </c>
      <c r="H90" s="73">
        <v>98050</v>
      </c>
      <c r="I90" s="73" t="s">
        <v>345</v>
      </c>
      <c r="J90" s="75"/>
      <c r="K90" s="75"/>
      <c r="L90" s="75"/>
      <c r="M90" s="75">
        <v>18236.8</v>
      </c>
      <c r="N90" s="75"/>
      <c r="O90" s="75"/>
      <c r="P90" s="75"/>
      <c r="Q90" s="75">
        <v>877.23</v>
      </c>
      <c r="R90" s="75">
        <v>317.41000000000003</v>
      </c>
      <c r="S90" s="75"/>
      <c r="T90" s="75"/>
      <c r="U90" s="75">
        <v>21874.49</v>
      </c>
      <c r="W90" s="73">
        <v>98133</v>
      </c>
      <c r="X90" s="15" t="s">
        <v>10</v>
      </c>
      <c r="Y90" s="75">
        <v>2862.01</v>
      </c>
      <c r="Z90" s="75">
        <v>3216.99</v>
      </c>
      <c r="AA90" s="75">
        <v>11552.8399999999</v>
      </c>
      <c r="AB90" s="75">
        <v>19860.330000000002</v>
      </c>
      <c r="AC90" s="75">
        <v>1673.62</v>
      </c>
      <c r="AD90" s="75">
        <v>2271.35</v>
      </c>
      <c r="AE90" s="75">
        <v>10681.51</v>
      </c>
      <c r="AF90" s="75">
        <v>15859.8</v>
      </c>
      <c r="AG90" s="75">
        <v>1037.6500000000001</v>
      </c>
      <c r="AH90" s="75">
        <v>1396.52</v>
      </c>
      <c r="AI90" s="75">
        <v>10829.06</v>
      </c>
      <c r="AJ90" s="75">
        <v>14181.53</v>
      </c>
      <c r="AV90" s="73" t="s">
        <v>129</v>
      </c>
      <c r="AW90" s="73" t="s">
        <v>345</v>
      </c>
      <c r="AX90" s="33">
        <v>3</v>
      </c>
      <c r="AY90" s="33">
        <v>1</v>
      </c>
      <c r="AZ90" s="33">
        <v>6</v>
      </c>
      <c r="BB90" s="73" t="s">
        <v>129</v>
      </c>
      <c r="BC90" s="73" t="s">
        <v>345</v>
      </c>
      <c r="BD90" s="75">
        <v>1578.04</v>
      </c>
      <c r="BE90" s="75">
        <v>55.31</v>
      </c>
      <c r="BF90" s="75">
        <v>60934.009999999995</v>
      </c>
      <c r="BH90" s="73">
        <v>98125</v>
      </c>
      <c r="BI90" s="73" t="s">
        <v>10</v>
      </c>
      <c r="BJ90" s="75">
        <v>-67.959999999999994</v>
      </c>
      <c r="BK90" s="75"/>
      <c r="BL90" s="75">
        <v>-125.26</v>
      </c>
    </row>
    <row r="91" spans="2:64" x14ac:dyDescent="0.2">
      <c r="B91" s="56">
        <v>98051</v>
      </c>
      <c r="C91" s="62" t="s">
        <v>345</v>
      </c>
      <c r="D91" s="46">
        <v>29</v>
      </c>
      <c r="E91" s="46">
        <v>25</v>
      </c>
      <c r="F91" s="46">
        <v>22</v>
      </c>
      <c r="H91" s="73">
        <v>98050</v>
      </c>
      <c r="I91" s="73" t="s">
        <v>10</v>
      </c>
      <c r="J91" s="75">
        <v>1100.32</v>
      </c>
      <c r="K91" s="75">
        <v>1538.88</v>
      </c>
      <c r="L91" s="75">
        <v>6256.4699999999903</v>
      </c>
      <c r="M91" s="75">
        <v>12115.309999999899</v>
      </c>
      <c r="N91" s="75">
        <v>1281.8499999999999</v>
      </c>
      <c r="O91" s="75">
        <v>850.64</v>
      </c>
      <c r="P91" s="75">
        <v>2618.7799999999902</v>
      </c>
      <c r="Q91" s="75">
        <v>6420.97</v>
      </c>
      <c r="R91" s="75">
        <v>440.27</v>
      </c>
      <c r="S91" s="75">
        <v>473.01</v>
      </c>
      <c r="T91" s="75">
        <v>1851.88</v>
      </c>
      <c r="U91" s="75">
        <v>4602.53</v>
      </c>
      <c r="W91" s="73">
        <v>98136</v>
      </c>
      <c r="X91" s="15" t="s">
        <v>10</v>
      </c>
      <c r="Y91" s="75">
        <v>371.22</v>
      </c>
      <c r="Z91" s="75">
        <v>461.59</v>
      </c>
      <c r="AA91" s="75">
        <v>2727.48</v>
      </c>
      <c r="AB91" s="75">
        <v>3827.95999999999</v>
      </c>
      <c r="AC91" s="75">
        <v>232.78</v>
      </c>
      <c r="AD91" s="75">
        <v>371.22</v>
      </c>
      <c r="AE91" s="75">
        <v>3133.63</v>
      </c>
      <c r="AF91" s="75">
        <v>3813.5</v>
      </c>
      <c r="AG91" s="75">
        <v>22.87</v>
      </c>
      <c r="AH91" s="75">
        <v>149.9</v>
      </c>
      <c r="AI91" s="75">
        <v>3130.85</v>
      </c>
      <c r="AJ91" s="75">
        <v>3404.1</v>
      </c>
      <c r="AV91" s="73" t="s">
        <v>129</v>
      </c>
      <c r="AW91" s="73" t="s">
        <v>10</v>
      </c>
      <c r="AX91" s="33">
        <v>35</v>
      </c>
      <c r="AY91" s="33">
        <v>73</v>
      </c>
      <c r="AZ91" s="33">
        <v>61</v>
      </c>
      <c r="BB91" s="73" t="s">
        <v>129</v>
      </c>
      <c r="BC91" s="73" t="s">
        <v>10</v>
      </c>
      <c r="BD91" s="75">
        <v>15102.65</v>
      </c>
      <c r="BE91" s="75">
        <v>30663.5</v>
      </c>
      <c r="BF91" s="75">
        <v>39971.879999999997</v>
      </c>
      <c r="BH91" s="73">
        <v>98126</v>
      </c>
      <c r="BI91" s="73" t="s">
        <v>10</v>
      </c>
      <c r="BJ91" s="75"/>
      <c r="BK91" s="75">
        <v>-129.63999999999999</v>
      </c>
      <c r="BL91" s="75">
        <v>-224.56</v>
      </c>
    </row>
    <row r="92" spans="2:64" x14ac:dyDescent="0.2">
      <c r="B92" s="81">
        <v>98051</v>
      </c>
      <c r="C92" s="62" t="s">
        <v>10</v>
      </c>
      <c r="D92" s="46">
        <v>207</v>
      </c>
      <c r="E92" s="46">
        <v>223</v>
      </c>
      <c r="F92" s="46">
        <v>200</v>
      </c>
      <c r="H92" s="73">
        <v>98051</v>
      </c>
      <c r="I92" s="73" t="s">
        <v>345</v>
      </c>
      <c r="J92" s="75">
        <v>7438.26</v>
      </c>
      <c r="K92" s="75">
        <v>7802.22</v>
      </c>
      <c r="L92" s="75">
        <v>111325.54</v>
      </c>
      <c r="M92" s="75">
        <v>133862.06999999899</v>
      </c>
      <c r="N92" s="75">
        <v>2675.35</v>
      </c>
      <c r="O92" s="75">
        <v>7204.62</v>
      </c>
      <c r="P92" s="75">
        <v>118976.81</v>
      </c>
      <c r="Q92" s="75">
        <v>141159.87</v>
      </c>
      <c r="R92" s="75">
        <v>2262.09</v>
      </c>
      <c r="S92" s="75">
        <v>2382.11</v>
      </c>
      <c r="T92" s="75">
        <v>125906.4</v>
      </c>
      <c r="U92" s="75">
        <v>134009.22</v>
      </c>
      <c r="W92" s="73">
        <v>98144</v>
      </c>
      <c r="X92" s="15" t="s">
        <v>10</v>
      </c>
      <c r="Y92" s="75">
        <v>1539.55</v>
      </c>
      <c r="Z92" s="75">
        <v>2451.8200000000002</v>
      </c>
      <c r="AA92" s="75">
        <v>11424.35</v>
      </c>
      <c r="AB92" s="75">
        <v>16755.080000000002</v>
      </c>
      <c r="AC92" s="75">
        <v>1018.72</v>
      </c>
      <c r="AD92" s="75">
        <v>1417.91</v>
      </c>
      <c r="AE92" s="75">
        <v>12033.02</v>
      </c>
      <c r="AF92" s="75">
        <v>15236.95</v>
      </c>
      <c r="AG92" s="75">
        <v>676.33</v>
      </c>
      <c r="AH92" s="75">
        <v>991.05</v>
      </c>
      <c r="AI92" s="75">
        <v>12766.04</v>
      </c>
      <c r="AJ92" s="75">
        <v>15358.95</v>
      </c>
      <c r="AV92" s="73" t="s">
        <v>130</v>
      </c>
      <c r="AW92" s="73" t="s">
        <v>345</v>
      </c>
      <c r="AX92" s="33">
        <v>4</v>
      </c>
      <c r="AY92" s="33">
        <v>8</v>
      </c>
      <c r="AZ92" s="33">
        <v>8</v>
      </c>
      <c r="BB92" s="73" t="s">
        <v>130</v>
      </c>
      <c r="BC92" s="73" t="s">
        <v>345</v>
      </c>
      <c r="BD92" s="75">
        <v>3104.9700000000003</v>
      </c>
      <c r="BE92" s="75">
        <v>11540.92</v>
      </c>
      <c r="BF92" s="75">
        <v>11500.580000000002</v>
      </c>
      <c r="BH92" s="73">
        <v>98133</v>
      </c>
      <c r="BI92" s="73" t="s">
        <v>10</v>
      </c>
      <c r="BJ92" s="75">
        <v>-1544.1</v>
      </c>
      <c r="BK92" s="75">
        <v>-49.16</v>
      </c>
      <c r="BL92" s="75"/>
    </row>
    <row r="93" spans="2:64" x14ac:dyDescent="0.2">
      <c r="B93" s="56">
        <v>98052</v>
      </c>
      <c r="C93" s="62" t="s">
        <v>345</v>
      </c>
      <c r="D93" s="46">
        <v>403</v>
      </c>
      <c r="E93" s="46">
        <v>376</v>
      </c>
      <c r="F93" s="46">
        <v>377</v>
      </c>
      <c r="H93" s="73">
        <v>98051</v>
      </c>
      <c r="I93" s="73" t="s">
        <v>10</v>
      </c>
      <c r="J93" s="75">
        <v>22575.59</v>
      </c>
      <c r="K93" s="75">
        <v>14772.04</v>
      </c>
      <c r="L93" s="75">
        <v>115931.84</v>
      </c>
      <c r="M93" s="75">
        <v>177011.12999999899</v>
      </c>
      <c r="N93" s="75">
        <v>13321.64</v>
      </c>
      <c r="O93" s="75">
        <v>17814.97</v>
      </c>
      <c r="P93" s="75">
        <v>120857.469999999</v>
      </c>
      <c r="Q93" s="75">
        <v>186120.35</v>
      </c>
      <c r="R93" s="75">
        <v>15016.36</v>
      </c>
      <c r="S93" s="75">
        <v>10201.790000000001</v>
      </c>
      <c r="T93" s="75">
        <v>119945.27999999899</v>
      </c>
      <c r="U93" s="75">
        <v>170577.51</v>
      </c>
      <c r="W93" s="73">
        <v>98146</v>
      </c>
      <c r="X93" s="15" t="s">
        <v>10</v>
      </c>
      <c r="Y93" s="75">
        <v>2654.05</v>
      </c>
      <c r="Z93" s="75">
        <v>3259.37</v>
      </c>
      <c r="AA93" s="75">
        <v>14751.01</v>
      </c>
      <c r="AB93" s="75">
        <v>22746.61</v>
      </c>
      <c r="AC93" s="75">
        <v>1878.69</v>
      </c>
      <c r="AD93" s="75">
        <v>2584.52</v>
      </c>
      <c r="AE93" s="75">
        <v>16013.97</v>
      </c>
      <c r="AF93" s="75">
        <v>21869.27</v>
      </c>
      <c r="AG93" s="75">
        <v>991.03</v>
      </c>
      <c r="AH93" s="75">
        <v>1315.03</v>
      </c>
      <c r="AI93" s="75">
        <v>16244.4399999999</v>
      </c>
      <c r="AJ93" s="75">
        <v>19371.089999999898</v>
      </c>
      <c r="AV93" s="73" t="s">
        <v>130</v>
      </c>
      <c r="AW93" s="73" t="s">
        <v>10</v>
      </c>
      <c r="AX93" s="33">
        <v>36</v>
      </c>
      <c r="AY93" s="33">
        <v>36</v>
      </c>
      <c r="AZ93" s="33">
        <v>29</v>
      </c>
      <c r="BB93" s="73" t="s">
        <v>130</v>
      </c>
      <c r="BC93" s="73" t="s">
        <v>10</v>
      </c>
      <c r="BD93" s="75">
        <v>9368.36</v>
      </c>
      <c r="BE93" s="75">
        <v>13871.41</v>
      </c>
      <c r="BF93" s="75">
        <v>22316.75</v>
      </c>
      <c r="BH93" s="73">
        <v>98136</v>
      </c>
      <c r="BI93" s="73" t="s">
        <v>10</v>
      </c>
      <c r="BJ93" s="75">
        <v>-213.39</v>
      </c>
      <c r="BK93" s="75">
        <v>-624.13</v>
      </c>
      <c r="BL93" s="75"/>
    </row>
    <row r="94" spans="2:64" x14ac:dyDescent="0.2">
      <c r="B94" s="81">
        <v>98052</v>
      </c>
      <c r="C94" s="62" t="s">
        <v>10</v>
      </c>
      <c r="D94" s="46">
        <v>3512</v>
      </c>
      <c r="E94" s="46">
        <v>3901</v>
      </c>
      <c r="F94" s="46">
        <v>3570</v>
      </c>
      <c r="H94" s="73">
        <v>98052</v>
      </c>
      <c r="I94" s="73" t="s">
        <v>345</v>
      </c>
      <c r="J94" s="75">
        <v>93166.95</v>
      </c>
      <c r="K94" s="75">
        <v>33272.400000000001</v>
      </c>
      <c r="L94" s="75">
        <v>404031.54</v>
      </c>
      <c r="M94" s="75">
        <v>1125755.1399999999</v>
      </c>
      <c r="N94" s="75">
        <v>53433.13</v>
      </c>
      <c r="O94" s="75">
        <v>29464.99</v>
      </c>
      <c r="P94" s="75">
        <v>393881.74</v>
      </c>
      <c r="Q94" s="75">
        <v>1228877.06</v>
      </c>
      <c r="R94" s="75">
        <v>62316.4</v>
      </c>
      <c r="S94" s="75">
        <v>28276.25</v>
      </c>
      <c r="T94" s="75">
        <v>398858.59999999899</v>
      </c>
      <c r="U94" s="75">
        <v>714643.87999999896</v>
      </c>
      <c r="W94" s="73">
        <v>98148</v>
      </c>
      <c r="X94" s="15" t="s">
        <v>10</v>
      </c>
      <c r="Y94" s="75">
        <v>7860.79</v>
      </c>
      <c r="Z94" s="75">
        <v>7704.5</v>
      </c>
      <c r="AA94" s="75">
        <v>38738.249999999898</v>
      </c>
      <c r="AB94" s="75">
        <v>61660.29</v>
      </c>
      <c r="AC94" s="75">
        <v>6424.42</v>
      </c>
      <c r="AD94" s="75">
        <v>6827.43</v>
      </c>
      <c r="AE94" s="75">
        <v>41663.050000000003</v>
      </c>
      <c r="AF94" s="75">
        <v>61456.67</v>
      </c>
      <c r="AG94" s="75">
        <v>5931.24</v>
      </c>
      <c r="AH94" s="75">
        <v>5893.08</v>
      </c>
      <c r="AI94" s="75">
        <v>45057.760000000002</v>
      </c>
      <c r="AJ94" s="75">
        <v>64500.03</v>
      </c>
      <c r="AV94" s="73" t="s">
        <v>131</v>
      </c>
      <c r="AW94" s="73" t="s">
        <v>345</v>
      </c>
      <c r="AX94" s="33">
        <v>1</v>
      </c>
      <c r="AY94" s="33"/>
      <c r="AZ94" s="33">
        <v>2</v>
      </c>
      <c r="BB94" s="73" t="s">
        <v>131</v>
      </c>
      <c r="BC94" s="73" t="s">
        <v>345</v>
      </c>
      <c r="BD94" s="75">
        <v>99.13</v>
      </c>
      <c r="BE94" s="75"/>
      <c r="BF94" s="75">
        <v>469.85</v>
      </c>
      <c r="BH94" s="73">
        <v>98144</v>
      </c>
      <c r="BI94" s="73" t="s">
        <v>345</v>
      </c>
      <c r="BJ94" s="75"/>
      <c r="BK94" s="75"/>
      <c r="BL94" s="75">
        <v>-133.74</v>
      </c>
    </row>
    <row r="95" spans="2:64" x14ac:dyDescent="0.2">
      <c r="B95" s="56">
        <v>98053</v>
      </c>
      <c r="C95" s="62" t="s">
        <v>345</v>
      </c>
      <c r="D95" s="46">
        <v>49</v>
      </c>
      <c r="E95" s="46">
        <v>44</v>
      </c>
      <c r="F95" s="46">
        <v>68</v>
      </c>
      <c r="H95" s="73">
        <v>98052</v>
      </c>
      <c r="I95" s="73" t="s">
        <v>10</v>
      </c>
      <c r="J95" s="75">
        <v>149540.87</v>
      </c>
      <c r="K95" s="75">
        <v>121204.83</v>
      </c>
      <c r="L95" s="75">
        <v>540048.53</v>
      </c>
      <c r="M95" s="75">
        <v>1036763.0799999899</v>
      </c>
      <c r="N95" s="75">
        <v>126984.43</v>
      </c>
      <c r="O95" s="75">
        <v>106092.23</v>
      </c>
      <c r="P95" s="75">
        <v>578268.23</v>
      </c>
      <c r="Q95" s="75">
        <v>1054339.06</v>
      </c>
      <c r="R95" s="75">
        <v>140527.54999999999</v>
      </c>
      <c r="S95" s="75">
        <v>92546.75</v>
      </c>
      <c r="T95" s="75">
        <v>600104.82999999996</v>
      </c>
      <c r="U95" s="75">
        <v>1073093.68</v>
      </c>
      <c r="W95" s="73">
        <v>98155</v>
      </c>
      <c r="X95" s="15" t="s">
        <v>10</v>
      </c>
      <c r="Y95" s="75">
        <v>1887.56</v>
      </c>
      <c r="Z95" s="75">
        <v>1657.87</v>
      </c>
      <c r="AA95" s="75">
        <v>9766.08</v>
      </c>
      <c r="AB95" s="75">
        <v>14798.21</v>
      </c>
      <c r="AC95" s="75">
        <v>1317.69</v>
      </c>
      <c r="AD95" s="75">
        <v>1638.19</v>
      </c>
      <c r="AE95" s="75">
        <v>9014.25</v>
      </c>
      <c r="AF95" s="75">
        <v>13007.289999999901</v>
      </c>
      <c r="AG95" s="75">
        <v>938.88</v>
      </c>
      <c r="AH95" s="75">
        <v>1149.8900000000001</v>
      </c>
      <c r="AI95" s="75">
        <v>9571.2800000000007</v>
      </c>
      <c r="AJ95" s="75">
        <v>12481.91</v>
      </c>
      <c r="AV95" s="73" t="s">
        <v>131</v>
      </c>
      <c r="AW95" s="73" t="s">
        <v>10</v>
      </c>
      <c r="AX95" s="33">
        <v>27</v>
      </c>
      <c r="AY95" s="33">
        <v>51</v>
      </c>
      <c r="AZ95" s="33">
        <v>44</v>
      </c>
      <c r="BB95" s="73" t="s">
        <v>131</v>
      </c>
      <c r="BC95" s="73" t="s">
        <v>10</v>
      </c>
      <c r="BD95" s="75">
        <v>18381.14</v>
      </c>
      <c r="BE95" s="75">
        <v>44295.61</v>
      </c>
      <c r="BF95" s="75">
        <v>19786.689999999999</v>
      </c>
      <c r="BH95" s="73">
        <v>98144</v>
      </c>
      <c r="BI95" s="73" t="s">
        <v>10</v>
      </c>
      <c r="BJ95" s="75">
        <v>-115.12</v>
      </c>
      <c r="BK95" s="75">
        <v>-61.99</v>
      </c>
      <c r="BL95" s="75">
        <v>-59.95</v>
      </c>
    </row>
    <row r="96" spans="2:64" x14ac:dyDescent="0.2">
      <c r="B96" s="81">
        <v>98053</v>
      </c>
      <c r="C96" s="62" t="s">
        <v>10</v>
      </c>
      <c r="D96" s="46">
        <v>594</v>
      </c>
      <c r="E96" s="46">
        <v>563</v>
      </c>
      <c r="F96" s="46">
        <v>567</v>
      </c>
      <c r="H96" s="73">
        <v>98053</v>
      </c>
      <c r="I96" s="73" t="s">
        <v>345</v>
      </c>
      <c r="J96" s="75">
        <v>12631.75</v>
      </c>
      <c r="K96" s="75">
        <v>13267.33</v>
      </c>
      <c r="L96" s="75">
        <v>343805.44</v>
      </c>
      <c r="M96" s="75">
        <v>403762.21</v>
      </c>
      <c r="N96" s="75">
        <v>12243.61</v>
      </c>
      <c r="O96" s="75">
        <v>10588.72</v>
      </c>
      <c r="P96" s="75">
        <v>344874.83</v>
      </c>
      <c r="Q96" s="75">
        <v>393495.76</v>
      </c>
      <c r="R96" s="75">
        <v>15060.62</v>
      </c>
      <c r="S96" s="75">
        <v>11275.81</v>
      </c>
      <c r="T96" s="75">
        <v>349502.18</v>
      </c>
      <c r="U96" s="75">
        <v>473809.48</v>
      </c>
      <c r="W96" s="73">
        <v>98166</v>
      </c>
      <c r="X96" s="15" t="s">
        <v>10</v>
      </c>
      <c r="Y96" s="75">
        <v>3465.37</v>
      </c>
      <c r="Z96" s="75">
        <v>3602.54</v>
      </c>
      <c r="AA96" s="75">
        <v>27814.07</v>
      </c>
      <c r="AB96" s="75">
        <v>38180.53</v>
      </c>
      <c r="AC96" s="75">
        <v>3190.39</v>
      </c>
      <c r="AD96" s="75">
        <v>3385.3</v>
      </c>
      <c r="AE96" s="75">
        <v>31220.55</v>
      </c>
      <c r="AF96" s="75">
        <v>40491.839999999997</v>
      </c>
      <c r="AG96" s="75">
        <v>2355.8000000000002</v>
      </c>
      <c r="AH96" s="75">
        <v>2842.55</v>
      </c>
      <c r="AI96" s="75">
        <v>33201.81</v>
      </c>
      <c r="AJ96" s="75">
        <v>40755.14</v>
      </c>
      <c r="AV96" s="73" t="s">
        <v>132</v>
      </c>
      <c r="AW96" s="73" t="s">
        <v>345</v>
      </c>
      <c r="AX96" s="33">
        <v>1</v>
      </c>
      <c r="AY96" s="33"/>
      <c r="AZ96" s="33"/>
      <c r="BB96" s="73" t="s">
        <v>132</v>
      </c>
      <c r="BC96" s="73" t="s">
        <v>345</v>
      </c>
      <c r="BD96" s="75">
        <v>473.88</v>
      </c>
      <c r="BE96" s="75"/>
      <c r="BF96" s="75"/>
      <c r="BH96" s="73">
        <v>98148</v>
      </c>
      <c r="BI96" s="73" t="s">
        <v>10</v>
      </c>
      <c r="BJ96" s="75">
        <v>-275.49</v>
      </c>
      <c r="BK96" s="75"/>
      <c r="BL96" s="75">
        <v>-200</v>
      </c>
    </row>
    <row r="97" spans="2:64" x14ac:dyDescent="0.2">
      <c r="B97" s="56">
        <v>98055</v>
      </c>
      <c r="C97" s="62" t="s">
        <v>345</v>
      </c>
      <c r="D97" s="46">
        <v>61</v>
      </c>
      <c r="E97" s="46">
        <v>66</v>
      </c>
      <c r="F97" s="46">
        <v>83</v>
      </c>
      <c r="H97" s="73">
        <v>98053</v>
      </c>
      <c r="I97" s="73" t="s">
        <v>10</v>
      </c>
      <c r="J97" s="75">
        <v>33127.35</v>
      </c>
      <c r="K97" s="75">
        <v>24906.81</v>
      </c>
      <c r="L97" s="75">
        <v>115248.03</v>
      </c>
      <c r="M97" s="75">
        <v>234076.59999999899</v>
      </c>
      <c r="N97" s="75">
        <v>23443.08</v>
      </c>
      <c r="O97" s="75">
        <v>21697.99</v>
      </c>
      <c r="P97" s="75">
        <v>120029.28</v>
      </c>
      <c r="Q97" s="75">
        <v>223324.34999999899</v>
      </c>
      <c r="R97" s="75">
        <v>27813.42</v>
      </c>
      <c r="S97" s="75">
        <v>17387.810000000001</v>
      </c>
      <c r="T97" s="75">
        <v>128870.62</v>
      </c>
      <c r="U97" s="75">
        <v>230127.18</v>
      </c>
      <c r="W97" s="73">
        <v>98168</v>
      </c>
      <c r="X97" s="15" t="s">
        <v>10</v>
      </c>
      <c r="Y97" s="75">
        <v>3754.33</v>
      </c>
      <c r="Z97" s="75">
        <v>4797.41</v>
      </c>
      <c r="AA97" s="75">
        <v>22904.8299999999</v>
      </c>
      <c r="AB97" s="75">
        <v>34166.11</v>
      </c>
      <c r="AC97" s="75">
        <v>2204.59</v>
      </c>
      <c r="AD97" s="75">
        <v>3273.6</v>
      </c>
      <c r="AE97" s="75">
        <v>23173.49</v>
      </c>
      <c r="AF97" s="75">
        <v>30560.5099999999</v>
      </c>
      <c r="AG97" s="75">
        <v>1705.35</v>
      </c>
      <c r="AH97" s="75">
        <v>1983.86</v>
      </c>
      <c r="AI97" s="75">
        <v>24205.62</v>
      </c>
      <c r="AJ97" s="75">
        <v>30112.199999999899</v>
      </c>
      <c r="AV97" s="73" t="s">
        <v>132</v>
      </c>
      <c r="AW97" s="73" t="s">
        <v>10</v>
      </c>
      <c r="AX97" s="33">
        <v>24</v>
      </c>
      <c r="AY97" s="33">
        <v>31</v>
      </c>
      <c r="AZ97" s="33">
        <v>33</v>
      </c>
      <c r="BB97" s="73" t="s">
        <v>132</v>
      </c>
      <c r="BC97" s="73" t="s">
        <v>10</v>
      </c>
      <c r="BD97" s="75">
        <v>23231.21</v>
      </c>
      <c r="BE97" s="75">
        <v>22749.11</v>
      </c>
      <c r="BF97" s="75">
        <v>51707.06</v>
      </c>
      <c r="BH97" s="73">
        <v>98155</v>
      </c>
      <c r="BI97" s="73" t="s">
        <v>10</v>
      </c>
      <c r="BJ97" s="75"/>
      <c r="BK97" s="75">
        <v>-32.58</v>
      </c>
      <c r="BL97" s="75">
        <v>-97.16</v>
      </c>
    </row>
    <row r="98" spans="2:64" x14ac:dyDescent="0.2">
      <c r="B98" s="81">
        <v>98055</v>
      </c>
      <c r="C98" s="62" t="s">
        <v>10</v>
      </c>
      <c r="D98" s="46">
        <v>2170</v>
      </c>
      <c r="E98" s="46">
        <v>2057</v>
      </c>
      <c r="F98" s="46">
        <v>2167</v>
      </c>
      <c r="H98" s="73">
        <v>98055</v>
      </c>
      <c r="I98" s="73" t="s">
        <v>345</v>
      </c>
      <c r="J98" s="75">
        <v>8443.66</v>
      </c>
      <c r="K98" s="75">
        <v>11108.8</v>
      </c>
      <c r="L98" s="75">
        <v>14236.38</v>
      </c>
      <c r="M98" s="75">
        <v>175807.049999999</v>
      </c>
      <c r="N98" s="75">
        <v>122625.23</v>
      </c>
      <c r="O98" s="75">
        <v>1503.65</v>
      </c>
      <c r="P98" s="75">
        <v>14036.72</v>
      </c>
      <c r="Q98" s="75">
        <v>398474.25</v>
      </c>
      <c r="R98" s="75">
        <v>36635.54</v>
      </c>
      <c r="S98" s="75">
        <v>90859.4</v>
      </c>
      <c r="T98" s="75">
        <v>14501.82</v>
      </c>
      <c r="U98" s="75">
        <v>448998.32</v>
      </c>
      <c r="W98" s="73">
        <v>98177</v>
      </c>
      <c r="X98" s="15" t="s">
        <v>10</v>
      </c>
      <c r="Y98" s="75">
        <v>1532.26</v>
      </c>
      <c r="Z98" s="75">
        <v>1938.54</v>
      </c>
      <c r="AA98" s="75">
        <v>8390.18</v>
      </c>
      <c r="AB98" s="75">
        <v>12929.79</v>
      </c>
      <c r="AC98" s="75">
        <v>995.83</v>
      </c>
      <c r="AD98" s="75">
        <v>1425.54</v>
      </c>
      <c r="AE98" s="75">
        <v>9808.48</v>
      </c>
      <c r="AF98" s="75">
        <v>12895.33</v>
      </c>
      <c r="AG98" s="75">
        <v>665.48</v>
      </c>
      <c r="AH98" s="75">
        <v>959.36</v>
      </c>
      <c r="AI98" s="75">
        <v>10650.4</v>
      </c>
      <c r="AJ98" s="75">
        <v>12763.629999999899</v>
      </c>
      <c r="AV98" s="73" t="s">
        <v>133</v>
      </c>
      <c r="AW98" s="73" t="s">
        <v>345</v>
      </c>
      <c r="AX98" s="33">
        <v>1</v>
      </c>
      <c r="AY98" s="33">
        <v>1</v>
      </c>
      <c r="AZ98" s="33">
        <v>4</v>
      </c>
      <c r="BB98" s="73" t="s">
        <v>133</v>
      </c>
      <c r="BC98" s="73" t="s">
        <v>345</v>
      </c>
      <c r="BD98" s="75"/>
      <c r="BE98" s="75">
        <v>1431.32</v>
      </c>
      <c r="BF98" s="75">
        <v>620.21</v>
      </c>
      <c r="BH98" s="73">
        <v>98166</v>
      </c>
      <c r="BI98" s="73" t="s">
        <v>345</v>
      </c>
      <c r="BJ98" s="75"/>
      <c r="BK98" s="75"/>
      <c r="BL98" s="75">
        <v>-503.72</v>
      </c>
    </row>
    <row r="99" spans="2:64" x14ac:dyDescent="0.2">
      <c r="B99" s="56">
        <v>98056</v>
      </c>
      <c r="C99" s="62" t="s">
        <v>345</v>
      </c>
      <c r="D99" s="46">
        <v>154</v>
      </c>
      <c r="E99" s="46">
        <v>139</v>
      </c>
      <c r="F99" s="46">
        <v>155</v>
      </c>
      <c r="H99" s="73">
        <v>98055</v>
      </c>
      <c r="I99" s="73" t="s">
        <v>10</v>
      </c>
      <c r="J99" s="75">
        <v>142822.53</v>
      </c>
      <c r="K99" s="75">
        <v>143560.94</v>
      </c>
      <c r="L99" s="75">
        <v>824939.799999999</v>
      </c>
      <c r="M99" s="75">
        <v>1297919.1899999899</v>
      </c>
      <c r="N99" s="75">
        <v>127311.48</v>
      </c>
      <c r="O99" s="75">
        <v>110644.09</v>
      </c>
      <c r="P99" s="75">
        <v>862738.07999999903</v>
      </c>
      <c r="Q99" s="75">
        <v>1292745.1200000001</v>
      </c>
      <c r="R99" s="75">
        <v>143101.42000000001</v>
      </c>
      <c r="S99" s="75">
        <v>104437.47</v>
      </c>
      <c r="T99" s="75">
        <v>891652</v>
      </c>
      <c r="U99" s="75">
        <v>1322742.8399999901</v>
      </c>
      <c r="W99" s="73">
        <v>98178</v>
      </c>
      <c r="X99" s="15" t="s">
        <v>10</v>
      </c>
      <c r="Y99" s="75">
        <v>3528.86</v>
      </c>
      <c r="Z99" s="75">
        <v>4446.75</v>
      </c>
      <c r="AA99" s="75">
        <v>20668.169999999998</v>
      </c>
      <c r="AB99" s="75">
        <v>31213.6499999999</v>
      </c>
      <c r="AC99" s="75">
        <v>2236.12</v>
      </c>
      <c r="AD99" s="75">
        <v>3275.69</v>
      </c>
      <c r="AE99" s="75">
        <v>22738</v>
      </c>
      <c r="AF99" s="75">
        <v>30001.75</v>
      </c>
      <c r="AG99" s="75">
        <v>1535.4</v>
      </c>
      <c r="AH99" s="75">
        <v>2054.5500000000002</v>
      </c>
      <c r="AI99" s="75">
        <v>24180.25</v>
      </c>
      <c r="AJ99" s="75">
        <v>29092.82</v>
      </c>
      <c r="AV99" s="73" t="s">
        <v>133</v>
      </c>
      <c r="AW99" s="73" t="s">
        <v>10</v>
      </c>
      <c r="AX99" s="33">
        <v>8</v>
      </c>
      <c r="AY99" s="33">
        <v>6</v>
      </c>
      <c r="AZ99" s="33">
        <v>10</v>
      </c>
      <c r="BB99" s="73" t="s">
        <v>133</v>
      </c>
      <c r="BC99" s="73" t="s">
        <v>10</v>
      </c>
      <c r="BD99" s="75">
        <v>4103.37</v>
      </c>
      <c r="BE99" s="75">
        <v>644.74</v>
      </c>
      <c r="BF99" s="75">
        <v>5993.23</v>
      </c>
      <c r="BH99" s="73">
        <v>98166</v>
      </c>
      <c r="BI99" s="73" t="s">
        <v>10</v>
      </c>
      <c r="BJ99" s="75">
        <v>-1059.33</v>
      </c>
      <c r="BK99" s="75"/>
      <c r="BL99" s="75">
        <v>-225.55</v>
      </c>
    </row>
    <row r="100" spans="2:64" x14ac:dyDescent="0.2">
      <c r="B100" s="81">
        <v>98056</v>
      </c>
      <c r="C100" s="62" t="s">
        <v>10</v>
      </c>
      <c r="D100" s="46">
        <v>2661</v>
      </c>
      <c r="E100" s="46">
        <v>2614</v>
      </c>
      <c r="F100" s="46">
        <v>2716</v>
      </c>
      <c r="H100" s="73">
        <v>98056</v>
      </c>
      <c r="I100" s="73" t="s">
        <v>345</v>
      </c>
      <c r="J100" s="75">
        <v>8098.2</v>
      </c>
      <c r="K100" s="75">
        <v>5476.81</v>
      </c>
      <c r="L100" s="75">
        <v>81674.129999999903</v>
      </c>
      <c r="M100" s="75">
        <v>162754.389999999</v>
      </c>
      <c r="N100" s="75">
        <v>7193.16</v>
      </c>
      <c r="O100" s="75">
        <v>5943.44</v>
      </c>
      <c r="P100" s="75">
        <v>82086.91</v>
      </c>
      <c r="Q100" s="75">
        <v>130682</v>
      </c>
      <c r="R100" s="75">
        <v>7242.43</v>
      </c>
      <c r="S100" s="75">
        <v>3528.84</v>
      </c>
      <c r="T100" s="75">
        <v>24638.33</v>
      </c>
      <c r="U100" s="75">
        <v>68062.820000000007</v>
      </c>
      <c r="W100" s="73">
        <v>98188</v>
      </c>
      <c r="X100" s="15" t="s">
        <v>10</v>
      </c>
      <c r="Y100" s="75">
        <v>22418.66</v>
      </c>
      <c r="Z100" s="75">
        <v>22286.51</v>
      </c>
      <c r="AA100" s="75">
        <v>93549.599999999904</v>
      </c>
      <c r="AB100" s="75">
        <v>161265.75999999899</v>
      </c>
      <c r="AC100" s="75">
        <v>18747.09</v>
      </c>
      <c r="AD100" s="75">
        <v>18437.09</v>
      </c>
      <c r="AE100" s="75">
        <v>99832.739999999903</v>
      </c>
      <c r="AF100" s="75">
        <v>154712.06</v>
      </c>
      <c r="AG100" s="75">
        <v>14000.84</v>
      </c>
      <c r="AH100" s="75">
        <v>16673.78</v>
      </c>
      <c r="AI100" s="75">
        <v>109241.17</v>
      </c>
      <c r="AJ100" s="75">
        <v>159631.12</v>
      </c>
      <c r="AV100" s="73" t="s">
        <v>134</v>
      </c>
      <c r="AW100" s="73" t="s">
        <v>10</v>
      </c>
      <c r="AX100" s="33"/>
      <c r="AY100" s="33">
        <v>1</v>
      </c>
      <c r="AZ100" s="33">
        <v>1</v>
      </c>
      <c r="BB100" s="73" t="s">
        <v>134</v>
      </c>
      <c r="BC100" s="73" t="s">
        <v>10</v>
      </c>
      <c r="BD100" s="75"/>
      <c r="BE100" s="75">
        <v>28.79</v>
      </c>
      <c r="BF100" s="75">
        <v>2799.23</v>
      </c>
      <c r="BH100" s="73">
        <v>98168</v>
      </c>
      <c r="BI100" s="73" t="s">
        <v>10</v>
      </c>
      <c r="BJ100" s="75">
        <v>-100</v>
      </c>
      <c r="BK100" s="75"/>
      <c r="BL100" s="75">
        <v>-140.22999999999999</v>
      </c>
    </row>
    <row r="101" spans="2:64" x14ac:dyDescent="0.2">
      <c r="B101" s="56">
        <v>98057</v>
      </c>
      <c r="C101" s="62" t="s">
        <v>345</v>
      </c>
      <c r="D101" s="46">
        <v>260</v>
      </c>
      <c r="E101" s="46">
        <v>240</v>
      </c>
      <c r="F101" s="46">
        <v>247</v>
      </c>
      <c r="H101" s="73">
        <v>98056</v>
      </c>
      <c r="I101" s="73" t="s">
        <v>10</v>
      </c>
      <c r="J101" s="75">
        <v>145937.03</v>
      </c>
      <c r="K101" s="75">
        <v>154701.4</v>
      </c>
      <c r="L101" s="75">
        <v>682608</v>
      </c>
      <c r="M101" s="75">
        <v>1203706.51</v>
      </c>
      <c r="N101" s="75">
        <v>138148.24</v>
      </c>
      <c r="O101" s="75">
        <v>116915.67</v>
      </c>
      <c r="P101" s="75">
        <v>729697.47000000102</v>
      </c>
      <c r="Q101" s="75">
        <v>1194141.57</v>
      </c>
      <c r="R101" s="75">
        <v>138506.73000000001</v>
      </c>
      <c r="S101" s="75">
        <v>105184.05</v>
      </c>
      <c r="T101" s="75">
        <v>724608.3</v>
      </c>
      <c r="U101" s="75">
        <v>1197598.1399999999</v>
      </c>
      <c r="W101" s="73">
        <v>98198</v>
      </c>
      <c r="X101" s="15" t="s">
        <v>10</v>
      </c>
      <c r="Y101" s="75">
        <v>50942.13</v>
      </c>
      <c r="Z101" s="75">
        <v>47563.12</v>
      </c>
      <c r="AA101" s="75">
        <v>193938.06</v>
      </c>
      <c r="AB101" s="75">
        <v>343413.81999999902</v>
      </c>
      <c r="AC101" s="75">
        <v>41013</v>
      </c>
      <c r="AD101" s="75">
        <v>43993.760000000002</v>
      </c>
      <c r="AE101" s="75">
        <v>207617.6</v>
      </c>
      <c r="AF101" s="75">
        <v>335628.41999999899</v>
      </c>
      <c r="AG101" s="75">
        <v>34714.74</v>
      </c>
      <c r="AH101" s="75">
        <v>35330.9</v>
      </c>
      <c r="AI101" s="75">
        <v>225257.53</v>
      </c>
      <c r="AJ101" s="75">
        <v>337772.76</v>
      </c>
      <c r="AV101" s="73" t="s">
        <v>135</v>
      </c>
      <c r="AW101" s="73" t="s">
        <v>10</v>
      </c>
      <c r="AX101" s="33">
        <v>9</v>
      </c>
      <c r="AY101" s="33">
        <v>11</v>
      </c>
      <c r="AZ101" s="33">
        <v>12</v>
      </c>
      <c r="BB101" s="73" t="s">
        <v>135</v>
      </c>
      <c r="BC101" s="73" t="s">
        <v>10</v>
      </c>
      <c r="BD101" s="75">
        <v>3597.13</v>
      </c>
      <c r="BE101" s="75">
        <v>9002.83</v>
      </c>
      <c r="BF101" s="75">
        <v>13502.17</v>
      </c>
      <c r="BH101" s="73">
        <v>98178</v>
      </c>
      <c r="BI101" s="73" t="s">
        <v>10</v>
      </c>
      <c r="BJ101" s="75"/>
      <c r="BK101" s="75">
        <v>-69.12</v>
      </c>
      <c r="BL101" s="75">
        <v>-107.13</v>
      </c>
    </row>
    <row r="102" spans="2:64" x14ac:dyDescent="0.2">
      <c r="B102" s="81">
        <v>98057</v>
      </c>
      <c r="C102" s="62" t="s">
        <v>10</v>
      </c>
      <c r="D102" s="46">
        <v>1700</v>
      </c>
      <c r="E102" s="46">
        <v>1684</v>
      </c>
      <c r="F102" s="46">
        <v>1746</v>
      </c>
      <c r="H102" s="73">
        <v>98057</v>
      </c>
      <c r="I102" s="73" t="s">
        <v>345</v>
      </c>
      <c r="J102" s="75">
        <v>33099.199999999997</v>
      </c>
      <c r="K102" s="75">
        <v>40993.550000000003</v>
      </c>
      <c r="L102" s="75">
        <v>216797.65999999901</v>
      </c>
      <c r="M102" s="75">
        <v>529783.91</v>
      </c>
      <c r="N102" s="75">
        <v>35963.08</v>
      </c>
      <c r="O102" s="75">
        <v>18101.75</v>
      </c>
      <c r="P102" s="75">
        <v>214424.72</v>
      </c>
      <c r="Q102" s="75">
        <v>385708.4</v>
      </c>
      <c r="R102" s="75">
        <v>46223.32</v>
      </c>
      <c r="S102" s="75">
        <v>24580.41</v>
      </c>
      <c r="T102" s="75">
        <v>211680.43999999901</v>
      </c>
      <c r="U102" s="75">
        <v>432761.53</v>
      </c>
      <c r="W102" s="73">
        <v>98199</v>
      </c>
      <c r="X102" s="15" t="s">
        <v>10</v>
      </c>
      <c r="Y102" s="75">
        <v>595.98</v>
      </c>
      <c r="Z102" s="75">
        <v>829.17</v>
      </c>
      <c r="AA102" s="75">
        <v>1948.48</v>
      </c>
      <c r="AB102" s="75">
        <v>3779.91</v>
      </c>
      <c r="AC102" s="75">
        <v>338.9</v>
      </c>
      <c r="AD102" s="75">
        <v>510.12</v>
      </c>
      <c r="AE102" s="75">
        <v>1961.4099999999901</v>
      </c>
      <c r="AF102" s="75">
        <v>3048.59</v>
      </c>
      <c r="AG102" s="75">
        <v>212.9</v>
      </c>
      <c r="AH102" s="75">
        <v>338.9</v>
      </c>
      <c r="AI102" s="75">
        <v>2471.5300000000002</v>
      </c>
      <c r="AJ102" s="75">
        <v>3224.05</v>
      </c>
      <c r="AV102" s="73" t="s">
        <v>136</v>
      </c>
      <c r="AW102" s="73" t="s">
        <v>345</v>
      </c>
      <c r="AX102" s="33">
        <v>3</v>
      </c>
      <c r="AY102" s="33">
        <v>4</v>
      </c>
      <c r="AZ102" s="33">
        <v>3</v>
      </c>
      <c r="BB102" s="73" t="s">
        <v>136</v>
      </c>
      <c r="BC102" s="73" t="s">
        <v>345</v>
      </c>
      <c r="BD102" s="75">
        <v>27.29</v>
      </c>
      <c r="BE102" s="75">
        <v>812.19</v>
      </c>
      <c r="BF102" s="75">
        <v>21738.77</v>
      </c>
      <c r="BH102" s="73">
        <v>98188</v>
      </c>
      <c r="BI102" s="73" t="s">
        <v>10</v>
      </c>
      <c r="BJ102" s="75">
        <v>-1373.26</v>
      </c>
      <c r="BK102" s="75">
        <v>-493.93</v>
      </c>
      <c r="BL102" s="75">
        <v>-1335.68</v>
      </c>
    </row>
    <row r="103" spans="2:64" x14ac:dyDescent="0.2">
      <c r="B103" s="56">
        <v>98058</v>
      </c>
      <c r="C103" s="62" t="s">
        <v>345</v>
      </c>
      <c r="D103" s="46">
        <v>94</v>
      </c>
      <c r="E103" s="46">
        <v>75</v>
      </c>
      <c r="F103" s="46">
        <v>83</v>
      </c>
      <c r="H103" s="73">
        <v>98057</v>
      </c>
      <c r="I103" s="73" t="s">
        <v>10</v>
      </c>
      <c r="J103" s="75">
        <v>76875.19</v>
      </c>
      <c r="K103" s="75">
        <v>79493.570000000007</v>
      </c>
      <c r="L103" s="75">
        <v>422765.44999999902</v>
      </c>
      <c r="M103" s="75">
        <v>682141.28</v>
      </c>
      <c r="N103" s="75">
        <v>70278.259999999995</v>
      </c>
      <c r="O103" s="75">
        <v>62405.74</v>
      </c>
      <c r="P103" s="75">
        <v>454324.22999999899</v>
      </c>
      <c r="Q103" s="75">
        <v>717607.90000000095</v>
      </c>
      <c r="R103" s="75">
        <v>67577.78</v>
      </c>
      <c r="S103" s="75">
        <v>58852.62</v>
      </c>
      <c r="T103" s="75">
        <v>463599.53999999899</v>
      </c>
      <c r="U103" s="75">
        <v>703343.8</v>
      </c>
      <c r="W103" s="73">
        <v>98201</v>
      </c>
      <c r="X103" s="15" t="s">
        <v>10</v>
      </c>
      <c r="Y103" s="75">
        <v>2441.61</v>
      </c>
      <c r="Z103" s="75">
        <v>2887.01</v>
      </c>
      <c r="AA103" s="75">
        <v>10449.85</v>
      </c>
      <c r="AB103" s="75">
        <v>18228.560000000001</v>
      </c>
      <c r="AC103" s="75">
        <v>1702.04</v>
      </c>
      <c r="AD103" s="75">
        <v>1927.12</v>
      </c>
      <c r="AE103" s="75">
        <v>12371.46</v>
      </c>
      <c r="AF103" s="75">
        <v>17642.68</v>
      </c>
      <c r="AG103" s="75">
        <v>1347.05</v>
      </c>
      <c r="AH103" s="75">
        <v>1540.49</v>
      </c>
      <c r="AI103" s="75">
        <v>13588.6499999999</v>
      </c>
      <c r="AJ103" s="75">
        <v>18342.41</v>
      </c>
      <c r="AV103" s="73" t="s">
        <v>136</v>
      </c>
      <c r="AW103" s="73" t="s">
        <v>10</v>
      </c>
      <c r="AX103" s="33">
        <v>10</v>
      </c>
      <c r="AY103" s="33">
        <v>15</v>
      </c>
      <c r="AZ103" s="33">
        <v>10</v>
      </c>
      <c r="BB103" s="73" t="s">
        <v>136</v>
      </c>
      <c r="BC103" s="73" t="s">
        <v>10</v>
      </c>
      <c r="BD103" s="75">
        <v>3106.17</v>
      </c>
      <c r="BE103" s="75">
        <v>5129.47</v>
      </c>
      <c r="BF103" s="75">
        <v>1290.78</v>
      </c>
      <c r="BH103" s="73">
        <v>98198</v>
      </c>
      <c r="BI103" s="73" t="s">
        <v>345</v>
      </c>
      <c r="BJ103" s="75">
        <v>-500</v>
      </c>
      <c r="BK103" s="75">
        <v>-500</v>
      </c>
      <c r="BL103" s="75">
        <v>-600</v>
      </c>
    </row>
    <row r="104" spans="2:64" x14ac:dyDescent="0.2">
      <c r="B104" s="81">
        <v>98058</v>
      </c>
      <c r="C104" s="62" t="s">
        <v>10</v>
      </c>
      <c r="D104" s="46">
        <v>2682</v>
      </c>
      <c r="E104" s="46">
        <v>2580</v>
      </c>
      <c r="F104" s="46">
        <v>2694</v>
      </c>
      <c r="H104" s="73">
        <v>98058</v>
      </c>
      <c r="I104" s="73" t="s">
        <v>345</v>
      </c>
      <c r="J104" s="75">
        <v>5694.95</v>
      </c>
      <c r="K104" s="75">
        <v>4915.7299999999996</v>
      </c>
      <c r="L104" s="75">
        <v>40583.480000000003</v>
      </c>
      <c r="M104" s="75">
        <v>137550.94</v>
      </c>
      <c r="N104" s="75">
        <v>4820.8599999999997</v>
      </c>
      <c r="O104" s="75">
        <v>3708.06</v>
      </c>
      <c r="P104" s="75">
        <v>34888.17</v>
      </c>
      <c r="Q104" s="75">
        <v>56078.1499999999</v>
      </c>
      <c r="R104" s="75">
        <v>3591.58</v>
      </c>
      <c r="S104" s="75">
        <v>4070.42</v>
      </c>
      <c r="T104" s="75">
        <v>36200.42</v>
      </c>
      <c r="U104" s="75">
        <v>64097.979999999901</v>
      </c>
      <c r="W104" s="73">
        <v>98203</v>
      </c>
      <c r="X104" s="15" t="s">
        <v>10</v>
      </c>
      <c r="Y104" s="75">
        <v>2804.28</v>
      </c>
      <c r="Z104" s="75">
        <v>3179.09</v>
      </c>
      <c r="AA104" s="75">
        <v>14540.1699999999</v>
      </c>
      <c r="AB104" s="75">
        <v>23130.209999999901</v>
      </c>
      <c r="AC104" s="75">
        <v>1902.38</v>
      </c>
      <c r="AD104" s="75">
        <v>2068.36</v>
      </c>
      <c r="AE104" s="75">
        <v>14342.54</v>
      </c>
      <c r="AF104" s="75">
        <v>19823.189999999999</v>
      </c>
      <c r="AG104" s="75">
        <v>1251.73</v>
      </c>
      <c r="AH104" s="75">
        <v>1767.27</v>
      </c>
      <c r="AI104" s="75">
        <v>15625.48</v>
      </c>
      <c r="AJ104" s="75">
        <v>20145.159999999902</v>
      </c>
      <c r="AV104" s="73" t="s">
        <v>137</v>
      </c>
      <c r="AW104" s="73" t="s">
        <v>345</v>
      </c>
      <c r="AX104" s="33">
        <v>2</v>
      </c>
      <c r="AY104" s="33"/>
      <c r="AZ104" s="33">
        <v>2</v>
      </c>
      <c r="BB104" s="73" t="s">
        <v>137</v>
      </c>
      <c r="BC104" s="73" t="s">
        <v>345</v>
      </c>
      <c r="BD104" s="75">
        <v>3904.94</v>
      </c>
      <c r="BE104" s="75"/>
      <c r="BF104" s="75">
        <v>51.9</v>
      </c>
      <c r="BH104" s="73">
        <v>98198</v>
      </c>
      <c r="BI104" s="73" t="s">
        <v>10</v>
      </c>
      <c r="BJ104" s="75">
        <v>-616.19000000000005</v>
      </c>
      <c r="BK104" s="75">
        <v>-902.19</v>
      </c>
      <c r="BL104" s="75">
        <v>-802.43</v>
      </c>
    </row>
    <row r="105" spans="2:64" x14ac:dyDescent="0.2">
      <c r="B105" s="56">
        <v>98059</v>
      </c>
      <c r="C105" s="62" t="s">
        <v>345</v>
      </c>
      <c r="D105" s="46">
        <v>131</v>
      </c>
      <c r="E105" s="46">
        <v>130</v>
      </c>
      <c r="F105" s="46">
        <v>163</v>
      </c>
      <c r="H105" s="73">
        <v>98058</v>
      </c>
      <c r="I105" s="73" t="s">
        <v>10</v>
      </c>
      <c r="J105" s="75">
        <v>182763.26</v>
      </c>
      <c r="K105" s="75">
        <v>179915.54</v>
      </c>
      <c r="L105" s="75">
        <v>929994.929999999</v>
      </c>
      <c r="M105" s="75">
        <v>1565134.8599999901</v>
      </c>
      <c r="N105" s="75">
        <v>164029.34</v>
      </c>
      <c r="O105" s="75">
        <v>142552</v>
      </c>
      <c r="P105" s="75">
        <v>987081.96999999904</v>
      </c>
      <c r="Q105" s="75">
        <v>1523981.18</v>
      </c>
      <c r="R105" s="75">
        <v>141828.53</v>
      </c>
      <c r="S105" s="75">
        <v>127212.68</v>
      </c>
      <c r="T105" s="75">
        <v>1035478.95</v>
      </c>
      <c r="U105" s="75">
        <v>1562598.24</v>
      </c>
      <c r="W105" s="73">
        <v>98204</v>
      </c>
      <c r="X105" s="15" t="s">
        <v>10</v>
      </c>
      <c r="Y105" s="75">
        <v>1818.3</v>
      </c>
      <c r="Z105" s="75">
        <v>2345.71</v>
      </c>
      <c r="AA105" s="75">
        <v>6156.22</v>
      </c>
      <c r="AB105" s="75">
        <v>12349.89</v>
      </c>
      <c r="AC105" s="75">
        <v>1667.8</v>
      </c>
      <c r="AD105" s="75">
        <v>1671.01</v>
      </c>
      <c r="AE105" s="75">
        <v>7489.12</v>
      </c>
      <c r="AF105" s="75">
        <v>13055.7399999999</v>
      </c>
      <c r="AG105" s="75">
        <v>1771.8</v>
      </c>
      <c r="AH105" s="75">
        <v>1334.21</v>
      </c>
      <c r="AI105" s="75">
        <v>7876.4199999999901</v>
      </c>
      <c r="AJ105" s="75">
        <v>12631.37</v>
      </c>
      <c r="AV105" s="73" t="s">
        <v>137</v>
      </c>
      <c r="AW105" s="73" t="s">
        <v>10</v>
      </c>
      <c r="AX105" s="33">
        <v>10</v>
      </c>
      <c r="AY105" s="33">
        <v>6</v>
      </c>
      <c r="AZ105" s="33">
        <v>4</v>
      </c>
      <c r="BB105" s="73" t="s">
        <v>137</v>
      </c>
      <c r="BC105" s="73" t="s">
        <v>10</v>
      </c>
      <c r="BD105" s="75">
        <v>2451.36</v>
      </c>
      <c r="BE105" s="75">
        <v>3904.16</v>
      </c>
      <c r="BF105" s="75">
        <v>749.89</v>
      </c>
      <c r="BH105" s="73">
        <v>98201</v>
      </c>
      <c r="BI105" s="73" t="s">
        <v>345</v>
      </c>
      <c r="BJ105" s="75">
        <v>-513.5</v>
      </c>
      <c r="BK105" s="75">
        <v>-460.29</v>
      </c>
      <c r="BL105" s="75">
        <v>-312.3</v>
      </c>
    </row>
    <row r="106" spans="2:64" x14ac:dyDescent="0.2">
      <c r="B106" s="81">
        <v>98059</v>
      </c>
      <c r="C106" s="62" t="s">
        <v>10</v>
      </c>
      <c r="D106" s="46">
        <v>1906</v>
      </c>
      <c r="E106" s="46">
        <v>1861</v>
      </c>
      <c r="F106" s="46">
        <v>1943</v>
      </c>
      <c r="H106" s="73">
        <v>98059</v>
      </c>
      <c r="I106" s="73" t="s">
        <v>345</v>
      </c>
      <c r="J106" s="75">
        <v>16310.54</v>
      </c>
      <c r="K106" s="75">
        <v>17296.689999999999</v>
      </c>
      <c r="L106" s="75">
        <v>66999.06</v>
      </c>
      <c r="M106" s="75">
        <v>153049.91</v>
      </c>
      <c r="N106" s="75">
        <v>3910.15</v>
      </c>
      <c r="O106" s="75">
        <v>4866.74</v>
      </c>
      <c r="P106" s="75">
        <v>41394.89</v>
      </c>
      <c r="Q106" s="75">
        <v>71799.47</v>
      </c>
      <c r="R106" s="75">
        <v>6652.4</v>
      </c>
      <c r="S106" s="75">
        <v>3075.21</v>
      </c>
      <c r="T106" s="75">
        <v>16918.36</v>
      </c>
      <c r="U106" s="75">
        <v>57262.279999999897</v>
      </c>
      <c r="W106" s="73">
        <v>98208</v>
      </c>
      <c r="X106" s="15" t="s">
        <v>10</v>
      </c>
      <c r="Y106" s="75">
        <v>3376.14</v>
      </c>
      <c r="Z106" s="75">
        <v>3657.13</v>
      </c>
      <c r="AA106" s="75">
        <v>16332.89</v>
      </c>
      <c r="AB106" s="75">
        <v>26201.279999999901</v>
      </c>
      <c r="AC106" s="75">
        <v>2348.63</v>
      </c>
      <c r="AD106" s="75">
        <v>2982.98</v>
      </c>
      <c r="AE106" s="75">
        <v>19141.71</v>
      </c>
      <c r="AF106" s="75">
        <v>26402.8999999999</v>
      </c>
      <c r="AG106" s="75">
        <v>1597.43</v>
      </c>
      <c r="AH106" s="75">
        <v>2238.36</v>
      </c>
      <c r="AI106" s="75">
        <v>21479.01</v>
      </c>
      <c r="AJ106" s="75">
        <v>27710.12</v>
      </c>
      <c r="AV106" s="73" t="s">
        <v>138</v>
      </c>
      <c r="AW106" s="73" t="s">
        <v>345</v>
      </c>
      <c r="AX106" s="33"/>
      <c r="AY106" s="33">
        <v>2</v>
      </c>
      <c r="AZ106" s="33">
        <v>3</v>
      </c>
      <c r="BB106" s="73" t="s">
        <v>138</v>
      </c>
      <c r="BC106" s="73" t="s">
        <v>345</v>
      </c>
      <c r="BD106" s="75"/>
      <c r="BE106" s="75">
        <v>326.94</v>
      </c>
      <c r="BF106" s="75">
        <v>2230.08</v>
      </c>
      <c r="BH106" s="73">
        <v>98201</v>
      </c>
      <c r="BI106" s="73" t="s">
        <v>10</v>
      </c>
      <c r="BJ106" s="75">
        <v>-43.38</v>
      </c>
      <c r="BK106" s="75">
        <v>-173.46</v>
      </c>
      <c r="BL106" s="75"/>
    </row>
    <row r="107" spans="2:64" x14ac:dyDescent="0.2">
      <c r="B107" s="56">
        <v>98065</v>
      </c>
      <c r="C107" s="62" t="s">
        <v>345</v>
      </c>
      <c r="D107" s="46">
        <v>114</v>
      </c>
      <c r="E107" s="46">
        <v>128</v>
      </c>
      <c r="F107" s="46">
        <v>63</v>
      </c>
      <c r="H107" s="73">
        <v>98059</v>
      </c>
      <c r="I107" s="73" t="s">
        <v>10</v>
      </c>
      <c r="J107" s="75">
        <v>115845.6</v>
      </c>
      <c r="K107" s="75">
        <v>115686.71</v>
      </c>
      <c r="L107" s="75">
        <v>569214.96</v>
      </c>
      <c r="M107" s="75">
        <v>995206.29</v>
      </c>
      <c r="N107" s="75">
        <v>112535.12</v>
      </c>
      <c r="O107" s="75">
        <v>89086.62</v>
      </c>
      <c r="P107" s="75">
        <v>608047.97</v>
      </c>
      <c r="Q107" s="75">
        <v>975977.01000000106</v>
      </c>
      <c r="R107" s="75">
        <v>95866.58</v>
      </c>
      <c r="S107" s="75">
        <v>86423.32</v>
      </c>
      <c r="T107" s="75">
        <v>606936.46</v>
      </c>
      <c r="U107" s="75">
        <v>976892.11</v>
      </c>
      <c r="W107" s="73">
        <v>98220</v>
      </c>
      <c r="X107" s="15" t="s">
        <v>10</v>
      </c>
      <c r="Y107" s="75">
        <v>1768.35</v>
      </c>
      <c r="Z107" s="75"/>
      <c r="AA107" s="75">
        <v>1384.8899999999901</v>
      </c>
      <c r="AB107" s="75">
        <v>3554.6099999999901</v>
      </c>
      <c r="AC107" s="75"/>
      <c r="AD107" s="75">
        <v>1055.0999999999999</v>
      </c>
      <c r="AE107" s="75">
        <v>1384.8899999999901</v>
      </c>
      <c r="AF107" s="75">
        <v>3251.19</v>
      </c>
      <c r="AG107" s="75">
        <v>811.2</v>
      </c>
      <c r="AH107" s="75"/>
      <c r="AI107" s="75">
        <v>1925.42</v>
      </c>
      <c r="AJ107" s="75">
        <v>2965.92</v>
      </c>
      <c r="AV107" s="73" t="s">
        <v>138</v>
      </c>
      <c r="AW107" s="73" t="s">
        <v>10</v>
      </c>
      <c r="AX107" s="33">
        <v>8</v>
      </c>
      <c r="AY107" s="33">
        <v>1</v>
      </c>
      <c r="AZ107" s="33">
        <v>8</v>
      </c>
      <c r="BB107" s="73" t="s">
        <v>138</v>
      </c>
      <c r="BC107" s="73" t="s">
        <v>10</v>
      </c>
      <c r="BD107" s="75">
        <v>15593.72</v>
      </c>
      <c r="BE107" s="75">
        <v>225.78</v>
      </c>
      <c r="BF107" s="75">
        <v>3973.12</v>
      </c>
      <c r="BH107" s="73">
        <v>98203</v>
      </c>
      <c r="BI107" s="73" t="s">
        <v>10</v>
      </c>
      <c r="BJ107" s="75">
        <v>-222.11</v>
      </c>
      <c r="BK107" s="75">
        <v>-46.05</v>
      </c>
      <c r="BL107" s="75">
        <v>-593.78</v>
      </c>
    </row>
    <row r="108" spans="2:64" x14ac:dyDescent="0.2">
      <c r="B108" s="81">
        <v>98065</v>
      </c>
      <c r="C108" s="62" t="s">
        <v>10</v>
      </c>
      <c r="D108" s="46">
        <v>691</v>
      </c>
      <c r="E108" s="46">
        <v>679</v>
      </c>
      <c r="F108" s="46">
        <v>699</v>
      </c>
      <c r="H108" s="73">
        <v>98065</v>
      </c>
      <c r="I108" s="73" t="s">
        <v>345</v>
      </c>
      <c r="J108" s="75">
        <v>3830.39</v>
      </c>
      <c r="K108" s="75">
        <v>2040.66</v>
      </c>
      <c r="L108" s="75">
        <v>22956.85</v>
      </c>
      <c r="M108" s="75">
        <v>108750.659999999</v>
      </c>
      <c r="N108" s="75">
        <v>17852.8</v>
      </c>
      <c r="O108" s="75">
        <v>1838.63</v>
      </c>
      <c r="P108" s="75">
        <v>20853.240000000002</v>
      </c>
      <c r="Q108" s="75">
        <v>120464.609999999</v>
      </c>
      <c r="R108" s="75">
        <v>2399.89</v>
      </c>
      <c r="S108" s="75">
        <v>1616.1</v>
      </c>
      <c r="T108" s="75">
        <v>19819.68</v>
      </c>
      <c r="U108" s="75">
        <v>88094.119999999893</v>
      </c>
      <c r="W108" s="73">
        <v>98221</v>
      </c>
      <c r="X108" s="15" t="s">
        <v>10</v>
      </c>
      <c r="Y108" s="75">
        <v>7658.1</v>
      </c>
      <c r="Z108" s="75">
        <v>6732.46</v>
      </c>
      <c r="AA108" s="75">
        <v>30585.25</v>
      </c>
      <c r="AB108" s="75">
        <v>53706.04</v>
      </c>
      <c r="AC108" s="75">
        <v>6488.02</v>
      </c>
      <c r="AD108" s="75">
        <v>6281.04</v>
      </c>
      <c r="AE108" s="75">
        <v>29627.759999999998</v>
      </c>
      <c r="AF108" s="75">
        <v>50283.37</v>
      </c>
      <c r="AG108" s="75">
        <v>6040.33</v>
      </c>
      <c r="AH108" s="75">
        <v>5783.27</v>
      </c>
      <c r="AI108" s="75">
        <v>31902.39</v>
      </c>
      <c r="AJ108" s="75">
        <v>53562.07</v>
      </c>
      <c r="AV108" s="73" t="s">
        <v>139</v>
      </c>
      <c r="AW108" s="73" t="s">
        <v>10</v>
      </c>
      <c r="AX108" s="33">
        <v>2</v>
      </c>
      <c r="AY108" s="33">
        <v>1</v>
      </c>
      <c r="AZ108" s="33">
        <v>1</v>
      </c>
      <c r="BB108" s="73" t="s">
        <v>139</v>
      </c>
      <c r="BC108" s="73" t="s">
        <v>10</v>
      </c>
      <c r="BD108" s="75">
        <v>9276.4599999999991</v>
      </c>
      <c r="BE108" s="75">
        <v>57.03</v>
      </c>
      <c r="BF108" s="75">
        <v>104.37</v>
      </c>
      <c r="BH108" s="73">
        <v>98208</v>
      </c>
      <c r="BI108" s="73" t="s">
        <v>10</v>
      </c>
      <c r="BJ108" s="75"/>
      <c r="BK108" s="75"/>
      <c r="BL108" s="75">
        <v>-403.94</v>
      </c>
    </row>
    <row r="109" spans="2:64" x14ac:dyDescent="0.2">
      <c r="B109" s="56">
        <v>98068</v>
      </c>
      <c r="C109" s="62" t="s">
        <v>345</v>
      </c>
      <c r="D109" s="46">
        <v>6</v>
      </c>
      <c r="E109" s="46">
        <v>9</v>
      </c>
      <c r="F109" s="46">
        <v>12</v>
      </c>
      <c r="H109" s="73">
        <v>98065</v>
      </c>
      <c r="I109" s="73" t="s">
        <v>10</v>
      </c>
      <c r="J109" s="75">
        <v>38747.81</v>
      </c>
      <c r="K109" s="75">
        <v>33486.93</v>
      </c>
      <c r="L109" s="75">
        <v>147403.93999999901</v>
      </c>
      <c r="M109" s="75">
        <v>288118.75</v>
      </c>
      <c r="N109" s="75">
        <v>31998.23</v>
      </c>
      <c r="O109" s="75">
        <v>27583.09</v>
      </c>
      <c r="P109" s="75">
        <v>158551.079999999</v>
      </c>
      <c r="Q109" s="75">
        <v>295308.87999999902</v>
      </c>
      <c r="R109" s="75">
        <v>35963.71</v>
      </c>
      <c r="S109" s="75">
        <v>21226.67</v>
      </c>
      <c r="T109" s="75">
        <v>155549.23000000001</v>
      </c>
      <c r="U109" s="75">
        <v>289145.68</v>
      </c>
      <c r="W109" s="73">
        <v>98223</v>
      </c>
      <c r="X109" s="15" t="s">
        <v>10</v>
      </c>
      <c r="Y109" s="75">
        <v>291.86</v>
      </c>
      <c r="Z109" s="75">
        <v>432.01</v>
      </c>
      <c r="AA109" s="75">
        <v>1815.22</v>
      </c>
      <c r="AB109" s="75">
        <v>2752.6</v>
      </c>
      <c r="AC109" s="75">
        <v>166.45</v>
      </c>
      <c r="AD109" s="75">
        <v>233.08</v>
      </c>
      <c r="AE109" s="75">
        <v>1839.1</v>
      </c>
      <c r="AF109" s="75">
        <v>2391.04</v>
      </c>
      <c r="AG109" s="75">
        <v>152.41</v>
      </c>
      <c r="AH109" s="75">
        <v>166.45</v>
      </c>
      <c r="AI109" s="75">
        <v>2072.1799999999998</v>
      </c>
      <c r="AJ109" s="75">
        <v>2526.5699999999902</v>
      </c>
      <c r="AV109" s="73" t="s">
        <v>276</v>
      </c>
      <c r="AW109" s="73" t="s">
        <v>10</v>
      </c>
      <c r="AX109" s="33">
        <v>7</v>
      </c>
      <c r="AY109" s="33">
        <v>16</v>
      </c>
      <c r="AZ109" s="33">
        <v>9</v>
      </c>
      <c r="BB109" s="73" t="s">
        <v>276</v>
      </c>
      <c r="BC109" s="73" t="s">
        <v>10</v>
      </c>
      <c r="BD109" s="75">
        <v>595.41999999999996</v>
      </c>
      <c r="BE109" s="75">
        <v>3799.51</v>
      </c>
      <c r="BF109" s="75">
        <v>652.34</v>
      </c>
      <c r="BH109" s="73">
        <v>98221</v>
      </c>
      <c r="BI109" s="73" t="s">
        <v>345</v>
      </c>
      <c r="BJ109" s="75">
        <v>-600</v>
      </c>
      <c r="BK109" s="75">
        <v>-600</v>
      </c>
      <c r="BL109" s="75">
        <v>-1000</v>
      </c>
    </row>
    <row r="110" spans="2:64" x14ac:dyDescent="0.2">
      <c r="B110" s="81">
        <v>98068</v>
      </c>
      <c r="C110" s="62" t="s">
        <v>10</v>
      </c>
      <c r="D110" s="46">
        <v>85</v>
      </c>
      <c r="E110" s="46">
        <v>79</v>
      </c>
      <c r="F110" s="46">
        <v>96</v>
      </c>
      <c r="H110" s="73">
        <v>98068</v>
      </c>
      <c r="I110" s="73" t="s">
        <v>345</v>
      </c>
      <c r="J110" s="75">
        <v>1153.7</v>
      </c>
      <c r="K110" s="75">
        <v>1242.49</v>
      </c>
      <c r="L110" s="75">
        <v>16643.73</v>
      </c>
      <c r="M110" s="75">
        <v>22759.629999999899</v>
      </c>
      <c r="N110" s="75">
        <v>2824.62</v>
      </c>
      <c r="O110" s="75">
        <v>1153.7</v>
      </c>
      <c r="P110" s="75">
        <v>17886.22</v>
      </c>
      <c r="Q110" s="75">
        <v>23253.34</v>
      </c>
      <c r="R110" s="75">
        <v>1275.0999999999999</v>
      </c>
      <c r="S110" s="75">
        <v>2798.15</v>
      </c>
      <c r="T110" s="75">
        <v>19018.09</v>
      </c>
      <c r="U110" s="75">
        <v>26457.87</v>
      </c>
      <c r="W110" s="73">
        <v>98224</v>
      </c>
      <c r="X110" s="15" t="s">
        <v>10</v>
      </c>
      <c r="Y110" s="75">
        <v>704.18</v>
      </c>
      <c r="Z110" s="75">
        <v>452.83</v>
      </c>
      <c r="AA110" s="75">
        <v>3888.29</v>
      </c>
      <c r="AB110" s="75">
        <v>7275.16</v>
      </c>
      <c r="AC110" s="75">
        <v>1548.07</v>
      </c>
      <c r="AD110" s="75">
        <v>1385.97</v>
      </c>
      <c r="AE110" s="75">
        <v>4977.12</v>
      </c>
      <c r="AF110" s="75">
        <v>8254.0400000000009</v>
      </c>
      <c r="AG110" s="75">
        <v>342.88</v>
      </c>
      <c r="AH110" s="75">
        <v>1548.07</v>
      </c>
      <c r="AI110" s="75">
        <v>6363.09</v>
      </c>
      <c r="AJ110" s="75">
        <v>8934.9599999999991</v>
      </c>
      <c r="AV110" s="73" t="s">
        <v>140</v>
      </c>
      <c r="AW110" s="73" t="s">
        <v>345</v>
      </c>
      <c r="AX110" s="33"/>
      <c r="AY110" s="33"/>
      <c r="AZ110" s="33">
        <v>2</v>
      </c>
      <c r="BB110" s="73" t="s">
        <v>140</v>
      </c>
      <c r="BC110" s="73" t="s">
        <v>345</v>
      </c>
      <c r="BD110" s="75"/>
      <c r="BE110" s="75"/>
      <c r="BF110" s="75">
        <v>41.2</v>
      </c>
      <c r="BH110" s="73">
        <v>98221</v>
      </c>
      <c r="BI110" s="73" t="s">
        <v>10</v>
      </c>
      <c r="BJ110" s="75"/>
      <c r="BK110" s="75">
        <v>-35.14</v>
      </c>
      <c r="BL110" s="75">
        <v>-625.42999999999995</v>
      </c>
    </row>
    <row r="111" spans="2:64" x14ac:dyDescent="0.2">
      <c r="B111" s="56">
        <v>98070</v>
      </c>
      <c r="C111" s="62" t="s">
        <v>345</v>
      </c>
      <c r="D111" s="46">
        <v>129</v>
      </c>
      <c r="E111" s="46">
        <v>140</v>
      </c>
      <c r="F111" s="46">
        <v>139</v>
      </c>
      <c r="H111" s="73">
        <v>98068</v>
      </c>
      <c r="I111" s="73" t="s">
        <v>10</v>
      </c>
      <c r="J111" s="75">
        <v>3254.11</v>
      </c>
      <c r="K111" s="75">
        <v>2974.43</v>
      </c>
      <c r="L111" s="75">
        <v>20685.310000000001</v>
      </c>
      <c r="M111" s="75">
        <v>33828.18</v>
      </c>
      <c r="N111" s="75">
        <v>4751.1400000000003</v>
      </c>
      <c r="O111" s="75">
        <v>2148.7199999999998</v>
      </c>
      <c r="P111" s="75">
        <v>20438.79</v>
      </c>
      <c r="Q111" s="75">
        <v>32409.34</v>
      </c>
      <c r="R111" s="75">
        <v>3567.07</v>
      </c>
      <c r="S111" s="75">
        <v>2788.41</v>
      </c>
      <c r="T111" s="75">
        <v>17069.490000000002</v>
      </c>
      <c r="U111" s="75">
        <v>29954.36</v>
      </c>
      <c r="W111" s="73">
        <v>98225</v>
      </c>
      <c r="X111" s="15" t="s">
        <v>10</v>
      </c>
      <c r="Y111" s="75">
        <v>23505.279999999999</v>
      </c>
      <c r="Z111" s="75">
        <v>23119.47</v>
      </c>
      <c r="AA111" s="75">
        <v>70995.740000000005</v>
      </c>
      <c r="AB111" s="75">
        <v>141825.93</v>
      </c>
      <c r="AC111" s="75">
        <v>11741.19</v>
      </c>
      <c r="AD111" s="75">
        <v>17745.990000000002</v>
      </c>
      <c r="AE111" s="75">
        <v>74787.539999999994</v>
      </c>
      <c r="AF111" s="75">
        <v>125433.94999999899</v>
      </c>
      <c r="AG111" s="75">
        <v>16223.96</v>
      </c>
      <c r="AH111" s="75">
        <v>8887.9699999999993</v>
      </c>
      <c r="AI111" s="75">
        <v>72553.649999999994</v>
      </c>
      <c r="AJ111" s="75">
        <v>116302.25999999901</v>
      </c>
      <c r="AV111" s="73" t="s">
        <v>140</v>
      </c>
      <c r="AW111" s="73" t="s">
        <v>10</v>
      </c>
      <c r="AX111" s="33">
        <v>30</v>
      </c>
      <c r="AY111" s="33">
        <v>49</v>
      </c>
      <c r="AZ111" s="33">
        <v>59</v>
      </c>
      <c r="BB111" s="73" t="s">
        <v>140</v>
      </c>
      <c r="BC111" s="73" t="s">
        <v>10</v>
      </c>
      <c r="BD111" s="75">
        <v>13909.77</v>
      </c>
      <c r="BE111" s="75">
        <v>50992.28</v>
      </c>
      <c r="BF111" s="75">
        <v>36845.58</v>
      </c>
      <c r="BH111" s="73">
        <v>98225</v>
      </c>
      <c r="BI111" s="73" t="s">
        <v>345</v>
      </c>
      <c r="BJ111" s="75"/>
      <c r="BK111" s="75">
        <v>-56.13</v>
      </c>
      <c r="BL111" s="75">
        <v>-56.13</v>
      </c>
    </row>
    <row r="112" spans="2:64" x14ac:dyDescent="0.2">
      <c r="B112" s="81">
        <v>98070</v>
      </c>
      <c r="C112" s="62" t="s">
        <v>10</v>
      </c>
      <c r="D112" s="46">
        <v>639</v>
      </c>
      <c r="E112" s="46">
        <v>644</v>
      </c>
      <c r="F112" s="46">
        <v>647</v>
      </c>
      <c r="H112" s="73">
        <v>98070</v>
      </c>
      <c r="I112" s="73" t="s">
        <v>345</v>
      </c>
      <c r="J112" s="75">
        <v>6758.36</v>
      </c>
      <c r="K112" s="75">
        <v>5111.37</v>
      </c>
      <c r="L112" s="75">
        <v>34916.159999999902</v>
      </c>
      <c r="M112" s="75">
        <v>61142.51</v>
      </c>
      <c r="N112" s="75">
        <v>4807.78</v>
      </c>
      <c r="O112" s="75">
        <v>3768.29</v>
      </c>
      <c r="P112" s="75">
        <v>37185.359999999899</v>
      </c>
      <c r="Q112" s="75">
        <v>61119.79</v>
      </c>
      <c r="R112" s="75">
        <v>4841.12</v>
      </c>
      <c r="S112" s="75">
        <v>3985.73</v>
      </c>
      <c r="T112" s="75">
        <v>37846.339999999997</v>
      </c>
      <c r="U112" s="75">
        <v>66784.88</v>
      </c>
      <c r="W112" s="73">
        <v>98226</v>
      </c>
      <c r="X112" s="15" t="s">
        <v>10</v>
      </c>
      <c r="Y112" s="75">
        <v>76981.740000000005</v>
      </c>
      <c r="Z112" s="75">
        <v>54808.81</v>
      </c>
      <c r="AA112" s="75">
        <v>257351.739999999</v>
      </c>
      <c r="AB112" s="75">
        <v>445410.30999999901</v>
      </c>
      <c r="AC112" s="75">
        <v>41287.08</v>
      </c>
      <c r="AD112" s="75">
        <v>62442.8</v>
      </c>
      <c r="AE112" s="75">
        <v>271995.75999999902</v>
      </c>
      <c r="AF112" s="75">
        <v>453807.26999999897</v>
      </c>
      <c r="AG112" s="75">
        <v>64018.13</v>
      </c>
      <c r="AH112" s="75">
        <v>36448.15</v>
      </c>
      <c r="AI112" s="75">
        <v>300548.28999999998</v>
      </c>
      <c r="AJ112" s="75">
        <v>457074.64999999898</v>
      </c>
      <c r="AV112" s="73" t="s">
        <v>277</v>
      </c>
      <c r="AW112" s="73" t="s">
        <v>345</v>
      </c>
      <c r="AX112" s="33">
        <v>1</v>
      </c>
      <c r="AY112" s="33">
        <v>2</v>
      </c>
      <c r="AZ112" s="33"/>
      <c r="BB112" s="73" t="s">
        <v>277</v>
      </c>
      <c r="BC112" s="73" t="s">
        <v>345</v>
      </c>
      <c r="BD112" s="75">
        <v>668.84</v>
      </c>
      <c r="BE112" s="75">
        <v>323.3</v>
      </c>
      <c r="BF112" s="75"/>
      <c r="BH112" s="73">
        <v>98225</v>
      </c>
      <c r="BI112" s="73" t="s">
        <v>10</v>
      </c>
      <c r="BJ112" s="75">
        <v>-1182.76</v>
      </c>
      <c r="BK112" s="75">
        <v>-186.02</v>
      </c>
      <c r="BL112" s="75">
        <v>-1509.83</v>
      </c>
    </row>
    <row r="113" spans="2:64" x14ac:dyDescent="0.2">
      <c r="B113" s="56">
        <v>98072</v>
      </c>
      <c r="C113" s="62" t="s">
        <v>345</v>
      </c>
      <c r="D113" s="46">
        <v>148</v>
      </c>
      <c r="E113" s="46">
        <v>128</v>
      </c>
      <c r="F113" s="46">
        <v>135</v>
      </c>
      <c r="H113" s="73">
        <v>98070</v>
      </c>
      <c r="I113" s="73" t="s">
        <v>10</v>
      </c>
      <c r="J113" s="75">
        <v>39896.86</v>
      </c>
      <c r="K113" s="75">
        <v>38580.26</v>
      </c>
      <c r="L113" s="75">
        <v>168277.87</v>
      </c>
      <c r="M113" s="75">
        <v>307727.50999999902</v>
      </c>
      <c r="N113" s="75">
        <v>32040.51</v>
      </c>
      <c r="O113" s="75">
        <v>28738.959999999999</v>
      </c>
      <c r="P113" s="75">
        <v>172850.25999999899</v>
      </c>
      <c r="Q113" s="75">
        <v>278275.21999999898</v>
      </c>
      <c r="R113" s="75">
        <v>27136.639999999999</v>
      </c>
      <c r="S113" s="75">
        <v>23237.59</v>
      </c>
      <c r="T113" s="75">
        <v>170218.31999999899</v>
      </c>
      <c r="U113" s="75">
        <v>268945.06</v>
      </c>
      <c r="W113" s="73">
        <v>98229</v>
      </c>
      <c r="X113" s="15" t="s">
        <v>10</v>
      </c>
      <c r="Y113" s="75">
        <v>25351.95</v>
      </c>
      <c r="Z113" s="75">
        <v>23899.200000000001</v>
      </c>
      <c r="AA113" s="75">
        <v>70676.37</v>
      </c>
      <c r="AB113" s="75">
        <v>143618.13</v>
      </c>
      <c r="AC113" s="75">
        <v>12443.26</v>
      </c>
      <c r="AD113" s="75">
        <v>19148.5</v>
      </c>
      <c r="AE113" s="75">
        <v>78385.179999999906</v>
      </c>
      <c r="AF113" s="75">
        <v>129805.889999999</v>
      </c>
      <c r="AG113" s="75">
        <v>15881.86</v>
      </c>
      <c r="AH113" s="75">
        <v>10314.16</v>
      </c>
      <c r="AI113" s="75">
        <v>82391.92</v>
      </c>
      <c r="AJ113" s="75">
        <v>126476.07</v>
      </c>
      <c r="AV113" s="73" t="s">
        <v>277</v>
      </c>
      <c r="AW113" s="73" t="s">
        <v>10</v>
      </c>
      <c r="AX113" s="33">
        <v>1</v>
      </c>
      <c r="AY113" s="33"/>
      <c r="AZ113" s="33"/>
      <c r="BB113" s="73" t="s">
        <v>277</v>
      </c>
      <c r="BC113" s="73" t="s">
        <v>10</v>
      </c>
      <c r="BD113" s="75">
        <v>232.12</v>
      </c>
      <c r="BE113" s="75"/>
      <c r="BF113" s="75"/>
      <c r="BH113" s="73">
        <v>98226</v>
      </c>
      <c r="BI113" s="73" t="s">
        <v>10</v>
      </c>
      <c r="BJ113" s="75">
        <v>-278.04000000000002</v>
      </c>
      <c r="BK113" s="75">
        <v>-712.2</v>
      </c>
      <c r="BL113" s="75">
        <v>-868.56</v>
      </c>
    </row>
    <row r="114" spans="2:64" x14ac:dyDescent="0.2">
      <c r="B114" s="81">
        <v>98072</v>
      </c>
      <c r="C114" s="62" t="s">
        <v>10</v>
      </c>
      <c r="D114" s="46">
        <v>852</v>
      </c>
      <c r="E114" s="46">
        <v>830</v>
      </c>
      <c r="F114" s="46">
        <v>835</v>
      </c>
      <c r="H114" s="73">
        <v>98072</v>
      </c>
      <c r="I114" s="73" t="s">
        <v>345</v>
      </c>
      <c r="J114" s="75">
        <v>37014.5</v>
      </c>
      <c r="K114" s="75">
        <v>11612.07</v>
      </c>
      <c r="L114" s="75">
        <v>138649.57</v>
      </c>
      <c r="M114" s="75">
        <v>271102.71000000002</v>
      </c>
      <c r="N114" s="75">
        <v>13946.33</v>
      </c>
      <c r="O114" s="75">
        <v>32062.49</v>
      </c>
      <c r="P114" s="75">
        <v>141095.21</v>
      </c>
      <c r="Q114" s="75">
        <v>230786.99</v>
      </c>
      <c r="R114" s="75">
        <v>25769.84</v>
      </c>
      <c r="S114" s="75">
        <v>10050.620000000001</v>
      </c>
      <c r="T114" s="75">
        <v>162853.84999999899</v>
      </c>
      <c r="U114" s="75">
        <v>286583.59999999899</v>
      </c>
      <c r="W114" s="73">
        <v>98230</v>
      </c>
      <c r="X114" s="15" t="s">
        <v>10</v>
      </c>
      <c r="Y114" s="75">
        <v>11044.05</v>
      </c>
      <c r="Z114" s="75">
        <v>12731.98</v>
      </c>
      <c r="AA114" s="75">
        <v>54029.7</v>
      </c>
      <c r="AB114" s="75">
        <v>88546.64</v>
      </c>
      <c r="AC114" s="75">
        <v>7439.32</v>
      </c>
      <c r="AD114" s="75">
        <v>9125.11</v>
      </c>
      <c r="AE114" s="75">
        <v>52826.45</v>
      </c>
      <c r="AF114" s="75">
        <v>79598.81</v>
      </c>
      <c r="AG114" s="75">
        <v>7355.09</v>
      </c>
      <c r="AH114" s="75">
        <v>6879.99</v>
      </c>
      <c r="AI114" s="75">
        <v>55687.4</v>
      </c>
      <c r="AJ114" s="75">
        <v>81472.25</v>
      </c>
      <c r="AV114" s="73" t="s">
        <v>278</v>
      </c>
      <c r="AW114" s="73" t="s">
        <v>345</v>
      </c>
      <c r="AX114" s="33">
        <v>1</v>
      </c>
      <c r="AY114" s="33">
        <v>1</v>
      </c>
      <c r="AZ114" s="33"/>
      <c r="BB114" s="73" t="s">
        <v>278</v>
      </c>
      <c r="BC114" s="73" t="s">
        <v>345</v>
      </c>
      <c r="BD114" s="75">
        <v>699.54</v>
      </c>
      <c r="BE114" s="75">
        <v>158.63</v>
      </c>
      <c r="BF114" s="75"/>
      <c r="BH114" s="73">
        <v>98229</v>
      </c>
      <c r="BI114" s="73" t="s">
        <v>345</v>
      </c>
      <c r="BJ114" s="75">
        <v>-304.52999999999997</v>
      </c>
      <c r="BK114" s="75"/>
      <c r="BL114" s="75"/>
    </row>
    <row r="115" spans="2:64" x14ac:dyDescent="0.2">
      <c r="B115" s="56">
        <v>98074</v>
      </c>
      <c r="C115" s="62" t="s">
        <v>345</v>
      </c>
      <c r="D115" s="46">
        <v>66</v>
      </c>
      <c r="E115" s="46">
        <v>74</v>
      </c>
      <c r="F115" s="46">
        <v>99</v>
      </c>
      <c r="H115" s="73">
        <v>98072</v>
      </c>
      <c r="I115" s="73" t="s">
        <v>10</v>
      </c>
      <c r="J115" s="75">
        <v>44519.85</v>
      </c>
      <c r="K115" s="75">
        <v>37147.72</v>
      </c>
      <c r="L115" s="75">
        <v>189210.83</v>
      </c>
      <c r="M115" s="75">
        <v>341825.58</v>
      </c>
      <c r="N115" s="75">
        <v>40768.39</v>
      </c>
      <c r="O115" s="75">
        <v>34440.22</v>
      </c>
      <c r="P115" s="75">
        <v>204343.92</v>
      </c>
      <c r="Q115" s="75">
        <v>336472.74</v>
      </c>
      <c r="R115" s="75">
        <v>30914.68</v>
      </c>
      <c r="S115" s="75">
        <v>29855.24</v>
      </c>
      <c r="T115" s="75">
        <v>194124.429999999</v>
      </c>
      <c r="U115" s="75">
        <v>316222.239999999</v>
      </c>
      <c r="W115" s="73">
        <v>98232</v>
      </c>
      <c r="X115" s="15" t="s">
        <v>10</v>
      </c>
      <c r="Y115" s="75">
        <v>1000.13</v>
      </c>
      <c r="Z115" s="75">
        <v>2550.0500000000002</v>
      </c>
      <c r="AA115" s="75">
        <v>4417.62</v>
      </c>
      <c r="AB115" s="75">
        <v>10267.950000000001</v>
      </c>
      <c r="AC115" s="75">
        <v>1514.13</v>
      </c>
      <c r="AD115" s="75">
        <v>654.84</v>
      </c>
      <c r="AE115" s="75">
        <v>6238.1999999999898</v>
      </c>
      <c r="AF115" s="75">
        <v>9426.6299999999992</v>
      </c>
      <c r="AG115" s="75">
        <v>707.63</v>
      </c>
      <c r="AH115" s="75">
        <v>1250.3399999999999</v>
      </c>
      <c r="AI115" s="75">
        <v>5113.1499999999996</v>
      </c>
      <c r="AJ115" s="75">
        <v>9610.7199999999993</v>
      </c>
      <c r="AV115" s="73" t="s">
        <v>278</v>
      </c>
      <c r="AW115" s="73" t="s">
        <v>10</v>
      </c>
      <c r="AX115" s="33">
        <v>3</v>
      </c>
      <c r="AY115" s="33">
        <v>6</v>
      </c>
      <c r="AZ115" s="33">
        <v>7</v>
      </c>
      <c r="BB115" s="73" t="s">
        <v>278</v>
      </c>
      <c r="BC115" s="73" t="s">
        <v>10</v>
      </c>
      <c r="BD115" s="75">
        <v>762.74</v>
      </c>
      <c r="BE115" s="75">
        <v>710.31</v>
      </c>
      <c r="BF115" s="75">
        <v>1425.71</v>
      </c>
      <c r="BH115" s="73">
        <v>98229</v>
      </c>
      <c r="BI115" s="73" t="s">
        <v>10</v>
      </c>
      <c r="BJ115" s="75">
        <v>-441.27</v>
      </c>
      <c r="BK115" s="75">
        <v>-289.99</v>
      </c>
      <c r="BL115" s="75">
        <v>-418.52</v>
      </c>
    </row>
    <row r="116" spans="2:64" x14ac:dyDescent="0.2">
      <c r="B116" s="81">
        <v>98074</v>
      </c>
      <c r="C116" s="62" t="s">
        <v>10</v>
      </c>
      <c r="D116" s="46">
        <v>958</v>
      </c>
      <c r="E116" s="46">
        <v>898</v>
      </c>
      <c r="F116" s="46">
        <v>1026</v>
      </c>
      <c r="H116" s="73">
        <v>98074</v>
      </c>
      <c r="I116" s="73" t="s">
        <v>345</v>
      </c>
      <c r="J116" s="75">
        <v>4334.09</v>
      </c>
      <c r="K116" s="75">
        <v>5162.83</v>
      </c>
      <c r="L116" s="75">
        <v>15071.81</v>
      </c>
      <c r="M116" s="75">
        <v>39870.339999999997</v>
      </c>
      <c r="N116" s="75">
        <v>1881.6</v>
      </c>
      <c r="O116" s="75">
        <v>2640.89</v>
      </c>
      <c r="P116" s="75">
        <v>17800.66</v>
      </c>
      <c r="Q116" s="75">
        <v>59852.27</v>
      </c>
      <c r="R116" s="75">
        <v>6441.93</v>
      </c>
      <c r="S116" s="75">
        <v>1678.45</v>
      </c>
      <c r="T116" s="75">
        <v>19137.66</v>
      </c>
      <c r="U116" s="75">
        <v>58715.529999999897</v>
      </c>
      <c r="W116" s="73">
        <v>98233</v>
      </c>
      <c r="X116" s="15" t="s">
        <v>10</v>
      </c>
      <c r="Y116" s="75">
        <v>9769.91</v>
      </c>
      <c r="Z116" s="75">
        <v>7932.96</v>
      </c>
      <c r="AA116" s="75">
        <v>24352.87</v>
      </c>
      <c r="AB116" s="75">
        <v>51884.89</v>
      </c>
      <c r="AC116" s="75">
        <v>1297.3499999999999</v>
      </c>
      <c r="AD116" s="75">
        <v>7681.37</v>
      </c>
      <c r="AE116" s="75">
        <v>28358.97</v>
      </c>
      <c r="AF116" s="75">
        <v>46874.17</v>
      </c>
      <c r="AG116" s="75">
        <v>7447.65</v>
      </c>
      <c r="AH116" s="75">
        <v>1087.1300000000001</v>
      </c>
      <c r="AI116" s="75">
        <v>30640.889999999901</v>
      </c>
      <c r="AJ116" s="75">
        <v>49582.61</v>
      </c>
      <c r="AV116" s="73" t="s">
        <v>279</v>
      </c>
      <c r="AW116" s="73" t="s">
        <v>345</v>
      </c>
      <c r="AX116" s="33">
        <v>2</v>
      </c>
      <c r="AY116" s="33">
        <v>2</v>
      </c>
      <c r="AZ116" s="33">
        <v>2</v>
      </c>
      <c r="BB116" s="73" t="s">
        <v>279</v>
      </c>
      <c r="BC116" s="73" t="s">
        <v>345</v>
      </c>
      <c r="BD116" s="75">
        <v>2592.21</v>
      </c>
      <c r="BE116" s="75">
        <v>2172.48</v>
      </c>
      <c r="BF116" s="75">
        <v>405.82</v>
      </c>
      <c r="BH116" s="73">
        <v>98230</v>
      </c>
      <c r="BI116" s="73" t="s">
        <v>10</v>
      </c>
      <c r="BJ116" s="75">
        <v>-238.73</v>
      </c>
      <c r="BK116" s="75">
        <v>-282.81</v>
      </c>
      <c r="BL116" s="75">
        <v>-125.59</v>
      </c>
    </row>
    <row r="117" spans="2:64" x14ac:dyDescent="0.2">
      <c r="B117" s="56">
        <v>98075</v>
      </c>
      <c r="C117" s="62" t="s">
        <v>345</v>
      </c>
      <c r="D117" s="46">
        <v>62</v>
      </c>
      <c r="E117" s="46">
        <v>24</v>
      </c>
      <c r="F117" s="46">
        <v>83</v>
      </c>
      <c r="H117" s="73">
        <v>98074</v>
      </c>
      <c r="I117" s="73" t="s">
        <v>10</v>
      </c>
      <c r="J117" s="75">
        <v>45735.23</v>
      </c>
      <c r="K117" s="75">
        <v>28465.14</v>
      </c>
      <c r="L117" s="75">
        <v>135354.609999999</v>
      </c>
      <c r="M117" s="75">
        <v>313718.09000000003</v>
      </c>
      <c r="N117" s="75">
        <v>40220.239999999998</v>
      </c>
      <c r="O117" s="75">
        <v>27509.27</v>
      </c>
      <c r="P117" s="75">
        <v>145480.16</v>
      </c>
      <c r="Q117" s="75">
        <v>310172.28999999998</v>
      </c>
      <c r="R117" s="75">
        <v>39233.129999999997</v>
      </c>
      <c r="S117" s="75">
        <v>25979.48</v>
      </c>
      <c r="T117" s="75">
        <v>147610.39000000001</v>
      </c>
      <c r="U117" s="75">
        <v>331440.51</v>
      </c>
      <c r="W117" s="73">
        <v>98235</v>
      </c>
      <c r="X117" s="15" t="s">
        <v>10</v>
      </c>
      <c r="Y117" s="75">
        <v>569.97</v>
      </c>
      <c r="Z117" s="75">
        <v>1837.39</v>
      </c>
      <c r="AA117" s="75">
        <v>5169.6899999999996</v>
      </c>
      <c r="AB117" s="75">
        <v>9039.75</v>
      </c>
      <c r="AC117" s="75">
        <v>820.13</v>
      </c>
      <c r="AD117" s="75">
        <v>237.98</v>
      </c>
      <c r="AE117" s="75">
        <v>3113.0599999999899</v>
      </c>
      <c r="AF117" s="75">
        <v>4414.54</v>
      </c>
      <c r="AG117" s="75">
        <v>243.37</v>
      </c>
      <c r="AH117" s="75">
        <v>820.13</v>
      </c>
      <c r="AI117" s="75">
        <v>3300.4399999999901</v>
      </c>
      <c r="AJ117" s="75">
        <v>4890.08</v>
      </c>
      <c r="AV117" s="73" t="s">
        <v>279</v>
      </c>
      <c r="AW117" s="73" t="s">
        <v>10</v>
      </c>
      <c r="AX117" s="33">
        <v>11</v>
      </c>
      <c r="AY117" s="33">
        <v>9</v>
      </c>
      <c r="AZ117" s="33">
        <v>17</v>
      </c>
      <c r="BB117" s="73" t="s">
        <v>279</v>
      </c>
      <c r="BC117" s="73" t="s">
        <v>10</v>
      </c>
      <c r="BD117" s="75">
        <v>1708.37</v>
      </c>
      <c r="BE117" s="75">
        <v>2581.4699999999998</v>
      </c>
      <c r="BF117" s="75">
        <v>6313.53</v>
      </c>
      <c r="BH117" s="73">
        <v>98233</v>
      </c>
      <c r="BI117" s="73" t="s">
        <v>345</v>
      </c>
      <c r="BJ117" s="75">
        <v>-290.24</v>
      </c>
      <c r="BK117" s="75"/>
      <c r="BL117" s="75"/>
    </row>
    <row r="118" spans="2:64" x14ac:dyDescent="0.2">
      <c r="B118" s="81">
        <v>98075</v>
      </c>
      <c r="C118" s="62" t="s">
        <v>10</v>
      </c>
      <c r="D118" s="46">
        <v>715</v>
      </c>
      <c r="E118" s="46">
        <v>708</v>
      </c>
      <c r="F118" s="46">
        <v>715</v>
      </c>
      <c r="H118" s="73">
        <v>98075</v>
      </c>
      <c r="I118" s="73" t="s">
        <v>345</v>
      </c>
      <c r="J118" s="75">
        <v>1842.87</v>
      </c>
      <c r="K118" s="75">
        <v>478.04</v>
      </c>
      <c r="L118" s="75">
        <v>14420.68</v>
      </c>
      <c r="M118" s="75">
        <v>21455.86</v>
      </c>
      <c r="N118" s="75">
        <v>373.87</v>
      </c>
      <c r="O118" s="75">
        <v>350.13</v>
      </c>
      <c r="P118" s="75">
        <v>14788.7</v>
      </c>
      <c r="Q118" s="75">
        <v>18927.13</v>
      </c>
      <c r="R118" s="75">
        <v>476.18</v>
      </c>
      <c r="S118" s="75">
        <v>373.87</v>
      </c>
      <c r="T118" s="75">
        <v>12908.75</v>
      </c>
      <c r="U118" s="75">
        <v>48823.549999999901</v>
      </c>
      <c r="W118" s="73">
        <v>98236</v>
      </c>
      <c r="X118" s="15" t="s">
        <v>10</v>
      </c>
      <c r="Y118" s="75">
        <v>5787.71</v>
      </c>
      <c r="Z118" s="75">
        <v>5133.24</v>
      </c>
      <c r="AA118" s="75">
        <v>22326.959999999999</v>
      </c>
      <c r="AB118" s="75">
        <v>39490.480000000003</v>
      </c>
      <c r="AC118" s="75">
        <v>3007.39</v>
      </c>
      <c r="AD118" s="75">
        <v>4785.5</v>
      </c>
      <c r="AE118" s="75">
        <v>23138.69</v>
      </c>
      <c r="AF118" s="75">
        <v>34546.859999999899</v>
      </c>
      <c r="AG118" s="75">
        <v>3416.94</v>
      </c>
      <c r="AH118" s="75">
        <v>2919.32</v>
      </c>
      <c r="AI118" s="75">
        <v>22921.81</v>
      </c>
      <c r="AJ118" s="75">
        <v>33062.35</v>
      </c>
      <c r="AV118" s="73" t="s">
        <v>280</v>
      </c>
      <c r="AW118" s="73" t="s">
        <v>10</v>
      </c>
      <c r="AX118" s="33">
        <v>2</v>
      </c>
      <c r="AY118" s="33">
        <v>4</v>
      </c>
      <c r="AZ118" s="33"/>
      <c r="BB118" s="73" t="s">
        <v>280</v>
      </c>
      <c r="BC118" s="73" t="s">
        <v>10</v>
      </c>
      <c r="BD118" s="75">
        <v>82.5</v>
      </c>
      <c r="BE118" s="75">
        <v>564.15</v>
      </c>
      <c r="BF118" s="75"/>
      <c r="BH118" s="73">
        <v>98233</v>
      </c>
      <c r="BI118" s="73" t="s">
        <v>10</v>
      </c>
      <c r="BJ118" s="75">
        <v>-487.84</v>
      </c>
      <c r="BK118" s="75"/>
      <c r="BL118" s="75">
        <v>-153.27000000000001</v>
      </c>
    </row>
    <row r="119" spans="2:64" x14ac:dyDescent="0.2">
      <c r="B119" s="56">
        <v>98077</v>
      </c>
      <c r="C119" s="62" t="s">
        <v>345</v>
      </c>
      <c r="D119" s="46">
        <v>19</v>
      </c>
      <c r="E119" s="46">
        <v>22</v>
      </c>
      <c r="F119" s="46">
        <v>24</v>
      </c>
      <c r="H119" s="73">
        <v>98075</v>
      </c>
      <c r="I119" s="73" t="s">
        <v>10</v>
      </c>
      <c r="J119" s="75">
        <v>38357.46</v>
      </c>
      <c r="K119" s="75">
        <v>24154.86</v>
      </c>
      <c r="L119" s="75">
        <v>93080.31</v>
      </c>
      <c r="M119" s="75">
        <v>238209.93999999901</v>
      </c>
      <c r="N119" s="75">
        <v>22323.119999999999</v>
      </c>
      <c r="O119" s="75">
        <v>16611.060000000001</v>
      </c>
      <c r="P119" s="75">
        <v>104101.75999999999</v>
      </c>
      <c r="Q119" s="75">
        <v>229114.49</v>
      </c>
      <c r="R119" s="75">
        <v>27977.040000000001</v>
      </c>
      <c r="S119" s="75">
        <v>12394.45</v>
      </c>
      <c r="T119" s="75">
        <v>105337.08</v>
      </c>
      <c r="U119" s="75">
        <v>236686.29</v>
      </c>
      <c r="W119" s="73">
        <v>98237</v>
      </c>
      <c r="X119" s="15" t="s">
        <v>10</v>
      </c>
      <c r="Y119" s="75">
        <v>12031.61</v>
      </c>
      <c r="Z119" s="75">
        <v>19060.64</v>
      </c>
      <c r="AA119" s="75">
        <v>76609.27</v>
      </c>
      <c r="AB119" s="75">
        <v>126400.36</v>
      </c>
      <c r="AC119" s="75">
        <v>16757.349999999999</v>
      </c>
      <c r="AD119" s="75">
        <v>8143.58</v>
      </c>
      <c r="AE119" s="75">
        <v>88873.029999999897</v>
      </c>
      <c r="AF119" s="75">
        <v>122446.46</v>
      </c>
      <c r="AG119" s="75">
        <v>7069.23</v>
      </c>
      <c r="AH119" s="75">
        <v>15753.65</v>
      </c>
      <c r="AI119" s="75">
        <v>88908.299999999901</v>
      </c>
      <c r="AJ119" s="75">
        <v>128390.37</v>
      </c>
      <c r="AV119" s="73" t="s">
        <v>281</v>
      </c>
      <c r="AW119" s="73" t="s">
        <v>345</v>
      </c>
      <c r="AX119" s="33"/>
      <c r="AY119" s="33"/>
      <c r="AZ119" s="33">
        <v>1</v>
      </c>
      <c r="BB119" s="73" t="s">
        <v>281</v>
      </c>
      <c r="BC119" s="73" t="s">
        <v>345</v>
      </c>
      <c r="BD119" s="75"/>
      <c r="BE119" s="75"/>
      <c r="BF119" s="75">
        <v>208.75</v>
      </c>
      <c r="BH119" s="73">
        <v>98236</v>
      </c>
      <c r="BI119" s="73" t="s">
        <v>345</v>
      </c>
      <c r="BJ119" s="75"/>
      <c r="BK119" s="75"/>
      <c r="BL119" s="75">
        <v>-500.76</v>
      </c>
    </row>
    <row r="120" spans="2:64" x14ac:dyDescent="0.2">
      <c r="B120" s="81">
        <v>98077</v>
      </c>
      <c r="C120" s="62" t="s">
        <v>10</v>
      </c>
      <c r="D120" s="46">
        <v>193</v>
      </c>
      <c r="E120" s="46">
        <v>167</v>
      </c>
      <c r="F120" s="46">
        <v>204</v>
      </c>
      <c r="H120" s="73">
        <v>98077</v>
      </c>
      <c r="I120" s="73" t="s">
        <v>345</v>
      </c>
      <c r="J120" s="75">
        <v>717.02</v>
      </c>
      <c r="K120" s="75">
        <v>624.1</v>
      </c>
      <c r="L120" s="75">
        <v>6872.66</v>
      </c>
      <c r="M120" s="75">
        <v>9865.44</v>
      </c>
      <c r="N120" s="75">
        <v>715.54</v>
      </c>
      <c r="O120" s="75">
        <v>553.76</v>
      </c>
      <c r="P120" s="75">
        <v>7452.2999999999902</v>
      </c>
      <c r="Q120" s="75">
        <v>10395.26</v>
      </c>
      <c r="R120" s="75">
        <v>450.84</v>
      </c>
      <c r="S120" s="75">
        <v>421.81</v>
      </c>
      <c r="T120" s="75">
        <v>8006.06</v>
      </c>
      <c r="U120" s="75">
        <v>19425.64</v>
      </c>
      <c r="W120" s="73">
        <v>98239</v>
      </c>
      <c r="X120" s="15" t="s">
        <v>10</v>
      </c>
      <c r="Y120" s="75">
        <v>4488.96</v>
      </c>
      <c r="Z120" s="75">
        <v>4106.9799999999996</v>
      </c>
      <c r="AA120" s="75">
        <v>23610.09</v>
      </c>
      <c r="AB120" s="75">
        <v>37447.339999999997</v>
      </c>
      <c r="AC120" s="75">
        <v>2945.3</v>
      </c>
      <c r="AD120" s="75">
        <v>3588.64</v>
      </c>
      <c r="AE120" s="75">
        <v>21406.7599999999</v>
      </c>
      <c r="AF120" s="75">
        <v>32593.33</v>
      </c>
      <c r="AG120" s="75">
        <v>4094.07</v>
      </c>
      <c r="AH120" s="75">
        <v>2562.75</v>
      </c>
      <c r="AI120" s="75">
        <v>21979.23</v>
      </c>
      <c r="AJ120" s="75">
        <v>32729.03</v>
      </c>
      <c r="AV120" s="73" t="s">
        <v>281</v>
      </c>
      <c r="AW120" s="73" t="s">
        <v>10</v>
      </c>
      <c r="AX120" s="33">
        <v>4</v>
      </c>
      <c r="AY120" s="33">
        <v>11</v>
      </c>
      <c r="AZ120" s="33">
        <v>22</v>
      </c>
      <c r="BB120" s="73" t="s">
        <v>281</v>
      </c>
      <c r="BC120" s="73" t="s">
        <v>10</v>
      </c>
      <c r="BD120" s="75">
        <v>32.24</v>
      </c>
      <c r="BE120" s="75">
        <v>3769.31</v>
      </c>
      <c r="BF120" s="75">
        <v>5426.25</v>
      </c>
      <c r="BH120" s="73">
        <v>98236</v>
      </c>
      <c r="BI120" s="73" t="s">
        <v>10</v>
      </c>
      <c r="BJ120" s="75"/>
      <c r="BK120" s="75"/>
      <c r="BL120" s="75">
        <v>-364.53</v>
      </c>
    </row>
    <row r="121" spans="2:64" x14ac:dyDescent="0.2">
      <c r="B121" s="56">
        <v>98087</v>
      </c>
      <c r="C121" s="62" t="s">
        <v>345</v>
      </c>
      <c r="D121" s="46">
        <v>23</v>
      </c>
      <c r="E121" s="46">
        <v>20</v>
      </c>
      <c r="F121" s="46">
        <v>30</v>
      </c>
      <c r="H121" s="73">
        <v>98077</v>
      </c>
      <c r="I121" s="73" t="s">
        <v>10</v>
      </c>
      <c r="J121" s="75">
        <v>21890.92</v>
      </c>
      <c r="K121" s="75">
        <v>14524.11</v>
      </c>
      <c r="L121" s="75">
        <v>84744.8</v>
      </c>
      <c r="M121" s="75">
        <v>154099.12</v>
      </c>
      <c r="N121" s="75">
        <v>14817.59</v>
      </c>
      <c r="O121" s="75">
        <v>16499.25</v>
      </c>
      <c r="P121" s="75">
        <v>88696.65</v>
      </c>
      <c r="Q121" s="75">
        <v>143579.15</v>
      </c>
      <c r="R121" s="75">
        <v>13492.68</v>
      </c>
      <c r="S121" s="75">
        <v>11000.15</v>
      </c>
      <c r="T121" s="75">
        <v>97290.04</v>
      </c>
      <c r="U121" s="75">
        <v>147962.18</v>
      </c>
      <c r="W121" s="73">
        <v>98240</v>
      </c>
      <c r="X121" s="15" t="s">
        <v>10</v>
      </c>
      <c r="Y121" s="75">
        <v>2808.43</v>
      </c>
      <c r="Z121" s="75">
        <v>3195.43</v>
      </c>
      <c r="AA121" s="75">
        <v>8774.2199999999993</v>
      </c>
      <c r="AB121" s="75">
        <v>17997.269999999899</v>
      </c>
      <c r="AC121" s="75">
        <v>2923.38</v>
      </c>
      <c r="AD121" s="75">
        <v>2541.3000000000002</v>
      </c>
      <c r="AE121" s="75">
        <v>9894.49</v>
      </c>
      <c r="AF121" s="75">
        <v>18472.23</v>
      </c>
      <c r="AG121" s="75">
        <v>2777.73</v>
      </c>
      <c r="AH121" s="75">
        <v>2627.72</v>
      </c>
      <c r="AI121" s="75">
        <v>9428.83</v>
      </c>
      <c r="AJ121" s="75">
        <v>18015.3299999999</v>
      </c>
      <c r="AV121" s="73" t="s">
        <v>282</v>
      </c>
      <c r="AW121" s="73" t="s">
        <v>345</v>
      </c>
      <c r="AX121" s="33"/>
      <c r="AY121" s="33">
        <v>1</v>
      </c>
      <c r="AZ121" s="33"/>
      <c r="BB121" s="73" t="s">
        <v>282</v>
      </c>
      <c r="BC121" s="73" t="s">
        <v>345</v>
      </c>
      <c r="BD121" s="75"/>
      <c r="BE121" s="75">
        <v>2059.69</v>
      </c>
      <c r="BF121" s="75"/>
      <c r="BH121" s="73">
        <v>98237</v>
      </c>
      <c r="BI121" s="73" t="s">
        <v>10</v>
      </c>
      <c r="BJ121" s="75">
        <v>-65</v>
      </c>
      <c r="BK121" s="75">
        <v>-50</v>
      </c>
      <c r="BL121" s="75">
        <v>-77.849999999999994</v>
      </c>
    </row>
    <row r="122" spans="2:64" x14ac:dyDescent="0.2">
      <c r="B122" s="81">
        <v>98087</v>
      </c>
      <c r="C122" s="62" t="s">
        <v>10</v>
      </c>
      <c r="D122" s="46">
        <v>833</v>
      </c>
      <c r="E122" s="46">
        <v>787</v>
      </c>
      <c r="F122" s="46">
        <v>812</v>
      </c>
      <c r="H122" s="73">
        <v>98087</v>
      </c>
      <c r="I122" s="73" t="s">
        <v>345</v>
      </c>
      <c r="J122" s="75">
        <v>3074.71</v>
      </c>
      <c r="K122" s="75">
        <v>1042.0899999999999</v>
      </c>
      <c r="L122" s="75">
        <v>10754.6</v>
      </c>
      <c r="M122" s="75">
        <v>18804.089999999898</v>
      </c>
      <c r="N122" s="75">
        <v>888.54</v>
      </c>
      <c r="O122" s="75">
        <v>1035.6400000000001</v>
      </c>
      <c r="P122" s="75">
        <v>10500.65</v>
      </c>
      <c r="Q122" s="75">
        <v>14216.81</v>
      </c>
      <c r="R122" s="75">
        <v>914.83</v>
      </c>
      <c r="S122" s="75">
        <v>849.31</v>
      </c>
      <c r="T122" s="75">
        <v>11322.22</v>
      </c>
      <c r="U122" s="75">
        <v>16117.17</v>
      </c>
      <c r="W122" s="73">
        <v>98244</v>
      </c>
      <c r="X122" s="15" t="s">
        <v>10</v>
      </c>
      <c r="Y122" s="75">
        <v>10538.3</v>
      </c>
      <c r="Z122" s="75">
        <v>2726.14</v>
      </c>
      <c r="AA122" s="75">
        <v>33353.730000000003</v>
      </c>
      <c r="AB122" s="75">
        <v>50266.52</v>
      </c>
      <c r="AC122" s="75">
        <v>2714.15</v>
      </c>
      <c r="AD122" s="75">
        <v>9066.77</v>
      </c>
      <c r="AE122" s="75">
        <v>33504.019999999997</v>
      </c>
      <c r="AF122" s="75">
        <v>53873.519999999902</v>
      </c>
      <c r="AG122" s="75">
        <v>7125.46</v>
      </c>
      <c r="AH122" s="75">
        <v>2405.17</v>
      </c>
      <c r="AI122" s="75">
        <v>41246.129999999997</v>
      </c>
      <c r="AJ122" s="75">
        <v>53713.99</v>
      </c>
      <c r="AV122" s="73" t="s">
        <v>282</v>
      </c>
      <c r="AW122" s="73" t="s">
        <v>10</v>
      </c>
      <c r="AX122" s="33">
        <v>8</v>
      </c>
      <c r="AY122" s="33">
        <v>10</v>
      </c>
      <c r="AZ122" s="33">
        <v>9</v>
      </c>
      <c r="BB122" s="73" t="s">
        <v>282</v>
      </c>
      <c r="BC122" s="73" t="s">
        <v>10</v>
      </c>
      <c r="BD122" s="75">
        <v>681.26</v>
      </c>
      <c r="BE122" s="75">
        <v>4577.71</v>
      </c>
      <c r="BF122" s="75">
        <v>1770.48</v>
      </c>
      <c r="BH122" s="73">
        <v>98239</v>
      </c>
      <c r="BI122" s="73" t="s">
        <v>10</v>
      </c>
      <c r="BJ122" s="75"/>
      <c r="BK122" s="75"/>
      <c r="BL122" s="75">
        <v>-355.28</v>
      </c>
    </row>
    <row r="123" spans="2:64" x14ac:dyDescent="0.2">
      <c r="B123" s="56">
        <v>98092</v>
      </c>
      <c r="C123" s="62" t="s">
        <v>345</v>
      </c>
      <c r="D123" s="46">
        <v>386</v>
      </c>
      <c r="E123" s="46">
        <v>235</v>
      </c>
      <c r="F123" s="46">
        <v>254</v>
      </c>
      <c r="H123" s="73">
        <v>98087</v>
      </c>
      <c r="I123" s="73" t="s">
        <v>10</v>
      </c>
      <c r="J123" s="75">
        <v>28879.8</v>
      </c>
      <c r="K123" s="75">
        <v>27399.37</v>
      </c>
      <c r="L123" s="75">
        <v>119308.36</v>
      </c>
      <c r="M123" s="75">
        <v>210865.649999999</v>
      </c>
      <c r="N123" s="75">
        <v>21073.64</v>
      </c>
      <c r="O123" s="75">
        <v>20924.8</v>
      </c>
      <c r="P123" s="75">
        <v>123911.16999999899</v>
      </c>
      <c r="Q123" s="75">
        <v>192449.98</v>
      </c>
      <c r="R123" s="75">
        <v>16818.11</v>
      </c>
      <c r="S123" s="75">
        <v>16119.1</v>
      </c>
      <c r="T123" s="75">
        <v>128736.08999999901</v>
      </c>
      <c r="U123" s="75">
        <v>184463.799999999</v>
      </c>
      <c r="W123" s="73">
        <v>98247</v>
      </c>
      <c r="X123" s="15" t="s">
        <v>10</v>
      </c>
      <c r="Y123" s="75">
        <v>5534.59</v>
      </c>
      <c r="Z123" s="75">
        <v>5422.31</v>
      </c>
      <c r="AA123" s="75">
        <v>33479.379999999997</v>
      </c>
      <c r="AB123" s="75">
        <v>51567</v>
      </c>
      <c r="AC123" s="75">
        <v>5434.39</v>
      </c>
      <c r="AD123" s="75">
        <v>4664.25</v>
      </c>
      <c r="AE123" s="75">
        <v>35949.78</v>
      </c>
      <c r="AF123" s="75">
        <v>52942.429999999898</v>
      </c>
      <c r="AG123" s="75">
        <v>5773.6</v>
      </c>
      <c r="AH123" s="75">
        <v>4438.7299999999996</v>
      </c>
      <c r="AI123" s="75">
        <v>37422.39</v>
      </c>
      <c r="AJ123" s="75">
        <v>55903.39</v>
      </c>
      <c r="AV123" s="73" t="s">
        <v>283</v>
      </c>
      <c r="AW123" s="73" t="s">
        <v>345</v>
      </c>
      <c r="AX123" s="33"/>
      <c r="AY123" s="33">
        <v>2</v>
      </c>
      <c r="AZ123" s="33">
        <v>1</v>
      </c>
      <c r="BB123" s="73" t="s">
        <v>283</v>
      </c>
      <c r="BC123" s="73" t="s">
        <v>345</v>
      </c>
      <c r="BD123" s="75"/>
      <c r="BE123" s="75">
        <v>4026.68</v>
      </c>
      <c r="BF123" s="75">
        <v>709.03</v>
      </c>
      <c r="BH123" s="73">
        <v>98240</v>
      </c>
      <c r="BI123" s="73" t="s">
        <v>10</v>
      </c>
      <c r="BJ123" s="75">
        <v>-100</v>
      </c>
      <c r="BK123" s="75">
        <v>-100</v>
      </c>
      <c r="BL123" s="75">
        <v>-100</v>
      </c>
    </row>
    <row r="124" spans="2:64" x14ac:dyDescent="0.2">
      <c r="B124" s="81">
        <v>98092</v>
      </c>
      <c r="C124" s="62" t="s">
        <v>10</v>
      </c>
      <c r="D124" s="46">
        <v>4224</v>
      </c>
      <c r="E124" s="46">
        <v>4037</v>
      </c>
      <c r="F124" s="46">
        <v>4249</v>
      </c>
      <c r="H124" s="73">
        <v>98092</v>
      </c>
      <c r="I124" s="73" t="s">
        <v>345</v>
      </c>
      <c r="J124" s="75">
        <v>20406.259999999998</v>
      </c>
      <c r="K124" s="75">
        <v>25954.53</v>
      </c>
      <c r="L124" s="75">
        <v>51890.8999999999</v>
      </c>
      <c r="M124" s="75">
        <v>304016.86999999901</v>
      </c>
      <c r="N124" s="75">
        <v>34321.730000000003</v>
      </c>
      <c r="O124" s="75">
        <v>4752.13</v>
      </c>
      <c r="P124" s="75">
        <v>42972.81</v>
      </c>
      <c r="Q124" s="75">
        <v>160243.19</v>
      </c>
      <c r="R124" s="75">
        <v>14152.01</v>
      </c>
      <c r="S124" s="75">
        <v>32375.7</v>
      </c>
      <c r="T124" s="75">
        <v>45483.71</v>
      </c>
      <c r="U124" s="75">
        <v>251725.84</v>
      </c>
      <c r="W124" s="73">
        <v>98248</v>
      </c>
      <c r="X124" s="15" t="s">
        <v>10</v>
      </c>
      <c r="Y124" s="75">
        <v>28599.58</v>
      </c>
      <c r="Z124" s="75">
        <v>26544.34</v>
      </c>
      <c r="AA124" s="75">
        <v>104959.24</v>
      </c>
      <c r="AB124" s="75">
        <v>188345.71999999901</v>
      </c>
      <c r="AC124" s="75">
        <v>20282.669999999998</v>
      </c>
      <c r="AD124" s="75">
        <v>22598.52</v>
      </c>
      <c r="AE124" s="75">
        <v>103873.76</v>
      </c>
      <c r="AF124" s="75">
        <v>174779.109999999</v>
      </c>
      <c r="AG124" s="75">
        <v>22517.27</v>
      </c>
      <c r="AH124" s="75">
        <v>16933.03</v>
      </c>
      <c r="AI124" s="75">
        <v>111155.129999999</v>
      </c>
      <c r="AJ124" s="75">
        <v>181117.239999999</v>
      </c>
      <c r="AV124" s="73" t="s">
        <v>283</v>
      </c>
      <c r="AW124" s="73" t="s">
        <v>10</v>
      </c>
      <c r="AX124" s="33">
        <v>5</v>
      </c>
      <c r="AY124" s="33">
        <v>10</v>
      </c>
      <c r="AZ124" s="33">
        <v>3</v>
      </c>
      <c r="BB124" s="73" t="s">
        <v>283</v>
      </c>
      <c r="BC124" s="73" t="s">
        <v>10</v>
      </c>
      <c r="BD124" s="75">
        <v>336.6</v>
      </c>
      <c r="BE124" s="75">
        <v>680.72</v>
      </c>
      <c r="BF124" s="75">
        <v>802.75</v>
      </c>
      <c r="BH124" s="73">
        <v>98244</v>
      </c>
      <c r="BI124" s="73" t="s">
        <v>10</v>
      </c>
      <c r="BJ124" s="75">
        <v>-315</v>
      </c>
      <c r="BK124" s="75"/>
      <c r="BL124" s="75"/>
    </row>
    <row r="125" spans="2:64" x14ac:dyDescent="0.2">
      <c r="B125" s="56">
        <v>98101</v>
      </c>
      <c r="C125" s="62" t="s">
        <v>345</v>
      </c>
      <c r="D125" s="46">
        <v>51</v>
      </c>
      <c r="E125" s="46">
        <v>49</v>
      </c>
      <c r="F125" s="46">
        <v>62</v>
      </c>
      <c r="H125" s="73">
        <v>98092</v>
      </c>
      <c r="I125" s="73" t="s">
        <v>10</v>
      </c>
      <c r="J125" s="75">
        <v>236009.26</v>
      </c>
      <c r="K125" s="75">
        <v>218642.66</v>
      </c>
      <c r="L125" s="75">
        <v>1226166.4099999999</v>
      </c>
      <c r="M125" s="75">
        <v>2148921.6799999899</v>
      </c>
      <c r="N125" s="75">
        <v>226032.87</v>
      </c>
      <c r="O125" s="75">
        <v>174719.03</v>
      </c>
      <c r="P125" s="75">
        <v>1264276.5</v>
      </c>
      <c r="Q125" s="75">
        <v>2097587.50999999</v>
      </c>
      <c r="R125" s="75">
        <v>216801.3</v>
      </c>
      <c r="S125" s="75">
        <v>173669.76000000001</v>
      </c>
      <c r="T125" s="75">
        <v>1288512.43</v>
      </c>
      <c r="U125" s="75">
        <v>2159246.42</v>
      </c>
      <c r="W125" s="73">
        <v>98249</v>
      </c>
      <c r="X125" s="15" t="s">
        <v>10</v>
      </c>
      <c r="Y125" s="75">
        <v>5750.35</v>
      </c>
      <c r="Z125" s="75">
        <v>6314.17</v>
      </c>
      <c r="AA125" s="75">
        <v>19957.05</v>
      </c>
      <c r="AB125" s="75">
        <v>37337.46</v>
      </c>
      <c r="AC125" s="75">
        <v>4197.9799999999996</v>
      </c>
      <c r="AD125" s="75">
        <v>4574.6400000000003</v>
      </c>
      <c r="AE125" s="75">
        <v>22540.559999999899</v>
      </c>
      <c r="AF125" s="75">
        <v>35153.049999999901</v>
      </c>
      <c r="AG125" s="75">
        <v>3112.43</v>
      </c>
      <c r="AH125" s="75">
        <v>3640.09</v>
      </c>
      <c r="AI125" s="75">
        <v>23741.040000000001</v>
      </c>
      <c r="AJ125" s="75">
        <v>34604.81</v>
      </c>
      <c r="AV125" s="73" t="s">
        <v>284</v>
      </c>
      <c r="AW125" s="73" t="s">
        <v>345</v>
      </c>
      <c r="AX125" s="33">
        <v>3</v>
      </c>
      <c r="AY125" s="33">
        <v>2</v>
      </c>
      <c r="AZ125" s="33">
        <v>1</v>
      </c>
      <c r="BB125" s="73" t="s">
        <v>284</v>
      </c>
      <c r="BC125" s="73" t="s">
        <v>345</v>
      </c>
      <c r="BD125" s="75">
        <v>928</v>
      </c>
      <c r="BE125" s="75">
        <v>1245.19</v>
      </c>
      <c r="BF125" s="75">
        <v>4191.67</v>
      </c>
      <c r="BH125" s="73">
        <v>98247</v>
      </c>
      <c r="BI125" s="73" t="s">
        <v>10</v>
      </c>
      <c r="BJ125" s="75">
        <v>-100</v>
      </c>
      <c r="BK125" s="75">
        <v>-489.3</v>
      </c>
      <c r="BL125" s="75"/>
    </row>
    <row r="126" spans="2:64" x14ac:dyDescent="0.2">
      <c r="B126" s="81">
        <v>98101</v>
      </c>
      <c r="C126" s="62" t="s">
        <v>10</v>
      </c>
      <c r="D126" s="46">
        <v>48</v>
      </c>
      <c r="E126" s="46">
        <v>46</v>
      </c>
      <c r="F126" s="46">
        <v>44</v>
      </c>
      <c r="H126" s="73">
        <v>98101</v>
      </c>
      <c r="I126" s="73" t="s">
        <v>345</v>
      </c>
      <c r="J126" s="75">
        <v>2634.74</v>
      </c>
      <c r="K126" s="75">
        <v>1908.56</v>
      </c>
      <c r="L126" s="75">
        <v>9782.36</v>
      </c>
      <c r="M126" s="75">
        <v>77011.09</v>
      </c>
      <c r="N126" s="75">
        <v>3633.46</v>
      </c>
      <c r="O126" s="75">
        <v>2102.2399999999998</v>
      </c>
      <c r="P126" s="75">
        <v>10918.85</v>
      </c>
      <c r="Q126" s="75">
        <v>107171.96</v>
      </c>
      <c r="R126" s="75">
        <v>3471.9</v>
      </c>
      <c r="S126" s="75">
        <v>1263.72</v>
      </c>
      <c r="T126" s="75">
        <v>11262.41</v>
      </c>
      <c r="U126" s="75">
        <v>127286.56</v>
      </c>
      <c r="W126" s="73">
        <v>98251</v>
      </c>
      <c r="X126" s="15" t="s">
        <v>10</v>
      </c>
      <c r="Y126" s="75">
        <v>224.51</v>
      </c>
      <c r="Z126" s="75">
        <v>351.19</v>
      </c>
      <c r="AA126" s="75">
        <v>377.03</v>
      </c>
      <c r="AB126" s="75">
        <v>1185.76</v>
      </c>
      <c r="AC126" s="75">
        <v>190.17</v>
      </c>
      <c r="AD126" s="75">
        <v>224.37</v>
      </c>
      <c r="AE126" s="75">
        <v>528.22</v>
      </c>
      <c r="AF126" s="75">
        <v>1135.8</v>
      </c>
      <c r="AG126" s="75">
        <v>162.24</v>
      </c>
      <c r="AH126" s="75">
        <v>189.97</v>
      </c>
      <c r="AI126" s="75">
        <v>752.59</v>
      </c>
      <c r="AJ126" s="75">
        <v>1315.75</v>
      </c>
      <c r="AV126" s="73" t="s">
        <v>284</v>
      </c>
      <c r="AW126" s="73" t="s">
        <v>10</v>
      </c>
      <c r="AX126" s="33">
        <v>4</v>
      </c>
      <c r="AY126" s="33">
        <v>13</v>
      </c>
      <c r="AZ126" s="33">
        <v>8</v>
      </c>
      <c r="BB126" s="73" t="s">
        <v>284</v>
      </c>
      <c r="BC126" s="73" t="s">
        <v>10</v>
      </c>
      <c r="BD126" s="75">
        <v>779.61</v>
      </c>
      <c r="BE126" s="75">
        <v>5446.87</v>
      </c>
      <c r="BF126" s="75">
        <v>2419.2800000000002</v>
      </c>
      <c r="BH126" s="73">
        <v>98248</v>
      </c>
      <c r="BI126" s="73" t="s">
        <v>10</v>
      </c>
      <c r="BJ126" s="75">
        <v>-1172.67</v>
      </c>
      <c r="BK126" s="75">
        <v>-720.16</v>
      </c>
      <c r="BL126" s="75"/>
    </row>
    <row r="127" spans="2:64" x14ac:dyDescent="0.2">
      <c r="B127" s="56">
        <v>98102</v>
      </c>
      <c r="C127" s="62" t="s">
        <v>345</v>
      </c>
      <c r="D127" s="46">
        <v>78</v>
      </c>
      <c r="E127" s="46">
        <v>88</v>
      </c>
      <c r="F127" s="46">
        <v>87</v>
      </c>
      <c r="H127" s="73">
        <v>98101</v>
      </c>
      <c r="I127" s="73" t="s">
        <v>10</v>
      </c>
      <c r="J127" s="75">
        <v>933.12</v>
      </c>
      <c r="K127" s="75">
        <v>465.36</v>
      </c>
      <c r="L127" s="75">
        <v>3251.89</v>
      </c>
      <c r="M127" s="75">
        <v>8827.26</v>
      </c>
      <c r="N127" s="75">
        <v>2568.9699999999998</v>
      </c>
      <c r="O127" s="75">
        <v>786.08</v>
      </c>
      <c r="P127" s="75">
        <v>3289.43</v>
      </c>
      <c r="Q127" s="75">
        <v>9283.5299999999897</v>
      </c>
      <c r="R127" s="75">
        <v>1633.6</v>
      </c>
      <c r="S127" s="75">
        <v>2343.79</v>
      </c>
      <c r="T127" s="75">
        <v>3771.84</v>
      </c>
      <c r="U127" s="75">
        <v>9477.5300000000007</v>
      </c>
      <c r="W127" s="73">
        <v>98252</v>
      </c>
      <c r="X127" s="15" t="s">
        <v>10</v>
      </c>
      <c r="Y127" s="75">
        <v>530.79</v>
      </c>
      <c r="Z127" s="75">
        <v>470.22</v>
      </c>
      <c r="AA127" s="75">
        <v>2880.59</v>
      </c>
      <c r="AB127" s="75">
        <v>4311.2599999999902</v>
      </c>
      <c r="AC127" s="75">
        <v>234.07</v>
      </c>
      <c r="AD127" s="75">
        <v>323.5</v>
      </c>
      <c r="AE127" s="75">
        <v>3027.05</v>
      </c>
      <c r="AF127" s="75">
        <v>3981.08</v>
      </c>
      <c r="AG127" s="75">
        <v>114.66</v>
      </c>
      <c r="AH127" s="75">
        <v>155.41</v>
      </c>
      <c r="AI127" s="75">
        <v>3054.91</v>
      </c>
      <c r="AJ127" s="75">
        <v>3735.55</v>
      </c>
      <c r="AV127" s="73" t="s">
        <v>285</v>
      </c>
      <c r="AW127" s="73" t="s">
        <v>10</v>
      </c>
      <c r="AX127" s="33">
        <v>9</v>
      </c>
      <c r="AY127" s="33">
        <v>6</v>
      </c>
      <c r="AZ127" s="33">
        <v>4</v>
      </c>
      <c r="BB127" s="73" t="s">
        <v>285</v>
      </c>
      <c r="BC127" s="73" t="s">
        <v>10</v>
      </c>
      <c r="BD127" s="75">
        <v>2399.4</v>
      </c>
      <c r="BE127" s="75">
        <v>439.1</v>
      </c>
      <c r="BF127" s="75">
        <v>1245.96</v>
      </c>
      <c r="BH127" s="73">
        <v>98255</v>
      </c>
      <c r="BI127" s="73" t="s">
        <v>10</v>
      </c>
      <c r="BJ127" s="75"/>
      <c r="BK127" s="75"/>
      <c r="BL127" s="75">
        <v>-291.42</v>
      </c>
    </row>
    <row r="128" spans="2:64" x14ac:dyDescent="0.2">
      <c r="B128" s="81">
        <v>98102</v>
      </c>
      <c r="C128" s="62" t="s">
        <v>10</v>
      </c>
      <c r="D128" s="46">
        <v>624</v>
      </c>
      <c r="E128" s="46">
        <v>595</v>
      </c>
      <c r="F128" s="46">
        <v>632</v>
      </c>
      <c r="H128" s="73">
        <v>98102</v>
      </c>
      <c r="I128" s="73" t="s">
        <v>345</v>
      </c>
      <c r="J128" s="75">
        <v>8130.56</v>
      </c>
      <c r="K128" s="75">
        <v>8417.6200000000008</v>
      </c>
      <c r="L128" s="75">
        <v>53682.909999999902</v>
      </c>
      <c r="M128" s="75">
        <v>110154.94</v>
      </c>
      <c r="N128" s="75">
        <v>5985.46</v>
      </c>
      <c r="O128" s="75">
        <v>4726.93</v>
      </c>
      <c r="P128" s="75">
        <v>56109.21</v>
      </c>
      <c r="Q128" s="75">
        <v>111807.35</v>
      </c>
      <c r="R128" s="75">
        <v>12993.93</v>
      </c>
      <c r="S128" s="75">
        <v>4301.57</v>
      </c>
      <c r="T128" s="75">
        <v>55237.389999999898</v>
      </c>
      <c r="U128" s="75">
        <v>106007.76</v>
      </c>
      <c r="W128" s="73">
        <v>98253</v>
      </c>
      <c r="X128" s="15" t="s">
        <v>10</v>
      </c>
      <c r="Y128" s="75">
        <v>1613.67</v>
      </c>
      <c r="Z128" s="75">
        <v>490.11</v>
      </c>
      <c r="AA128" s="75">
        <v>3531.2799999999902</v>
      </c>
      <c r="AB128" s="75">
        <v>6002.3799999999901</v>
      </c>
      <c r="AC128" s="75">
        <v>114.23</v>
      </c>
      <c r="AD128" s="75">
        <v>1239</v>
      </c>
      <c r="AE128" s="75">
        <v>2471.8200000000002</v>
      </c>
      <c r="AF128" s="75">
        <v>4635.8099999999904</v>
      </c>
      <c r="AG128" s="75">
        <v>707.86</v>
      </c>
      <c r="AH128" s="75">
        <v>114.23</v>
      </c>
      <c r="AI128" s="75">
        <v>3710.8199999999902</v>
      </c>
      <c r="AJ128" s="75">
        <v>4614.26</v>
      </c>
      <c r="AV128" s="73" t="s">
        <v>141</v>
      </c>
      <c r="AW128" s="73" t="s">
        <v>345</v>
      </c>
      <c r="AX128" s="33">
        <v>2</v>
      </c>
      <c r="AY128" s="33">
        <v>1</v>
      </c>
      <c r="AZ128" s="33">
        <v>2</v>
      </c>
      <c r="BB128" s="73" t="s">
        <v>141</v>
      </c>
      <c r="BC128" s="73" t="s">
        <v>345</v>
      </c>
      <c r="BD128" s="75">
        <v>1892.25</v>
      </c>
      <c r="BE128" s="75"/>
      <c r="BF128" s="75">
        <v>112.01</v>
      </c>
      <c r="BH128" s="73">
        <v>98258</v>
      </c>
      <c r="BI128" s="73" t="s">
        <v>10</v>
      </c>
      <c r="BJ128" s="75">
        <v>-417.97</v>
      </c>
      <c r="BK128" s="75"/>
      <c r="BL128" s="75">
        <v>-596.37</v>
      </c>
    </row>
    <row r="129" spans="2:64" x14ac:dyDescent="0.2">
      <c r="B129" s="56">
        <v>98103</v>
      </c>
      <c r="C129" s="62" t="s">
        <v>345</v>
      </c>
      <c r="D129" s="46">
        <v>108</v>
      </c>
      <c r="E129" s="46">
        <v>84</v>
      </c>
      <c r="F129" s="46">
        <v>115</v>
      </c>
      <c r="H129" s="73">
        <v>98102</v>
      </c>
      <c r="I129" s="73" t="s">
        <v>10</v>
      </c>
      <c r="J129" s="75">
        <v>12238.98</v>
      </c>
      <c r="K129" s="75">
        <v>11965.73</v>
      </c>
      <c r="L129" s="75">
        <v>50438.23</v>
      </c>
      <c r="M129" s="75">
        <v>93895.49</v>
      </c>
      <c r="N129" s="75">
        <v>8572.65</v>
      </c>
      <c r="O129" s="75">
        <v>7738.11</v>
      </c>
      <c r="P129" s="75">
        <v>51813.769999999902</v>
      </c>
      <c r="Q129" s="75">
        <v>81990.44</v>
      </c>
      <c r="R129" s="75">
        <v>8973.14</v>
      </c>
      <c r="S129" s="75">
        <v>6719.27</v>
      </c>
      <c r="T129" s="75">
        <v>53226.71</v>
      </c>
      <c r="U129" s="75">
        <v>83770.27</v>
      </c>
      <c r="W129" s="73">
        <v>98255</v>
      </c>
      <c r="X129" s="15" t="s">
        <v>10</v>
      </c>
      <c r="Y129" s="75"/>
      <c r="Z129" s="75">
        <v>4459.51</v>
      </c>
      <c r="AA129" s="75">
        <v>2636.2799999999902</v>
      </c>
      <c r="AB129" s="75">
        <v>9680.09</v>
      </c>
      <c r="AC129" s="75">
        <v>2153.7600000000002</v>
      </c>
      <c r="AD129" s="75"/>
      <c r="AE129" s="75">
        <v>7095.79</v>
      </c>
      <c r="AF129" s="75">
        <v>9249.5499999999993</v>
      </c>
      <c r="AG129" s="75"/>
      <c r="AH129" s="75">
        <v>2142.81</v>
      </c>
      <c r="AI129" s="75">
        <v>7095.79</v>
      </c>
      <c r="AJ129" s="75">
        <v>11196.58</v>
      </c>
      <c r="AV129" s="73" t="s">
        <v>141</v>
      </c>
      <c r="AW129" s="73" t="s">
        <v>10</v>
      </c>
      <c r="AX129" s="33">
        <v>3</v>
      </c>
      <c r="AY129" s="33">
        <v>8</v>
      </c>
      <c r="AZ129" s="33">
        <v>9</v>
      </c>
      <c r="BB129" s="73" t="s">
        <v>141</v>
      </c>
      <c r="BC129" s="73" t="s">
        <v>10</v>
      </c>
      <c r="BD129" s="75">
        <v>5528.14</v>
      </c>
      <c r="BE129" s="75">
        <v>13638.9</v>
      </c>
      <c r="BF129" s="75">
        <v>2114.8000000000002</v>
      </c>
      <c r="BH129" s="73">
        <v>98260</v>
      </c>
      <c r="BI129" s="73" t="s">
        <v>10</v>
      </c>
      <c r="BJ129" s="75">
        <v>-166.83</v>
      </c>
      <c r="BK129" s="75"/>
      <c r="BL129" s="75">
        <v>-532.36</v>
      </c>
    </row>
    <row r="130" spans="2:64" x14ac:dyDescent="0.2">
      <c r="B130" s="81">
        <v>98103</v>
      </c>
      <c r="C130" s="62" t="s">
        <v>10</v>
      </c>
      <c r="D130" s="46">
        <v>1137</v>
      </c>
      <c r="E130" s="46">
        <v>1154</v>
      </c>
      <c r="F130" s="46">
        <v>1199</v>
      </c>
      <c r="H130" s="73">
        <v>98103</v>
      </c>
      <c r="I130" s="73" t="s">
        <v>345</v>
      </c>
      <c r="J130" s="75">
        <v>7432.34</v>
      </c>
      <c r="K130" s="75">
        <v>14378.5</v>
      </c>
      <c r="L130" s="75">
        <v>46650.53</v>
      </c>
      <c r="M130" s="75">
        <v>98719.91</v>
      </c>
      <c r="N130" s="75">
        <v>7142.9</v>
      </c>
      <c r="O130" s="75">
        <v>5419.66</v>
      </c>
      <c r="P130" s="75">
        <v>56214.13</v>
      </c>
      <c r="Q130" s="75">
        <v>84431.46</v>
      </c>
      <c r="R130" s="75">
        <v>4869.34</v>
      </c>
      <c r="S130" s="75">
        <v>5434.08</v>
      </c>
      <c r="T130" s="75">
        <v>56499.03</v>
      </c>
      <c r="U130" s="75">
        <v>92880.12</v>
      </c>
      <c r="W130" s="73">
        <v>98257</v>
      </c>
      <c r="X130" s="15" t="s">
        <v>10</v>
      </c>
      <c r="Y130" s="75">
        <v>8734.02</v>
      </c>
      <c r="Z130" s="75">
        <v>10034.42</v>
      </c>
      <c r="AA130" s="75">
        <v>38955.709999999897</v>
      </c>
      <c r="AB130" s="75">
        <v>68663.859999999899</v>
      </c>
      <c r="AC130" s="75">
        <v>7695.83</v>
      </c>
      <c r="AD130" s="75">
        <v>7013.51</v>
      </c>
      <c r="AE130" s="75">
        <v>40963.550000000003</v>
      </c>
      <c r="AF130" s="75">
        <v>63977.16</v>
      </c>
      <c r="AG130" s="75">
        <v>6970.06</v>
      </c>
      <c r="AH130" s="75">
        <v>6724.77</v>
      </c>
      <c r="AI130" s="75">
        <v>45257.52</v>
      </c>
      <c r="AJ130" s="75">
        <v>68645.989999999903</v>
      </c>
      <c r="AV130" s="73" t="s">
        <v>286</v>
      </c>
      <c r="AW130" s="73" t="s">
        <v>10</v>
      </c>
      <c r="AX130" s="33">
        <v>3</v>
      </c>
      <c r="AY130" s="33">
        <v>14</v>
      </c>
      <c r="AZ130" s="33">
        <v>11</v>
      </c>
      <c r="BB130" s="73" t="s">
        <v>286</v>
      </c>
      <c r="BC130" s="73" t="s">
        <v>10</v>
      </c>
      <c r="BD130" s="75">
        <v>360.91</v>
      </c>
      <c r="BE130" s="75">
        <v>4006.2</v>
      </c>
      <c r="BF130" s="75">
        <v>879.22</v>
      </c>
      <c r="BH130" s="73">
        <v>98262</v>
      </c>
      <c r="BI130" s="73" t="s">
        <v>10</v>
      </c>
      <c r="BJ130" s="75">
        <v>-200</v>
      </c>
      <c r="BK130" s="75">
        <v>-100</v>
      </c>
      <c r="BL130" s="75">
        <v>-69.55</v>
      </c>
    </row>
    <row r="131" spans="2:64" x14ac:dyDescent="0.2">
      <c r="B131" s="56">
        <v>98104</v>
      </c>
      <c r="C131" s="62" t="s">
        <v>345</v>
      </c>
      <c r="D131" s="46">
        <v>64</v>
      </c>
      <c r="E131" s="46">
        <v>65</v>
      </c>
      <c r="F131" s="46">
        <v>71</v>
      </c>
      <c r="H131" s="73">
        <v>98103</v>
      </c>
      <c r="I131" s="73" t="s">
        <v>10</v>
      </c>
      <c r="J131" s="75">
        <v>34874.28</v>
      </c>
      <c r="K131" s="75">
        <v>30765.09</v>
      </c>
      <c r="L131" s="75">
        <v>143893.31</v>
      </c>
      <c r="M131" s="75">
        <v>252824.83</v>
      </c>
      <c r="N131" s="75">
        <v>24963.200000000001</v>
      </c>
      <c r="O131" s="75">
        <v>26324.59</v>
      </c>
      <c r="P131" s="75">
        <v>155743.41</v>
      </c>
      <c r="Q131" s="75">
        <v>236972.76</v>
      </c>
      <c r="R131" s="75">
        <v>19039.95</v>
      </c>
      <c r="S131" s="75">
        <v>18636.04</v>
      </c>
      <c r="T131" s="75">
        <v>157347.13</v>
      </c>
      <c r="U131" s="75">
        <v>224633.66999999899</v>
      </c>
      <c r="W131" s="73">
        <v>98258</v>
      </c>
      <c r="X131" s="15" t="s">
        <v>10</v>
      </c>
      <c r="Y131" s="75">
        <v>2391.9299999999998</v>
      </c>
      <c r="Z131" s="75">
        <v>2766.29</v>
      </c>
      <c r="AA131" s="75">
        <v>14609.97</v>
      </c>
      <c r="AB131" s="75">
        <v>23348.85</v>
      </c>
      <c r="AC131" s="75">
        <v>2815.5</v>
      </c>
      <c r="AD131" s="75">
        <v>2214.5300000000002</v>
      </c>
      <c r="AE131" s="75">
        <v>16268.77</v>
      </c>
      <c r="AF131" s="75">
        <v>23176.23</v>
      </c>
      <c r="AG131" s="75">
        <v>1276.3</v>
      </c>
      <c r="AH131" s="75">
        <v>2345.84</v>
      </c>
      <c r="AI131" s="75">
        <v>14361.39</v>
      </c>
      <c r="AJ131" s="75">
        <v>19856.88</v>
      </c>
      <c r="AV131" s="73" t="s">
        <v>287</v>
      </c>
      <c r="AW131" s="73" t="s">
        <v>345</v>
      </c>
      <c r="AX131" s="33">
        <v>3</v>
      </c>
      <c r="AY131" s="33">
        <v>2</v>
      </c>
      <c r="AZ131" s="33"/>
      <c r="BB131" s="73" t="s">
        <v>287</v>
      </c>
      <c r="BC131" s="73" t="s">
        <v>345</v>
      </c>
      <c r="BD131" s="75"/>
      <c r="BE131" s="75">
        <v>1085.28</v>
      </c>
      <c r="BF131" s="75"/>
      <c r="BH131" s="73">
        <v>98264</v>
      </c>
      <c r="BI131" s="73" t="s">
        <v>10</v>
      </c>
      <c r="BJ131" s="75"/>
      <c r="BK131" s="75">
        <v>-338.39</v>
      </c>
      <c r="BL131" s="75">
        <v>-336.99</v>
      </c>
    </row>
    <row r="132" spans="2:64" x14ac:dyDescent="0.2">
      <c r="B132" s="81">
        <v>98104</v>
      </c>
      <c r="C132" s="62" t="s">
        <v>10</v>
      </c>
      <c r="D132" s="46">
        <v>59</v>
      </c>
      <c r="E132" s="46">
        <v>55</v>
      </c>
      <c r="F132" s="46">
        <v>56</v>
      </c>
      <c r="H132" s="73">
        <v>98104</v>
      </c>
      <c r="I132" s="73" t="s">
        <v>345</v>
      </c>
      <c r="J132" s="75">
        <v>8769.48</v>
      </c>
      <c r="K132" s="75">
        <v>15296.38</v>
      </c>
      <c r="L132" s="75">
        <v>46062.83</v>
      </c>
      <c r="M132" s="75">
        <v>106705.139999999</v>
      </c>
      <c r="N132" s="75">
        <v>10910.03</v>
      </c>
      <c r="O132" s="75">
        <v>6305.4</v>
      </c>
      <c r="P132" s="75">
        <v>47655.059999999903</v>
      </c>
      <c r="Q132" s="75">
        <v>80429.649999999994</v>
      </c>
      <c r="R132" s="75">
        <v>3728.4</v>
      </c>
      <c r="S132" s="75">
        <v>9343.44</v>
      </c>
      <c r="T132" s="75">
        <v>52286.239999999903</v>
      </c>
      <c r="U132" s="75">
        <v>85383.019999999902</v>
      </c>
      <c r="W132" s="73">
        <v>98260</v>
      </c>
      <c r="X132" s="15" t="s">
        <v>10</v>
      </c>
      <c r="Y132" s="75">
        <v>3682.17</v>
      </c>
      <c r="Z132" s="75">
        <v>4561</v>
      </c>
      <c r="AA132" s="75">
        <v>19809.2</v>
      </c>
      <c r="AB132" s="75">
        <v>32723.119999999999</v>
      </c>
      <c r="AC132" s="75">
        <v>3581.9</v>
      </c>
      <c r="AD132" s="75">
        <v>3168.43</v>
      </c>
      <c r="AE132" s="75">
        <v>20742.169999999998</v>
      </c>
      <c r="AF132" s="75">
        <v>31713.21</v>
      </c>
      <c r="AG132" s="75">
        <v>3627.87</v>
      </c>
      <c r="AH132" s="75">
        <v>3535.69</v>
      </c>
      <c r="AI132" s="75">
        <v>22845.63</v>
      </c>
      <c r="AJ132" s="75">
        <v>33259.919999999998</v>
      </c>
      <c r="AV132" s="73" t="s">
        <v>287</v>
      </c>
      <c r="AW132" s="73" t="s">
        <v>10</v>
      </c>
      <c r="AX132" s="33">
        <v>14</v>
      </c>
      <c r="AY132" s="33">
        <v>17</v>
      </c>
      <c r="AZ132" s="33">
        <v>10</v>
      </c>
      <c r="BB132" s="73" t="s">
        <v>287</v>
      </c>
      <c r="BC132" s="73" t="s">
        <v>10</v>
      </c>
      <c r="BD132" s="75">
        <v>3155.99</v>
      </c>
      <c r="BE132" s="75">
        <v>6156.73</v>
      </c>
      <c r="BF132" s="75">
        <v>4354.6899999999996</v>
      </c>
      <c r="BH132" s="73">
        <v>98266</v>
      </c>
      <c r="BI132" s="73" t="s">
        <v>10</v>
      </c>
      <c r="BJ132" s="75">
        <v>-606.91</v>
      </c>
      <c r="BK132" s="75"/>
      <c r="BL132" s="75">
        <v>-506.52</v>
      </c>
    </row>
    <row r="133" spans="2:64" x14ac:dyDescent="0.2">
      <c r="B133" s="56">
        <v>98105</v>
      </c>
      <c r="C133" s="62" t="s">
        <v>345</v>
      </c>
      <c r="D133" s="46">
        <v>157</v>
      </c>
      <c r="E133" s="46">
        <v>145</v>
      </c>
      <c r="F133" s="46">
        <v>151</v>
      </c>
      <c r="H133" s="73">
        <v>98104</v>
      </c>
      <c r="I133" s="73" t="s">
        <v>10</v>
      </c>
      <c r="J133" s="75">
        <v>16663.05</v>
      </c>
      <c r="K133" s="75">
        <v>13905.62</v>
      </c>
      <c r="L133" s="75">
        <v>55231.639999999898</v>
      </c>
      <c r="M133" s="75">
        <v>89639.179999999906</v>
      </c>
      <c r="N133" s="75">
        <v>3174.08</v>
      </c>
      <c r="O133" s="75">
        <v>1026.04</v>
      </c>
      <c r="P133" s="75">
        <v>11990.1799999999</v>
      </c>
      <c r="Q133" s="75">
        <v>20276</v>
      </c>
      <c r="R133" s="75">
        <v>1595.55</v>
      </c>
      <c r="S133" s="75">
        <v>1476.17</v>
      </c>
      <c r="T133" s="75">
        <v>9053.6999999999898</v>
      </c>
      <c r="U133" s="75">
        <v>14657.709999999901</v>
      </c>
      <c r="W133" s="73">
        <v>98262</v>
      </c>
      <c r="X133" s="15" t="s">
        <v>10</v>
      </c>
      <c r="Y133" s="75">
        <v>758.81</v>
      </c>
      <c r="Z133" s="75">
        <v>2227.16</v>
      </c>
      <c r="AA133" s="75">
        <v>4530.6000000000004</v>
      </c>
      <c r="AB133" s="75">
        <v>8091.67</v>
      </c>
      <c r="AC133" s="75">
        <v>517.36</v>
      </c>
      <c r="AD133" s="75">
        <v>682.15</v>
      </c>
      <c r="AE133" s="75">
        <v>3473.33</v>
      </c>
      <c r="AF133" s="75">
        <v>5201.7</v>
      </c>
      <c r="AG133" s="75">
        <v>528.86</v>
      </c>
      <c r="AH133" s="75">
        <v>517.36</v>
      </c>
      <c r="AI133" s="75">
        <v>4105.4799999999996</v>
      </c>
      <c r="AJ133" s="75">
        <v>5903.2699999999904</v>
      </c>
      <c r="AV133" s="73" t="s">
        <v>288</v>
      </c>
      <c r="AW133" s="73" t="s">
        <v>345</v>
      </c>
      <c r="AX133" s="33">
        <v>1</v>
      </c>
      <c r="AY133" s="33"/>
      <c r="AZ133" s="33"/>
      <c r="BB133" s="73" t="s">
        <v>288</v>
      </c>
      <c r="BC133" s="73" t="s">
        <v>345</v>
      </c>
      <c r="BD133" s="75">
        <v>2001.79</v>
      </c>
      <c r="BE133" s="75"/>
      <c r="BF133" s="75"/>
      <c r="BH133" s="73">
        <v>98267</v>
      </c>
      <c r="BI133" s="73" t="s">
        <v>10</v>
      </c>
      <c r="BJ133" s="75"/>
      <c r="BK133" s="75"/>
      <c r="BL133" s="75">
        <v>-349.17</v>
      </c>
    </row>
    <row r="134" spans="2:64" x14ac:dyDescent="0.2">
      <c r="B134" s="81">
        <v>98105</v>
      </c>
      <c r="C134" s="62" t="s">
        <v>10</v>
      </c>
      <c r="D134" s="46">
        <v>916</v>
      </c>
      <c r="E134" s="46">
        <v>845</v>
      </c>
      <c r="F134" s="46">
        <v>981</v>
      </c>
      <c r="H134" s="73">
        <v>98105</v>
      </c>
      <c r="I134" s="73" t="s">
        <v>345</v>
      </c>
      <c r="J134" s="75">
        <v>15503.92</v>
      </c>
      <c r="K134" s="75">
        <v>14249.7</v>
      </c>
      <c r="L134" s="75">
        <v>127103.519999999</v>
      </c>
      <c r="M134" s="75">
        <v>234201.69</v>
      </c>
      <c r="N134" s="75">
        <v>31855.98</v>
      </c>
      <c r="O134" s="75">
        <v>8749.8700000000008</v>
      </c>
      <c r="P134" s="75">
        <v>135301.72</v>
      </c>
      <c r="Q134" s="75">
        <v>213196.36</v>
      </c>
      <c r="R134" s="75">
        <v>9266.7900000000009</v>
      </c>
      <c r="S134" s="75">
        <v>30035.9</v>
      </c>
      <c r="T134" s="75">
        <v>141218.81</v>
      </c>
      <c r="U134" s="75">
        <v>229178.27</v>
      </c>
      <c r="W134" s="73">
        <v>98263</v>
      </c>
      <c r="X134" s="15" t="s">
        <v>10</v>
      </c>
      <c r="Y134" s="75"/>
      <c r="Z134" s="75">
        <v>285.35000000000002</v>
      </c>
      <c r="AA134" s="75"/>
      <c r="AB134" s="75">
        <v>1595.21</v>
      </c>
      <c r="AC134" s="75">
        <v>922.92</v>
      </c>
      <c r="AD134" s="75"/>
      <c r="AE134" s="75">
        <v>104.51</v>
      </c>
      <c r="AF134" s="75">
        <v>1027.43</v>
      </c>
      <c r="AG134" s="75"/>
      <c r="AH134" s="75">
        <v>922.92</v>
      </c>
      <c r="AI134" s="75">
        <v>104.51</v>
      </c>
      <c r="AJ134" s="75">
        <v>2328.1799999999998</v>
      </c>
      <c r="AV134" s="73" t="s">
        <v>288</v>
      </c>
      <c r="AW134" s="73" t="s">
        <v>10</v>
      </c>
      <c r="AX134" s="33">
        <v>1</v>
      </c>
      <c r="AY134" s="33">
        <v>8</v>
      </c>
      <c r="AZ134" s="33">
        <v>3</v>
      </c>
      <c r="BB134" s="73" t="s">
        <v>288</v>
      </c>
      <c r="BC134" s="73" t="s">
        <v>10</v>
      </c>
      <c r="BD134" s="75">
        <v>118.17</v>
      </c>
      <c r="BE134" s="75">
        <v>4002.53</v>
      </c>
      <c r="BF134" s="75">
        <v>387.5</v>
      </c>
      <c r="BH134" s="73">
        <v>98270</v>
      </c>
      <c r="BI134" s="73" t="s">
        <v>10</v>
      </c>
      <c r="BJ134" s="75">
        <v>-669.17</v>
      </c>
      <c r="BK134" s="75"/>
      <c r="BL134" s="75">
        <v>-412.22</v>
      </c>
    </row>
    <row r="135" spans="2:64" x14ac:dyDescent="0.2">
      <c r="B135" s="56">
        <v>98106</v>
      </c>
      <c r="C135" s="62" t="s">
        <v>345</v>
      </c>
      <c r="D135" s="46">
        <v>40</v>
      </c>
      <c r="E135" s="46">
        <v>35</v>
      </c>
      <c r="F135" s="46">
        <v>44</v>
      </c>
      <c r="H135" s="73">
        <v>98105</v>
      </c>
      <c r="I135" s="73" t="s">
        <v>10</v>
      </c>
      <c r="J135" s="75">
        <v>24574.61</v>
      </c>
      <c r="K135" s="75">
        <v>19847.71</v>
      </c>
      <c r="L135" s="75">
        <v>93379.319999999905</v>
      </c>
      <c r="M135" s="75">
        <v>178094.39</v>
      </c>
      <c r="N135" s="75">
        <v>14498.27</v>
      </c>
      <c r="O135" s="75">
        <v>14685.57</v>
      </c>
      <c r="P135" s="75">
        <v>102037.04</v>
      </c>
      <c r="Q135" s="75">
        <v>154156.1</v>
      </c>
      <c r="R135" s="75">
        <v>11146.28</v>
      </c>
      <c r="S135" s="75">
        <v>11067.45</v>
      </c>
      <c r="T135" s="75">
        <v>100518.34</v>
      </c>
      <c r="U135" s="75">
        <v>148815.40999999901</v>
      </c>
      <c r="W135" s="73">
        <v>98264</v>
      </c>
      <c r="X135" s="15" t="s">
        <v>10</v>
      </c>
      <c r="Y135" s="75">
        <v>8383.77</v>
      </c>
      <c r="Z135" s="75">
        <v>9375.82</v>
      </c>
      <c r="AA135" s="75">
        <v>24700.880000000001</v>
      </c>
      <c r="AB135" s="75">
        <v>53182.49</v>
      </c>
      <c r="AC135" s="75">
        <v>8155.75</v>
      </c>
      <c r="AD135" s="75">
        <v>6978.04</v>
      </c>
      <c r="AE135" s="75">
        <v>27848.9</v>
      </c>
      <c r="AF135" s="75">
        <v>55948.799999999901</v>
      </c>
      <c r="AG135" s="75">
        <v>9099.0300000000007</v>
      </c>
      <c r="AH135" s="75">
        <v>6471.38</v>
      </c>
      <c r="AI135" s="75">
        <v>29678.69</v>
      </c>
      <c r="AJ135" s="75">
        <v>59660.979999999901</v>
      </c>
      <c r="AV135" s="73" t="s">
        <v>289</v>
      </c>
      <c r="AW135" s="73" t="s">
        <v>345</v>
      </c>
      <c r="AX135" s="33">
        <v>1</v>
      </c>
      <c r="AY135" s="33">
        <v>1</v>
      </c>
      <c r="AZ135" s="33">
        <v>1</v>
      </c>
      <c r="BB135" s="73" t="s">
        <v>289</v>
      </c>
      <c r="BC135" s="73" t="s">
        <v>345</v>
      </c>
      <c r="BD135" s="75">
        <v>697.64</v>
      </c>
      <c r="BE135" s="75">
        <v>261.06</v>
      </c>
      <c r="BF135" s="75">
        <v>4235.13</v>
      </c>
      <c r="BH135" s="73">
        <v>98271</v>
      </c>
      <c r="BI135" s="73" t="s">
        <v>10</v>
      </c>
      <c r="BJ135" s="75">
        <v>-72.87</v>
      </c>
      <c r="BK135" s="75"/>
      <c r="BL135" s="75"/>
    </row>
    <row r="136" spans="2:64" x14ac:dyDescent="0.2">
      <c r="B136" s="81">
        <v>98106</v>
      </c>
      <c r="C136" s="62" t="s">
        <v>10</v>
      </c>
      <c r="D136" s="46">
        <v>651</v>
      </c>
      <c r="E136" s="46">
        <v>600</v>
      </c>
      <c r="F136" s="46">
        <v>662</v>
      </c>
      <c r="H136" s="73">
        <v>98106</v>
      </c>
      <c r="I136" s="73" t="s">
        <v>345</v>
      </c>
      <c r="J136" s="75">
        <v>2206.8200000000002</v>
      </c>
      <c r="K136" s="75">
        <v>3920.27</v>
      </c>
      <c r="L136" s="75">
        <v>8120.87</v>
      </c>
      <c r="M136" s="75">
        <v>18844.009999999998</v>
      </c>
      <c r="N136" s="75">
        <v>1783.76</v>
      </c>
      <c r="O136" s="75">
        <v>1706.47</v>
      </c>
      <c r="P136" s="75">
        <v>7320.92</v>
      </c>
      <c r="Q136" s="75">
        <v>20192.2</v>
      </c>
      <c r="R136" s="75">
        <v>8301.94</v>
      </c>
      <c r="S136" s="75">
        <v>892.93</v>
      </c>
      <c r="T136" s="75">
        <v>7000.3399999999901</v>
      </c>
      <c r="U136" s="75">
        <v>21628.679999999898</v>
      </c>
      <c r="W136" s="73">
        <v>98266</v>
      </c>
      <c r="X136" s="15" t="s">
        <v>10</v>
      </c>
      <c r="Y136" s="75">
        <v>12238.1</v>
      </c>
      <c r="Z136" s="75">
        <v>12961.51</v>
      </c>
      <c r="AA136" s="75">
        <v>52212.61</v>
      </c>
      <c r="AB136" s="75">
        <v>88202.54</v>
      </c>
      <c r="AC136" s="75">
        <v>8634.68</v>
      </c>
      <c r="AD136" s="75">
        <v>9782.7099999999991</v>
      </c>
      <c r="AE136" s="75">
        <v>52632.639999999999</v>
      </c>
      <c r="AF136" s="75">
        <v>81965.909999999902</v>
      </c>
      <c r="AG136" s="75">
        <v>9456.14</v>
      </c>
      <c r="AH136" s="75">
        <v>8077.31</v>
      </c>
      <c r="AI136" s="75">
        <v>56534.199999999903</v>
      </c>
      <c r="AJ136" s="75">
        <v>85641.12</v>
      </c>
      <c r="AV136" s="73" t="s">
        <v>289</v>
      </c>
      <c r="AW136" s="73" t="s">
        <v>10</v>
      </c>
      <c r="AX136" s="33">
        <v>6</v>
      </c>
      <c r="AY136" s="33">
        <v>6</v>
      </c>
      <c r="AZ136" s="33">
        <v>8</v>
      </c>
      <c r="BB136" s="73" t="s">
        <v>289</v>
      </c>
      <c r="BC136" s="73" t="s">
        <v>10</v>
      </c>
      <c r="BD136" s="75">
        <v>970.65</v>
      </c>
      <c r="BE136" s="75">
        <v>1112.81</v>
      </c>
      <c r="BF136" s="75">
        <v>516.77</v>
      </c>
      <c r="BH136" s="73">
        <v>98272</v>
      </c>
      <c r="BI136" s="73" t="s">
        <v>10</v>
      </c>
      <c r="BJ136" s="75"/>
      <c r="BK136" s="75">
        <v>-86.74</v>
      </c>
      <c r="BL136" s="75">
        <v>-127.78</v>
      </c>
    </row>
    <row r="137" spans="2:64" x14ac:dyDescent="0.2">
      <c r="B137" s="56">
        <v>98107</v>
      </c>
      <c r="C137" s="62" t="s">
        <v>345</v>
      </c>
      <c r="D137" s="46">
        <v>67</v>
      </c>
      <c r="E137" s="46">
        <v>61</v>
      </c>
      <c r="F137" s="46">
        <v>75</v>
      </c>
      <c r="H137" s="73">
        <v>98106</v>
      </c>
      <c r="I137" s="73" t="s">
        <v>10</v>
      </c>
      <c r="J137" s="75">
        <v>23450.69</v>
      </c>
      <c r="K137" s="75">
        <v>21927.24</v>
      </c>
      <c r="L137" s="75">
        <v>106193.85</v>
      </c>
      <c r="M137" s="75">
        <v>176746.99999999901</v>
      </c>
      <c r="N137" s="75">
        <v>16695.37</v>
      </c>
      <c r="O137" s="75">
        <v>18598.400000000001</v>
      </c>
      <c r="P137" s="75">
        <v>112470.649999999</v>
      </c>
      <c r="Q137" s="75">
        <v>165291.47</v>
      </c>
      <c r="R137" s="75">
        <v>12490.26</v>
      </c>
      <c r="S137" s="75">
        <v>13366.69</v>
      </c>
      <c r="T137" s="75">
        <v>118375.52</v>
      </c>
      <c r="U137" s="75">
        <v>159364.399999999</v>
      </c>
      <c r="W137" s="73">
        <v>98267</v>
      </c>
      <c r="X137" s="15" t="s">
        <v>10</v>
      </c>
      <c r="Y137" s="75">
        <v>2172.34</v>
      </c>
      <c r="Z137" s="75"/>
      <c r="AA137" s="75">
        <v>3303.97</v>
      </c>
      <c r="AB137" s="75">
        <v>5476.3099999999904</v>
      </c>
      <c r="AC137" s="75"/>
      <c r="AD137" s="75">
        <v>1762.61</v>
      </c>
      <c r="AE137" s="75">
        <v>3089.8999999999901</v>
      </c>
      <c r="AF137" s="75">
        <v>5982.24</v>
      </c>
      <c r="AG137" s="75">
        <v>1129.73</v>
      </c>
      <c r="AH137" s="75"/>
      <c r="AI137" s="75">
        <v>4705</v>
      </c>
      <c r="AJ137" s="75">
        <v>5834.73</v>
      </c>
      <c r="AV137" s="73" t="s">
        <v>290</v>
      </c>
      <c r="AW137" s="73" t="s">
        <v>345</v>
      </c>
      <c r="AX137" s="33"/>
      <c r="AY137" s="33"/>
      <c r="AZ137" s="33">
        <v>2</v>
      </c>
      <c r="BB137" s="73" t="s">
        <v>290</v>
      </c>
      <c r="BC137" s="73" t="s">
        <v>345</v>
      </c>
      <c r="BD137" s="75"/>
      <c r="BE137" s="75"/>
      <c r="BF137" s="75">
        <v>755.6</v>
      </c>
      <c r="BH137" s="73">
        <v>98273</v>
      </c>
      <c r="BI137" s="73" t="s">
        <v>345</v>
      </c>
      <c r="BJ137" s="75">
        <v>-200</v>
      </c>
      <c r="BK137" s="75"/>
      <c r="BL137" s="75"/>
    </row>
    <row r="138" spans="2:64" x14ac:dyDescent="0.2">
      <c r="B138" s="81">
        <v>98107</v>
      </c>
      <c r="C138" s="62" t="s">
        <v>10</v>
      </c>
      <c r="D138" s="46">
        <v>616</v>
      </c>
      <c r="E138" s="46">
        <v>568</v>
      </c>
      <c r="F138" s="46">
        <v>596</v>
      </c>
      <c r="H138" s="73">
        <v>98107</v>
      </c>
      <c r="I138" s="73" t="s">
        <v>345</v>
      </c>
      <c r="J138" s="75">
        <v>5248.7</v>
      </c>
      <c r="K138" s="75">
        <v>5454.31</v>
      </c>
      <c r="L138" s="75">
        <v>63077.85</v>
      </c>
      <c r="M138" s="75">
        <v>84216.34</v>
      </c>
      <c r="N138" s="75">
        <v>4052.73</v>
      </c>
      <c r="O138" s="75">
        <v>3465.11</v>
      </c>
      <c r="P138" s="75">
        <v>65393.86</v>
      </c>
      <c r="Q138" s="75">
        <v>78686.64</v>
      </c>
      <c r="R138" s="75">
        <v>2931.49</v>
      </c>
      <c r="S138" s="75">
        <v>3169.35</v>
      </c>
      <c r="T138" s="75">
        <v>67432.45</v>
      </c>
      <c r="U138" s="75">
        <v>81122.22</v>
      </c>
      <c r="W138" s="73">
        <v>98270</v>
      </c>
      <c r="X138" s="15" t="s">
        <v>10</v>
      </c>
      <c r="Y138" s="75">
        <v>5733.42</v>
      </c>
      <c r="Z138" s="75">
        <v>6331.99</v>
      </c>
      <c r="AA138" s="75">
        <v>31445.18</v>
      </c>
      <c r="AB138" s="75">
        <v>48529.13</v>
      </c>
      <c r="AC138" s="75">
        <v>3291.01</v>
      </c>
      <c r="AD138" s="75">
        <v>4308.1400000000003</v>
      </c>
      <c r="AE138" s="75">
        <v>32951.82</v>
      </c>
      <c r="AF138" s="75">
        <v>44139.849999999897</v>
      </c>
      <c r="AG138" s="75">
        <v>2894.99</v>
      </c>
      <c r="AH138" s="75">
        <v>2988.64</v>
      </c>
      <c r="AI138" s="75">
        <v>34937.819999999898</v>
      </c>
      <c r="AJ138" s="75">
        <v>44922.05</v>
      </c>
      <c r="AV138" s="73" t="s">
        <v>290</v>
      </c>
      <c r="AW138" s="73" t="s">
        <v>10</v>
      </c>
      <c r="AX138" s="33">
        <v>7</v>
      </c>
      <c r="AY138" s="33">
        <v>12</v>
      </c>
      <c r="AZ138" s="33">
        <v>17</v>
      </c>
      <c r="BB138" s="73" t="s">
        <v>290</v>
      </c>
      <c r="BC138" s="73" t="s">
        <v>10</v>
      </c>
      <c r="BD138" s="75">
        <v>1177.77</v>
      </c>
      <c r="BE138" s="75">
        <v>7759.71</v>
      </c>
      <c r="BF138" s="75">
        <v>7117.13</v>
      </c>
      <c r="BH138" s="73">
        <v>98273</v>
      </c>
      <c r="BI138" s="73" t="s">
        <v>10</v>
      </c>
      <c r="BJ138" s="75">
        <v>-56.43</v>
      </c>
      <c r="BK138" s="75"/>
      <c r="BL138" s="75">
        <v>-354.24</v>
      </c>
    </row>
    <row r="139" spans="2:64" x14ac:dyDescent="0.2">
      <c r="B139" s="56">
        <v>98108</v>
      </c>
      <c r="C139" s="62" t="s">
        <v>345</v>
      </c>
      <c r="D139" s="46">
        <v>166</v>
      </c>
      <c r="E139" s="46">
        <v>157</v>
      </c>
      <c r="F139" s="46">
        <v>184</v>
      </c>
      <c r="H139" s="73">
        <v>98107</v>
      </c>
      <c r="I139" s="73" t="s">
        <v>10</v>
      </c>
      <c r="J139" s="75">
        <v>23619.09</v>
      </c>
      <c r="K139" s="75">
        <v>25923.86</v>
      </c>
      <c r="L139" s="75">
        <v>94214.21</v>
      </c>
      <c r="M139" s="75">
        <v>162996.739999999</v>
      </c>
      <c r="N139" s="75">
        <v>11003.56</v>
      </c>
      <c r="O139" s="75">
        <v>20062.5</v>
      </c>
      <c r="P139" s="75">
        <v>97279.860000000102</v>
      </c>
      <c r="Q139" s="75">
        <v>144172.459999999</v>
      </c>
      <c r="R139" s="75">
        <v>10673.75</v>
      </c>
      <c r="S139" s="75">
        <v>8870.91</v>
      </c>
      <c r="T139" s="75">
        <v>88006.56</v>
      </c>
      <c r="U139" s="75">
        <v>122102.52999999899</v>
      </c>
      <c r="W139" s="73">
        <v>98271</v>
      </c>
      <c r="X139" s="15" t="s">
        <v>10</v>
      </c>
      <c r="Y139" s="75">
        <v>1477.36</v>
      </c>
      <c r="Z139" s="75">
        <v>1972.23</v>
      </c>
      <c r="AA139" s="75">
        <v>5878.8</v>
      </c>
      <c r="AB139" s="75">
        <v>10316.42</v>
      </c>
      <c r="AC139" s="75">
        <v>944.7</v>
      </c>
      <c r="AD139" s="75">
        <v>1386.84</v>
      </c>
      <c r="AE139" s="75">
        <v>7343.91</v>
      </c>
      <c r="AF139" s="75">
        <v>10712.01</v>
      </c>
      <c r="AG139" s="75">
        <v>816.2</v>
      </c>
      <c r="AH139" s="75">
        <v>944.7</v>
      </c>
      <c r="AI139" s="75">
        <v>8596.76</v>
      </c>
      <c r="AJ139" s="75">
        <v>11215.61</v>
      </c>
      <c r="AV139" s="73" t="s">
        <v>291</v>
      </c>
      <c r="AW139" s="73" t="s">
        <v>345</v>
      </c>
      <c r="AX139" s="33"/>
      <c r="AY139" s="33"/>
      <c r="AZ139" s="33">
        <v>1</v>
      </c>
      <c r="BB139" s="73" t="s">
        <v>291</v>
      </c>
      <c r="BC139" s="73" t="s">
        <v>345</v>
      </c>
      <c r="BD139" s="75"/>
      <c r="BE139" s="75"/>
      <c r="BF139" s="75">
        <v>1493.55</v>
      </c>
      <c r="BH139" s="73">
        <v>98274</v>
      </c>
      <c r="BI139" s="73" t="s">
        <v>10</v>
      </c>
      <c r="BJ139" s="75">
        <v>-329.79</v>
      </c>
      <c r="BK139" s="75"/>
      <c r="BL139" s="75"/>
    </row>
    <row r="140" spans="2:64" x14ac:dyDescent="0.2">
      <c r="B140" s="81">
        <v>98108</v>
      </c>
      <c r="C140" s="62" t="s">
        <v>10</v>
      </c>
      <c r="D140" s="46">
        <v>1069</v>
      </c>
      <c r="E140" s="46">
        <v>985</v>
      </c>
      <c r="F140" s="46">
        <v>1070</v>
      </c>
      <c r="H140" s="73">
        <v>98108</v>
      </c>
      <c r="I140" s="73" t="s">
        <v>345</v>
      </c>
      <c r="J140" s="75">
        <v>25722.25</v>
      </c>
      <c r="K140" s="75">
        <v>10252.719999999999</v>
      </c>
      <c r="L140" s="75">
        <v>55254.119999999901</v>
      </c>
      <c r="M140" s="75">
        <v>170737.17</v>
      </c>
      <c r="N140" s="75">
        <v>5183.05</v>
      </c>
      <c r="O140" s="75">
        <v>16796.2</v>
      </c>
      <c r="P140" s="75">
        <v>59493.9399999999</v>
      </c>
      <c r="Q140" s="75">
        <v>111823.72</v>
      </c>
      <c r="R140" s="75">
        <v>14095.93</v>
      </c>
      <c r="S140" s="75">
        <v>3963.18</v>
      </c>
      <c r="T140" s="75">
        <v>58307.7</v>
      </c>
      <c r="U140" s="75">
        <v>111711.18</v>
      </c>
      <c r="W140" s="73">
        <v>98272</v>
      </c>
      <c r="X140" s="15" t="s">
        <v>10</v>
      </c>
      <c r="Y140" s="75">
        <v>1733.1</v>
      </c>
      <c r="Z140" s="75">
        <v>1204.28</v>
      </c>
      <c r="AA140" s="75">
        <v>8290.5</v>
      </c>
      <c r="AB140" s="75">
        <v>12135.42</v>
      </c>
      <c r="AC140" s="75">
        <v>569.09</v>
      </c>
      <c r="AD140" s="75">
        <v>954.71</v>
      </c>
      <c r="AE140" s="75">
        <v>7399.73</v>
      </c>
      <c r="AF140" s="75">
        <v>9586.61</v>
      </c>
      <c r="AG140" s="75">
        <v>556.58000000000004</v>
      </c>
      <c r="AH140" s="75">
        <v>503.51</v>
      </c>
      <c r="AI140" s="75">
        <v>7755.65</v>
      </c>
      <c r="AJ140" s="75">
        <v>9424.14</v>
      </c>
      <c r="AV140" s="73" t="s">
        <v>291</v>
      </c>
      <c r="AW140" s="73" t="s">
        <v>10</v>
      </c>
      <c r="AX140" s="33">
        <v>6</v>
      </c>
      <c r="AY140" s="33">
        <v>9</v>
      </c>
      <c r="AZ140" s="33">
        <v>7</v>
      </c>
      <c r="BB140" s="73" t="s">
        <v>291</v>
      </c>
      <c r="BC140" s="73" t="s">
        <v>10</v>
      </c>
      <c r="BD140" s="75">
        <v>233.26</v>
      </c>
      <c r="BE140" s="75">
        <v>1884.23</v>
      </c>
      <c r="BF140" s="75">
        <v>2640.52</v>
      </c>
      <c r="BH140" s="73">
        <v>98277</v>
      </c>
      <c r="BI140" s="73" t="s">
        <v>345</v>
      </c>
      <c r="BJ140" s="75">
        <v>-111.08</v>
      </c>
      <c r="BK140" s="75"/>
      <c r="BL140" s="75"/>
    </row>
    <row r="141" spans="2:64" x14ac:dyDescent="0.2">
      <c r="B141" s="56">
        <v>98109</v>
      </c>
      <c r="C141" s="62" t="s">
        <v>345</v>
      </c>
      <c r="D141" s="46">
        <v>115</v>
      </c>
      <c r="E141" s="46">
        <v>84</v>
      </c>
      <c r="F141" s="46">
        <v>93</v>
      </c>
      <c r="H141" s="73">
        <v>98108</v>
      </c>
      <c r="I141" s="73" t="s">
        <v>10</v>
      </c>
      <c r="J141" s="75">
        <v>30738.26</v>
      </c>
      <c r="K141" s="75">
        <v>30781.94</v>
      </c>
      <c r="L141" s="75">
        <v>140722.459999999</v>
      </c>
      <c r="M141" s="75">
        <v>240098.21999999901</v>
      </c>
      <c r="N141" s="75">
        <v>22054.12</v>
      </c>
      <c r="O141" s="75">
        <v>24159.85</v>
      </c>
      <c r="P141" s="75">
        <v>151105.96</v>
      </c>
      <c r="Q141" s="75">
        <v>227527.55</v>
      </c>
      <c r="R141" s="75">
        <v>20589.849999999999</v>
      </c>
      <c r="S141" s="75">
        <v>17427.61</v>
      </c>
      <c r="T141" s="75">
        <v>161435.77999999901</v>
      </c>
      <c r="U141" s="75">
        <v>228593.94999999899</v>
      </c>
      <c r="W141" s="73">
        <v>98273</v>
      </c>
      <c r="X141" s="15" t="s">
        <v>10</v>
      </c>
      <c r="Y141" s="75">
        <v>22390.25</v>
      </c>
      <c r="Z141" s="75">
        <v>19187.810000000001</v>
      </c>
      <c r="AA141" s="75">
        <v>57297.269999999902</v>
      </c>
      <c r="AB141" s="75">
        <v>124424.299999999</v>
      </c>
      <c r="AC141" s="75">
        <v>13333.11</v>
      </c>
      <c r="AD141" s="75">
        <v>17859.79</v>
      </c>
      <c r="AE141" s="75">
        <v>68809.72</v>
      </c>
      <c r="AF141" s="75">
        <v>125124.68</v>
      </c>
      <c r="AG141" s="75">
        <v>19710.599999999999</v>
      </c>
      <c r="AH141" s="75">
        <v>11314.28</v>
      </c>
      <c r="AI141" s="75">
        <v>73256.7</v>
      </c>
      <c r="AJ141" s="75">
        <v>131809.96</v>
      </c>
      <c r="AV141" s="73" t="s">
        <v>292</v>
      </c>
      <c r="AW141" s="73" t="s">
        <v>345</v>
      </c>
      <c r="AX141" s="33">
        <v>1</v>
      </c>
      <c r="AY141" s="33">
        <v>1</v>
      </c>
      <c r="AZ141" s="33"/>
      <c r="BB141" s="73" t="s">
        <v>292</v>
      </c>
      <c r="BC141" s="73" t="s">
        <v>345</v>
      </c>
      <c r="BD141" s="75">
        <v>8534.85</v>
      </c>
      <c r="BE141" s="75">
        <v>6574.92</v>
      </c>
      <c r="BF141" s="75"/>
      <c r="BH141" s="73">
        <v>98277</v>
      </c>
      <c r="BI141" s="73" t="s">
        <v>10</v>
      </c>
      <c r="BJ141" s="75">
        <v>-816.42</v>
      </c>
      <c r="BK141" s="75"/>
      <c r="BL141" s="75">
        <v>-871.64</v>
      </c>
    </row>
    <row r="142" spans="2:64" x14ac:dyDescent="0.2">
      <c r="B142" s="81">
        <v>98109</v>
      </c>
      <c r="C142" s="62" t="s">
        <v>10</v>
      </c>
      <c r="D142" s="46">
        <v>450</v>
      </c>
      <c r="E142" s="46">
        <v>428</v>
      </c>
      <c r="F142" s="46">
        <v>475</v>
      </c>
      <c r="H142" s="73">
        <v>98109</v>
      </c>
      <c r="I142" s="73" t="s">
        <v>345</v>
      </c>
      <c r="J142" s="75">
        <v>18288.759999999998</v>
      </c>
      <c r="K142" s="75">
        <v>9016.27</v>
      </c>
      <c r="L142" s="75">
        <v>9899.89</v>
      </c>
      <c r="M142" s="75">
        <v>91342.71</v>
      </c>
      <c r="N142" s="75">
        <v>15146.35</v>
      </c>
      <c r="O142" s="75">
        <v>8472.82</v>
      </c>
      <c r="P142" s="75">
        <v>12314.119999999901</v>
      </c>
      <c r="Q142" s="75">
        <v>87214.3299999999</v>
      </c>
      <c r="R142" s="75">
        <v>12626.29</v>
      </c>
      <c r="S142" s="75">
        <v>11111.01</v>
      </c>
      <c r="T142" s="75">
        <v>13334.03</v>
      </c>
      <c r="U142" s="75">
        <v>99718.41</v>
      </c>
      <c r="W142" s="73">
        <v>98274</v>
      </c>
      <c r="X142" s="15" t="s">
        <v>10</v>
      </c>
      <c r="Y142" s="75">
        <v>11426.7</v>
      </c>
      <c r="Z142" s="75">
        <v>7387.06</v>
      </c>
      <c r="AA142" s="75">
        <v>25429.01</v>
      </c>
      <c r="AB142" s="75">
        <v>53653.059999999903</v>
      </c>
      <c r="AC142" s="75">
        <v>5518.21</v>
      </c>
      <c r="AD142" s="75">
        <v>9277.92</v>
      </c>
      <c r="AE142" s="75">
        <v>26529.269999999899</v>
      </c>
      <c r="AF142" s="75">
        <v>53116.54</v>
      </c>
      <c r="AG142" s="75">
        <v>8908.2000000000007</v>
      </c>
      <c r="AH142" s="75">
        <v>4888.84</v>
      </c>
      <c r="AI142" s="75">
        <v>33990.019999999997</v>
      </c>
      <c r="AJ142" s="75">
        <v>58896.269999999902</v>
      </c>
      <c r="AV142" s="73" t="s">
        <v>292</v>
      </c>
      <c r="AW142" s="73" t="s">
        <v>10</v>
      </c>
      <c r="AX142" s="33"/>
      <c r="AY142" s="33">
        <v>2</v>
      </c>
      <c r="AZ142" s="33">
        <v>4</v>
      </c>
      <c r="BB142" s="73" t="s">
        <v>292</v>
      </c>
      <c r="BC142" s="73" t="s">
        <v>10</v>
      </c>
      <c r="BD142" s="75"/>
      <c r="BE142" s="75">
        <v>52.73</v>
      </c>
      <c r="BF142" s="75">
        <v>1003.99</v>
      </c>
      <c r="BH142" s="73">
        <v>98284</v>
      </c>
      <c r="BI142" s="73" t="s">
        <v>10</v>
      </c>
      <c r="BJ142" s="75">
        <v>-105.78</v>
      </c>
      <c r="BK142" s="75">
        <v>-324.97000000000003</v>
      </c>
      <c r="BL142" s="75">
        <v>-383.68</v>
      </c>
    </row>
    <row r="143" spans="2:64" x14ac:dyDescent="0.2">
      <c r="B143" s="56">
        <v>98110</v>
      </c>
      <c r="C143" s="62" t="s">
        <v>345</v>
      </c>
      <c r="D143" s="46">
        <v>355</v>
      </c>
      <c r="E143" s="46">
        <v>315</v>
      </c>
      <c r="F143" s="46">
        <v>309</v>
      </c>
      <c r="H143" s="73">
        <v>98109</v>
      </c>
      <c r="I143" s="73" t="s">
        <v>10</v>
      </c>
      <c r="J143" s="75">
        <v>10779.13</v>
      </c>
      <c r="K143" s="75">
        <v>11574.49</v>
      </c>
      <c r="L143" s="75">
        <v>40975.050000000003</v>
      </c>
      <c r="M143" s="75">
        <v>80810.429999999906</v>
      </c>
      <c r="N143" s="75">
        <v>10160.08</v>
      </c>
      <c r="O143" s="75">
        <v>8016.26</v>
      </c>
      <c r="P143" s="75">
        <v>43933.07</v>
      </c>
      <c r="Q143" s="75">
        <v>73910.47</v>
      </c>
      <c r="R143" s="75">
        <v>8010.4</v>
      </c>
      <c r="S143" s="75">
        <v>8663.1200000000008</v>
      </c>
      <c r="T143" s="75">
        <v>47589.679999999898</v>
      </c>
      <c r="U143" s="75">
        <v>78010.25</v>
      </c>
      <c r="W143" s="73">
        <v>98275</v>
      </c>
      <c r="X143" s="15" t="s">
        <v>10</v>
      </c>
      <c r="Y143" s="75">
        <v>834.6</v>
      </c>
      <c r="Z143" s="75">
        <v>830.6</v>
      </c>
      <c r="AA143" s="75">
        <v>5604.49</v>
      </c>
      <c r="AB143" s="75">
        <v>8193.4699999999993</v>
      </c>
      <c r="AC143" s="75">
        <v>780.8</v>
      </c>
      <c r="AD143" s="75">
        <v>725.31</v>
      </c>
      <c r="AE143" s="75">
        <v>5036.6899999999996</v>
      </c>
      <c r="AF143" s="75">
        <v>7136.3499999999904</v>
      </c>
      <c r="AG143" s="75">
        <v>433.07</v>
      </c>
      <c r="AH143" s="75">
        <v>512.85</v>
      </c>
      <c r="AI143" s="75">
        <v>5407.21</v>
      </c>
      <c r="AJ143" s="75">
        <v>6925.12</v>
      </c>
      <c r="AV143" s="73" t="s">
        <v>293</v>
      </c>
      <c r="AW143" s="73" t="s">
        <v>345</v>
      </c>
      <c r="AX143" s="33">
        <v>4</v>
      </c>
      <c r="AY143" s="33">
        <v>3</v>
      </c>
      <c r="AZ143" s="33">
        <v>1</v>
      </c>
      <c r="BB143" s="73" t="s">
        <v>293</v>
      </c>
      <c r="BC143" s="73" t="s">
        <v>345</v>
      </c>
      <c r="BD143" s="75">
        <v>3943.4</v>
      </c>
      <c r="BE143" s="75">
        <v>104.64</v>
      </c>
      <c r="BF143" s="75">
        <v>5073.67</v>
      </c>
      <c r="BH143" s="73">
        <v>98292</v>
      </c>
      <c r="BI143" s="73" t="s">
        <v>10</v>
      </c>
      <c r="BJ143" s="75"/>
      <c r="BK143" s="75"/>
      <c r="BL143" s="75">
        <v>-304.8</v>
      </c>
    </row>
    <row r="144" spans="2:64" x14ac:dyDescent="0.2">
      <c r="B144" s="81">
        <v>98110</v>
      </c>
      <c r="C144" s="62" t="s">
        <v>10</v>
      </c>
      <c r="D144" s="46">
        <v>1485</v>
      </c>
      <c r="E144" s="46">
        <v>1398</v>
      </c>
      <c r="F144" s="46">
        <v>1539</v>
      </c>
      <c r="H144" s="73">
        <v>98110</v>
      </c>
      <c r="I144" s="73" t="s">
        <v>345</v>
      </c>
      <c r="J144" s="75">
        <v>6451.74</v>
      </c>
      <c r="K144" s="75">
        <v>5187.3999999999996</v>
      </c>
      <c r="L144" s="75">
        <v>19131.099999999999</v>
      </c>
      <c r="M144" s="75">
        <v>138496.62999999899</v>
      </c>
      <c r="N144" s="75">
        <v>6747.83</v>
      </c>
      <c r="O144" s="75">
        <v>5056.8900000000003</v>
      </c>
      <c r="P144" s="75">
        <v>20371.89</v>
      </c>
      <c r="Q144" s="75">
        <v>250982.989999999</v>
      </c>
      <c r="R144" s="75">
        <v>7172.46</v>
      </c>
      <c r="S144" s="75">
        <v>4457.54</v>
      </c>
      <c r="T144" s="75">
        <v>20466.79</v>
      </c>
      <c r="U144" s="75">
        <v>149012.41999999899</v>
      </c>
      <c r="W144" s="73">
        <v>98276</v>
      </c>
      <c r="X144" s="15" t="s">
        <v>10</v>
      </c>
      <c r="Y144" s="75">
        <v>762.82</v>
      </c>
      <c r="Z144" s="75">
        <v>656.39</v>
      </c>
      <c r="AA144" s="75">
        <v>842.37999999999897</v>
      </c>
      <c r="AB144" s="75">
        <v>3618.32</v>
      </c>
      <c r="AC144" s="75">
        <v>603.16</v>
      </c>
      <c r="AD144" s="75">
        <v>576.84</v>
      </c>
      <c r="AE144" s="75">
        <v>740.41</v>
      </c>
      <c r="AF144" s="75">
        <v>2927.29</v>
      </c>
      <c r="AG144" s="75">
        <v>462.97</v>
      </c>
      <c r="AH144" s="75">
        <v>394.65</v>
      </c>
      <c r="AI144" s="75">
        <v>945.43999999999903</v>
      </c>
      <c r="AJ144" s="75">
        <v>3466.58</v>
      </c>
      <c r="AV144" s="73" t="s">
        <v>293</v>
      </c>
      <c r="AW144" s="73" t="s">
        <v>10</v>
      </c>
      <c r="AX144" s="33">
        <v>12</v>
      </c>
      <c r="AY144" s="33">
        <v>11</v>
      </c>
      <c r="AZ144" s="33">
        <v>15</v>
      </c>
      <c r="BB144" s="73" t="s">
        <v>293</v>
      </c>
      <c r="BC144" s="73" t="s">
        <v>10</v>
      </c>
      <c r="BD144" s="75">
        <v>2407.4699999999998</v>
      </c>
      <c r="BE144" s="75">
        <v>3060.91</v>
      </c>
      <c r="BF144" s="75">
        <v>4907.0200000000004</v>
      </c>
      <c r="BH144" s="73">
        <v>98296</v>
      </c>
      <c r="BI144" s="73" t="s">
        <v>10</v>
      </c>
      <c r="BJ144" s="75"/>
      <c r="BK144" s="75"/>
      <c r="BL144" s="75">
        <v>-192.78</v>
      </c>
    </row>
    <row r="145" spans="2:64" x14ac:dyDescent="0.2">
      <c r="B145" s="56">
        <v>98112</v>
      </c>
      <c r="C145" s="62" t="s">
        <v>345</v>
      </c>
      <c r="D145" s="46">
        <v>27</v>
      </c>
      <c r="E145" s="46">
        <v>40</v>
      </c>
      <c r="F145" s="46">
        <v>46</v>
      </c>
      <c r="H145" s="73">
        <v>98110</v>
      </c>
      <c r="I145" s="73" t="s">
        <v>10</v>
      </c>
      <c r="J145" s="75">
        <v>54302.31</v>
      </c>
      <c r="K145" s="75">
        <v>38397.589999999997</v>
      </c>
      <c r="L145" s="75">
        <v>164543.88</v>
      </c>
      <c r="M145" s="75">
        <v>399270.95</v>
      </c>
      <c r="N145" s="75">
        <v>42576.98</v>
      </c>
      <c r="O145" s="75">
        <v>35454.26</v>
      </c>
      <c r="P145" s="75">
        <v>163597.87</v>
      </c>
      <c r="Q145" s="75">
        <v>365917.89999999898</v>
      </c>
      <c r="R145" s="75">
        <v>44066.31</v>
      </c>
      <c r="S145" s="75">
        <v>28081.48</v>
      </c>
      <c r="T145" s="75">
        <v>158071.389999999</v>
      </c>
      <c r="U145" s="75">
        <v>372814.67</v>
      </c>
      <c r="W145" s="73">
        <v>98277</v>
      </c>
      <c r="X145" s="15" t="s">
        <v>10</v>
      </c>
      <c r="Y145" s="75">
        <v>35113.019999999997</v>
      </c>
      <c r="Z145" s="75">
        <v>38030.699999999997</v>
      </c>
      <c r="AA145" s="75">
        <v>177202.03</v>
      </c>
      <c r="AB145" s="75">
        <v>284473.94999999902</v>
      </c>
      <c r="AC145" s="75">
        <v>26730.06</v>
      </c>
      <c r="AD145" s="75">
        <v>29274.2</v>
      </c>
      <c r="AE145" s="75">
        <v>191765.97</v>
      </c>
      <c r="AF145" s="75">
        <v>280122.239999999</v>
      </c>
      <c r="AG145" s="75">
        <v>26420.959999999999</v>
      </c>
      <c r="AH145" s="75">
        <v>23655.86</v>
      </c>
      <c r="AI145" s="75">
        <v>201974.90999999901</v>
      </c>
      <c r="AJ145" s="75">
        <v>284453.42</v>
      </c>
      <c r="AV145" s="73" t="s">
        <v>294</v>
      </c>
      <c r="AW145" s="73" t="s">
        <v>345</v>
      </c>
      <c r="AX145" s="33">
        <v>1</v>
      </c>
      <c r="AY145" s="33">
        <v>1</v>
      </c>
      <c r="AZ145" s="33"/>
      <c r="BB145" s="73" t="s">
        <v>294</v>
      </c>
      <c r="BC145" s="73" t="s">
        <v>345</v>
      </c>
      <c r="BD145" s="75">
        <v>187.06</v>
      </c>
      <c r="BE145" s="75">
        <v>4956.83</v>
      </c>
      <c r="BF145" s="75"/>
      <c r="BH145" s="73">
        <v>98310</v>
      </c>
      <c r="BI145" s="73" t="s">
        <v>10</v>
      </c>
      <c r="BJ145" s="75">
        <v>-287.37</v>
      </c>
      <c r="BK145" s="75">
        <v>-757.13</v>
      </c>
      <c r="BL145" s="75">
        <v>-35.799999999999997</v>
      </c>
    </row>
    <row r="146" spans="2:64" x14ac:dyDescent="0.2">
      <c r="B146" s="81">
        <v>98112</v>
      </c>
      <c r="C146" s="62" t="s">
        <v>10</v>
      </c>
      <c r="D146" s="46">
        <v>734</v>
      </c>
      <c r="E146" s="46">
        <v>722</v>
      </c>
      <c r="F146" s="46">
        <v>737</v>
      </c>
      <c r="H146" s="73">
        <v>98112</v>
      </c>
      <c r="I146" s="73" t="s">
        <v>345</v>
      </c>
      <c r="J146" s="75">
        <v>1460.87</v>
      </c>
      <c r="K146" s="75">
        <v>2413.85</v>
      </c>
      <c r="L146" s="75">
        <v>28633.58</v>
      </c>
      <c r="M146" s="75">
        <v>40895.800000000003</v>
      </c>
      <c r="N146" s="75">
        <v>1121.02</v>
      </c>
      <c r="O146" s="75">
        <v>830.75</v>
      </c>
      <c r="P146" s="75">
        <v>21491.909999999902</v>
      </c>
      <c r="Q146" s="75">
        <v>30801.749999999902</v>
      </c>
      <c r="R146" s="75">
        <v>696.44</v>
      </c>
      <c r="S146" s="75">
        <v>807.06</v>
      </c>
      <c r="T146" s="75">
        <v>10337.75</v>
      </c>
      <c r="U146" s="75">
        <v>19123.549999999901</v>
      </c>
      <c r="W146" s="73">
        <v>98281</v>
      </c>
      <c r="X146" s="15" t="s">
        <v>10</v>
      </c>
      <c r="Y146" s="75">
        <v>737.81</v>
      </c>
      <c r="Z146" s="75">
        <v>1149.75</v>
      </c>
      <c r="AA146" s="75">
        <v>2530.7599999999902</v>
      </c>
      <c r="AB146" s="75">
        <v>5334</v>
      </c>
      <c r="AC146" s="75">
        <v>281.02</v>
      </c>
      <c r="AD146" s="75">
        <v>445.15</v>
      </c>
      <c r="AE146" s="75">
        <v>2847.88</v>
      </c>
      <c r="AF146" s="75">
        <v>4520.16</v>
      </c>
      <c r="AG146" s="75">
        <v>460.96</v>
      </c>
      <c r="AH146" s="75">
        <v>255.8</v>
      </c>
      <c r="AI146" s="75">
        <v>3293.03</v>
      </c>
      <c r="AJ146" s="75">
        <v>4921.2299999999996</v>
      </c>
      <c r="AV146" s="73" t="s">
        <v>294</v>
      </c>
      <c r="AW146" s="73" t="s">
        <v>10</v>
      </c>
      <c r="AX146" s="33">
        <v>4</v>
      </c>
      <c r="AY146" s="33">
        <v>4</v>
      </c>
      <c r="AZ146" s="33">
        <v>8</v>
      </c>
      <c r="BB146" s="73" t="s">
        <v>294</v>
      </c>
      <c r="BC146" s="73" t="s">
        <v>10</v>
      </c>
      <c r="BD146" s="75">
        <v>1632.52</v>
      </c>
      <c r="BE146" s="75">
        <v>1245.8800000000001</v>
      </c>
      <c r="BF146" s="75">
        <v>1117.08</v>
      </c>
      <c r="BH146" s="73">
        <v>98311</v>
      </c>
      <c r="BI146" s="73" t="s">
        <v>10</v>
      </c>
      <c r="BJ146" s="75">
        <v>-287.86</v>
      </c>
      <c r="BK146" s="75">
        <v>-169.25</v>
      </c>
      <c r="BL146" s="75"/>
    </row>
    <row r="147" spans="2:64" x14ac:dyDescent="0.2">
      <c r="B147" s="56">
        <v>98115</v>
      </c>
      <c r="C147" s="62" t="s">
        <v>345</v>
      </c>
      <c r="D147" s="46">
        <v>66</v>
      </c>
      <c r="E147" s="46">
        <v>67</v>
      </c>
      <c r="F147" s="46">
        <v>70</v>
      </c>
      <c r="H147" s="73">
        <v>98112</v>
      </c>
      <c r="I147" s="73" t="s">
        <v>10</v>
      </c>
      <c r="J147" s="75">
        <v>19376.57</v>
      </c>
      <c r="K147" s="75">
        <v>17639.61</v>
      </c>
      <c r="L147" s="75">
        <v>78574.98</v>
      </c>
      <c r="M147" s="75">
        <v>148973.20000000001</v>
      </c>
      <c r="N147" s="75">
        <v>15881.41</v>
      </c>
      <c r="O147" s="75">
        <v>13873.3</v>
      </c>
      <c r="P147" s="75">
        <v>77658.519999999902</v>
      </c>
      <c r="Q147" s="75">
        <v>128957.02</v>
      </c>
      <c r="R147" s="75">
        <v>10615.74</v>
      </c>
      <c r="S147" s="75">
        <v>10663.59</v>
      </c>
      <c r="T147" s="75">
        <v>78342.799999999901</v>
      </c>
      <c r="U147" s="75">
        <v>121330.249999999</v>
      </c>
      <c r="W147" s="73">
        <v>98283</v>
      </c>
      <c r="X147" s="15" t="s">
        <v>10</v>
      </c>
      <c r="Y147" s="75">
        <v>1408.07</v>
      </c>
      <c r="Z147" s="75">
        <v>621.16</v>
      </c>
      <c r="AA147" s="75">
        <v>16455.809999999899</v>
      </c>
      <c r="AB147" s="75">
        <v>19745.699999999899</v>
      </c>
      <c r="AC147" s="75">
        <v>704.26</v>
      </c>
      <c r="AD147" s="75">
        <v>1157.1500000000001</v>
      </c>
      <c r="AE147" s="75">
        <v>17076.97</v>
      </c>
      <c r="AF147" s="75">
        <v>19804.839999999898</v>
      </c>
      <c r="AG147" s="75">
        <v>866.46</v>
      </c>
      <c r="AH147" s="75">
        <v>589.76</v>
      </c>
      <c r="AI147" s="75">
        <v>17913.59</v>
      </c>
      <c r="AJ147" s="75">
        <v>20344.259999999998</v>
      </c>
      <c r="AV147" s="73" t="s">
        <v>295</v>
      </c>
      <c r="AW147" s="73" t="s">
        <v>10</v>
      </c>
      <c r="AX147" s="33">
        <v>5</v>
      </c>
      <c r="AY147" s="33">
        <v>12</v>
      </c>
      <c r="AZ147" s="33">
        <v>10</v>
      </c>
      <c r="BB147" s="73" t="s">
        <v>295</v>
      </c>
      <c r="BC147" s="73" t="s">
        <v>10</v>
      </c>
      <c r="BD147" s="75">
        <v>861.65</v>
      </c>
      <c r="BE147" s="75">
        <v>7010.25</v>
      </c>
      <c r="BF147" s="75">
        <v>3349.89</v>
      </c>
      <c r="BH147" s="73">
        <v>98312</v>
      </c>
      <c r="BI147" s="73" t="s">
        <v>10</v>
      </c>
      <c r="BJ147" s="75">
        <v>-492.14</v>
      </c>
      <c r="BK147" s="75">
        <v>-465.57</v>
      </c>
      <c r="BL147" s="75">
        <v>-1544.93</v>
      </c>
    </row>
    <row r="148" spans="2:64" x14ac:dyDescent="0.2">
      <c r="B148" s="81">
        <v>98115</v>
      </c>
      <c r="C148" s="62" t="s">
        <v>10</v>
      </c>
      <c r="D148" s="46">
        <v>1068</v>
      </c>
      <c r="E148" s="46">
        <v>962</v>
      </c>
      <c r="F148" s="46">
        <v>1046</v>
      </c>
      <c r="H148" s="73">
        <v>98115</v>
      </c>
      <c r="I148" s="73" t="s">
        <v>345</v>
      </c>
      <c r="J148" s="75">
        <v>7333.85</v>
      </c>
      <c r="K148" s="75">
        <v>5639.34</v>
      </c>
      <c r="L148" s="75">
        <v>61716.74</v>
      </c>
      <c r="M148" s="75">
        <v>91238.66</v>
      </c>
      <c r="N148" s="75">
        <v>5559.08</v>
      </c>
      <c r="O148" s="75">
        <v>5307.46</v>
      </c>
      <c r="P148" s="75">
        <v>63438.14</v>
      </c>
      <c r="Q148" s="75">
        <v>85447.459999999905</v>
      </c>
      <c r="R148" s="75">
        <v>5860.54</v>
      </c>
      <c r="S148" s="75">
        <v>3374.46</v>
      </c>
      <c r="T148" s="75">
        <v>67068.23</v>
      </c>
      <c r="U148" s="75">
        <v>87923.47</v>
      </c>
      <c r="W148" s="73">
        <v>98284</v>
      </c>
      <c r="X148" s="15" t="s">
        <v>10</v>
      </c>
      <c r="Y148" s="75">
        <v>25959.48</v>
      </c>
      <c r="Z148" s="75">
        <v>24688.58</v>
      </c>
      <c r="AA148" s="75">
        <v>77536.22</v>
      </c>
      <c r="AB148" s="75">
        <v>153323.87999999899</v>
      </c>
      <c r="AC148" s="75">
        <v>18500.53</v>
      </c>
      <c r="AD148" s="75">
        <v>23100.12</v>
      </c>
      <c r="AE148" s="75">
        <v>87919.29</v>
      </c>
      <c r="AF148" s="75">
        <v>150598.67000000001</v>
      </c>
      <c r="AG148" s="75">
        <v>17932.66</v>
      </c>
      <c r="AH148" s="75">
        <v>15650.99</v>
      </c>
      <c r="AI148" s="75">
        <v>95743.74</v>
      </c>
      <c r="AJ148" s="75">
        <v>155679.39000000001</v>
      </c>
      <c r="AV148" s="73" t="s">
        <v>296</v>
      </c>
      <c r="AW148" s="73" t="s">
        <v>345</v>
      </c>
      <c r="AX148" s="33"/>
      <c r="AY148" s="33">
        <v>1</v>
      </c>
      <c r="AZ148" s="33">
        <v>1</v>
      </c>
      <c r="BB148" s="73" t="s">
        <v>296</v>
      </c>
      <c r="BC148" s="73" t="s">
        <v>345</v>
      </c>
      <c r="BD148" s="75"/>
      <c r="BE148" s="75">
        <v>37.270000000000003</v>
      </c>
      <c r="BF148" s="75">
        <v>2.4900000000000002</v>
      </c>
      <c r="BH148" s="73">
        <v>98321</v>
      </c>
      <c r="BI148" s="73" t="s">
        <v>10</v>
      </c>
      <c r="BJ148" s="75">
        <v>-46.56</v>
      </c>
      <c r="BK148" s="75"/>
      <c r="BL148" s="75">
        <v>-900</v>
      </c>
    </row>
    <row r="149" spans="2:64" x14ac:dyDescent="0.2">
      <c r="B149" s="56">
        <v>98116</v>
      </c>
      <c r="C149" s="62" t="s">
        <v>345</v>
      </c>
      <c r="D149" s="46">
        <v>29</v>
      </c>
      <c r="E149" s="46">
        <v>25</v>
      </c>
      <c r="F149" s="46">
        <v>29</v>
      </c>
      <c r="H149" s="73">
        <v>98115</v>
      </c>
      <c r="I149" s="73" t="s">
        <v>10</v>
      </c>
      <c r="J149" s="75">
        <v>30749.19</v>
      </c>
      <c r="K149" s="75">
        <v>28290.44</v>
      </c>
      <c r="L149" s="75">
        <v>146307.51</v>
      </c>
      <c r="M149" s="75">
        <v>249589.99999999901</v>
      </c>
      <c r="N149" s="75">
        <v>14278.98</v>
      </c>
      <c r="O149" s="75">
        <v>21539.09</v>
      </c>
      <c r="P149" s="75">
        <v>157038</v>
      </c>
      <c r="Q149" s="75">
        <v>221942.27999999901</v>
      </c>
      <c r="R149" s="75">
        <v>16690.89</v>
      </c>
      <c r="S149" s="75">
        <v>10529.63</v>
      </c>
      <c r="T149" s="75">
        <v>161745.73000000001</v>
      </c>
      <c r="U149" s="75">
        <v>216787.40999999901</v>
      </c>
      <c r="W149" s="73">
        <v>98288</v>
      </c>
      <c r="X149" s="15" t="s">
        <v>10</v>
      </c>
      <c r="Y149" s="75">
        <v>857.53</v>
      </c>
      <c r="Z149" s="75">
        <v>313.02999999999997</v>
      </c>
      <c r="AA149" s="75">
        <v>2307.69</v>
      </c>
      <c r="AB149" s="75">
        <v>3946.22</v>
      </c>
      <c r="AC149" s="75">
        <v>467.97</v>
      </c>
      <c r="AD149" s="75">
        <v>388</v>
      </c>
      <c r="AE149" s="75">
        <v>1788.82</v>
      </c>
      <c r="AF149" s="75">
        <v>3378.5999999999899</v>
      </c>
      <c r="AG149" s="75">
        <v>733.81</v>
      </c>
      <c r="AH149" s="75">
        <v>254.86</v>
      </c>
      <c r="AI149" s="75">
        <v>2105.81</v>
      </c>
      <c r="AJ149" s="75">
        <v>3290.52</v>
      </c>
      <c r="AV149" s="73" t="s">
        <v>296</v>
      </c>
      <c r="AW149" s="73" t="s">
        <v>10</v>
      </c>
      <c r="AX149" s="33">
        <v>13</v>
      </c>
      <c r="AY149" s="33">
        <v>11</v>
      </c>
      <c r="AZ149" s="33">
        <v>14</v>
      </c>
      <c r="BB149" s="73" t="s">
        <v>296</v>
      </c>
      <c r="BC149" s="73" t="s">
        <v>10</v>
      </c>
      <c r="BD149" s="75">
        <v>4888.87</v>
      </c>
      <c r="BE149" s="75">
        <v>3520.6</v>
      </c>
      <c r="BF149" s="75">
        <v>5373.28</v>
      </c>
      <c r="BH149" s="73">
        <v>98327</v>
      </c>
      <c r="BI149" s="73" t="s">
        <v>10</v>
      </c>
      <c r="BJ149" s="75">
        <v>-317.69</v>
      </c>
      <c r="BK149" s="75">
        <v>-170.63</v>
      </c>
      <c r="BL149" s="75">
        <v>-216.08</v>
      </c>
    </row>
    <row r="150" spans="2:64" x14ac:dyDescent="0.2">
      <c r="B150" s="81">
        <v>98116</v>
      </c>
      <c r="C150" s="62" t="s">
        <v>10</v>
      </c>
      <c r="D150" s="46">
        <v>558</v>
      </c>
      <c r="E150" s="46">
        <v>531</v>
      </c>
      <c r="F150" s="46">
        <v>575</v>
      </c>
      <c r="H150" s="73">
        <v>98116</v>
      </c>
      <c r="I150" s="73" t="s">
        <v>345</v>
      </c>
      <c r="J150" s="75">
        <v>3449.2</v>
      </c>
      <c r="K150" s="75">
        <v>2399.12</v>
      </c>
      <c r="L150" s="75">
        <v>33561.46</v>
      </c>
      <c r="M150" s="75">
        <v>54611.729999999901</v>
      </c>
      <c r="N150" s="75">
        <v>6689.91</v>
      </c>
      <c r="O150" s="75">
        <v>2504.29</v>
      </c>
      <c r="P150" s="75">
        <v>34834.299999999901</v>
      </c>
      <c r="Q150" s="75">
        <v>49158.96</v>
      </c>
      <c r="R150" s="75">
        <v>4523.45</v>
      </c>
      <c r="S150" s="75">
        <v>6190.25</v>
      </c>
      <c r="T150" s="75">
        <v>36362.89</v>
      </c>
      <c r="U150" s="75">
        <v>53710.659999999902</v>
      </c>
      <c r="W150" s="73">
        <v>98290</v>
      </c>
      <c r="X150" s="15" t="s">
        <v>10</v>
      </c>
      <c r="Y150" s="75">
        <v>560.80999999999995</v>
      </c>
      <c r="Z150" s="75">
        <v>710.21</v>
      </c>
      <c r="AA150" s="75">
        <v>3616.45</v>
      </c>
      <c r="AB150" s="75">
        <v>5298.59</v>
      </c>
      <c r="AC150" s="75">
        <v>370.39</v>
      </c>
      <c r="AD150" s="75">
        <v>508.48</v>
      </c>
      <c r="AE150" s="75">
        <v>4318.99</v>
      </c>
      <c r="AF150" s="75">
        <v>5521.67</v>
      </c>
      <c r="AG150" s="75">
        <v>290.66000000000003</v>
      </c>
      <c r="AH150" s="75">
        <v>328.48</v>
      </c>
      <c r="AI150" s="75">
        <v>4820.83</v>
      </c>
      <c r="AJ150" s="75">
        <v>5787.75</v>
      </c>
      <c r="AV150" s="73" t="s">
        <v>297</v>
      </c>
      <c r="AW150" s="73" t="s">
        <v>345</v>
      </c>
      <c r="AX150" s="33"/>
      <c r="AY150" s="33"/>
      <c r="AZ150" s="33">
        <v>5</v>
      </c>
      <c r="BB150" s="73" t="s">
        <v>297</v>
      </c>
      <c r="BC150" s="73" t="s">
        <v>345</v>
      </c>
      <c r="BD150" s="75"/>
      <c r="BE150" s="75"/>
      <c r="BF150" s="75">
        <v>4872.46</v>
      </c>
      <c r="BH150" s="73">
        <v>98328</v>
      </c>
      <c r="BI150" s="73" t="s">
        <v>10</v>
      </c>
      <c r="BJ150" s="75"/>
      <c r="BK150" s="75"/>
      <c r="BL150" s="75">
        <v>-1585.18</v>
      </c>
    </row>
    <row r="151" spans="2:64" x14ac:dyDescent="0.2">
      <c r="B151" s="56">
        <v>98117</v>
      </c>
      <c r="C151" s="62" t="s">
        <v>345</v>
      </c>
      <c r="D151" s="46">
        <v>23</v>
      </c>
      <c r="E151" s="46">
        <v>21</v>
      </c>
      <c r="F151" s="46">
        <v>36</v>
      </c>
      <c r="H151" s="73">
        <v>98116</v>
      </c>
      <c r="I151" s="73" t="s">
        <v>10</v>
      </c>
      <c r="J151" s="75">
        <v>18637.14</v>
      </c>
      <c r="K151" s="75">
        <v>17430.28</v>
      </c>
      <c r="L151" s="75">
        <v>70835.22</v>
      </c>
      <c r="M151" s="75">
        <v>129958.609999999</v>
      </c>
      <c r="N151" s="75">
        <v>13786.94</v>
      </c>
      <c r="O151" s="75">
        <v>14515.7</v>
      </c>
      <c r="P151" s="75">
        <v>72859.850000000006</v>
      </c>
      <c r="Q151" s="75">
        <v>116347.51</v>
      </c>
      <c r="R151" s="75">
        <v>9345.58</v>
      </c>
      <c r="S151" s="75">
        <v>10661.23</v>
      </c>
      <c r="T151" s="75">
        <v>76404.53</v>
      </c>
      <c r="U151" s="75">
        <v>110883.63</v>
      </c>
      <c r="W151" s="73">
        <v>98292</v>
      </c>
      <c r="X151" s="15" t="s">
        <v>10</v>
      </c>
      <c r="Y151" s="75"/>
      <c r="Z151" s="75"/>
      <c r="AA151" s="75">
        <v>965.74</v>
      </c>
      <c r="AB151" s="75">
        <v>1027.24</v>
      </c>
      <c r="AC151" s="75">
        <v>61.5</v>
      </c>
      <c r="AD151" s="75"/>
      <c r="AE151" s="75">
        <v>908.67</v>
      </c>
      <c r="AF151" s="75">
        <v>1019.21</v>
      </c>
      <c r="AG151" s="75"/>
      <c r="AH151" s="75">
        <v>61.5</v>
      </c>
      <c r="AI151" s="75">
        <v>844.6</v>
      </c>
      <c r="AJ151" s="75">
        <v>952.75</v>
      </c>
      <c r="AV151" s="73" t="s">
        <v>297</v>
      </c>
      <c r="AW151" s="73" t="s">
        <v>10</v>
      </c>
      <c r="AX151" s="33"/>
      <c r="AY151" s="33">
        <v>1</v>
      </c>
      <c r="AZ151" s="33"/>
      <c r="BB151" s="73" t="s">
        <v>297</v>
      </c>
      <c r="BC151" s="73" t="s">
        <v>10</v>
      </c>
      <c r="BD151" s="75"/>
      <c r="BE151" s="75">
        <v>157.11000000000001</v>
      </c>
      <c r="BF151" s="75"/>
      <c r="BH151" s="73">
        <v>98332</v>
      </c>
      <c r="BI151" s="73" t="s">
        <v>345</v>
      </c>
      <c r="BJ151" s="75"/>
      <c r="BK151" s="75"/>
      <c r="BL151" s="75">
        <v>-100</v>
      </c>
    </row>
    <row r="152" spans="2:64" x14ac:dyDescent="0.2">
      <c r="B152" s="81">
        <v>98117</v>
      </c>
      <c r="C152" s="62" t="s">
        <v>10</v>
      </c>
      <c r="D152" s="46">
        <v>803</v>
      </c>
      <c r="E152" s="46">
        <v>754</v>
      </c>
      <c r="F152" s="46">
        <v>812</v>
      </c>
      <c r="H152" s="73">
        <v>98117</v>
      </c>
      <c r="I152" s="73" t="s">
        <v>345</v>
      </c>
      <c r="J152" s="75">
        <v>1930.26</v>
      </c>
      <c r="K152" s="75">
        <v>1270.8399999999999</v>
      </c>
      <c r="L152" s="75">
        <v>6328.01</v>
      </c>
      <c r="M152" s="75">
        <v>11645.48</v>
      </c>
      <c r="N152" s="75">
        <v>1290.29</v>
      </c>
      <c r="O152" s="75">
        <v>1629.7</v>
      </c>
      <c r="P152" s="75">
        <v>7563.07</v>
      </c>
      <c r="Q152" s="75">
        <v>11995.07</v>
      </c>
      <c r="R152" s="75">
        <v>1292.5899999999999</v>
      </c>
      <c r="S152" s="75">
        <v>961.97</v>
      </c>
      <c r="T152" s="75">
        <v>5084.1399999999903</v>
      </c>
      <c r="U152" s="75">
        <v>11853.97</v>
      </c>
      <c r="W152" s="73">
        <v>98294</v>
      </c>
      <c r="X152" s="15" t="s">
        <v>10</v>
      </c>
      <c r="Y152" s="75">
        <v>1268.43</v>
      </c>
      <c r="Z152" s="75">
        <v>1469.72</v>
      </c>
      <c r="AA152" s="75">
        <v>8365.4699999999993</v>
      </c>
      <c r="AB152" s="75">
        <v>12430.4299999999</v>
      </c>
      <c r="AC152" s="75">
        <v>893.42</v>
      </c>
      <c r="AD152" s="75">
        <v>1043.07</v>
      </c>
      <c r="AE152" s="75">
        <v>8649.5499999999993</v>
      </c>
      <c r="AF152" s="75">
        <v>11900.59</v>
      </c>
      <c r="AG152" s="75">
        <v>1153.02</v>
      </c>
      <c r="AH152" s="75">
        <v>706.24</v>
      </c>
      <c r="AI152" s="75">
        <v>7664.73</v>
      </c>
      <c r="AJ152" s="75">
        <v>10403.7399999999</v>
      </c>
      <c r="AV152" s="73" t="s">
        <v>298</v>
      </c>
      <c r="AW152" s="73" t="s">
        <v>10</v>
      </c>
      <c r="AX152" s="33">
        <v>5</v>
      </c>
      <c r="AY152" s="33">
        <v>6</v>
      </c>
      <c r="AZ152" s="33">
        <v>1</v>
      </c>
      <c r="BB152" s="73" t="s">
        <v>298</v>
      </c>
      <c r="BC152" s="73" t="s">
        <v>10</v>
      </c>
      <c r="BD152" s="75">
        <v>1364.88</v>
      </c>
      <c r="BE152" s="75">
        <v>530.46</v>
      </c>
      <c r="BF152" s="75">
        <v>12.29</v>
      </c>
      <c r="BH152" s="73">
        <v>98332</v>
      </c>
      <c r="BI152" s="73" t="s">
        <v>10</v>
      </c>
      <c r="BJ152" s="75">
        <v>-316.7</v>
      </c>
      <c r="BK152" s="75">
        <v>-39.24</v>
      </c>
      <c r="BL152" s="75">
        <v>-820.69</v>
      </c>
    </row>
    <row r="153" spans="2:64" x14ac:dyDescent="0.2">
      <c r="B153" s="56">
        <v>98118</v>
      </c>
      <c r="C153" s="62" t="s">
        <v>345</v>
      </c>
      <c r="D153" s="46">
        <v>101</v>
      </c>
      <c r="E153" s="46">
        <v>91</v>
      </c>
      <c r="F153" s="46">
        <v>107</v>
      </c>
      <c r="H153" s="73">
        <v>98117</v>
      </c>
      <c r="I153" s="73" t="s">
        <v>10</v>
      </c>
      <c r="J153" s="75">
        <v>24064.51</v>
      </c>
      <c r="K153" s="75">
        <v>22038.12</v>
      </c>
      <c r="L153" s="75">
        <v>104073.99</v>
      </c>
      <c r="M153" s="75">
        <v>179558.47</v>
      </c>
      <c r="N153" s="75">
        <v>16475.63</v>
      </c>
      <c r="O153" s="75">
        <v>17500.73</v>
      </c>
      <c r="P153" s="75">
        <v>110038.37</v>
      </c>
      <c r="Q153" s="75">
        <v>164151.48000000001</v>
      </c>
      <c r="R153" s="75">
        <v>12256.15</v>
      </c>
      <c r="S153" s="75">
        <v>12628.81</v>
      </c>
      <c r="T153" s="75">
        <v>117703.239999999</v>
      </c>
      <c r="U153" s="75">
        <v>161597.13</v>
      </c>
      <c r="W153" s="73">
        <v>98295</v>
      </c>
      <c r="X153" s="15" t="s">
        <v>10</v>
      </c>
      <c r="Y153" s="75">
        <v>1236.57</v>
      </c>
      <c r="Z153" s="75">
        <v>192.84</v>
      </c>
      <c r="AA153" s="75">
        <v>387.67999999999898</v>
      </c>
      <c r="AB153" s="75">
        <v>2237.85</v>
      </c>
      <c r="AC153" s="75">
        <v>142.91999999999999</v>
      </c>
      <c r="AD153" s="75">
        <v>724.47</v>
      </c>
      <c r="AE153" s="75">
        <v>158.16</v>
      </c>
      <c r="AF153" s="75">
        <v>2255.58</v>
      </c>
      <c r="AG153" s="75">
        <v>1113.96</v>
      </c>
      <c r="AH153" s="75">
        <v>142.91999999999999</v>
      </c>
      <c r="AI153" s="75">
        <v>673.58999999999901</v>
      </c>
      <c r="AJ153" s="75">
        <v>2454.1</v>
      </c>
      <c r="AV153" s="73" t="s">
        <v>299</v>
      </c>
      <c r="AW153" s="73" t="s">
        <v>345</v>
      </c>
      <c r="AX153" s="33"/>
      <c r="AY153" s="33">
        <v>1</v>
      </c>
      <c r="AZ153" s="33">
        <v>1</v>
      </c>
      <c r="BB153" s="73" t="s">
        <v>299</v>
      </c>
      <c r="BC153" s="73" t="s">
        <v>345</v>
      </c>
      <c r="BD153" s="75"/>
      <c r="BE153" s="75">
        <v>169.74</v>
      </c>
      <c r="BF153" s="75"/>
      <c r="BH153" s="73">
        <v>98335</v>
      </c>
      <c r="BI153" s="73" t="s">
        <v>10</v>
      </c>
      <c r="BJ153" s="75"/>
      <c r="BK153" s="75">
        <v>-176.46</v>
      </c>
      <c r="BL153" s="75">
        <v>-31.31</v>
      </c>
    </row>
    <row r="154" spans="2:64" x14ac:dyDescent="0.2">
      <c r="B154" s="81">
        <v>98118</v>
      </c>
      <c r="C154" s="62" t="s">
        <v>10</v>
      </c>
      <c r="D154" s="46">
        <v>1592</v>
      </c>
      <c r="E154" s="46">
        <v>1544</v>
      </c>
      <c r="F154" s="46">
        <v>1551</v>
      </c>
      <c r="H154" s="73">
        <v>98118</v>
      </c>
      <c r="I154" s="73" t="s">
        <v>345</v>
      </c>
      <c r="J154" s="75">
        <v>13604.04</v>
      </c>
      <c r="K154" s="75">
        <v>7865.56</v>
      </c>
      <c r="L154" s="75">
        <v>58326.879999999997</v>
      </c>
      <c r="M154" s="75">
        <v>95923.129999999903</v>
      </c>
      <c r="N154" s="75">
        <v>7120.4</v>
      </c>
      <c r="O154" s="75">
        <v>10856.15</v>
      </c>
      <c r="P154" s="75">
        <v>59374.71</v>
      </c>
      <c r="Q154" s="75">
        <v>87806.94</v>
      </c>
      <c r="R154" s="75">
        <v>4901.88</v>
      </c>
      <c r="S154" s="75">
        <v>4725.43</v>
      </c>
      <c r="T154" s="75">
        <v>66655.78</v>
      </c>
      <c r="U154" s="75">
        <v>95067.359999999899</v>
      </c>
      <c r="W154" s="73">
        <v>98296</v>
      </c>
      <c r="X154" s="15" t="s">
        <v>10</v>
      </c>
      <c r="Y154" s="75">
        <v>596.54999999999995</v>
      </c>
      <c r="Z154" s="75">
        <v>604.30999999999995</v>
      </c>
      <c r="AA154" s="75">
        <v>1818.05</v>
      </c>
      <c r="AB154" s="75">
        <v>3394.06</v>
      </c>
      <c r="AC154" s="75">
        <v>305.5</v>
      </c>
      <c r="AD154" s="75">
        <v>470.84</v>
      </c>
      <c r="AE154" s="75">
        <v>2124.71</v>
      </c>
      <c r="AF154" s="75">
        <v>3240.84</v>
      </c>
      <c r="AG154" s="75">
        <v>303.93</v>
      </c>
      <c r="AH154" s="75">
        <v>248.26</v>
      </c>
      <c r="AI154" s="75">
        <v>1661.28</v>
      </c>
      <c r="AJ154" s="75">
        <v>2450.9699999999998</v>
      </c>
      <c r="AV154" s="73" t="s">
        <v>299</v>
      </c>
      <c r="AW154" s="73" t="s">
        <v>10</v>
      </c>
      <c r="AX154" s="33">
        <v>7</v>
      </c>
      <c r="AY154" s="33">
        <v>7</v>
      </c>
      <c r="AZ154" s="33">
        <v>16</v>
      </c>
      <c r="BB154" s="73" t="s">
        <v>299</v>
      </c>
      <c r="BC154" s="73" t="s">
        <v>10</v>
      </c>
      <c r="BD154" s="75">
        <v>852.47</v>
      </c>
      <c r="BE154" s="75">
        <v>1489.28</v>
      </c>
      <c r="BF154" s="75">
        <v>3604.65</v>
      </c>
      <c r="BH154" s="73">
        <v>98337</v>
      </c>
      <c r="BI154" s="73" t="s">
        <v>10</v>
      </c>
      <c r="BJ154" s="75"/>
      <c r="BK154" s="75">
        <v>-66.44</v>
      </c>
      <c r="BL154" s="75"/>
    </row>
    <row r="155" spans="2:64" x14ac:dyDescent="0.2">
      <c r="B155" s="56">
        <v>98119</v>
      </c>
      <c r="C155" s="62" t="s">
        <v>345</v>
      </c>
      <c r="D155" s="46">
        <v>52</v>
      </c>
      <c r="E155" s="46">
        <v>57</v>
      </c>
      <c r="F155" s="46">
        <v>57</v>
      </c>
      <c r="H155" s="73">
        <v>98118</v>
      </c>
      <c r="I155" s="73" t="s">
        <v>10</v>
      </c>
      <c r="J155" s="75">
        <v>58778.75</v>
      </c>
      <c r="K155" s="75">
        <v>56061.09</v>
      </c>
      <c r="L155" s="75">
        <v>282221.549999999</v>
      </c>
      <c r="M155" s="75">
        <v>461391.049999999</v>
      </c>
      <c r="N155" s="75">
        <v>37101.01</v>
      </c>
      <c r="O155" s="75">
        <v>49266.080000000002</v>
      </c>
      <c r="P155" s="75">
        <v>298325.45999999897</v>
      </c>
      <c r="Q155" s="75">
        <v>426511.71</v>
      </c>
      <c r="R155" s="75">
        <v>27590.81</v>
      </c>
      <c r="S155" s="75">
        <v>30754.07</v>
      </c>
      <c r="T155" s="75">
        <v>314145.71999999997</v>
      </c>
      <c r="U155" s="75">
        <v>412093.46</v>
      </c>
      <c r="W155" s="73">
        <v>98310</v>
      </c>
      <c r="X155" s="15" t="s">
        <v>10</v>
      </c>
      <c r="Y155" s="75">
        <v>25253.55</v>
      </c>
      <c r="Z155" s="75">
        <v>30095.77</v>
      </c>
      <c r="AA155" s="75">
        <v>113615.57</v>
      </c>
      <c r="AB155" s="75">
        <v>192797.59</v>
      </c>
      <c r="AC155" s="75">
        <v>19635.900000000001</v>
      </c>
      <c r="AD155" s="75">
        <v>23070.62</v>
      </c>
      <c r="AE155" s="75">
        <v>131813.25</v>
      </c>
      <c r="AF155" s="75">
        <v>201066.67</v>
      </c>
      <c r="AG155" s="75">
        <v>21024.66</v>
      </c>
      <c r="AH155" s="75">
        <v>16078.34</v>
      </c>
      <c r="AI155" s="75">
        <v>124132.85</v>
      </c>
      <c r="AJ155" s="75">
        <v>186571.98</v>
      </c>
      <c r="AV155" s="73" t="s">
        <v>300</v>
      </c>
      <c r="AW155" s="73" t="s">
        <v>10</v>
      </c>
      <c r="AX155" s="33">
        <v>5</v>
      </c>
      <c r="AY155" s="33">
        <v>6</v>
      </c>
      <c r="AZ155" s="33">
        <v>9</v>
      </c>
      <c r="BB155" s="73" t="s">
        <v>300</v>
      </c>
      <c r="BC155" s="73" t="s">
        <v>10</v>
      </c>
      <c r="BD155" s="75">
        <v>1931.58</v>
      </c>
      <c r="BE155" s="75">
        <v>2334.98</v>
      </c>
      <c r="BF155" s="75">
        <v>4399.7299999999996</v>
      </c>
      <c r="BH155" s="73">
        <v>98338</v>
      </c>
      <c r="BI155" s="73" t="s">
        <v>10</v>
      </c>
      <c r="BJ155" s="75">
        <v>-47.12</v>
      </c>
      <c r="BK155" s="75">
        <v>-120.6</v>
      </c>
      <c r="BL155" s="75">
        <v>-832.37</v>
      </c>
    </row>
    <row r="156" spans="2:64" x14ac:dyDescent="0.2">
      <c r="B156" s="81">
        <v>98119</v>
      </c>
      <c r="C156" s="62" t="s">
        <v>10</v>
      </c>
      <c r="D156" s="46">
        <v>520</v>
      </c>
      <c r="E156" s="46">
        <v>495</v>
      </c>
      <c r="F156" s="46">
        <v>534</v>
      </c>
      <c r="H156" s="73">
        <v>98119</v>
      </c>
      <c r="I156" s="73" t="s">
        <v>345</v>
      </c>
      <c r="J156" s="75">
        <v>3891.65</v>
      </c>
      <c r="K156" s="75">
        <v>948.72</v>
      </c>
      <c r="L156" s="75">
        <v>1997.46999999999</v>
      </c>
      <c r="M156" s="75">
        <v>27210.400000000001</v>
      </c>
      <c r="N156" s="75">
        <v>1044.6400000000001</v>
      </c>
      <c r="O156" s="75">
        <v>1016.08</v>
      </c>
      <c r="P156" s="75">
        <v>2884.37</v>
      </c>
      <c r="Q156" s="75">
        <v>29207.52</v>
      </c>
      <c r="R156" s="75">
        <v>1855.8</v>
      </c>
      <c r="S156" s="75">
        <v>6232.86</v>
      </c>
      <c r="T156" s="75">
        <v>2995.61</v>
      </c>
      <c r="U156" s="75">
        <v>30132.86</v>
      </c>
      <c r="W156" s="73">
        <v>98311</v>
      </c>
      <c r="X156" s="15" t="s">
        <v>10</v>
      </c>
      <c r="Y156" s="75">
        <v>27600.15</v>
      </c>
      <c r="Z156" s="75">
        <v>30463.87</v>
      </c>
      <c r="AA156" s="75">
        <v>155320.71</v>
      </c>
      <c r="AB156" s="75">
        <v>238782.389999999</v>
      </c>
      <c r="AC156" s="75">
        <v>20400.560000000001</v>
      </c>
      <c r="AD156" s="75">
        <v>23758.49</v>
      </c>
      <c r="AE156" s="75">
        <v>167930.47999999899</v>
      </c>
      <c r="AF156" s="75">
        <v>238890.58</v>
      </c>
      <c r="AG156" s="75">
        <v>21722.28</v>
      </c>
      <c r="AH156" s="75">
        <v>17736.150000000001</v>
      </c>
      <c r="AI156" s="75">
        <v>174111.179999999</v>
      </c>
      <c r="AJ156" s="75">
        <v>239943.29</v>
      </c>
      <c r="AV156" s="73" t="s">
        <v>142</v>
      </c>
      <c r="AW156" s="73" t="s">
        <v>345</v>
      </c>
      <c r="AX156" s="33">
        <v>2</v>
      </c>
      <c r="AY156" s="33">
        <v>2</v>
      </c>
      <c r="AZ156" s="33"/>
      <c r="BB156" s="73" t="s">
        <v>142</v>
      </c>
      <c r="BC156" s="73" t="s">
        <v>345</v>
      </c>
      <c r="BD156" s="75">
        <v>605.06999999999994</v>
      </c>
      <c r="BE156" s="75">
        <v>1079.3499999999999</v>
      </c>
      <c r="BF156" s="75"/>
      <c r="BH156" s="73">
        <v>98340</v>
      </c>
      <c r="BI156" s="73" t="s">
        <v>10</v>
      </c>
      <c r="BJ156" s="75">
        <v>-166.35</v>
      </c>
      <c r="BK156" s="75"/>
      <c r="BL156" s="75"/>
    </row>
    <row r="157" spans="2:64" x14ac:dyDescent="0.2">
      <c r="B157" s="56">
        <v>98121</v>
      </c>
      <c r="C157" s="62" t="s">
        <v>345</v>
      </c>
      <c r="D157" s="46">
        <v>61</v>
      </c>
      <c r="E157" s="46">
        <v>53</v>
      </c>
      <c r="F157" s="46">
        <v>57</v>
      </c>
      <c r="H157" s="73">
        <v>98119</v>
      </c>
      <c r="I157" s="73" t="s">
        <v>10</v>
      </c>
      <c r="J157" s="75">
        <v>12211.31</v>
      </c>
      <c r="K157" s="75">
        <v>11016.57</v>
      </c>
      <c r="L157" s="75">
        <v>56774.879999999903</v>
      </c>
      <c r="M157" s="75">
        <v>98630.74</v>
      </c>
      <c r="N157" s="75">
        <v>10474.26</v>
      </c>
      <c r="O157" s="75">
        <v>8957.99</v>
      </c>
      <c r="P157" s="75">
        <v>60730.709999999897</v>
      </c>
      <c r="Q157" s="75">
        <v>92239.07</v>
      </c>
      <c r="R157" s="75">
        <v>7486.2</v>
      </c>
      <c r="S157" s="75">
        <v>7540.14</v>
      </c>
      <c r="T157" s="75">
        <v>60147.1</v>
      </c>
      <c r="U157" s="75">
        <v>86761.5</v>
      </c>
      <c r="W157" s="73">
        <v>98312</v>
      </c>
      <c r="X157" s="15" t="s">
        <v>10</v>
      </c>
      <c r="Y157" s="75">
        <v>50425.93</v>
      </c>
      <c r="Z157" s="75">
        <v>45064.47</v>
      </c>
      <c r="AA157" s="75">
        <v>181169.28999999899</v>
      </c>
      <c r="AB157" s="75">
        <v>315298.15999999997</v>
      </c>
      <c r="AC157" s="75">
        <v>32042.36</v>
      </c>
      <c r="AD157" s="75">
        <v>41699.769999999997</v>
      </c>
      <c r="AE157" s="75">
        <v>192077.899999999</v>
      </c>
      <c r="AF157" s="75">
        <v>305182.12</v>
      </c>
      <c r="AG157" s="75">
        <v>31650.71</v>
      </c>
      <c r="AH157" s="75">
        <v>26652.639999999999</v>
      </c>
      <c r="AI157" s="75">
        <v>193402</v>
      </c>
      <c r="AJ157" s="75">
        <v>291189.21000000002</v>
      </c>
      <c r="AV157" s="73" t="s">
        <v>142</v>
      </c>
      <c r="AW157" s="73" t="s">
        <v>10</v>
      </c>
      <c r="AX157" s="33">
        <v>12</v>
      </c>
      <c r="AY157" s="33">
        <v>10</v>
      </c>
      <c r="AZ157" s="33">
        <v>10</v>
      </c>
      <c r="BB157" s="73" t="s">
        <v>142</v>
      </c>
      <c r="BC157" s="73" t="s">
        <v>10</v>
      </c>
      <c r="BD157" s="75">
        <v>5029.62</v>
      </c>
      <c r="BE157" s="75">
        <v>10895.47</v>
      </c>
      <c r="BF157" s="75">
        <v>1847.99</v>
      </c>
      <c r="BH157" s="73">
        <v>98342</v>
      </c>
      <c r="BI157" s="73" t="s">
        <v>10</v>
      </c>
      <c r="BJ157" s="75"/>
      <c r="BK157" s="75"/>
      <c r="BL157" s="75">
        <v>-200</v>
      </c>
    </row>
    <row r="158" spans="2:64" x14ac:dyDescent="0.2">
      <c r="B158" s="81">
        <v>98121</v>
      </c>
      <c r="C158" s="62" t="s">
        <v>10</v>
      </c>
      <c r="D158" s="46">
        <v>138</v>
      </c>
      <c r="E158" s="46">
        <v>128</v>
      </c>
      <c r="F158" s="46">
        <v>143</v>
      </c>
      <c r="H158" s="73">
        <v>98121</v>
      </c>
      <c r="I158" s="73" t="s">
        <v>345</v>
      </c>
      <c r="J158" s="75">
        <v>11961.12</v>
      </c>
      <c r="K158" s="75">
        <v>3962.93</v>
      </c>
      <c r="L158" s="75">
        <v>36733.79</v>
      </c>
      <c r="M158" s="75">
        <v>101173.019999999</v>
      </c>
      <c r="N158" s="75">
        <v>20095.8</v>
      </c>
      <c r="O158" s="75">
        <v>3167.82</v>
      </c>
      <c r="P158" s="75">
        <v>34047.909999999902</v>
      </c>
      <c r="Q158" s="75">
        <v>101930.09</v>
      </c>
      <c r="R158" s="75">
        <v>13389.73</v>
      </c>
      <c r="S158" s="75">
        <v>4193.7299999999996</v>
      </c>
      <c r="T158" s="75">
        <v>33592.410000000003</v>
      </c>
      <c r="U158" s="75">
        <v>92301.56</v>
      </c>
      <c r="W158" s="73">
        <v>98321</v>
      </c>
      <c r="X158" s="15" t="s">
        <v>10</v>
      </c>
      <c r="Y158" s="75">
        <v>13857.37</v>
      </c>
      <c r="Z158" s="75">
        <v>15286.66</v>
      </c>
      <c r="AA158" s="75">
        <v>51023.299999999901</v>
      </c>
      <c r="AB158" s="75">
        <v>92137.919999999998</v>
      </c>
      <c r="AC158" s="75">
        <v>10026.629999999999</v>
      </c>
      <c r="AD158" s="75">
        <v>12236.05</v>
      </c>
      <c r="AE158" s="75">
        <v>59328.4399999999</v>
      </c>
      <c r="AF158" s="75">
        <v>94568.5799999999</v>
      </c>
      <c r="AG158" s="75">
        <v>9907.2999999999993</v>
      </c>
      <c r="AH158" s="75">
        <v>8495.25</v>
      </c>
      <c r="AI158" s="75">
        <v>64372.83</v>
      </c>
      <c r="AJ158" s="75">
        <v>96038.14</v>
      </c>
      <c r="AV158" s="73" t="s">
        <v>143</v>
      </c>
      <c r="AW158" s="73" t="s">
        <v>345</v>
      </c>
      <c r="AX158" s="33">
        <v>1</v>
      </c>
      <c r="AY158" s="33"/>
      <c r="AZ158" s="33">
        <v>1</v>
      </c>
      <c r="BB158" s="73" t="s">
        <v>143</v>
      </c>
      <c r="BC158" s="73" t="s">
        <v>345</v>
      </c>
      <c r="BD158" s="75">
        <v>1232.1500000000001</v>
      </c>
      <c r="BE158" s="75"/>
      <c r="BF158" s="75">
        <v>2496.3000000000002</v>
      </c>
      <c r="BH158" s="73">
        <v>98346</v>
      </c>
      <c r="BI158" s="73" t="s">
        <v>345</v>
      </c>
      <c r="BJ158" s="75">
        <v>-1000</v>
      </c>
      <c r="BK158" s="75">
        <v>-1000</v>
      </c>
      <c r="BL158" s="75"/>
    </row>
    <row r="159" spans="2:64" x14ac:dyDescent="0.2">
      <c r="B159" s="56">
        <v>98122</v>
      </c>
      <c r="C159" s="62" t="s">
        <v>345</v>
      </c>
      <c r="D159" s="46">
        <v>112</v>
      </c>
      <c r="E159" s="46">
        <v>120</v>
      </c>
      <c r="F159" s="46">
        <v>127</v>
      </c>
      <c r="H159" s="73">
        <v>98121</v>
      </c>
      <c r="I159" s="73" t="s">
        <v>10</v>
      </c>
      <c r="J159" s="75">
        <v>4345.58</v>
      </c>
      <c r="K159" s="75">
        <v>1633.81</v>
      </c>
      <c r="L159" s="75">
        <v>9664.02</v>
      </c>
      <c r="M159" s="75">
        <v>21509.719999999899</v>
      </c>
      <c r="N159" s="75">
        <v>2460.5700000000002</v>
      </c>
      <c r="O159" s="75">
        <v>1098.74</v>
      </c>
      <c r="P159" s="75">
        <v>10397.81</v>
      </c>
      <c r="Q159" s="75">
        <v>18241.37</v>
      </c>
      <c r="R159" s="75">
        <v>3448.45</v>
      </c>
      <c r="S159" s="75">
        <v>2185.79</v>
      </c>
      <c r="T159" s="75">
        <v>10681.63</v>
      </c>
      <c r="U159" s="75">
        <v>21281.26</v>
      </c>
      <c r="W159" s="73">
        <v>98323</v>
      </c>
      <c r="X159" s="15" t="s">
        <v>10</v>
      </c>
      <c r="Y159" s="75">
        <v>416.14</v>
      </c>
      <c r="Z159" s="75"/>
      <c r="AA159" s="75">
        <v>53.72</v>
      </c>
      <c r="AB159" s="75">
        <v>469.86</v>
      </c>
      <c r="AC159" s="75"/>
      <c r="AD159" s="75">
        <v>416.14</v>
      </c>
      <c r="AE159" s="75">
        <v>53.72</v>
      </c>
      <c r="AF159" s="75">
        <v>1280.28</v>
      </c>
      <c r="AG159" s="75">
        <v>394.65</v>
      </c>
      <c r="AH159" s="75"/>
      <c r="AI159" s="75">
        <v>205.85999999999899</v>
      </c>
      <c r="AJ159" s="75">
        <v>600.51</v>
      </c>
      <c r="AV159" s="73" t="s">
        <v>143</v>
      </c>
      <c r="AW159" s="73" t="s">
        <v>10</v>
      </c>
      <c r="AX159" s="33">
        <v>3</v>
      </c>
      <c r="AY159" s="33">
        <v>6</v>
      </c>
      <c r="AZ159" s="33">
        <v>9</v>
      </c>
      <c r="BB159" s="73" t="s">
        <v>143</v>
      </c>
      <c r="BC159" s="73" t="s">
        <v>10</v>
      </c>
      <c r="BD159" s="75">
        <v>833.06</v>
      </c>
      <c r="BE159" s="75">
        <v>1803.89</v>
      </c>
      <c r="BF159" s="75">
        <v>3185.96</v>
      </c>
      <c r="BH159" s="73">
        <v>98346</v>
      </c>
      <c r="BI159" s="73" t="s">
        <v>10</v>
      </c>
      <c r="BJ159" s="75">
        <v>-269.01</v>
      </c>
      <c r="BK159" s="75"/>
      <c r="BL159" s="75"/>
    </row>
    <row r="160" spans="2:64" x14ac:dyDescent="0.2">
      <c r="B160" s="81">
        <v>98122</v>
      </c>
      <c r="C160" s="62" t="s">
        <v>10</v>
      </c>
      <c r="D160" s="46">
        <v>1370</v>
      </c>
      <c r="E160" s="46">
        <v>1321</v>
      </c>
      <c r="F160" s="46">
        <v>1347</v>
      </c>
      <c r="H160" s="73">
        <v>98122</v>
      </c>
      <c r="I160" s="73" t="s">
        <v>345</v>
      </c>
      <c r="J160" s="75">
        <v>9503.86</v>
      </c>
      <c r="K160" s="75">
        <v>5420.92</v>
      </c>
      <c r="L160" s="75">
        <v>52656.04</v>
      </c>
      <c r="M160" s="75">
        <v>96882.509999999893</v>
      </c>
      <c r="N160" s="75">
        <v>6974.52</v>
      </c>
      <c r="O160" s="75">
        <v>5230.08</v>
      </c>
      <c r="P160" s="75">
        <v>55664.359999999899</v>
      </c>
      <c r="Q160" s="75">
        <v>163511</v>
      </c>
      <c r="R160" s="75">
        <v>80885.23</v>
      </c>
      <c r="S160" s="75">
        <v>3646.92</v>
      </c>
      <c r="T160" s="75">
        <v>54888.75</v>
      </c>
      <c r="U160" s="75">
        <v>170760.22</v>
      </c>
      <c r="W160" s="73">
        <v>98327</v>
      </c>
      <c r="X160" s="15" t="s">
        <v>10</v>
      </c>
      <c r="Y160" s="75">
        <v>2277.15</v>
      </c>
      <c r="Z160" s="75">
        <v>1857.76</v>
      </c>
      <c r="AA160" s="75">
        <v>6974.23</v>
      </c>
      <c r="AB160" s="75">
        <v>13512.21</v>
      </c>
      <c r="AC160" s="75">
        <v>1843.62</v>
      </c>
      <c r="AD160" s="75">
        <v>1705.08</v>
      </c>
      <c r="AE160" s="75">
        <v>7619.94</v>
      </c>
      <c r="AF160" s="75">
        <v>13515.07</v>
      </c>
      <c r="AG160" s="75">
        <v>2340.2399999999998</v>
      </c>
      <c r="AH160" s="75">
        <v>1664.33</v>
      </c>
      <c r="AI160" s="75">
        <v>8925.02</v>
      </c>
      <c r="AJ160" s="75">
        <v>15747.0199999999</v>
      </c>
      <c r="AV160" s="73" t="s">
        <v>145</v>
      </c>
      <c r="AW160" s="73" t="s">
        <v>345</v>
      </c>
      <c r="AX160" s="33"/>
      <c r="AY160" s="33"/>
      <c r="AZ160" s="33">
        <v>3</v>
      </c>
      <c r="BB160" s="73" t="s">
        <v>145</v>
      </c>
      <c r="BC160" s="73" t="s">
        <v>345</v>
      </c>
      <c r="BD160" s="75"/>
      <c r="BE160" s="75"/>
      <c r="BF160" s="75">
        <v>2838.03</v>
      </c>
      <c r="BH160" s="73">
        <v>98360</v>
      </c>
      <c r="BI160" s="73" t="s">
        <v>10</v>
      </c>
      <c r="BJ160" s="75">
        <v>-654.39</v>
      </c>
      <c r="BK160" s="75">
        <v>-13.65</v>
      </c>
      <c r="BL160" s="75"/>
    </row>
    <row r="161" spans="2:64" x14ac:dyDescent="0.2">
      <c r="B161" s="56">
        <v>98125</v>
      </c>
      <c r="C161" s="62" t="s">
        <v>345</v>
      </c>
      <c r="D161" s="46">
        <v>27</v>
      </c>
      <c r="E161" s="46">
        <v>28</v>
      </c>
      <c r="F161" s="46">
        <v>33</v>
      </c>
      <c r="H161" s="73">
        <v>98122</v>
      </c>
      <c r="I161" s="73" t="s">
        <v>10</v>
      </c>
      <c r="J161" s="75">
        <v>40224.67</v>
      </c>
      <c r="K161" s="75">
        <v>34505.61</v>
      </c>
      <c r="L161" s="75">
        <v>178875.92</v>
      </c>
      <c r="M161" s="75">
        <v>299680.44</v>
      </c>
      <c r="N161" s="75">
        <v>26939.16</v>
      </c>
      <c r="O161" s="75">
        <v>31324.05</v>
      </c>
      <c r="P161" s="75">
        <v>187335.99999999901</v>
      </c>
      <c r="Q161" s="75">
        <v>281370.56</v>
      </c>
      <c r="R161" s="75">
        <v>24152.560000000001</v>
      </c>
      <c r="S161" s="75">
        <v>20674.060000000001</v>
      </c>
      <c r="T161" s="75">
        <v>194637.1</v>
      </c>
      <c r="U161" s="75">
        <v>275379.44999999902</v>
      </c>
      <c r="W161" s="73">
        <v>98328</v>
      </c>
      <c r="X161" s="15" t="s">
        <v>10</v>
      </c>
      <c r="Y161" s="75">
        <v>489.79</v>
      </c>
      <c r="Z161" s="75">
        <v>2016.79</v>
      </c>
      <c r="AA161" s="75">
        <v>3579.72</v>
      </c>
      <c r="AB161" s="75">
        <v>7716.77</v>
      </c>
      <c r="AC161" s="75">
        <v>1443.31</v>
      </c>
      <c r="AD161" s="75"/>
      <c r="AE161" s="75">
        <v>3795.6899999999901</v>
      </c>
      <c r="AF161" s="75">
        <v>5697.07</v>
      </c>
      <c r="AG161" s="75">
        <v>305.07</v>
      </c>
      <c r="AH161" s="75">
        <v>775.67</v>
      </c>
      <c r="AI161" s="75">
        <v>3022.47999999999</v>
      </c>
      <c r="AJ161" s="75">
        <v>5568.5</v>
      </c>
      <c r="AV161" s="73" t="s">
        <v>145</v>
      </c>
      <c r="AW161" s="73" t="s">
        <v>10</v>
      </c>
      <c r="AX161" s="33">
        <v>8</v>
      </c>
      <c r="AY161" s="33">
        <v>10</v>
      </c>
      <c r="AZ161" s="33">
        <v>21</v>
      </c>
      <c r="BB161" s="73" t="s">
        <v>145</v>
      </c>
      <c r="BC161" s="73" t="s">
        <v>10</v>
      </c>
      <c r="BD161" s="75">
        <v>2213.92</v>
      </c>
      <c r="BE161" s="75">
        <v>2524.56</v>
      </c>
      <c r="BF161" s="75">
        <v>8232.83</v>
      </c>
      <c r="BH161" s="73">
        <v>98366</v>
      </c>
      <c r="BI161" s="73" t="s">
        <v>345</v>
      </c>
      <c r="BJ161" s="75">
        <v>-49.13</v>
      </c>
      <c r="BK161" s="75"/>
      <c r="BL161" s="75"/>
    </row>
    <row r="162" spans="2:64" x14ac:dyDescent="0.2">
      <c r="B162" s="81">
        <v>98125</v>
      </c>
      <c r="C162" s="62" t="s">
        <v>10</v>
      </c>
      <c r="D162" s="46">
        <v>585</v>
      </c>
      <c r="E162" s="46">
        <v>541</v>
      </c>
      <c r="F162" s="46">
        <v>593</v>
      </c>
      <c r="H162" s="73">
        <v>98125</v>
      </c>
      <c r="I162" s="73" t="s">
        <v>345</v>
      </c>
      <c r="J162" s="75">
        <v>2204.58</v>
      </c>
      <c r="K162" s="75">
        <v>1068.6500000000001</v>
      </c>
      <c r="L162" s="75">
        <v>25995.97</v>
      </c>
      <c r="M162" s="75">
        <v>35784.14</v>
      </c>
      <c r="N162" s="75">
        <v>1715.06</v>
      </c>
      <c r="O162" s="75">
        <v>981.22</v>
      </c>
      <c r="P162" s="75">
        <v>25553.48</v>
      </c>
      <c r="Q162" s="75">
        <v>34903.79</v>
      </c>
      <c r="R162" s="75">
        <v>2171.0300000000002</v>
      </c>
      <c r="S162" s="75">
        <v>1020.49</v>
      </c>
      <c r="T162" s="75">
        <v>21925.1</v>
      </c>
      <c r="U162" s="75">
        <v>32493.699999999899</v>
      </c>
      <c r="W162" s="73">
        <v>98332</v>
      </c>
      <c r="X162" s="15" t="s">
        <v>10</v>
      </c>
      <c r="Y162" s="75">
        <v>637.44000000000005</v>
      </c>
      <c r="Z162" s="75">
        <v>593.25</v>
      </c>
      <c r="AA162" s="75">
        <v>2479.7999999999902</v>
      </c>
      <c r="AB162" s="75">
        <v>4244.2</v>
      </c>
      <c r="AC162" s="75">
        <v>533.71</v>
      </c>
      <c r="AD162" s="75">
        <v>612.58000000000004</v>
      </c>
      <c r="AE162" s="75">
        <v>3073.05</v>
      </c>
      <c r="AF162" s="75">
        <v>4616.97</v>
      </c>
      <c r="AG162" s="75">
        <v>364.61</v>
      </c>
      <c r="AH162" s="75">
        <v>456.69</v>
      </c>
      <c r="AI162" s="75">
        <v>2811.72999999999</v>
      </c>
      <c r="AJ162" s="75">
        <v>3946.38</v>
      </c>
      <c r="AV162" s="73" t="s">
        <v>146</v>
      </c>
      <c r="AW162" s="73" t="s">
        <v>345</v>
      </c>
      <c r="AX162" s="33">
        <v>3</v>
      </c>
      <c r="AY162" s="33"/>
      <c r="AZ162" s="33"/>
      <c r="BB162" s="73" t="s">
        <v>146</v>
      </c>
      <c r="BC162" s="73" t="s">
        <v>345</v>
      </c>
      <c r="BD162" s="75">
        <v>591.87</v>
      </c>
      <c r="BE162" s="75"/>
      <c r="BF162" s="75"/>
      <c r="BH162" s="73">
        <v>98366</v>
      </c>
      <c r="BI162" s="73" t="s">
        <v>10</v>
      </c>
      <c r="BJ162" s="75">
        <v>-79.95</v>
      </c>
      <c r="BK162" s="75">
        <v>-96.62</v>
      </c>
      <c r="BL162" s="75">
        <v>-1508.14</v>
      </c>
    </row>
    <row r="163" spans="2:64" x14ac:dyDescent="0.2">
      <c r="B163" s="56">
        <v>98126</v>
      </c>
      <c r="C163" s="62" t="s">
        <v>345</v>
      </c>
      <c r="D163" s="46">
        <v>18</v>
      </c>
      <c r="E163" s="46">
        <v>18</v>
      </c>
      <c r="F163" s="46">
        <v>21</v>
      </c>
      <c r="H163" s="73">
        <v>98125</v>
      </c>
      <c r="I163" s="73" t="s">
        <v>10</v>
      </c>
      <c r="J163" s="75">
        <v>24375.45</v>
      </c>
      <c r="K163" s="75">
        <v>19915.91</v>
      </c>
      <c r="L163" s="75">
        <v>86905.01</v>
      </c>
      <c r="M163" s="75">
        <v>157776.76999999999</v>
      </c>
      <c r="N163" s="75">
        <v>16467.87</v>
      </c>
      <c r="O163" s="75">
        <v>18096.91</v>
      </c>
      <c r="P163" s="75">
        <v>89366.15</v>
      </c>
      <c r="Q163" s="75">
        <v>141315.35999999999</v>
      </c>
      <c r="R163" s="75">
        <v>12556.64</v>
      </c>
      <c r="S163" s="75">
        <v>12314.83</v>
      </c>
      <c r="T163" s="75">
        <v>100055.14</v>
      </c>
      <c r="U163" s="75">
        <v>140523.92000000001</v>
      </c>
      <c r="W163" s="73">
        <v>98335</v>
      </c>
      <c r="X163" s="15" t="s">
        <v>10</v>
      </c>
      <c r="Y163" s="75">
        <v>2073.69</v>
      </c>
      <c r="Z163" s="75">
        <v>2456.11</v>
      </c>
      <c r="AA163" s="75">
        <v>7717.9199999999901</v>
      </c>
      <c r="AB163" s="75">
        <v>13736.8399999999</v>
      </c>
      <c r="AC163" s="75">
        <v>1255.3</v>
      </c>
      <c r="AD163" s="75">
        <v>1723.19</v>
      </c>
      <c r="AE163" s="75">
        <v>8762.8799999999992</v>
      </c>
      <c r="AF163" s="75">
        <v>13206.38</v>
      </c>
      <c r="AG163" s="75">
        <v>1118.72</v>
      </c>
      <c r="AH163" s="75">
        <v>995.95</v>
      </c>
      <c r="AI163" s="75">
        <v>8508.89</v>
      </c>
      <c r="AJ163" s="75">
        <v>11506.09</v>
      </c>
      <c r="AV163" s="73" t="s">
        <v>146</v>
      </c>
      <c r="AW163" s="73" t="s">
        <v>10</v>
      </c>
      <c r="AX163" s="33">
        <v>9</v>
      </c>
      <c r="AY163" s="33">
        <v>18</v>
      </c>
      <c r="AZ163" s="33">
        <v>13</v>
      </c>
      <c r="BB163" s="73" t="s">
        <v>146</v>
      </c>
      <c r="BC163" s="73" t="s">
        <v>10</v>
      </c>
      <c r="BD163" s="75">
        <v>2838.73</v>
      </c>
      <c r="BE163" s="75">
        <v>6826.37</v>
      </c>
      <c r="BF163" s="75">
        <v>8275.91</v>
      </c>
      <c r="BH163" s="73">
        <v>98367</v>
      </c>
      <c r="BI163" s="73" t="s">
        <v>10</v>
      </c>
      <c r="BJ163" s="75"/>
      <c r="BK163" s="75">
        <v>-100</v>
      </c>
      <c r="BL163" s="75">
        <v>-246.03</v>
      </c>
    </row>
    <row r="164" spans="2:64" x14ac:dyDescent="0.2">
      <c r="B164" s="81">
        <v>98126</v>
      </c>
      <c r="C164" s="62" t="s">
        <v>10</v>
      </c>
      <c r="D164" s="46">
        <v>740</v>
      </c>
      <c r="E164" s="46">
        <v>729</v>
      </c>
      <c r="F164" s="46">
        <v>748</v>
      </c>
      <c r="H164" s="73">
        <v>98126</v>
      </c>
      <c r="I164" s="73" t="s">
        <v>345</v>
      </c>
      <c r="J164" s="75">
        <v>2120.71</v>
      </c>
      <c r="K164" s="75">
        <v>4277.57</v>
      </c>
      <c r="L164" s="75">
        <v>21320.62</v>
      </c>
      <c r="M164" s="75">
        <v>30039.55</v>
      </c>
      <c r="N164" s="75">
        <v>1535.48</v>
      </c>
      <c r="O164" s="75">
        <v>2120.71</v>
      </c>
      <c r="P164" s="75">
        <v>22867.89</v>
      </c>
      <c r="Q164" s="75">
        <v>29154.41</v>
      </c>
      <c r="R164" s="75">
        <v>1274.99</v>
      </c>
      <c r="S164" s="75">
        <v>1535.48</v>
      </c>
      <c r="T164" s="75">
        <v>24517.2599999999</v>
      </c>
      <c r="U164" s="75">
        <v>30288.019999999899</v>
      </c>
      <c r="W164" s="73">
        <v>98337</v>
      </c>
      <c r="X164" s="15" t="s">
        <v>10</v>
      </c>
      <c r="Y164" s="75">
        <v>10229.08</v>
      </c>
      <c r="Z164" s="75">
        <v>10341.549999999999</v>
      </c>
      <c r="AA164" s="75">
        <v>41980.24</v>
      </c>
      <c r="AB164" s="75">
        <v>71008.95</v>
      </c>
      <c r="AC164" s="75">
        <v>7330.99</v>
      </c>
      <c r="AD164" s="75">
        <v>9160.23</v>
      </c>
      <c r="AE164" s="75">
        <v>48081.68</v>
      </c>
      <c r="AF164" s="75">
        <v>72617.87</v>
      </c>
      <c r="AG164" s="75">
        <v>6279.39</v>
      </c>
      <c r="AH164" s="75">
        <v>5697.18</v>
      </c>
      <c r="AI164" s="75">
        <v>49371.279999999897</v>
      </c>
      <c r="AJ164" s="75">
        <v>70090.53</v>
      </c>
      <c r="AV164" s="73" t="s">
        <v>303</v>
      </c>
      <c r="AW164" s="73" t="s">
        <v>10</v>
      </c>
      <c r="AX164" s="33">
        <v>3</v>
      </c>
      <c r="AY164" s="33">
        <v>3</v>
      </c>
      <c r="AZ164" s="33">
        <v>4</v>
      </c>
      <c r="BB164" s="73" t="s">
        <v>303</v>
      </c>
      <c r="BC164" s="73" t="s">
        <v>10</v>
      </c>
      <c r="BD164" s="75">
        <v>359.74</v>
      </c>
      <c r="BE164" s="75">
        <v>2662.44</v>
      </c>
      <c r="BF164" s="75">
        <v>144.54</v>
      </c>
      <c r="BH164" s="73">
        <v>98370</v>
      </c>
      <c r="BI164" s="73" t="s">
        <v>345</v>
      </c>
      <c r="BJ164" s="75"/>
      <c r="BK164" s="75"/>
      <c r="BL164" s="75">
        <v>-301.14</v>
      </c>
    </row>
    <row r="165" spans="2:64" x14ac:dyDescent="0.2">
      <c r="B165" s="56">
        <v>98133</v>
      </c>
      <c r="C165" s="62" t="s">
        <v>345</v>
      </c>
      <c r="D165" s="46">
        <v>46</v>
      </c>
      <c r="E165" s="46">
        <v>48</v>
      </c>
      <c r="F165" s="46">
        <v>49</v>
      </c>
      <c r="H165" s="73">
        <v>98126</v>
      </c>
      <c r="I165" s="73" t="s">
        <v>10</v>
      </c>
      <c r="J165" s="75">
        <v>28919.55</v>
      </c>
      <c r="K165" s="75">
        <v>28105.05</v>
      </c>
      <c r="L165" s="75">
        <v>118447.23</v>
      </c>
      <c r="M165" s="75">
        <v>204683.42</v>
      </c>
      <c r="N165" s="75">
        <v>20438.86</v>
      </c>
      <c r="O165" s="75">
        <v>23227.27</v>
      </c>
      <c r="P165" s="75">
        <v>123972.649999999</v>
      </c>
      <c r="Q165" s="75">
        <v>187265.80999999901</v>
      </c>
      <c r="R165" s="75">
        <v>14896.79</v>
      </c>
      <c r="S165" s="75">
        <v>17065.79</v>
      </c>
      <c r="T165" s="75">
        <v>132572.16999999899</v>
      </c>
      <c r="U165" s="75">
        <v>183756.989999999</v>
      </c>
      <c r="W165" s="73">
        <v>98338</v>
      </c>
      <c r="X165" s="15" t="s">
        <v>10</v>
      </c>
      <c r="Y165" s="75">
        <v>12732.87</v>
      </c>
      <c r="Z165" s="75">
        <v>19468.78</v>
      </c>
      <c r="AA165" s="75">
        <v>75349.78</v>
      </c>
      <c r="AB165" s="75">
        <v>121872.9</v>
      </c>
      <c r="AC165" s="75">
        <v>10234.25</v>
      </c>
      <c r="AD165" s="75">
        <v>13445.43</v>
      </c>
      <c r="AE165" s="75">
        <v>79181.25</v>
      </c>
      <c r="AF165" s="75">
        <v>117209.56</v>
      </c>
      <c r="AG165" s="75">
        <v>13336.66</v>
      </c>
      <c r="AH165" s="75">
        <v>9501.6200000000008</v>
      </c>
      <c r="AI165" s="75">
        <v>86848.83</v>
      </c>
      <c r="AJ165" s="75">
        <v>121487.58</v>
      </c>
      <c r="AV165" s="73" t="s">
        <v>147</v>
      </c>
      <c r="AW165" s="73" t="s">
        <v>345</v>
      </c>
      <c r="AX165" s="33"/>
      <c r="AY165" s="33"/>
      <c r="AZ165" s="33">
        <v>1</v>
      </c>
      <c r="BB165" s="73" t="s">
        <v>147</v>
      </c>
      <c r="BC165" s="73" t="s">
        <v>345</v>
      </c>
      <c r="BD165" s="75"/>
      <c r="BE165" s="75"/>
      <c r="BF165" s="75">
        <v>2816.78</v>
      </c>
      <c r="BH165" s="73">
        <v>98370</v>
      </c>
      <c r="BI165" s="73" t="s">
        <v>10</v>
      </c>
      <c r="BJ165" s="75"/>
      <c r="BK165" s="75">
        <v>-130.52000000000001</v>
      </c>
      <c r="BL165" s="75"/>
    </row>
    <row r="166" spans="2:64" x14ac:dyDescent="0.2">
      <c r="B166" s="81">
        <v>98133</v>
      </c>
      <c r="C166" s="62" t="s">
        <v>10</v>
      </c>
      <c r="D166" s="46">
        <v>914</v>
      </c>
      <c r="E166" s="46">
        <v>866</v>
      </c>
      <c r="F166" s="46">
        <v>901</v>
      </c>
      <c r="H166" s="73">
        <v>98133</v>
      </c>
      <c r="I166" s="73" t="s">
        <v>345</v>
      </c>
      <c r="J166" s="75">
        <v>7165.66</v>
      </c>
      <c r="K166" s="75">
        <v>4815.97</v>
      </c>
      <c r="L166" s="75">
        <v>32417.8</v>
      </c>
      <c r="M166" s="75">
        <v>56160.0099999999</v>
      </c>
      <c r="N166" s="75">
        <v>5858.46</v>
      </c>
      <c r="O166" s="75">
        <v>4340.57</v>
      </c>
      <c r="P166" s="75">
        <v>34963.4399999999</v>
      </c>
      <c r="Q166" s="75">
        <v>58043.34</v>
      </c>
      <c r="R166" s="75">
        <v>4243.21</v>
      </c>
      <c r="S166" s="75">
        <v>4879.09</v>
      </c>
      <c r="T166" s="75">
        <v>36352.429999999898</v>
      </c>
      <c r="U166" s="75">
        <v>58094.929999999898</v>
      </c>
      <c r="W166" s="73">
        <v>98340</v>
      </c>
      <c r="X166" s="15" t="s">
        <v>10</v>
      </c>
      <c r="Y166" s="75">
        <v>862.16</v>
      </c>
      <c r="Z166" s="75">
        <v>1495.76</v>
      </c>
      <c r="AA166" s="75">
        <v>6638.08</v>
      </c>
      <c r="AB166" s="75">
        <v>9835.16</v>
      </c>
      <c r="AC166" s="75">
        <v>711.15</v>
      </c>
      <c r="AD166" s="75">
        <v>762.61</v>
      </c>
      <c r="AE166" s="75">
        <v>7934.52</v>
      </c>
      <c r="AF166" s="75">
        <v>10706.2</v>
      </c>
      <c r="AG166" s="75">
        <v>508.39</v>
      </c>
      <c r="AH166" s="75">
        <v>470.16</v>
      </c>
      <c r="AI166" s="75">
        <v>5156.8499999999904</v>
      </c>
      <c r="AJ166" s="75">
        <v>7364.3099999999904</v>
      </c>
      <c r="AV166" s="73" t="s">
        <v>147</v>
      </c>
      <c r="AW166" s="73" t="s">
        <v>10</v>
      </c>
      <c r="AX166" s="33">
        <v>6</v>
      </c>
      <c r="AY166" s="33">
        <v>8</v>
      </c>
      <c r="AZ166" s="33">
        <v>11</v>
      </c>
      <c r="BB166" s="73" t="s">
        <v>147</v>
      </c>
      <c r="BC166" s="73" t="s">
        <v>10</v>
      </c>
      <c r="BD166" s="75">
        <v>1109.46</v>
      </c>
      <c r="BE166" s="75">
        <v>4487.1899999999996</v>
      </c>
      <c r="BF166" s="75">
        <v>4616.0200000000004</v>
      </c>
      <c r="BH166" s="73">
        <v>98371</v>
      </c>
      <c r="BI166" s="73" t="s">
        <v>10</v>
      </c>
      <c r="BJ166" s="75">
        <v>-1100.6199999999999</v>
      </c>
      <c r="BK166" s="75">
        <v>-625.17999999999995</v>
      </c>
      <c r="BL166" s="75">
        <v>-373.89</v>
      </c>
    </row>
    <row r="167" spans="2:64" x14ac:dyDescent="0.2">
      <c r="B167" s="56">
        <v>98134</v>
      </c>
      <c r="C167" s="62" t="s">
        <v>345</v>
      </c>
      <c r="D167" s="46">
        <v>99</v>
      </c>
      <c r="E167" s="46">
        <v>84</v>
      </c>
      <c r="F167" s="46">
        <v>97</v>
      </c>
      <c r="H167" s="73">
        <v>98133</v>
      </c>
      <c r="I167" s="73" t="s">
        <v>10</v>
      </c>
      <c r="J167" s="75">
        <v>37673.360000000001</v>
      </c>
      <c r="K167" s="75">
        <v>33389.85</v>
      </c>
      <c r="L167" s="75">
        <v>146240.21999999901</v>
      </c>
      <c r="M167" s="75">
        <v>256078.40999999901</v>
      </c>
      <c r="N167" s="75">
        <v>23218.39</v>
      </c>
      <c r="O167" s="75">
        <v>28483.02</v>
      </c>
      <c r="P167" s="75">
        <v>152877.139999999</v>
      </c>
      <c r="Q167" s="75">
        <v>230382.31</v>
      </c>
      <c r="R167" s="75">
        <v>17300.349999999999</v>
      </c>
      <c r="S167" s="75">
        <v>18022.990000000002</v>
      </c>
      <c r="T167" s="75">
        <v>161075.03</v>
      </c>
      <c r="U167" s="75">
        <v>220891.66999999899</v>
      </c>
      <c r="W167" s="73">
        <v>98342</v>
      </c>
      <c r="X167" s="15" t="s">
        <v>10</v>
      </c>
      <c r="Y167" s="75">
        <v>2386.15</v>
      </c>
      <c r="Z167" s="75">
        <v>2805.76</v>
      </c>
      <c r="AA167" s="75">
        <v>2561.9699999999998</v>
      </c>
      <c r="AB167" s="75">
        <v>9774.06</v>
      </c>
      <c r="AC167" s="75">
        <v>1721.06</v>
      </c>
      <c r="AD167" s="75">
        <v>1943.96</v>
      </c>
      <c r="AE167" s="75">
        <v>3431.2999999999902</v>
      </c>
      <c r="AF167" s="75">
        <v>9164.4599999999991</v>
      </c>
      <c r="AG167" s="75">
        <v>1837.84</v>
      </c>
      <c r="AH167" s="75">
        <v>1643.94</v>
      </c>
      <c r="AI167" s="75">
        <v>4990.21</v>
      </c>
      <c r="AJ167" s="75">
        <v>11128.05</v>
      </c>
      <c r="AV167" s="73" t="s">
        <v>148</v>
      </c>
      <c r="AW167" s="73" t="s">
        <v>345</v>
      </c>
      <c r="AX167" s="33">
        <v>3</v>
      </c>
      <c r="AY167" s="33">
        <v>11</v>
      </c>
      <c r="AZ167" s="33">
        <v>8</v>
      </c>
      <c r="BB167" s="73" t="s">
        <v>148</v>
      </c>
      <c r="BC167" s="73" t="s">
        <v>345</v>
      </c>
      <c r="BD167" s="75">
        <v>546.93000000000006</v>
      </c>
      <c r="BE167" s="75">
        <v>6882.5199999999995</v>
      </c>
      <c r="BF167" s="75">
        <v>6822.3600000000006</v>
      </c>
      <c r="BH167" s="73">
        <v>98372</v>
      </c>
      <c r="BI167" s="73" t="s">
        <v>345</v>
      </c>
      <c r="BJ167" s="75"/>
      <c r="BK167" s="75"/>
      <c r="BL167" s="75">
        <v>-128.34</v>
      </c>
    </row>
    <row r="168" spans="2:64" x14ac:dyDescent="0.2">
      <c r="B168" s="81">
        <v>98134</v>
      </c>
      <c r="C168" s="62" t="s">
        <v>10</v>
      </c>
      <c r="D168" s="46">
        <v>24</v>
      </c>
      <c r="E168" s="46">
        <v>44</v>
      </c>
      <c r="F168" s="46">
        <v>39</v>
      </c>
      <c r="H168" s="73">
        <v>98134</v>
      </c>
      <c r="I168" s="73" t="s">
        <v>345</v>
      </c>
      <c r="J168" s="75">
        <v>12677.66</v>
      </c>
      <c r="K168" s="75">
        <v>12012.15</v>
      </c>
      <c r="L168" s="75">
        <v>91713.25</v>
      </c>
      <c r="M168" s="75">
        <v>142572.09</v>
      </c>
      <c r="N168" s="75">
        <v>14462.25</v>
      </c>
      <c r="O168" s="75">
        <v>12410.68</v>
      </c>
      <c r="P168" s="75">
        <v>98472.29</v>
      </c>
      <c r="Q168" s="75">
        <v>142776.859999999</v>
      </c>
      <c r="R168" s="75">
        <v>8993.7199999999993</v>
      </c>
      <c r="S168" s="75">
        <v>10895.53</v>
      </c>
      <c r="T168" s="75">
        <v>100966.47</v>
      </c>
      <c r="U168" s="75">
        <v>213159.51</v>
      </c>
      <c r="W168" s="73">
        <v>98345</v>
      </c>
      <c r="X168" s="15" t="s">
        <v>10</v>
      </c>
      <c r="Y168" s="75">
        <v>87.52</v>
      </c>
      <c r="Z168" s="75">
        <v>83.23</v>
      </c>
      <c r="AA168" s="75">
        <v>276.68</v>
      </c>
      <c r="AB168" s="75">
        <v>776.54</v>
      </c>
      <c r="AC168" s="75">
        <v>52.17</v>
      </c>
      <c r="AD168" s="75"/>
      <c r="AE168" s="75">
        <v>359.909999999999</v>
      </c>
      <c r="AF168" s="75">
        <v>791.48</v>
      </c>
      <c r="AG168" s="75">
        <v>132.41</v>
      </c>
      <c r="AH168" s="75">
        <v>52.17</v>
      </c>
      <c r="AI168" s="75">
        <v>359.909999999999</v>
      </c>
      <c r="AJ168" s="75">
        <v>671.04</v>
      </c>
      <c r="AV168" s="73" t="s">
        <v>148</v>
      </c>
      <c r="AW168" s="73" t="s">
        <v>10</v>
      </c>
      <c r="AX168" s="33">
        <v>43</v>
      </c>
      <c r="AY168" s="33">
        <v>53</v>
      </c>
      <c r="AZ168" s="33">
        <v>42</v>
      </c>
      <c r="BB168" s="73" t="s">
        <v>148</v>
      </c>
      <c r="BC168" s="73" t="s">
        <v>10</v>
      </c>
      <c r="BD168" s="75">
        <v>19214.05</v>
      </c>
      <c r="BE168" s="75">
        <v>20652.45</v>
      </c>
      <c r="BF168" s="75">
        <v>15986.67</v>
      </c>
      <c r="BH168" s="73">
        <v>98372</v>
      </c>
      <c r="BI168" s="73" t="s">
        <v>10</v>
      </c>
      <c r="BJ168" s="75">
        <v>-861.9</v>
      </c>
      <c r="BK168" s="75">
        <v>-701.45</v>
      </c>
      <c r="BL168" s="75">
        <v>-681.31</v>
      </c>
    </row>
    <row r="169" spans="2:64" x14ac:dyDescent="0.2">
      <c r="B169" s="56">
        <v>98136</v>
      </c>
      <c r="C169" s="62" t="s">
        <v>345</v>
      </c>
      <c r="D169" s="46">
        <v>8</v>
      </c>
      <c r="E169" s="46">
        <v>10</v>
      </c>
      <c r="F169" s="46">
        <v>10</v>
      </c>
      <c r="H169" s="73">
        <v>98134</v>
      </c>
      <c r="I169" s="73" t="s">
        <v>10</v>
      </c>
      <c r="J169" s="75">
        <v>1073.8800000000001</v>
      </c>
      <c r="K169" s="75">
        <v>1407.24</v>
      </c>
      <c r="L169" s="75">
        <v>14469.18</v>
      </c>
      <c r="M169" s="75">
        <v>18828.62</v>
      </c>
      <c r="N169" s="75">
        <v>1721.84</v>
      </c>
      <c r="O169" s="75">
        <v>629.16999999999996</v>
      </c>
      <c r="P169" s="75">
        <v>14867.369999999901</v>
      </c>
      <c r="Q169" s="75">
        <v>18427.22</v>
      </c>
      <c r="R169" s="75">
        <v>686.03</v>
      </c>
      <c r="S169" s="75">
        <v>1522.52</v>
      </c>
      <c r="T169" s="75">
        <v>13957.91</v>
      </c>
      <c r="U169" s="75">
        <v>17011.830000000002</v>
      </c>
      <c r="W169" s="73">
        <v>98346</v>
      </c>
      <c r="X169" s="15" t="s">
        <v>10</v>
      </c>
      <c r="Y169" s="75">
        <v>13485.38</v>
      </c>
      <c r="Z169" s="75">
        <v>12180.27</v>
      </c>
      <c r="AA169" s="75">
        <v>54949.4</v>
      </c>
      <c r="AB169" s="75">
        <v>94731.1899999999</v>
      </c>
      <c r="AC169" s="75">
        <v>7980.2</v>
      </c>
      <c r="AD169" s="75">
        <v>10752.04</v>
      </c>
      <c r="AE169" s="75">
        <v>66293.41</v>
      </c>
      <c r="AF169" s="75">
        <v>99088.159999999902</v>
      </c>
      <c r="AG169" s="75">
        <v>9853.7900000000009</v>
      </c>
      <c r="AH169" s="75">
        <v>5677.72</v>
      </c>
      <c r="AI169" s="75">
        <v>63503.77</v>
      </c>
      <c r="AJ169" s="75">
        <v>92789.56</v>
      </c>
      <c r="AV169" s="73" t="s">
        <v>149</v>
      </c>
      <c r="AW169" s="73" t="s">
        <v>345</v>
      </c>
      <c r="AX169" s="33">
        <v>2</v>
      </c>
      <c r="AY169" s="33">
        <v>2</v>
      </c>
      <c r="AZ169" s="33">
        <v>3</v>
      </c>
      <c r="BB169" s="73" t="s">
        <v>149</v>
      </c>
      <c r="BC169" s="73" t="s">
        <v>345</v>
      </c>
      <c r="BD169" s="75">
        <v>3362.03</v>
      </c>
      <c r="BE169" s="75">
        <v>2922.75</v>
      </c>
      <c r="BF169" s="75">
        <v>2701.76</v>
      </c>
      <c r="BH169" s="73">
        <v>98373</v>
      </c>
      <c r="BI169" s="73" t="s">
        <v>10</v>
      </c>
      <c r="BJ169" s="75">
        <v>-527.69000000000005</v>
      </c>
      <c r="BK169" s="75">
        <v>-240.67</v>
      </c>
      <c r="BL169" s="75">
        <v>-530.29</v>
      </c>
    </row>
    <row r="170" spans="2:64" x14ac:dyDescent="0.2">
      <c r="B170" s="81">
        <v>98136</v>
      </c>
      <c r="C170" s="62" t="s">
        <v>10</v>
      </c>
      <c r="D170" s="46">
        <v>428</v>
      </c>
      <c r="E170" s="46">
        <v>438</v>
      </c>
      <c r="F170" s="46">
        <v>465</v>
      </c>
      <c r="H170" s="73">
        <v>98136</v>
      </c>
      <c r="I170" s="73" t="s">
        <v>345</v>
      </c>
      <c r="J170" s="75">
        <v>545.23</v>
      </c>
      <c r="K170" s="75">
        <v>131.05000000000001</v>
      </c>
      <c r="L170" s="75">
        <v>3684.31</v>
      </c>
      <c r="M170" s="75">
        <v>4887.6899999999996</v>
      </c>
      <c r="N170" s="75">
        <v>343.48</v>
      </c>
      <c r="O170" s="75">
        <v>208.38</v>
      </c>
      <c r="P170" s="75">
        <v>3766.34</v>
      </c>
      <c r="Q170" s="75">
        <v>5119.93</v>
      </c>
      <c r="R170" s="75">
        <v>243.89</v>
      </c>
      <c r="S170" s="75">
        <v>188.97</v>
      </c>
      <c r="T170" s="75">
        <v>3925.63</v>
      </c>
      <c r="U170" s="75">
        <v>5848.4</v>
      </c>
      <c r="W170" s="73">
        <v>98354</v>
      </c>
      <c r="X170" s="15" t="s">
        <v>10</v>
      </c>
      <c r="Y170" s="75">
        <v>403.46</v>
      </c>
      <c r="Z170" s="75">
        <v>198.23</v>
      </c>
      <c r="AA170" s="75">
        <v>521.91</v>
      </c>
      <c r="AB170" s="75">
        <v>1664.18</v>
      </c>
      <c r="AC170" s="75">
        <v>217.17</v>
      </c>
      <c r="AD170" s="75">
        <v>259.14999999999998</v>
      </c>
      <c r="AE170" s="75">
        <v>720.14</v>
      </c>
      <c r="AF170" s="75">
        <v>1379.84</v>
      </c>
      <c r="AG170" s="75">
        <v>183.38</v>
      </c>
      <c r="AH170" s="75">
        <v>217.17</v>
      </c>
      <c r="AI170" s="75">
        <v>979.29</v>
      </c>
      <c r="AJ170" s="75">
        <v>1623.97</v>
      </c>
      <c r="AV170" s="73" t="s">
        <v>149</v>
      </c>
      <c r="AW170" s="73" t="s">
        <v>10</v>
      </c>
      <c r="AX170" s="33">
        <v>44</v>
      </c>
      <c r="AY170" s="33">
        <v>76</v>
      </c>
      <c r="AZ170" s="33">
        <v>66</v>
      </c>
      <c r="BB170" s="73" t="s">
        <v>149</v>
      </c>
      <c r="BC170" s="73" t="s">
        <v>10</v>
      </c>
      <c r="BD170" s="75">
        <v>34823.01</v>
      </c>
      <c r="BE170" s="75">
        <v>56002.12</v>
      </c>
      <c r="BF170" s="75">
        <v>32430.01</v>
      </c>
      <c r="BH170" s="73">
        <v>98374</v>
      </c>
      <c r="BI170" s="73" t="s">
        <v>10</v>
      </c>
      <c r="BJ170" s="75">
        <v>-100</v>
      </c>
      <c r="BK170" s="75">
        <v>-862.78</v>
      </c>
      <c r="BL170" s="75">
        <v>-1206.97</v>
      </c>
    </row>
    <row r="171" spans="2:64" x14ac:dyDescent="0.2">
      <c r="B171" s="56">
        <v>98144</v>
      </c>
      <c r="C171" s="62" t="s">
        <v>345</v>
      </c>
      <c r="D171" s="46">
        <v>123</v>
      </c>
      <c r="E171" s="46">
        <v>105</v>
      </c>
      <c r="F171" s="46">
        <v>116</v>
      </c>
      <c r="H171" s="73">
        <v>98136</v>
      </c>
      <c r="I171" s="73" t="s">
        <v>10</v>
      </c>
      <c r="J171" s="75">
        <v>13241.46</v>
      </c>
      <c r="K171" s="75">
        <v>11585.22</v>
      </c>
      <c r="L171" s="75">
        <v>52642.52</v>
      </c>
      <c r="M171" s="75">
        <v>93263.37</v>
      </c>
      <c r="N171" s="75">
        <v>10103.290000000001</v>
      </c>
      <c r="O171" s="75">
        <v>10831.68</v>
      </c>
      <c r="P171" s="75">
        <v>58253.3299999999</v>
      </c>
      <c r="Q171" s="75">
        <v>93179.149999999907</v>
      </c>
      <c r="R171" s="75">
        <v>9269.8799999999992</v>
      </c>
      <c r="S171" s="75">
        <v>8113.08</v>
      </c>
      <c r="T171" s="75">
        <v>61677.599999999897</v>
      </c>
      <c r="U171" s="75">
        <v>91003.82</v>
      </c>
      <c r="W171" s="73">
        <v>98359</v>
      </c>
      <c r="X171" s="15" t="s">
        <v>10</v>
      </c>
      <c r="Y171" s="75">
        <v>4418.38</v>
      </c>
      <c r="Z171" s="75">
        <v>5115.3500000000004</v>
      </c>
      <c r="AA171" s="75">
        <v>35247.21</v>
      </c>
      <c r="AB171" s="75">
        <v>49056.3299999999</v>
      </c>
      <c r="AC171" s="75">
        <v>3536.76</v>
      </c>
      <c r="AD171" s="75">
        <v>3984.16</v>
      </c>
      <c r="AE171" s="75">
        <v>39451.22</v>
      </c>
      <c r="AF171" s="75">
        <v>50644.67</v>
      </c>
      <c r="AG171" s="75">
        <v>2650.69</v>
      </c>
      <c r="AH171" s="75">
        <v>2864.06</v>
      </c>
      <c r="AI171" s="75">
        <v>31678.43</v>
      </c>
      <c r="AJ171" s="75">
        <v>40707.719999999899</v>
      </c>
      <c r="AV171" s="73" t="s">
        <v>306</v>
      </c>
      <c r="AW171" s="73" t="s">
        <v>10</v>
      </c>
      <c r="AX171" s="33">
        <v>3</v>
      </c>
      <c r="AY171" s="33">
        <v>6</v>
      </c>
      <c r="AZ171" s="33">
        <v>3</v>
      </c>
      <c r="BB171" s="73" t="s">
        <v>306</v>
      </c>
      <c r="BC171" s="73" t="s">
        <v>10</v>
      </c>
      <c r="BD171" s="75">
        <v>1161.33</v>
      </c>
      <c r="BE171" s="75">
        <v>849.66</v>
      </c>
      <c r="BF171" s="75">
        <v>196.81</v>
      </c>
      <c r="BH171" s="73">
        <v>98375</v>
      </c>
      <c r="BI171" s="73" t="s">
        <v>10</v>
      </c>
      <c r="BJ171" s="75">
        <v>-1381.36</v>
      </c>
      <c r="BK171" s="75">
        <v>-447.4</v>
      </c>
      <c r="BL171" s="75">
        <v>-330.72</v>
      </c>
    </row>
    <row r="172" spans="2:64" x14ac:dyDescent="0.2">
      <c r="B172" s="81">
        <v>98144</v>
      </c>
      <c r="C172" s="62" t="s">
        <v>10</v>
      </c>
      <c r="D172" s="46">
        <v>1169</v>
      </c>
      <c r="E172" s="46">
        <v>1153</v>
      </c>
      <c r="F172" s="46">
        <v>1200</v>
      </c>
      <c r="H172" s="73">
        <v>98144</v>
      </c>
      <c r="I172" s="73" t="s">
        <v>345</v>
      </c>
      <c r="J172" s="75">
        <v>11741.27</v>
      </c>
      <c r="K172" s="75">
        <v>6739.68</v>
      </c>
      <c r="L172" s="75">
        <v>47256.41</v>
      </c>
      <c r="M172" s="75">
        <v>98767.31</v>
      </c>
      <c r="N172" s="75">
        <v>13972.21</v>
      </c>
      <c r="O172" s="75">
        <v>9799.9699999999993</v>
      </c>
      <c r="P172" s="75">
        <v>52117.8</v>
      </c>
      <c r="Q172" s="75">
        <v>95631.879999999903</v>
      </c>
      <c r="R172" s="75">
        <v>8015.95</v>
      </c>
      <c r="S172" s="75">
        <v>10234.530000000001</v>
      </c>
      <c r="T172" s="75">
        <v>44317.72</v>
      </c>
      <c r="U172" s="75">
        <v>86095.99</v>
      </c>
      <c r="W172" s="73">
        <v>98360</v>
      </c>
      <c r="X172" s="15" t="s">
        <v>10</v>
      </c>
      <c r="Y172" s="75">
        <v>11667.69</v>
      </c>
      <c r="Z172" s="75">
        <v>12042.61</v>
      </c>
      <c r="AA172" s="75">
        <v>61307.38</v>
      </c>
      <c r="AB172" s="75">
        <v>98021.37</v>
      </c>
      <c r="AC172" s="75">
        <v>9227.68</v>
      </c>
      <c r="AD172" s="75">
        <v>10513.79</v>
      </c>
      <c r="AE172" s="75">
        <v>65588.53</v>
      </c>
      <c r="AF172" s="75">
        <v>97034.49</v>
      </c>
      <c r="AG172" s="75">
        <v>9118.4699999999993</v>
      </c>
      <c r="AH172" s="75">
        <v>7935.87</v>
      </c>
      <c r="AI172" s="75">
        <v>69458.11</v>
      </c>
      <c r="AJ172" s="75">
        <v>98949.129999999903</v>
      </c>
      <c r="AV172" s="73" t="s">
        <v>307</v>
      </c>
      <c r="AW172" s="73" t="s">
        <v>345</v>
      </c>
      <c r="AX172" s="33">
        <v>2</v>
      </c>
      <c r="AY172" s="33">
        <v>5</v>
      </c>
      <c r="AZ172" s="33">
        <v>1</v>
      </c>
      <c r="BB172" s="73" t="s">
        <v>307</v>
      </c>
      <c r="BC172" s="73" t="s">
        <v>345</v>
      </c>
      <c r="BD172" s="75">
        <v>1911.85</v>
      </c>
      <c r="BE172" s="75">
        <v>3022.43</v>
      </c>
      <c r="BF172" s="75"/>
      <c r="BH172" s="73">
        <v>98383</v>
      </c>
      <c r="BI172" s="73" t="s">
        <v>10</v>
      </c>
      <c r="BJ172" s="75">
        <v>-657.85</v>
      </c>
      <c r="BK172" s="75">
        <v>-310.38</v>
      </c>
      <c r="BL172" s="75">
        <v>-413.43</v>
      </c>
    </row>
    <row r="173" spans="2:64" x14ac:dyDescent="0.2">
      <c r="B173" s="56">
        <v>98146</v>
      </c>
      <c r="C173" s="62" t="s">
        <v>345</v>
      </c>
      <c r="D173" s="46">
        <v>15</v>
      </c>
      <c r="E173" s="46">
        <v>11</v>
      </c>
      <c r="F173" s="46">
        <v>12</v>
      </c>
      <c r="H173" s="73">
        <v>98144</v>
      </c>
      <c r="I173" s="73" t="s">
        <v>10</v>
      </c>
      <c r="J173" s="75">
        <v>33320.29</v>
      </c>
      <c r="K173" s="75">
        <v>33805.129999999997</v>
      </c>
      <c r="L173" s="75">
        <v>162108.44</v>
      </c>
      <c r="M173" s="75">
        <v>272876.23</v>
      </c>
      <c r="N173" s="75">
        <v>24701.91</v>
      </c>
      <c r="O173" s="75">
        <v>29833.67</v>
      </c>
      <c r="P173" s="75">
        <v>174435.97999999899</v>
      </c>
      <c r="Q173" s="75">
        <v>260868.24</v>
      </c>
      <c r="R173" s="75">
        <v>18307.77</v>
      </c>
      <c r="S173" s="75">
        <v>18267.669999999998</v>
      </c>
      <c r="T173" s="75">
        <v>177896.7</v>
      </c>
      <c r="U173" s="75">
        <v>247105.11999999901</v>
      </c>
      <c r="W173" s="73">
        <v>98366</v>
      </c>
      <c r="X173" s="15" t="s">
        <v>10</v>
      </c>
      <c r="Y173" s="75">
        <v>34314.870000000003</v>
      </c>
      <c r="Z173" s="75">
        <v>36017.769999999997</v>
      </c>
      <c r="AA173" s="75">
        <v>163692.639999999</v>
      </c>
      <c r="AB173" s="75">
        <v>267978.83999999898</v>
      </c>
      <c r="AC173" s="75">
        <v>28585.77</v>
      </c>
      <c r="AD173" s="75">
        <v>29949.62</v>
      </c>
      <c r="AE173" s="75">
        <v>179482.399999999</v>
      </c>
      <c r="AF173" s="75">
        <v>270918.86</v>
      </c>
      <c r="AG173" s="75">
        <v>28580.53</v>
      </c>
      <c r="AH173" s="75">
        <v>24330.74</v>
      </c>
      <c r="AI173" s="75">
        <v>190734.36</v>
      </c>
      <c r="AJ173" s="75">
        <v>276590.64</v>
      </c>
      <c r="AV173" s="73" t="s">
        <v>307</v>
      </c>
      <c r="AW173" s="73" t="s">
        <v>10</v>
      </c>
      <c r="AX173" s="33">
        <v>12</v>
      </c>
      <c r="AY173" s="33">
        <v>13</v>
      </c>
      <c r="AZ173" s="33">
        <v>14</v>
      </c>
      <c r="BB173" s="73" t="s">
        <v>307</v>
      </c>
      <c r="BC173" s="73" t="s">
        <v>10</v>
      </c>
      <c r="BD173" s="75">
        <v>3907.58</v>
      </c>
      <c r="BE173" s="75">
        <v>4413.13</v>
      </c>
      <c r="BF173" s="75">
        <v>2425.0700000000002</v>
      </c>
      <c r="BH173" s="73">
        <v>98387</v>
      </c>
      <c r="BI173" s="73" t="s">
        <v>10</v>
      </c>
      <c r="BJ173" s="75">
        <v>-205.87</v>
      </c>
      <c r="BK173" s="75">
        <v>-463.41</v>
      </c>
      <c r="BL173" s="75">
        <v>-1098.94</v>
      </c>
    </row>
    <row r="174" spans="2:64" x14ac:dyDescent="0.2">
      <c r="B174" s="81">
        <v>98146</v>
      </c>
      <c r="C174" s="62" t="s">
        <v>10</v>
      </c>
      <c r="D174" s="46">
        <v>703</v>
      </c>
      <c r="E174" s="46">
        <v>667</v>
      </c>
      <c r="F174" s="46">
        <v>669</v>
      </c>
      <c r="H174" s="73">
        <v>98146</v>
      </c>
      <c r="I174" s="73" t="s">
        <v>345</v>
      </c>
      <c r="J174" s="75">
        <v>3399.2</v>
      </c>
      <c r="K174" s="75">
        <v>3030.75</v>
      </c>
      <c r="L174" s="75">
        <v>9994.83</v>
      </c>
      <c r="M174" s="75">
        <v>23630.129999999899</v>
      </c>
      <c r="N174" s="75">
        <v>1679.54</v>
      </c>
      <c r="O174" s="75">
        <v>2949.48</v>
      </c>
      <c r="P174" s="75">
        <v>12514.29</v>
      </c>
      <c r="Q174" s="75">
        <v>18802.41</v>
      </c>
      <c r="R174" s="75">
        <v>1503.46</v>
      </c>
      <c r="S174" s="75">
        <v>1679.54</v>
      </c>
      <c r="T174" s="75">
        <v>15463.77</v>
      </c>
      <c r="U174" s="75">
        <v>20658.09</v>
      </c>
      <c r="W174" s="73">
        <v>98367</v>
      </c>
      <c r="X174" s="15" t="s">
        <v>10</v>
      </c>
      <c r="Y174" s="75">
        <v>23432.83</v>
      </c>
      <c r="Z174" s="75">
        <v>27677.14</v>
      </c>
      <c r="AA174" s="75">
        <v>119752.01</v>
      </c>
      <c r="AB174" s="75">
        <v>192225.549999999</v>
      </c>
      <c r="AC174" s="75">
        <v>18521.080000000002</v>
      </c>
      <c r="AD174" s="75">
        <v>21690.18</v>
      </c>
      <c r="AE174" s="75">
        <v>139183.25999999899</v>
      </c>
      <c r="AF174" s="75">
        <v>198797.69999999899</v>
      </c>
      <c r="AG174" s="75">
        <v>14703.8</v>
      </c>
      <c r="AH174" s="75">
        <v>15616.16</v>
      </c>
      <c r="AI174" s="75">
        <v>145854.97999999899</v>
      </c>
      <c r="AJ174" s="75">
        <v>194687.84999999899</v>
      </c>
      <c r="AV174" s="73" t="s">
        <v>308</v>
      </c>
      <c r="AW174" s="73" t="s">
        <v>345</v>
      </c>
      <c r="AX174" s="33"/>
      <c r="AY174" s="33"/>
      <c r="AZ174" s="33">
        <v>1</v>
      </c>
      <c r="BB174" s="73" t="s">
        <v>308</v>
      </c>
      <c r="BC174" s="73" t="s">
        <v>345</v>
      </c>
      <c r="BD174" s="75"/>
      <c r="BE174" s="75"/>
      <c r="BF174" s="75">
        <v>36.11</v>
      </c>
      <c r="BH174" s="73">
        <v>98390</v>
      </c>
      <c r="BI174" s="73" t="s">
        <v>10</v>
      </c>
      <c r="BJ174" s="75"/>
      <c r="BK174" s="75">
        <v>-184.38</v>
      </c>
      <c r="BL174" s="75">
        <v>-461.39</v>
      </c>
    </row>
    <row r="175" spans="2:64" x14ac:dyDescent="0.2">
      <c r="B175" s="56">
        <v>98148</v>
      </c>
      <c r="C175" s="62" t="s">
        <v>345</v>
      </c>
      <c r="D175" s="46">
        <v>52</v>
      </c>
      <c r="E175" s="46">
        <v>45</v>
      </c>
      <c r="F175" s="46">
        <v>60</v>
      </c>
      <c r="H175" s="73">
        <v>98146</v>
      </c>
      <c r="I175" s="73" t="s">
        <v>10</v>
      </c>
      <c r="J175" s="75">
        <v>27700.26</v>
      </c>
      <c r="K175" s="75">
        <v>25740.29</v>
      </c>
      <c r="L175" s="75">
        <v>127834.52</v>
      </c>
      <c r="M175" s="75">
        <v>209005.4</v>
      </c>
      <c r="N175" s="75">
        <v>17782.34</v>
      </c>
      <c r="O175" s="75">
        <v>22040.55</v>
      </c>
      <c r="P175" s="75">
        <v>134949.639999999</v>
      </c>
      <c r="Q175" s="75">
        <v>192804.73</v>
      </c>
      <c r="R175" s="75">
        <v>12336.59</v>
      </c>
      <c r="S175" s="75">
        <v>12662.01</v>
      </c>
      <c r="T175" s="75">
        <v>135012.929999999</v>
      </c>
      <c r="U175" s="75">
        <v>174386.02999999901</v>
      </c>
      <c r="W175" s="73">
        <v>98370</v>
      </c>
      <c r="X175" s="15" t="s">
        <v>10</v>
      </c>
      <c r="Y175" s="75">
        <v>21239.52</v>
      </c>
      <c r="Z175" s="75">
        <v>20779.900000000001</v>
      </c>
      <c r="AA175" s="75">
        <v>110379.79</v>
      </c>
      <c r="AB175" s="75">
        <v>173326.18999999901</v>
      </c>
      <c r="AC175" s="75">
        <v>15780.31</v>
      </c>
      <c r="AD175" s="75">
        <v>18496.919999999998</v>
      </c>
      <c r="AE175" s="75">
        <v>122215.599999999</v>
      </c>
      <c r="AF175" s="75">
        <v>174420.93</v>
      </c>
      <c r="AG175" s="75">
        <v>14844.33</v>
      </c>
      <c r="AH175" s="75">
        <v>13366.99</v>
      </c>
      <c r="AI175" s="75">
        <v>128879.62</v>
      </c>
      <c r="AJ175" s="75">
        <v>176515.02999999901</v>
      </c>
      <c r="AV175" s="73" t="s">
        <v>308</v>
      </c>
      <c r="AW175" s="73" t="s">
        <v>10</v>
      </c>
      <c r="AX175" s="33">
        <v>14</v>
      </c>
      <c r="AY175" s="33">
        <v>13</v>
      </c>
      <c r="AZ175" s="33">
        <v>14</v>
      </c>
      <c r="BB175" s="73" t="s">
        <v>308</v>
      </c>
      <c r="BC175" s="73" t="s">
        <v>10</v>
      </c>
      <c r="BD175" s="75">
        <v>3547.19</v>
      </c>
      <c r="BE175" s="75">
        <v>4102.58</v>
      </c>
      <c r="BF175" s="75">
        <v>2742.82</v>
      </c>
      <c r="BH175" s="73">
        <v>98391</v>
      </c>
      <c r="BI175" s="73" t="s">
        <v>345</v>
      </c>
      <c r="BJ175" s="75"/>
      <c r="BK175" s="75">
        <v>-1121.33</v>
      </c>
      <c r="BL175" s="75">
        <v>-1121.33</v>
      </c>
    </row>
    <row r="176" spans="2:64" x14ac:dyDescent="0.2">
      <c r="B176" s="81">
        <v>98148</v>
      </c>
      <c r="C176" s="62" t="s">
        <v>10</v>
      </c>
      <c r="D176" s="71">
        <v>648</v>
      </c>
      <c r="E176" s="46">
        <v>660</v>
      </c>
      <c r="F176" s="46">
        <v>654</v>
      </c>
      <c r="H176" s="73">
        <v>98148</v>
      </c>
      <c r="I176" s="73" t="s">
        <v>345</v>
      </c>
      <c r="J176" s="75">
        <v>5539.51</v>
      </c>
      <c r="K176" s="75">
        <v>4573.71</v>
      </c>
      <c r="L176" s="75">
        <v>21253.82</v>
      </c>
      <c r="M176" s="75">
        <v>39351.19</v>
      </c>
      <c r="N176" s="75">
        <v>2748.51</v>
      </c>
      <c r="O176" s="75">
        <v>1690.38</v>
      </c>
      <c r="P176" s="75">
        <v>25537.68</v>
      </c>
      <c r="Q176" s="75">
        <v>39947.54</v>
      </c>
      <c r="R176" s="75">
        <v>8291.3799999999992</v>
      </c>
      <c r="S176" s="75">
        <v>2634.48</v>
      </c>
      <c r="T176" s="75">
        <v>19666.62</v>
      </c>
      <c r="U176" s="75">
        <v>40756.42</v>
      </c>
      <c r="W176" s="73">
        <v>98371</v>
      </c>
      <c r="X176" s="15" t="s">
        <v>10</v>
      </c>
      <c r="Y176" s="75">
        <v>22577.32</v>
      </c>
      <c r="Z176" s="75">
        <v>23006.62</v>
      </c>
      <c r="AA176" s="75">
        <v>105627.099999999</v>
      </c>
      <c r="AB176" s="75">
        <v>173459.31999999899</v>
      </c>
      <c r="AC176" s="75">
        <v>16767.07</v>
      </c>
      <c r="AD176" s="75">
        <v>17858.32</v>
      </c>
      <c r="AE176" s="75">
        <v>114385.44999999899</v>
      </c>
      <c r="AF176" s="75">
        <v>168135.27999999901</v>
      </c>
      <c r="AG176" s="75">
        <v>14741.62</v>
      </c>
      <c r="AH176" s="75">
        <v>12924.06</v>
      </c>
      <c r="AI176" s="75">
        <v>106802.61</v>
      </c>
      <c r="AJ176" s="75">
        <v>153348.99999999901</v>
      </c>
      <c r="AV176" s="73" t="s">
        <v>309</v>
      </c>
      <c r="AW176" s="73" t="s">
        <v>345</v>
      </c>
      <c r="AX176" s="33"/>
      <c r="AY176" s="33">
        <v>1</v>
      </c>
      <c r="AZ176" s="33">
        <v>1</v>
      </c>
      <c r="BB176" s="73" t="s">
        <v>309</v>
      </c>
      <c r="BC176" s="73" t="s">
        <v>345</v>
      </c>
      <c r="BD176" s="75"/>
      <c r="BE176" s="75">
        <v>1714.81</v>
      </c>
      <c r="BF176" s="75">
        <v>1817.38</v>
      </c>
      <c r="BH176" s="73">
        <v>98391</v>
      </c>
      <c r="BI176" s="73" t="s">
        <v>10</v>
      </c>
      <c r="BJ176" s="75">
        <v>-137.55000000000001</v>
      </c>
      <c r="BK176" s="75">
        <v>-912.27</v>
      </c>
      <c r="BL176" s="75">
        <v>-1212.5</v>
      </c>
    </row>
    <row r="177" spans="2:64" x14ac:dyDescent="0.2">
      <c r="B177" s="81">
        <v>98154</v>
      </c>
      <c r="C177" s="62" t="s">
        <v>345</v>
      </c>
      <c r="D177" s="46">
        <v>1</v>
      </c>
      <c r="E177" s="46">
        <v>1</v>
      </c>
      <c r="F177" s="46"/>
      <c r="H177" s="73">
        <v>98148</v>
      </c>
      <c r="I177" s="73" t="s">
        <v>10</v>
      </c>
      <c r="J177" s="75">
        <v>41090.879999999997</v>
      </c>
      <c r="K177" s="75">
        <v>46630.84</v>
      </c>
      <c r="L177" s="75">
        <v>221780.78</v>
      </c>
      <c r="M177" s="75">
        <v>365819.85</v>
      </c>
      <c r="N177" s="75">
        <v>38350.94</v>
      </c>
      <c r="O177" s="75">
        <v>34052.870000000003</v>
      </c>
      <c r="P177" s="75">
        <v>236910.78</v>
      </c>
      <c r="Q177" s="75">
        <v>363628.51</v>
      </c>
      <c r="R177" s="75">
        <v>34281.11</v>
      </c>
      <c r="S177" s="75">
        <v>30860.46</v>
      </c>
      <c r="T177" s="75">
        <v>252597.52</v>
      </c>
      <c r="U177" s="75">
        <v>373130.55</v>
      </c>
      <c r="W177" s="73">
        <v>98372</v>
      </c>
      <c r="X177" s="15" t="s">
        <v>10</v>
      </c>
      <c r="Y177" s="75">
        <v>25391.32</v>
      </c>
      <c r="Z177" s="75">
        <v>24862.48</v>
      </c>
      <c r="AA177" s="75">
        <v>121294.76</v>
      </c>
      <c r="AB177" s="75">
        <v>195582.92</v>
      </c>
      <c r="AC177" s="75">
        <v>20424.62</v>
      </c>
      <c r="AD177" s="75">
        <v>22963.74</v>
      </c>
      <c r="AE177" s="75">
        <v>127165.629999999</v>
      </c>
      <c r="AF177" s="75">
        <v>195486.52</v>
      </c>
      <c r="AG177" s="75">
        <v>20061.45</v>
      </c>
      <c r="AH177" s="75">
        <v>18294.02</v>
      </c>
      <c r="AI177" s="75">
        <v>135551.01</v>
      </c>
      <c r="AJ177" s="75">
        <v>198822.049999999</v>
      </c>
      <c r="AV177" s="73" t="s">
        <v>309</v>
      </c>
      <c r="AW177" s="73" t="s">
        <v>10</v>
      </c>
      <c r="AX177" s="33">
        <v>4</v>
      </c>
      <c r="AY177" s="33">
        <v>8</v>
      </c>
      <c r="AZ177" s="33">
        <v>16</v>
      </c>
      <c r="BB177" s="73" t="s">
        <v>309</v>
      </c>
      <c r="BC177" s="73" t="s">
        <v>10</v>
      </c>
      <c r="BD177" s="75">
        <v>972.51</v>
      </c>
      <c r="BE177" s="75">
        <v>2592.31</v>
      </c>
      <c r="BF177" s="75">
        <v>3876.33</v>
      </c>
      <c r="BH177" s="73">
        <v>98392</v>
      </c>
      <c r="BI177" s="73" t="s">
        <v>10</v>
      </c>
      <c r="BJ177" s="75">
        <v>-146.36000000000001</v>
      </c>
      <c r="BK177" s="75"/>
      <c r="BL177" s="75">
        <v>-192.18</v>
      </c>
    </row>
    <row r="178" spans="2:64" x14ac:dyDescent="0.2">
      <c r="B178" s="56">
        <v>98155</v>
      </c>
      <c r="C178" s="62" t="s">
        <v>345</v>
      </c>
      <c r="D178" s="46">
        <v>17</v>
      </c>
      <c r="E178" s="46">
        <v>12</v>
      </c>
      <c r="F178" s="46">
        <v>20</v>
      </c>
      <c r="H178" s="73">
        <v>98154</v>
      </c>
      <c r="I178" s="73" t="s">
        <v>345</v>
      </c>
      <c r="J178" s="75">
        <v>46.47</v>
      </c>
      <c r="K178" s="75"/>
      <c r="L178" s="75"/>
      <c r="M178" s="75">
        <v>96.38</v>
      </c>
      <c r="N178" s="75"/>
      <c r="O178" s="75"/>
      <c r="P178" s="75"/>
      <c r="Q178" s="75">
        <v>37.58</v>
      </c>
      <c r="R178" s="75"/>
      <c r="S178" s="75"/>
      <c r="T178" s="75"/>
      <c r="U178" s="75"/>
      <c r="W178" s="73">
        <v>98373</v>
      </c>
      <c r="X178" s="15" t="s">
        <v>10</v>
      </c>
      <c r="Y178" s="75">
        <v>20057.73</v>
      </c>
      <c r="Z178" s="75">
        <v>20385.7</v>
      </c>
      <c r="AA178" s="75">
        <v>96791.469999999899</v>
      </c>
      <c r="AB178" s="75">
        <v>158898.959999999</v>
      </c>
      <c r="AC178" s="75">
        <v>16325.4</v>
      </c>
      <c r="AD178" s="75">
        <v>17796.02</v>
      </c>
      <c r="AE178" s="75">
        <v>106838.83999999901</v>
      </c>
      <c r="AF178" s="75">
        <v>158759.15</v>
      </c>
      <c r="AG178" s="75">
        <v>13866.13</v>
      </c>
      <c r="AH178" s="75">
        <v>12748.32</v>
      </c>
      <c r="AI178" s="75">
        <v>96162.76</v>
      </c>
      <c r="AJ178" s="75">
        <v>142469.5</v>
      </c>
      <c r="AV178" s="73" t="s">
        <v>310</v>
      </c>
      <c r="AW178" s="73" t="s">
        <v>345</v>
      </c>
      <c r="AX178" s="33"/>
      <c r="AY178" s="33">
        <v>1</v>
      </c>
      <c r="AZ178" s="33">
        <v>1</v>
      </c>
      <c r="BB178" s="73" t="s">
        <v>310</v>
      </c>
      <c r="BC178" s="73" t="s">
        <v>345</v>
      </c>
      <c r="BD178" s="75"/>
      <c r="BE178" s="75">
        <v>758.31</v>
      </c>
      <c r="BF178" s="75">
        <v>244.09</v>
      </c>
      <c r="BH178" s="73">
        <v>98404</v>
      </c>
      <c r="BI178" s="73" t="s">
        <v>10</v>
      </c>
      <c r="BJ178" s="75">
        <v>-853.63</v>
      </c>
      <c r="BK178" s="75"/>
      <c r="BL178" s="75">
        <v>-161.66999999999999</v>
      </c>
    </row>
    <row r="179" spans="2:64" x14ac:dyDescent="0.2">
      <c r="B179" s="81">
        <v>98155</v>
      </c>
      <c r="C179" s="62" t="s">
        <v>10</v>
      </c>
      <c r="D179" s="46">
        <v>658</v>
      </c>
      <c r="E179" s="46">
        <v>627</v>
      </c>
      <c r="F179" s="71">
        <v>626</v>
      </c>
      <c r="H179" s="73">
        <v>98155</v>
      </c>
      <c r="I179" s="73" t="s">
        <v>345</v>
      </c>
      <c r="J179" s="75">
        <v>982.13</v>
      </c>
      <c r="K179" s="75">
        <v>1215.21</v>
      </c>
      <c r="L179" s="75">
        <v>6857.45</v>
      </c>
      <c r="M179" s="75">
        <v>12600.699999999901</v>
      </c>
      <c r="N179" s="75">
        <v>383.32</v>
      </c>
      <c r="O179" s="75">
        <v>640.42999999999995</v>
      </c>
      <c r="P179" s="75">
        <v>6751.83</v>
      </c>
      <c r="Q179" s="75">
        <v>10028.51</v>
      </c>
      <c r="R179" s="75">
        <v>236.08</v>
      </c>
      <c r="S179" s="75">
        <v>301.95</v>
      </c>
      <c r="T179" s="75">
        <v>4977.33</v>
      </c>
      <c r="U179" s="75">
        <v>13155.9399999999</v>
      </c>
      <c r="W179" s="73">
        <v>98374</v>
      </c>
      <c r="X179" s="15" t="s">
        <v>10</v>
      </c>
      <c r="Y179" s="75">
        <v>43353.32</v>
      </c>
      <c r="Z179" s="75">
        <v>41795.32</v>
      </c>
      <c r="AA179" s="75">
        <v>163046.72</v>
      </c>
      <c r="AB179" s="75">
        <v>289575.82</v>
      </c>
      <c r="AC179" s="75">
        <v>32284.880000000001</v>
      </c>
      <c r="AD179" s="75">
        <v>35715.129999999997</v>
      </c>
      <c r="AE179" s="75">
        <v>170084.15999999901</v>
      </c>
      <c r="AF179" s="75">
        <v>271765.43</v>
      </c>
      <c r="AG179" s="75">
        <v>28287.200000000001</v>
      </c>
      <c r="AH179" s="75">
        <v>27483.43</v>
      </c>
      <c r="AI179" s="75">
        <v>175804.94</v>
      </c>
      <c r="AJ179" s="75">
        <v>269587.17</v>
      </c>
      <c r="AV179" s="73" t="s">
        <v>310</v>
      </c>
      <c r="AW179" s="73" t="s">
        <v>10</v>
      </c>
      <c r="AX179" s="33">
        <v>7</v>
      </c>
      <c r="AY179" s="33">
        <v>13</v>
      </c>
      <c r="AZ179" s="33">
        <v>13</v>
      </c>
      <c r="BB179" s="73" t="s">
        <v>310</v>
      </c>
      <c r="BC179" s="73" t="s">
        <v>10</v>
      </c>
      <c r="BD179" s="75">
        <v>7417.04</v>
      </c>
      <c r="BE179" s="75">
        <v>12028.83</v>
      </c>
      <c r="BF179" s="75">
        <v>4622.32</v>
      </c>
      <c r="BH179" s="73">
        <v>98405</v>
      </c>
      <c r="BI179" s="73" t="s">
        <v>10</v>
      </c>
      <c r="BJ179" s="75">
        <v>-356.38</v>
      </c>
      <c r="BK179" s="75">
        <v>-518.24</v>
      </c>
      <c r="BL179" s="75"/>
    </row>
    <row r="180" spans="2:64" x14ac:dyDescent="0.2">
      <c r="B180" s="56">
        <v>98158</v>
      </c>
      <c r="C180" s="62" t="s">
        <v>345</v>
      </c>
      <c r="D180" s="46">
        <v>3</v>
      </c>
      <c r="E180" s="46">
        <v>1</v>
      </c>
      <c r="F180" s="46">
        <v>1</v>
      </c>
      <c r="H180" s="73">
        <v>98155</v>
      </c>
      <c r="I180" s="73" t="s">
        <v>10</v>
      </c>
      <c r="J180" s="75">
        <v>29294.71</v>
      </c>
      <c r="K180" s="75">
        <v>25436.52</v>
      </c>
      <c r="L180" s="75">
        <v>108200.22</v>
      </c>
      <c r="M180" s="75">
        <v>196868.94999999899</v>
      </c>
      <c r="N180" s="75">
        <v>19389.259999999998</v>
      </c>
      <c r="O180" s="75">
        <v>21548.23</v>
      </c>
      <c r="P180" s="75">
        <v>113597.45</v>
      </c>
      <c r="Q180" s="75">
        <v>176596.17</v>
      </c>
      <c r="R180" s="75">
        <v>13993.67</v>
      </c>
      <c r="S180" s="75">
        <v>15005.5</v>
      </c>
      <c r="T180" s="75">
        <v>118029.68</v>
      </c>
      <c r="U180" s="75">
        <v>165677.18</v>
      </c>
      <c r="W180" s="73">
        <v>98375</v>
      </c>
      <c r="X180" s="15" t="s">
        <v>10</v>
      </c>
      <c r="Y180" s="75">
        <v>23395.85</v>
      </c>
      <c r="Z180" s="75">
        <v>23363.919999999998</v>
      </c>
      <c r="AA180" s="75">
        <v>85406.94</v>
      </c>
      <c r="AB180" s="75">
        <v>153767.019999999</v>
      </c>
      <c r="AC180" s="75">
        <v>18381.88</v>
      </c>
      <c r="AD180" s="75">
        <v>19924.75</v>
      </c>
      <c r="AE180" s="75">
        <v>95180.849999999904</v>
      </c>
      <c r="AF180" s="75">
        <v>152812.35</v>
      </c>
      <c r="AG180" s="75">
        <v>16621.8</v>
      </c>
      <c r="AH180" s="75">
        <v>16129.91</v>
      </c>
      <c r="AI180" s="75">
        <v>97604.15</v>
      </c>
      <c r="AJ180" s="75">
        <v>151027.34</v>
      </c>
      <c r="AV180" s="73" t="s">
        <v>150</v>
      </c>
      <c r="AW180" s="73" t="s">
        <v>10</v>
      </c>
      <c r="AX180" s="33">
        <v>1</v>
      </c>
      <c r="AY180" s="33"/>
      <c r="AZ180" s="33"/>
      <c r="BB180" s="73" t="s">
        <v>150</v>
      </c>
      <c r="BC180" s="73" t="s">
        <v>10</v>
      </c>
      <c r="BD180" s="75">
        <v>4528.83</v>
      </c>
      <c r="BE180" s="75"/>
      <c r="BF180" s="75"/>
      <c r="BH180" s="73">
        <v>98406</v>
      </c>
      <c r="BI180" s="73" t="s">
        <v>10</v>
      </c>
      <c r="BJ180" s="75">
        <v>-106.44</v>
      </c>
      <c r="BK180" s="75">
        <v>-196.83</v>
      </c>
      <c r="BL180" s="75"/>
    </row>
    <row r="181" spans="2:64" x14ac:dyDescent="0.2">
      <c r="B181" s="81">
        <v>98158</v>
      </c>
      <c r="C181" s="62" t="s">
        <v>10</v>
      </c>
      <c r="D181" s="46">
        <v>2</v>
      </c>
      <c r="E181" s="71"/>
      <c r="F181" s="71">
        <v>1</v>
      </c>
      <c r="H181" s="73">
        <v>98158</v>
      </c>
      <c r="I181" s="73" t="s">
        <v>345</v>
      </c>
      <c r="J181" s="75">
        <v>149.57</v>
      </c>
      <c r="K181" s="75"/>
      <c r="L181" s="75"/>
      <c r="M181" s="75">
        <v>1289.8899999999901</v>
      </c>
      <c r="N181" s="75"/>
      <c r="O181" s="75"/>
      <c r="P181" s="75"/>
      <c r="Q181" s="75">
        <v>500.98</v>
      </c>
      <c r="R181" s="75">
        <v>500.98</v>
      </c>
      <c r="S181" s="75"/>
      <c r="T181" s="75"/>
      <c r="U181" s="75">
        <v>993.44</v>
      </c>
      <c r="W181" s="73">
        <v>98380</v>
      </c>
      <c r="X181" s="15" t="s">
        <v>10</v>
      </c>
      <c r="Y181" s="75">
        <v>3560.51</v>
      </c>
      <c r="Z181" s="75">
        <v>8061.9</v>
      </c>
      <c r="AA181" s="75">
        <v>21351.4</v>
      </c>
      <c r="AB181" s="75">
        <v>38778.839999999997</v>
      </c>
      <c r="AC181" s="75">
        <v>5407.57</v>
      </c>
      <c r="AD181" s="75">
        <v>3076.5</v>
      </c>
      <c r="AE181" s="75">
        <v>27649.21</v>
      </c>
      <c r="AF181" s="75">
        <v>38753.789999999899</v>
      </c>
      <c r="AG181" s="75">
        <v>2047.52</v>
      </c>
      <c r="AH181" s="75">
        <v>4732.9799999999996</v>
      </c>
      <c r="AI181" s="75">
        <v>27034.929999999898</v>
      </c>
      <c r="AJ181" s="75">
        <v>37752.529999999897</v>
      </c>
      <c r="AV181" s="73" t="s">
        <v>151</v>
      </c>
      <c r="AW181" s="73" t="s">
        <v>345</v>
      </c>
      <c r="AX181" s="33">
        <v>1</v>
      </c>
      <c r="AY181" s="33">
        <v>2</v>
      </c>
      <c r="AZ181" s="33">
        <v>3</v>
      </c>
      <c r="BB181" s="73" t="s">
        <v>151</v>
      </c>
      <c r="BC181" s="73" t="s">
        <v>345</v>
      </c>
      <c r="BD181" s="75">
        <v>22196.85</v>
      </c>
      <c r="BE181" s="75">
        <v>33212.26</v>
      </c>
      <c r="BF181" s="75">
        <v>20804.95</v>
      </c>
      <c r="BH181" s="73">
        <v>98407</v>
      </c>
      <c r="BI181" s="73" t="s">
        <v>10</v>
      </c>
      <c r="BJ181" s="75"/>
      <c r="BK181" s="75">
        <v>-368.25</v>
      </c>
      <c r="BL181" s="75"/>
    </row>
    <row r="182" spans="2:64" x14ac:dyDescent="0.2">
      <c r="B182" s="81">
        <v>98166</v>
      </c>
      <c r="C182" s="62" t="s">
        <v>345</v>
      </c>
      <c r="D182" s="46">
        <v>67</v>
      </c>
      <c r="E182" s="46">
        <v>49</v>
      </c>
      <c r="F182" s="46">
        <v>56</v>
      </c>
      <c r="H182" s="73">
        <v>98158</v>
      </c>
      <c r="I182" s="73" t="s">
        <v>10</v>
      </c>
      <c r="J182" s="75">
        <v>1483.48</v>
      </c>
      <c r="K182" s="75">
        <v>1685.96</v>
      </c>
      <c r="L182" s="75">
        <v>23563.67</v>
      </c>
      <c r="M182" s="75">
        <v>27262.499999999902</v>
      </c>
      <c r="N182" s="75"/>
      <c r="O182" s="75"/>
      <c r="P182" s="75"/>
      <c r="Q182" s="75"/>
      <c r="R182" s="75"/>
      <c r="S182" s="75"/>
      <c r="T182" s="75"/>
      <c r="U182" s="75">
        <v>37.08</v>
      </c>
      <c r="W182" s="73">
        <v>98383</v>
      </c>
      <c r="X182" s="15" t="s">
        <v>10</v>
      </c>
      <c r="Y182" s="75">
        <v>8883.42</v>
      </c>
      <c r="Z182" s="75">
        <v>8785.5</v>
      </c>
      <c r="AA182" s="75">
        <v>36366.15</v>
      </c>
      <c r="AB182" s="75">
        <v>62287.4</v>
      </c>
      <c r="AC182" s="75">
        <v>7253.82</v>
      </c>
      <c r="AD182" s="75">
        <v>7936.63</v>
      </c>
      <c r="AE182" s="75">
        <v>36963.32</v>
      </c>
      <c r="AF182" s="75">
        <v>61140.52</v>
      </c>
      <c r="AG182" s="75">
        <v>7728.22</v>
      </c>
      <c r="AH182" s="75">
        <v>5691.36</v>
      </c>
      <c r="AI182" s="75">
        <v>39406.809999999903</v>
      </c>
      <c r="AJ182" s="75">
        <v>61109.599999999999</v>
      </c>
      <c r="AV182" s="73" t="s">
        <v>151</v>
      </c>
      <c r="AW182" s="73" t="s">
        <v>10</v>
      </c>
      <c r="AX182" s="33">
        <v>14</v>
      </c>
      <c r="AY182" s="33">
        <v>13</v>
      </c>
      <c r="AZ182" s="33">
        <v>16</v>
      </c>
      <c r="BB182" s="73" t="s">
        <v>151</v>
      </c>
      <c r="BC182" s="73" t="s">
        <v>10</v>
      </c>
      <c r="BD182" s="75">
        <v>2882.66</v>
      </c>
      <c r="BE182" s="75">
        <v>7894.61</v>
      </c>
      <c r="BF182" s="75">
        <v>9126.3700000000008</v>
      </c>
      <c r="BH182" s="73">
        <v>98408</v>
      </c>
      <c r="BI182" s="73" t="s">
        <v>10</v>
      </c>
      <c r="BJ182" s="75"/>
      <c r="BK182" s="75">
        <v>-76.36</v>
      </c>
      <c r="BL182" s="75"/>
    </row>
    <row r="183" spans="2:64" x14ac:dyDescent="0.2">
      <c r="B183" s="56">
        <v>98166</v>
      </c>
      <c r="C183" s="62" t="s">
        <v>10</v>
      </c>
      <c r="D183" s="46">
        <v>859</v>
      </c>
      <c r="E183" s="46">
        <v>791</v>
      </c>
      <c r="F183" s="46">
        <v>825</v>
      </c>
      <c r="H183" s="73">
        <v>98166</v>
      </c>
      <c r="I183" s="73" t="s">
        <v>345</v>
      </c>
      <c r="J183" s="75">
        <v>4832.84</v>
      </c>
      <c r="K183" s="75">
        <v>4607.7700000000004</v>
      </c>
      <c r="L183" s="75">
        <v>49079.83</v>
      </c>
      <c r="M183" s="75">
        <v>72954.37</v>
      </c>
      <c r="N183" s="75">
        <v>3842.68</v>
      </c>
      <c r="O183" s="75">
        <v>3639.89</v>
      </c>
      <c r="P183" s="75">
        <v>51877.67</v>
      </c>
      <c r="Q183" s="75">
        <v>72067.289999999994</v>
      </c>
      <c r="R183" s="75">
        <v>2891.03</v>
      </c>
      <c r="S183" s="75">
        <v>3259.69</v>
      </c>
      <c r="T183" s="75">
        <v>54230.84</v>
      </c>
      <c r="U183" s="75">
        <v>69386.81</v>
      </c>
      <c r="W183" s="73">
        <v>98385</v>
      </c>
      <c r="X183" s="15" t="s">
        <v>10</v>
      </c>
      <c r="Y183" s="75">
        <v>558.70000000000005</v>
      </c>
      <c r="Z183" s="75">
        <v>507.49</v>
      </c>
      <c r="AA183" s="75">
        <v>1199.5899999999999</v>
      </c>
      <c r="AB183" s="75">
        <v>2724.76</v>
      </c>
      <c r="AC183" s="75">
        <v>395.97</v>
      </c>
      <c r="AD183" s="75">
        <v>524.98</v>
      </c>
      <c r="AE183" s="75">
        <v>1540.79999999999</v>
      </c>
      <c r="AF183" s="75">
        <v>2954.33</v>
      </c>
      <c r="AG183" s="75">
        <v>492.58</v>
      </c>
      <c r="AH183" s="75">
        <v>392.16</v>
      </c>
      <c r="AI183" s="75">
        <v>1869.59</v>
      </c>
      <c r="AJ183" s="75">
        <v>3287.5699999999902</v>
      </c>
      <c r="AV183" s="73" t="s">
        <v>311</v>
      </c>
      <c r="AW183" s="73" t="s">
        <v>10</v>
      </c>
      <c r="AX183" s="33"/>
      <c r="AY183" s="33"/>
      <c r="AZ183" s="33">
        <v>1</v>
      </c>
      <c r="BB183" s="73" t="s">
        <v>311</v>
      </c>
      <c r="BC183" s="73" t="s">
        <v>10</v>
      </c>
      <c r="BD183" s="75"/>
      <c r="BE183" s="75"/>
      <c r="BF183" s="75">
        <v>0.03</v>
      </c>
      <c r="BH183" s="73">
        <v>98409</v>
      </c>
      <c r="BI183" s="73" t="s">
        <v>10</v>
      </c>
      <c r="BJ183" s="75">
        <v>-116.38</v>
      </c>
      <c r="BK183" s="75"/>
      <c r="BL183" s="75"/>
    </row>
    <row r="184" spans="2:64" x14ac:dyDescent="0.2">
      <c r="B184" s="81">
        <v>98168</v>
      </c>
      <c r="C184" s="62" t="s">
        <v>345</v>
      </c>
      <c r="D184" s="46">
        <v>62</v>
      </c>
      <c r="E184" s="46">
        <v>81</v>
      </c>
      <c r="F184" s="46">
        <v>79</v>
      </c>
      <c r="H184" s="73">
        <v>98166</v>
      </c>
      <c r="I184" s="73" t="s">
        <v>10</v>
      </c>
      <c r="J184" s="75">
        <v>37837.32</v>
      </c>
      <c r="K184" s="75">
        <v>37853.65</v>
      </c>
      <c r="L184" s="75">
        <v>178033.72999999899</v>
      </c>
      <c r="M184" s="75">
        <v>306466.2</v>
      </c>
      <c r="N184" s="75">
        <v>31832.73</v>
      </c>
      <c r="O184" s="75">
        <v>27918.99</v>
      </c>
      <c r="P184" s="75">
        <v>191621.73</v>
      </c>
      <c r="Q184" s="75">
        <v>289199.76</v>
      </c>
      <c r="R184" s="75">
        <v>24352.33</v>
      </c>
      <c r="S184" s="75">
        <v>25366.92</v>
      </c>
      <c r="T184" s="75">
        <v>198626.98</v>
      </c>
      <c r="U184" s="75">
        <v>288059.28999999998</v>
      </c>
      <c r="W184" s="73">
        <v>98387</v>
      </c>
      <c r="X184" s="15" t="s">
        <v>10</v>
      </c>
      <c r="Y184" s="75">
        <v>15832.76</v>
      </c>
      <c r="Z184" s="75">
        <v>18348.060000000001</v>
      </c>
      <c r="AA184" s="75">
        <v>80627.719999999899</v>
      </c>
      <c r="AB184" s="75">
        <v>130145.19999999899</v>
      </c>
      <c r="AC184" s="75">
        <v>10382.64</v>
      </c>
      <c r="AD184" s="75">
        <v>12344.5</v>
      </c>
      <c r="AE184" s="75">
        <v>83405.739999999903</v>
      </c>
      <c r="AF184" s="75">
        <v>119975.98</v>
      </c>
      <c r="AG184" s="75">
        <v>10817.55</v>
      </c>
      <c r="AH184" s="75">
        <v>9296.0499999999993</v>
      </c>
      <c r="AI184" s="75">
        <v>86476.1899999999</v>
      </c>
      <c r="AJ184" s="75">
        <v>120002.829999999</v>
      </c>
      <c r="AV184" s="73" t="s">
        <v>153</v>
      </c>
      <c r="AW184" s="73" t="s">
        <v>345</v>
      </c>
      <c r="AX184" s="33">
        <v>4</v>
      </c>
      <c r="AY184" s="33">
        <v>8</v>
      </c>
      <c r="AZ184" s="33">
        <v>6</v>
      </c>
      <c r="BB184" s="73" t="s">
        <v>153</v>
      </c>
      <c r="BC184" s="73" t="s">
        <v>345</v>
      </c>
      <c r="BD184" s="75">
        <v>891.47</v>
      </c>
      <c r="BE184" s="75">
        <v>2493.44</v>
      </c>
      <c r="BF184" s="75">
        <v>2923.64</v>
      </c>
      <c r="BH184" s="73">
        <v>98418</v>
      </c>
      <c r="BI184" s="73" t="s">
        <v>10</v>
      </c>
      <c r="BJ184" s="75"/>
      <c r="BK184" s="75"/>
      <c r="BL184" s="75">
        <v>-268.23</v>
      </c>
    </row>
    <row r="185" spans="2:64" x14ac:dyDescent="0.2">
      <c r="B185" s="56">
        <v>98168</v>
      </c>
      <c r="C185" s="62" t="s">
        <v>10</v>
      </c>
      <c r="D185" s="46">
        <v>1071</v>
      </c>
      <c r="E185" s="46">
        <v>1061</v>
      </c>
      <c r="F185" s="46">
        <v>1094</v>
      </c>
      <c r="H185" s="73">
        <v>98168</v>
      </c>
      <c r="I185" s="73" t="s">
        <v>345</v>
      </c>
      <c r="J185" s="75">
        <v>6941.41</v>
      </c>
      <c r="K185" s="75">
        <v>5620.92</v>
      </c>
      <c r="L185" s="75">
        <v>28202.469999999899</v>
      </c>
      <c r="M185" s="75">
        <v>61782.249999999898</v>
      </c>
      <c r="N185" s="75">
        <v>16493.150000000001</v>
      </c>
      <c r="O185" s="75">
        <v>5517.46</v>
      </c>
      <c r="P185" s="75">
        <v>29671.15</v>
      </c>
      <c r="Q185" s="75">
        <v>64606.5</v>
      </c>
      <c r="R185" s="75">
        <v>2868.01</v>
      </c>
      <c r="S185" s="75">
        <v>13191.99</v>
      </c>
      <c r="T185" s="75">
        <v>28824.5799999999</v>
      </c>
      <c r="U185" s="75">
        <v>51966.13</v>
      </c>
      <c r="W185" s="73">
        <v>98388</v>
      </c>
      <c r="X185" s="15" t="s">
        <v>10</v>
      </c>
      <c r="Y185" s="75">
        <v>531.37</v>
      </c>
      <c r="Z185" s="75">
        <v>353.74</v>
      </c>
      <c r="AA185" s="75">
        <v>1831.0699999999899</v>
      </c>
      <c r="AB185" s="75">
        <v>3181.27</v>
      </c>
      <c r="AC185" s="75">
        <v>400.2</v>
      </c>
      <c r="AD185" s="75">
        <v>398.24</v>
      </c>
      <c r="AE185" s="75">
        <v>847.46</v>
      </c>
      <c r="AF185" s="75">
        <v>1893.54</v>
      </c>
      <c r="AG185" s="75">
        <v>182.28</v>
      </c>
      <c r="AH185" s="75">
        <v>310.63</v>
      </c>
      <c r="AI185" s="75">
        <v>1200.67</v>
      </c>
      <c r="AJ185" s="75">
        <v>1937.8</v>
      </c>
      <c r="AV185" s="73" t="s">
        <v>153</v>
      </c>
      <c r="AW185" s="73" t="s">
        <v>10</v>
      </c>
      <c r="AX185" s="33">
        <v>38</v>
      </c>
      <c r="AY185" s="33">
        <v>56</v>
      </c>
      <c r="AZ185" s="33">
        <v>83</v>
      </c>
      <c r="BB185" s="73" t="s">
        <v>153</v>
      </c>
      <c r="BC185" s="73" t="s">
        <v>10</v>
      </c>
      <c r="BD185" s="75">
        <v>10681.37</v>
      </c>
      <c r="BE185" s="75">
        <v>15219.39</v>
      </c>
      <c r="BF185" s="75">
        <v>18557.330000000002</v>
      </c>
      <c r="BH185" s="73">
        <v>98422</v>
      </c>
      <c r="BI185" s="73" t="s">
        <v>10</v>
      </c>
      <c r="BJ185" s="75"/>
      <c r="BK185" s="75"/>
      <c r="BL185" s="75">
        <v>-200.91</v>
      </c>
    </row>
    <row r="186" spans="2:64" x14ac:dyDescent="0.2">
      <c r="B186" s="81">
        <v>98177</v>
      </c>
      <c r="C186" s="62" t="s">
        <v>345</v>
      </c>
      <c r="D186" s="46">
        <v>3</v>
      </c>
      <c r="E186" s="46">
        <v>7</v>
      </c>
      <c r="F186" s="46">
        <v>5</v>
      </c>
      <c r="H186" s="73">
        <v>98168</v>
      </c>
      <c r="I186" s="73" t="s">
        <v>10</v>
      </c>
      <c r="J186" s="75">
        <v>43409.919999999998</v>
      </c>
      <c r="K186" s="75">
        <v>46612.14</v>
      </c>
      <c r="L186" s="75">
        <v>261603.489999999</v>
      </c>
      <c r="M186" s="75">
        <v>398719.93999999901</v>
      </c>
      <c r="N186" s="75">
        <v>30674.38</v>
      </c>
      <c r="O186" s="75">
        <v>34691.360000000001</v>
      </c>
      <c r="P186" s="75">
        <v>275743.90999999997</v>
      </c>
      <c r="Q186" s="75">
        <v>377027.56</v>
      </c>
      <c r="R186" s="75">
        <v>23490.83</v>
      </c>
      <c r="S186" s="75">
        <v>24603.56</v>
      </c>
      <c r="T186" s="75">
        <v>267287.21999999997</v>
      </c>
      <c r="U186" s="75">
        <v>351384.45999999897</v>
      </c>
      <c r="W186" s="73">
        <v>98390</v>
      </c>
      <c r="X186" s="15" t="s">
        <v>10</v>
      </c>
      <c r="Y186" s="75">
        <v>10846.77</v>
      </c>
      <c r="Z186" s="75">
        <v>10690.88</v>
      </c>
      <c r="AA186" s="75">
        <v>64871.119999999901</v>
      </c>
      <c r="AB186" s="75">
        <v>97191.319999999905</v>
      </c>
      <c r="AC186" s="75">
        <v>7905.43</v>
      </c>
      <c r="AD186" s="75">
        <v>8482.9500000000007</v>
      </c>
      <c r="AE186" s="75">
        <v>65719.91</v>
      </c>
      <c r="AF186" s="75">
        <v>91539.7</v>
      </c>
      <c r="AG186" s="75">
        <v>7920.67</v>
      </c>
      <c r="AH186" s="75">
        <v>7205.51</v>
      </c>
      <c r="AI186" s="75">
        <v>63664.86</v>
      </c>
      <c r="AJ186" s="75">
        <v>90498</v>
      </c>
      <c r="AV186" s="73" t="s">
        <v>154</v>
      </c>
      <c r="AW186" s="73" t="s">
        <v>345</v>
      </c>
      <c r="AX186" s="33">
        <v>3</v>
      </c>
      <c r="AY186" s="33">
        <v>1</v>
      </c>
      <c r="AZ186" s="33">
        <v>2</v>
      </c>
      <c r="BB186" s="73" t="s">
        <v>154</v>
      </c>
      <c r="BC186" s="73" t="s">
        <v>345</v>
      </c>
      <c r="BD186" s="75">
        <v>14859.4</v>
      </c>
      <c r="BE186" s="75">
        <v>254.49</v>
      </c>
      <c r="BF186" s="75">
        <v>1328.95</v>
      </c>
      <c r="BH186" s="73">
        <v>98439</v>
      </c>
      <c r="BI186" s="73" t="s">
        <v>10</v>
      </c>
      <c r="BJ186" s="75">
        <v>-75</v>
      </c>
      <c r="BK186" s="75">
        <v>-25</v>
      </c>
      <c r="BL186" s="75">
        <v>-25</v>
      </c>
    </row>
    <row r="187" spans="2:64" x14ac:dyDescent="0.2">
      <c r="B187" s="56">
        <v>98177</v>
      </c>
      <c r="C187" s="62" t="s">
        <v>10</v>
      </c>
      <c r="D187" s="46">
        <v>454</v>
      </c>
      <c r="E187" s="46">
        <v>477</v>
      </c>
      <c r="F187" s="46">
        <v>506</v>
      </c>
      <c r="H187" s="73">
        <v>98177</v>
      </c>
      <c r="I187" s="73" t="s">
        <v>345</v>
      </c>
      <c r="J187" s="75">
        <v>187.08</v>
      </c>
      <c r="K187" s="75">
        <v>183.51</v>
      </c>
      <c r="L187" s="75">
        <v>1059.49</v>
      </c>
      <c r="M187" s="75">
        <v>1630.6</v>
      </c>
      <c r="N187" s="75">
        <v>49.93</v>
      </c>
      <c r="O187" s="75">
        <v>57.42</v>
      </c>
      <c r="P187" s="75">
        <v>992.71</v>
      </c>
      <c r="Q187" s="75">
        <v>2189.94</v>
      </c>
      <c r="R187" s="75">
        <v>130.94</v>
      </c>
      <c r="S187" s="75">
        <v>49.93</v>
      </c>
      <c r="T187" s="75">
        <v>1050.1300000000001</v>
      </c>
      <c r="U187" s="75">
        <v>1496.58</v>
      </c>
      <c r="W187" s="73">
        <v>98391</v>
      </c>
      <c r="X187" s="15" t="s">
        <v>10</v>
      </c>
      <c r="Y187" s="75">
        <v>41131.870000000003</v>
      </c>
      <c r="Z187" s="75">
        <v>43450.04</v>
      </c>
      <c r="AA187" s="75">
        <v>167077.62</v>
      </c>
      <c r="AB187" s="75">
        <v>293346.64999999898</v>
      </c>
      <c r="AC187" s="75">
        <v>33845.800000000003</v>
      </c>
      <c r="AD187" s="75">
        <v>34686.31</v>
      </c>
      <c r="AE187" s="75">
        <v>182161.43</v>
      </c>
      <c r="AF187" s="75">
        <v>286988.55999999901</v>
      </c>
      <c r="AG187" s="75">
        <v>28394.04</v>
      </c>
      <c r="AH187" s="75">
        <v>27759.54</v>
      </c>
      <c r="AI187" s="75">
        <v>188216.24</v>
      </c>
      <c r="AJ187" s="75">
        <v>286166.64999999898</v>
      </c>
      <c r="AV187" s="73" t="s">
        <v>154</v>
      </c>
      <c r="AW187" s="73" t="s">
        <v>10</v>
      </c>
      <c r="AX187" s="33">
        <v>36</v>
      </c>
      <c r="AY187" s="33">
        <v>54</v>
      </c>
      <c r="AZ187" s="33">
        <v>64</v>
      </c>
      <c r="BB187" s="73" t="s">
        <v>154</v>
      </c>
      <c r="BC187" s="73" t="s">
        <v>10</v>
      </c>
      <c r="BD187" s="75">
        <v>14711.67</v>
      </c>
      <c r="BE187" s="75">
        <v>16326.09</v>
      </c>
      <c r="BF187" s="75">
        <v>32161.7</v>
      </c>
      <c r="BH187" s="73">
        <v>98443</v>
      </c>
      <c r="BI187" s="73" t="s">
        <v>10</v>
      </c>
      <c r="BJ187" s="75"/>
      <c r="BK187" s="75"/>
      <c r="BL187" s="75">
        <v>-349.72</v>
      </c>
    </row>
    <row r="188" spans="2:64" x14ac:dyDescent="0.2">
      <c r="B188" s="81">
        <v>98178</v>
      </c>
      <c r="C188" s="62" t="s">
        <v>345</v>
      </c>
      <c r="D188" s="46">
        <v>19</v>
      </c>
      <c r="E188" s="46">
        <v>18</v>
      </c>
      <c r="F188" s="46">
        <v>13</v>
      </c>
      <c r="H188" s="73">
        <v>98177</v>
      </c>
      <c r="I188" s="73" t="s">
        <v>10</v>
      </c>
      <c r="J188" s="75">
        <v>22406.28</v>
      </c>
      <c r="K188" s="75">
        <v>18370</v>
      </c>
      <c r="L188" s="75">
        <v>90027.6899999999</v>
      </c>
      <c r="M188" s="75">
        <v>154158.00999999899</v>
      </c>
      <c r="N188" s="75">
        <v>13889</v>
      </c>
      <c r="O188" s="75">
        <v>15105.44</v>
      </c>
      <c r="P188" s="75">
        <v>89075.619999999893</v>
      </c>
      <c r="Q188" s="75">
        <v>135157.41999999899</v>
      </c>
      <c r="R188" s="75">
        <v>9706.57</v>
      </c>
      <c r="S188" s="75">
        <v>10373.6</v>
      </c>
      <c r="T188" s="75">
        <v>94169.33</v>
      </c>
      <c r="U188" s="75">
        <v>130052.579999999</v>
      </c>
      <c r="W188" s="73">
        <v>98392</v>
      </c>
      <c r="X188" s="15" t="s">
        <v>10</v>
      </c>
      <c r="Y188" s="75">
        <v>5118.54</v>
      </c>
      <c r="Z188" s="75">
        <v>4585.1899999999996</v>
      </c>
      <c r="AA188" s="75">
        <v>15087.52</v>
      </c>
      <c r="AB188" s="75">
        <v>32648.9</v>
      </c>
      <c r="AC188" s="75">
        <v>5386.71</v>
      </c>
      <c r="AD188" s="75">
        <v>4366.22</v>
      </c>
      <c r="AE188" s="75">
        <v>17730.419999999998</v>
      </c>
      <c r="AF188" s="75">
        <v>33532.699999999997</v>
      </c>
      <c r="AG188" s="75">
        <v>4183.93</v>
      </c>
      <c r="AH188" s="75">
        <v>4291.8900000000003</v>
      </c>
      <c r="AI188" s="75">
        <v>16919.3</v>
      </c>
      <c r="AJ188" s="75">
        <v>34039.96</v>
      </c>
      <c r="AV188" s="73" t="s">
        <v>155</v>
      </c>
      <c r="AW188" s="73" t="s">
        <v>345</v>
      </c>
      <c r="AX188" s="33">
        <v>4</v>
      </c>
      <c r="AY188" s="33"/>
      <c r="AZ188" s="33">
        <v>1</v>
      </c>
      <c r="BB188" s="73" t="s">
        <v>155</v>
      </c>
      <c r="BC188" s="73" t="s">
        <v>345</v>
      </c>
      <c r="BD188" s="75">
        <v>147.88</v>
      </c>
      <c r="BE188" s="75"/>
      <c r="BF188" s="75">
        <v>21.98</v>
      </c>
      <c r="BH188" s="73">
        <v>98444</v>
      </c>
      <c r="BI188" s="73" t="s">
        <v>10</v>
      </c>
      <c r="BJ188" s="75"/>
      <c r="BK188" s="75"/>
      <c r="BL188" s="75">
        <v>-226.38</v>
      </c>
    </row>
    <row r="189" spans="2:64" x14ac:dyDescent="0.2">
      <c r="B189" s="56">
        <v>98178</v>
      </c>
      <c r="C189" s="62" t="s">
        <v>10</v>
      </c>
      <c r="D189" s="46">
        <v>815</v>
      </c>
      <c r="E189" s="46">
        <v>808</v>
      </c>
      <c r="F189" s="46">
        <v>856</v>
      </c>
      <c r="H189" s="73">
        <v>98178</v>
      </c>
      <c r="I189" s="73" t="s">
        <v>345</v>
      </c>
      <c r="J189" s="75">
        <v>1193.8399999999999</v>
      </c>
      <c r="K189" s="75">
        <v>1414.95</v>
      </c>
      <c r="L189" s="75">
        <v>13027.57</v>
      </c>
      <c r="M189" s="75">
        <v>17319.73</v>
      </c>
      <c r="N189" s="75">
        <v>853.45</v>
      </c>
      <c r="O189" s="75">
        <v>1088.76</v>
      </c>
      <c r="P189" s="75">
        <v>13839.74</v>
      </c>
      <c r="Q189" s="75">
        <v>17061.95</v>
      </c>
      <c r="R189" s="75">
        <v>443.09</v>
      </c>
      <c r="S189" s="75">
        <v>616.42999999999995</v>
      </c>
      <c r="T189" s="75">
        <v>11214.57</v>
      </c>
      <c r="U189" s="75">
        <v>12852.87</v>
      </c>
      <c r="W189" s="73">
        <v>98396</v>
      </c>
      <c r="X189" s="15" t="s">
        <v>10</v>
      </c>
      <c r="Y189" s="75">
        <v>432.65</v>
      </c>
      <c r="Z189" s="75">
        <v>2143.29</v>
      </c>
      <c r="AA189" s="75">
        <v>2473.1</v>
      </c>
      <c r="AB189" s="75">
        <v>7035.72</v>
      </c>
      <c r="AC189" s="75">
        <v>1518.46</v>
      </c>
      <c r="AD189" s="75">
        <v>432.65</v>
      </c>
      <c r="AE189" s="75">
        <v>3982.97999999999</v>
      </c>
      <c r="AF189" s="75">
        <v>6176.5</v>
      </c>
      <c r="AG189" s="75"/>
      <c r="AH189" s="75">
        <v>1518.46</v>
      </c>
      <c r="AI189" s="75">
        <v>3158</v>
      </c>
      <c r="AJ189" s="75">
        <v>5879.46</v>
      </c>
      <c r="AV189" s="73" t="s">
        <v>155</v>
      </c>
      <c r="AW189" s="73" t="s">
        <v>10</v>
      </c>
      <c r="AX189" s="33">
        <v>23</v>
      </c>
      <c r="AY189" s="33">
        <v>37</v>
      </c>
      <c r="AZ189" s="33">
        <v>47</v>
      </c>
      <c r="BB189" s="73" t="s">
        <v>155</v>
      </c>
      <c r="BC189" s="73" t="s">
        <v>10</v>
      </c>
      <c r="BD189" s="75">
        <v>14929.72</v>
      </c>
      <c r="BE189" s="75">
        <v>16213.54</v>
      </c>
      <c r="BF189" s="75">
        <v>23432.69</v>
      </c>
      <c r="BH189" s="73">
        <v>98445</v>
      </c>
      <c r="BI189" s="73" t="s">
        <v>10</v>
      </c>
      <c r="BJ189" s="75"/>
      <c r="BK189" s="75">
        <v>-157.97</v>
      </c>
      <c r="BL189" s="75">
        <v>-76</v>
      </c>
    </row>
    <row r="190" spans="2:64" x14ac:dyDescent="0.2">
      <c r="B190" s="81">
        <v>98188</v>
      </c>
      <c r="C190" s="62" t="s">
        <v>345</v>
      </c>
      <c r="D190" s="46">
        <v>289</v>
      </c>
      <c r="E190" s="46">
        <v>261</v>
      </c>
      <c r="F190" s="46">
        <v>280</v>
      </c>
      <c r="H190" s="73">
        <v>98178</v>
      </c>
      <c r="I190" s="73" t="s">
        <v>10</v>
      </c>
      <c r="J190" s="75">
        <v>29490.04</v>
      </c>
      <c r="K190" s="75">
        <v>33486.58</v>
      </c>
      <c r="L190" s="75">
        <v>136904.06999999899</v>
      </c>
      <c r="M190" s="75">
        <v>229025.81999999899</v>
      </c>
      <c r="N190" s="75">
        <v>18093.259999999998</v>
      </c>
      <c r="O190" s="75">
        <v>23438.2</v>
      </c>
      <c r="P190" s="75">
        <v>145763.769999999</v>
      </c>
      <c r="Q190" s="75">
        <v>206985.65999999901</v>
      </c>
      <c r="R190" s="75">
        <v>13192.87</v>
      </c>
      <c r="S190" s="75">
        <v>14973.82</v>
      </c>
      <c r="T190" s="75">
        <v>150480.19999999899</v>
      </c>
      <c r="U190" s="75">
        <v>199717.69999999899</v>
      </c>
      <c r="W190" s="73">
        <v>98402</v>
      </c>
      <c r="X190" s="15" t="s">
        <v>10</v>
      </c>
      <c r="Y190" s="75"/>
      <c r="Z190" s="75"/>
      <c r="AA190" s="75"/>
      <c r="AB190" s="75"/>
      <c r="AC190" s="75"/>
      <c r="AD190" s="75"/>
      <c r="AE190" s="75"/>
      <c r="AF190" s="75"/>
      <c r="AG190" s="75"/>
      <c r="AH190" s="75"/>
      <c r="AI190" s="75"/>
      <c r="AJ190" s="75">
        <v>29.07</v>
      </c>
      <c r="AV190" s="73" t="s">
        <v>156</v>
      </c>
      <c r="AW190" s="73" t="s">
        <v>345</v>
      </c>
      <c r="AX190" s="33"/>
      <c r="AY190" s="33">
        <v>2</v>
      </c>
      <c r="AZ190" s="33"/>
      <c r="BB190" s="73" t="s">
        <v>156</v>
      </c>
      <c r="BC190" s="73" t="s">
        <v>345</v>
      </c>
      <c r="BD190" s="75"/>
      <c r="BE190" s="75">
        <v>2654.77</v>
      </c>
      <c r="BF190" s="75"/>
      <c r="BH190" s="73">
        <v>98446</v>
      </c>
      <c r="BI190" s="73" t="s">
        <v>10</v>
      </c>
      <c r="BJ190" s="75">
        <v>-459.16</v>
      </c>
      <c r="BK190" s="75"/>
      <c r="BL190" s="75">
        <v>-357.01</v>
      </c>
    </row>
    <row r="191" spans="2:64" x14ac:dyDescent="0.2">
      <c r="B191" s="56">
        <v>98188</v>
      </c>
      <c r="C191" s="62" t="s">
        <v>10</v>
      </c>
      <c r="D191" s="46">
        <v>2048</v>
      </c>
      <c r="E191" s="46">
        <v>2046</v>
      </c>
      <c r="F191" s="46">
        <v>2206</v>
      </c>
      <c r="H191" s="73">
        <v>98188</v>
      </c>
      <c r="I191" s="73" t="s">
        <v>345</v>
      </c>
      <c r="J191" s="75">
        <v>94065.58</v>
      </c>
      <c r="K191" s="75">
        <v>79882.679999999993</v>
      </c>
      <c r="L191" s="75">
        <v>1511630.16</v>
      </c>
      <c r="M191" s="75">
        <v>1866968.5</v>
      </c>
      <c r="N191" s="75">
        <v>88103.01</v>
      </c>
      <c r="O191" s="75">
        <v>78950.460000000006</v>
      </c>
      <c r="P191" s="75">
        <v>1519722.41</v>
      </c>
      <c r="Q191" s="75">
        <v>1826220.54</v>
      </c>
      <c r="R191" s="75">
        <v>93049.79</v>
      </c>
      <c r="S191" s="75">
        <v>80327.3</v>
      </c>
      <c r="T191" s="75">
        <v>1550651.2</v>
      </c>
      <c r="U191" s="75">
        <v>1872323.28</v>
      </c>
      <c r="W191" s="73">
        <v>98403</v>
      </c>
      <c r="X191" s="15" t="s">
        <v>10</v>
      </c>
      <c r="Y191" s="75">
        <v>693.92</v>
      </c>
      <c r="Z191" s="75">
        <v>648.04999999999995</v>
      </c>
      <c r="AA191" s="75">
        <v>2687.21</v>
      </c>
      <c r="AB191" s="75">
        <v>4389.0199999999904</v>
      </c>
      <c r="AC191" s="75">
        <v>322.8</v>
      </c>
      <c r="AD191" s="75">
        <v>547.80999999999995</v>
      </c>
      <c r="AE191" s="75">
        <v>2231.08</v>
      </c>
      <c r="AF191" s="75">
        <v>3331.0699999999902</v>
      </c>
      <c r="AG191" s="75">
        <v>144.38</v>
      </c>
      <c r="AH191" s="75">
        <v>167.96</v>
      </c>
      <c r="AI191" s="75">
        <v>2372.38</v>
      </c>
      <c r="AJ191" s="75">
        <v>2856.32</v>
      </c>
      <c r="AV191" s="73" t="s">
        <v>156</v>
      </c>
      <c r="AW191" s="73" t="s">
        <v>10</v>
      </c>
      <c r="AX191" s="33">
        <v>14</v>
      </c>
      <c r="AY191" s="33">
        <v>15</v>
      </c>
      <c r="AZ191" s="33">
        <v>12</v>
      </c>
      <c r="BB191" s="73" t="s">
        <v>156</v>
      </c>
      <c r="BC191" s="73" t="s">
        <v>10</v>
      </c>
      <c r="BD191" s="75">
        <v>11746.67</v>
      </c>
      <c r="BE191" s="75">
        <v>3828.94</v>
      </c>
      <c r="BF191" s="75">
        <v>6825.34</v>
      </c>
      <c r="BH191" s="73">
        <v>98466</v>
      </c>
      <c r="BI191" s="73" t="s">
        <v>10</v>
      </c>
      <c r="BJ191" s="75"/>
      <c r="BK191" s="75">
        <v>-100</v>
      </c>
      <c r="BL191" s="75">
        <v>-100</v>
      </c>
    </row>
    <row r="192" spans="2:64" x14ac:dyDescent="0.2">
      <c r="B192" s="81">
        <v>98195</v>
      </c>
      <c r="C192" s="62" t="s">
        <v>345</v>
      </c>
      <c r="D192" s="46"/>
      <c r="E192" s="71">
        <v>3</v>
      </c>
      <c r="F192" s="46"/>
      <c r="H192" s="73">
        <v>98188</v>
      </c>
      <c r="I192" s="73" t="s">
        <v>10</v>
      </c>
      <c r="J192" s="75">
        <v>118733.25</v>
      </c>
      <c r="K192" s="75">
        <v>112774.47</v>
      </c>
      <c r="L192" s="75">
        <v>631195.98</v>
      </c>
      <c r="M192" s="75">
        <v>1004230.78</v>
      </c>
      <c r="N192" s="75">
        <v>95771.33</v>
      </c>
      <c r="O192" s="75">
        <v>91351.98</v>
      </c>
      <c r="P192" s="75">
        <v>668508.23</v>
      </c>
      <c r="Q192" s="75">
        <v>1005211.1</v>
      </c>
      <c r="R192" s="75">
        <v>88122.63</v>
      </c>
      <c r="S192" s="75">
        <v>79735.86</v>
      </c>
      <c r="T192" s="75">
        <v>699908.46</v>
      </c>
      <c r="U192" s="75">
        <v>1018635.25</v>
      </c>
      <c r="W192" s="73">
        <v>98404</v>
      </c>
      <c r="X192" s="15" t="s">
        <v>10</v>
      </c>
      <c r="Y192" s="75">
        <v>4974.99</v>
      </c>
      <c r="Z192" s="75">
        <v>5865.49</v>
      </c>
      <c r="AA192" s="75">
        <v>19941.650000000001</v>
      </c>
      <c r="AB192" s="75">
        <v>34708.51</v>
      </c>
      <c r="AC192" s="75">
        <v>3054.68</v>
      </c>
      <c r="AD192" s="75">
        <v>4006.65</v>
      </c>
      <c r="AE192" s="75">
        <v>22169.17</v>
      </c>
      <c r="AF192" s="75">
        <v>32204.41</v>
      </c>
      <c r="AG192" s="75">
        <v>2382.61</v>
      </c>
      <c r="AH192" s="75">
        <v>2566.46</v>
      </c>
      <c r="AI192" s="75">
        <v>23551.97</v>
      </c>
      <c r="AJ192" s="75">
        <v>31310.63</v>
      </c>
      <c r="AV192" s="73" t="s">
        <v>157</v>
      </c>
      <c r="AW192" s="73" t="s">
        <v>345</v>
      </c>
      <c r="AX192" s="33"/>
      <c r="AY192" s="33">
        <v>5</v>
      </c>
      <c r="AZ192" s="33"/>
      <c r="BB192" s="73" t="s">
        <v>157</v>
      </c>
      <c r="BC192" s="73" t="s">
        <v>345</v>
      </c>
      <c r="BD192" s="75"/>
      <c r="BE192" s="75">
        <v>2313.89</v>
      </c>
      <c r="BF192" s="75"/>
      <c r="BH192" s="73">
        <v>98498</v>
      </c>
      <c r="BI192" s="73" t="s">
        <v>10</v>
      </c>
      <c r="BJ192" s="75">
        <v>-267.02</v>
      </c>
      <c r="BK192" s="75">
        <v>-150</v>
      </c>
      <c r="BL192" s="75">
        <v>-884.99</v>
      </c>
    </row>
    <row r="193" spans="2:64" x14ac:dyDescent="0.2">
      <c r="B193" s="56">
        <v>98195</v>
      </c>
      <c r="C193" s="62" t="s">
        <v>10</v>
      </c>
      <c r="D193" s="46"/>
      <c r="E193" s="71">
        <v>1</v>
      </c>
      <c r="F193" s="71"/>
      <c r="H193" s="73">
        <v>98195</v>
      </c>
      <c r="I193" s="73" t="s">
        <v>345</v>
      </c>
      <c r="J193" s="75"/>
      <c r="K193" s="75"/>
      <c r="L193" s="75"/>
      <c r="M193" s="75"/>
      <c r="N193" s="75"/>
      <c r="O193" s="75"/>
      <c r="P193" s="75"/>
      <c r="Q193" s="75">
        <v>3555.92</v>
      </c>
      <c r="R193" s="75"/>
      <c r="S193" s="75"/>
      <c r="T193" s="75"/>
      <c r="U193" s="75"/>
      <c r="W193" s="73">
        <v>98405</v>
      </c>
      <c r="X193" s="15" t="s">
        <v>10</v>
      </c>
      <c r="Y193" s="75">
        <v>4363.6499999999996</v>
      </c>
      <c r="Z193" s="75">
        <v>5622.06</v>
      </c>
      <c r="AA193" s="75">
        <v>28368.929999999898</v>
      </c>
      <c r="AB193" s="75">
        <v>41139.069999999898</v>
      </c>
      <c r="AC193" s="75">
        <v>2269.5100000000002</v>
      </c>
      <c r="AD193" s="75">
        <v>3890.07</v>
      </c>
      <c r="AE193" s="75">
        <v>31716.25</v>
      </c>
      <c r="AF193" s="75">
        <v>39781.409999999902</v>
      </c>
      <c r="AG193" s="75">
        <v>1490.18</v>
      </c>
      <c r="AH193" s="75">
        <v>1931.56</v>
      </c>
      <c r="AI193" s="75">
        <v>29787.5799999999</v>
      </c>
      <c r="AJ193" s="75">
        <v>35096.11</v>
      </c>
      <c r="AV193" s="73" t="s">
        <v>157</v>
      </c>
      <c r="AW193" s="73" t="s">
        <v>10</v>
      </c>
      <c r="AX193" s="33">
        <v>2</v>
      </c>
      <c r="AY193" s="33">
        <v>2</v>
      </c>
      <c r="AZ193" s="33">
        <v>1</v>
      </c>
      <c r="BB193" s="73" t="s">
        <v>157</v>
      </c>
      <c r="BC193" s="73" t="s">
        <v>10</v>
      </c>
      <c r="BD193" s="75">
        <v>3483.86</v>
      </c>
      <c r="BE193" s="75">
        <v>4078.13</v>
      </c>
      <c r="BF193" s="75">
        <v>994.19</v>
      </c>
      <c r="BH193" s="73">
        <v>98499</v>
      </c>
      <c r="BI193" s="73" t="s">
        <v>10</v>
      </c>
      <c r="BJ193" s="75">
        <v>-98.29</v>
      </c>
      <c r="BK193" s="75">
        <v>-168.84</v>
      </c>
      <c r="BL193" s="75"/>
    </row>
    <row r="194" spans="2:64" x14ac:dyDescent="0.2">
      <c r="B194" s="81">
        <v>98198</v>
      </c>
      <c r="C194" s="62" t="s">
        <v>345</v>
      </c>
      <c r="D194" s="46">
        <v>165</v>
      </c>
      <c r="E194" s="46">
        <v>163</v>
      </c>
      <c r="F194" s="46">
        <v>175</v>
      </c>
      <c r="H194" s="73">
        <v>98195</v>
      </c>
      <c r="I194" s="73" t="s">
        <v>10</v>
      </c>
      <c r="J194" s="75"/>
      <c r="K194" s="75"/>
      <c r="L194" s="75"/>
      <c r="M194" s="75"/>
      <c r="N194" s="75"/>
      <c r="O194" s="75"/>
      <c r="P194" s="75"/>
      <c r="Q194" s="75">
        <v>12.29</v>
      </c>
      <c r="R194" s="75"/>
      <c r="S194" s="75"/>
      <c r="T194" s="75"/>
      <c r="U194" s="75"/>
      <c r="W194" s="73">
        <v>98406</v>
      </c>
      <c r="X194" s="15" t="s">
        <v>10</v>
      </c>
      <c r="Y194" s="75">
        <v>2148.8000000000002</v>
      </c>
      <c r="Z194" s="75">
        <v>3108.2</v>
      </c>
      <c r="AA194" s="75">
        <v>28148</v>
      </c>
      <c r="AB194" s="75">
        <v>36604.379999999997</v>
      </c>
      <c r="AC194" s="75">
        <v>2232.14</v>
      </c>
      <c r="AD194" s="75">
        <v>1740.98</v>
      </c>
      <c r="AE194" s="75">
        <v>28570.83</v>
      </c>
      <c r="AF194" s="75">
        <v>33757.06</v>
      </c>
      <c r="AG194" s="75">
        <v>1008.62</v>
      </c>
      <c r="AH194" s="75">
        <v>2187.31</v>
      </c>
      <c r="AI194" s="75">
        <v>27368.86</v>
      </c>
      <c r="AJ194" s="75">
        <v>32013.38</v>
      </c>
      <c r="AV194" s="73" t="s">
        <v>158</v>
      </c>
      <c r="AW194" s="73" t="s">
        <v>345</v>
      </c>
      <c r="AX194" s="33">
        <v>2</v>
      </c>
      <c r="AY194" s="33"/>
      <c r="AZ194" s="33">
        <v>2</v>
      </c>
      <c r="BB194" s="73" t="s">
        <v>158</v>
      </c>
      <c r="BC194" s="73" t="s">
        <v>345</v>
      </c>
      <c r="BD194" s="75"/>
      <c r="BE194" s="75"/>
      <c r="BF194" s="75">
        <v>727.66</v>
      </c>
      <c r="BH194" s="73">
        <v>98501</v>
      </c>
      <c r="BI194" s="73" t="s">
        <v>345</v>
      </c>
      <c r="BJ194" s="75">
        <v>-10</v>
      </c>
      <c r="BK194" s="75">
        <v>-10</v>
      </c>
      <c r="BL194" s="75">
        <v>-12683.85</v>
      </c>
    </row>
    <row r="195" spans="2:64" x14ac:dyDescent="0.2">
      <c r="B195" s="56">
        <v>98198</v>
      </c>
      <c r="C195" s="62" t="s">
        <v>10</v>
      </c>
      <c r="D195" s="46">
        <v>3303</v>
      </c>
      <c r="E195" s="46">
        <v>3180</v>
      </c>
      <c r="F195" s="46">
        <v>3465</v>
      </c>
      <c r="H195" s="73">
        <v>98198</v>
      </c>
      <c r="I195" s="73" t="s">
        <v>345</v>
      </c>
      <c r="J195" s="75">
        <v>9438.24</v>
      </c>
      <c r="K195" s="75">
        <v>9338.0400000000009</v>
      </c>
      <c r="L195" s="75">
        <v>76424.509999999995</v>
      </c>
      <c r="M195" s="75">
        <v>205995.17</v>
      </c>
      <c r="N195" s="75">
        <v>39827.89</v>
      </c>
      <c r="O195" s="75">
        <v>7400.23</v>
      </c>
      <c r="P195" s="75">
        <v>82607.34</v>
      </c>
      <c r="Q195" s="75">
        <v>184210.88</v>
      </c>
      <c r="R195" s="75">
        <v>9246.93</v>
      </c>
      <c r="S195" s="75">
        <v>7446.96</v>
      </c>
      <c r="T195" s="75">
        <v>74360.229999999894</v>
      </c>
      <c r="U195" s="75">
        <v>124109.84</v>
      </c>
      <c r="W195" s="73">
        <v>98407</v>
      </c>
      <c r="X195" s="15" t="s">
        <v>10</v>
      </c>
      <c r="Y195" s="75">
        <v>1311.38</v>
      </c>
      <c r="Z195" s="75">
        <v>1398.6</v>
      </c>
      <c r="AA195" s="75">
        <v>5190.74</v>
      </c>
      <c r="AB195" s="75">
        <v>8686.66</v>
      </c>
      <c r="AC195" s="75">
        <v>568.47</v>
      </c>
      <c r="AD195" s="75">
        <v>927.21</v>
      </c>
      <c r="AE195" s="75">
        <v>6197.97</v>
      </c>
      <c r="AF195" s="75">
        <v>8218.81</v>
      </c>
      <c r="AG195" s="75">
        <v>457.11</v>
      </c>
      <c r="AH195" s="75">
        <v>568.47</v>
      </c>
      <c r="AI195" s="75">
        <v>7007.78</v>
      </c>
      <c r="AJ195" s="75">
        <v>8560.7999999999993</v>
      </c>
      <c r="AV195" s="73" t="s">
        <v>158</v>
      </c>
      <c r="AW195" s="73" t="s">
        <v>10</v>
      </c>
      <c r="AX195" s="33">
        <v>13</v>
      </c>
      <c r="AY195" s="33">
        <v>17</v>
      </c>
      <c r="AZ195" s="33">
        <v>17</v>
      </c>
      <c r="BB195" s="73" t="s">
        <v>158</v>
      </c>
      <c r="BC195" s="73" t="s">
        <v>10</v>
      </c>
      <c r="BD195" s="75">
        <v>3734.93</v>
      </c>
      <c r="BE195" s="75">
        <v>4746.55</v>
      </c>
      <c r="BF195" s="75">
        <v>7730.25</v>
      </c>
      <c r="BH195" s="73">
        <v>98501</v>
      </c>
      <c r="BI195" s="73" t="s">
        <v>10</v>
      </c>
      <c r="BJ195" s="75">
        <v>-323.94</v>
      </c>
      <c r="BK195" s="75">
        <v>-993.35</v>
      </c>
      <c r="BL195" s="75">
        <v>-702.3</v>
      </c>
    </row>
    <row r="196" spans="2:64" x14ac:dyDescent="0.2">
      <c r="B196" s="81">
        <v>98199</v>
      </c>
      <c r="C196" s="62" t="s">
        <v>345</v>
      </c>
      <c r="D196" s="46">
        <v>31</v>
      </c>
      <c r="E196" s="46">
        <v>27</v>
      </c>
      <c r="F196" s="46">
        <v>28</v>
      </c>
      <c r="H196" s="73">
        <v>98198</v>
      </c>
      <c r="I196" s="73" t="s">
        <v>10</v>
      </c>
      <c r="J196" s="75">
        <v>219974.86</v>
      </c>
      <c r="K196" s="75">
        <v>210525.17</v>
      </c>
      <c r="L196" s="75">
        <v>1052287.3799999999</v>
      </c>
      <c r="M196" s="75">
        <v>1756874.9399999899</v>
      </c>
      <c r="N196" s="75">
        <v>186143.83</v>
      </c>
      <c r="O196" s="75">
        <v>178296.66</v>
      </c>
      <c r="P196" s="75">
        <v>1098431.73999999</v>
      </c>
      <c r="Q196" s="75">
        <v>1706640.55</v>
      </c>
      <c r="R196" s="75">
        <v>171090.92</v>
      </c>
      <c r="S196" s="75">
        <v>150319.59</v>
      </c>
      <c r="T196" s="75">
        <v>1154595.6099999901</v>
      </c>
      <c r="U196" s="75">
        <v>1735104.0899999901</v>
      </c>
      <c r="W196" s="73">
        <v>98408</v>
      </c>
      <c r="X196" s="15" t="s">
        <v>10</v>
      </c>
      <c r="Y196" s="75">
        <v>3313.6</v>
      </c>
      <c r="Z196" s="75">
        <v>4661.7299999999996</v>
      </c>
      <c r="AA196" s="75">
        <v>18592.129999999899</v>
      </c>
      <c r="AB196" s="75">
        <v>29110.859999999899</v>
      </c>
      <c r="AC196" s="75">
        <v>2049.7800000000002</v>
      </c>
      <c r="AD196" s="75">
        <v>2835.05</v>
      </c>
      <c r="AE196" s="75">
        <v>19704.150000000001</v>
      </c>
      <c r="AF196" s="75">
        <v>26270.309999999899</v>
      </c>
      <c r="AG196" s="75">
        <v>1303.29</v>
      </c>
      <c r="AH196" s="75">
        <v>1701.08</v>
      </c>
      <c r="AI196" s="75">
        <v>17700.11</v>
      </c>
      <c r="AJ196" s="75">
        <v>22362.89</v>
      </c>
      <c r="AV196" s="73" t="s">
        <v>159</v>
      </c>
      <c r="AW196" s="73" t="s">
        <v>10</v>
      </c>
      <c r="AX196" s="33"/>
      <c r="AY196" s="33">
        <v>1</v>
      </c>
      <c r="AZ196" s="33"/>
      <c r="BB196" s="73" t="s">
        <v>159</v>
      </c>
      <c r="BC196" s="73" t="s">
        <v>10</v>
      </c>
      <c r="BD196" s="75"/>
      <c r="BE196" s="75">
        <v>1855.85</v>
      </c>
      <c r="BF196" s="75"/>
      <c r="BH196" s="73">
        <v>98502</v>
      </c>
      <c r="BI196" s="73" t="s">
        <v>345</v>
      </c>
      <c r="BJ196" s="75"/>
      <c r="BK196" s="75"/>
      <c r="BL196" s="75">
        <v>-127.43</v>
      </c>
    </row>
    <row r="197" spans="2:64" x14ac:dyDescent="0.2">
      <c r="B197" s="56">
        <v>98199</v>
      </c>
      <c r="C197" s="62" t="s">
        <v>10</v>
      </c>
      <c r="D197" s="46">
        <v>526</v>
      </c>
      <c r="E197" s="46">
        <v>499</v>
      </c>
      <c r="F197" s="46">
        <v>523</v>
      </c>
      <c r="H197" s="73">
        <v>98199</v>
      </c>
      <c r="I197" s="73" t="s">
        <v>345</v>
      </c>
      <c r="J197" s="75">
        <v>2968.48</v>
      </c>
      <c r="K197" s="75">
        <v>2433.15</v>
      </c>
      <c r="L197" s="75">
        <v>8729.2099999999991</v>
      </c>
      <c r="M197" s="75">
        <v>18825.04</v>
      </c>
      <c r="N197" s="75">
        <v>2946.91</v>
      </c>
      <c r="O197" s="75">
        <v>1270.1199999999999</v>
      </c>
      <c r="P197" s="75">
        <v>9640.6099999999897</v>
      </c>
      <c r="Q197" s="75">
        <v>19278.990000000002</v>
      </c>
      <c r="R197" s="75">
        <v>2434.79</v>
      </c>
      <c r="S197" s="75">
        <v>2377.88</v>
      </c>
      <c r="T197" s="75">
        <v>10059.73</v>
      </c>
      <c r="U197" s="75">
        <v>18092.93</v>
      </c>
      <c r="W197" s="73">
        <v>98409</v>
      </c>
      <c r="X197" s="15" t="s">
        <v>10</v>
      </c>
      <c r="Y197" s="75">
        <v>2543.83</v>
      </c>
      <c r="Z197" s="75">
        <v>3369.76</v>
      </c>
      <c r="AA197" s="75">
        <v>11918.72</v>
      </c>
      <c r="AB197" s="75">
        <v>20251.569999999901</v>
      </c>
      <c r="AC197" s="75">
        <v>1820.71</v>
      </c>
      <c r="AD197" s="75">
        <v>2195.4899999999998</v>
      </c>
      <c r="AE197" s="75">
        <v>13796.5</v>
      </c>
      <c r="AF197" s="75">
        <v>19618.72</v>
      </c>
      <c r="AG197" s="75">
        <v>1339.7</v>
      </c>
      <c r="AH197" s="75">
        <v>1447.69</v>
      </c>
      <c r="AI197" s="75">
        <v>12339.04</v>
      </c>
      <c r="AJ197" s="75">
        <v>16782.189999999999</v>
      </c>
      <c r="AV197" s="73" t="s">
        <v>160</v>
      </c>
      <c r="AW197" s="73" t="s">
        <v>345</v>
      </c>
      <c r="AX197" s="33">
        <v>2</v>
      </c>
      <c r="AY197" s="33">
        <v>2</v>
      </c>
      <c r="AZ197" s="33">
        <v>3</v>
      </c>
      <c r="BB197" s="73" t="s">
        <v>160</v>
      </c>
      <c r="BC197" s="73" t="s">
        <v>345</v>
      </c>
      <c r="BD197" s="75">
        <v>500.76</v>
      </c>
      <c r="BE197" s="75">
        <v>22.97</v>
      </c>
      <c r="BF197" s="75">
        <v>109.61</v>
      </c>
      <c r="BH197" s="73">
        <v>98502</v>
      </c>
      <c r="BI197" s="73" t="s">
        <v>10</v>
      </c>
      <c r="BJ197" s="75">
        <v>-742.39</v>
      </c>
      <c r="BK197" s="75"/>
      <c r="BL197" s="75">
        <v>-1196.06</v>
      </c>
    </row>
    <row r="198" spans="2:64" x14ac:dyDescent="0.2">
      <c r="B198" s="81">
        <v>98201</v>
      </c>
      <c r="C198" s="62" t="s">
        <v>345</v>
      </c>
      <c r="D198" s="46">
        <v>71</v>
      </c>
      <c r="E198" s="46">
        <v>74</v>
      </c>
      <c r="F198" s="46">
        <v>94</v>
      </c>
      <c r="H198" s="73">
        <v>98199</v>
      </c>
      <c r="I198" s="73" t="s">
        <v>10</v>
      </c>
      <c r="J198" s="75">
        <v>17651.900000000001</v>
      </c>
      <c r="K198" s="75">
        <v>17178.97</v>
      </c>
      <c r="L198" s="75">
        <v>56989.529999999897</v>
      </c>
      <c r="M198" s="75">
        <v>115372.61</v>
      </c>
      <c r="N198" s="75">
        <v>12199.81</v>
      </c>
      <c r="O198" s="75">
        <v>13243.61</v>
      </c>
      <c r="P198" s="75">
        <v>58940.8999999999</v>
      </c>
      <c r="Q198" s="75">
        <v>102352.92</v>
      </c>
      <c r="R198" s="75">
        <v>10949.17</v>
      </c>
      <c r="S198" s="75">
        <v>9667.59</v>
      </c>
      <c r="T198" s="75">
        <v>63285.27</v>
      </c>
      <c r="U198" s="75">
        <v>98018.2</v>
      </c>
      <c r="W198" s="73">
        <v>98418</v>
      </c>
      <c r="X198" s="15" t="s">
        <v>10</v>
      </c>
      <c r="Y198" s="75">
        <v>2211.6</v>
      </c>
      <c r="Z198" s="75">
        <v>3408.19</v>
      </c>
      <c r="AA198" s="75">
        <v>18342.93</v>
      </c>
      <c r="AB198" s="75">
        <v>25558.94</v>
      </c>
      <c r="AC198" s="75">
        <v>1375.99</v>
      </c>
      <c r="AD198" s="75">
        <v>2002.6</v>
      </c>
      <c r="AE198" s="75">
        <v>20606.509999999998</v>
      </c>
      <c r="AF198" s="75">
        <v>25154.68</v>
      </c>
      <c r="AG198" s="75">
        <v>1081.57</v>
      </c>
      <c r="AH198" s="75">
        <v>1320.43</v>
      </c>
      <c r="AI198" s="75">
        <v>21825.549999999901</v>
      </c>
      <c r="AJ198" s="75">
        <v>25419.37</v>
      </c>
      <c r="AV198" s="73" t="s">
        <v>160</v>
      </c>
      <c r="AW198" s="73" t="s">
        <v>10</v>
      </c>
      <c r="AX198" s="33">
        <v>4</v>
      </c>
      <c r="AY198" s="33">
        <v>3</v>
      </c>
      <c r="AZ198" s="33">
        <v>6</v>
      </c>
      <c r="BB198" s="73" t="s">
        <v>160</v>
      </c>
      <c r="BC198" s="73" t="s">
        <v>10</v>
      </c>
      <c r="BD198" s="75">
        <v>1257.95</v>
      </c>
      <c r="BE198" s="75">
        <v>2251.0100000000002</v>
      </c>
      <c r="BF198" s="75">
        <v>4696.16</v>
      </c>
      <c r="BH198" s="73">
        <v>98503</v>
      </c>
      <c r="BI198" s="73" t="s">
        <v>10</v>
      </c>
      <c r="BJ198" s="75">
        <v>-1015.27</v>
      </c>
      <c r="BK198" s="75">
        <v>-1862.17</v>
      </c>
      <c r="BL198" s="75">
        <v>-2039.31</v>
      </c>
    </row>
    <row r="199" spans="2:64" x14ac:dyDescent="0.2">
      <c r="B199" s="56">
        <v>98201</v>
      </c>
      <c r="C199" s="62" t="s">
        <v>10</v>
      </c>
      <c r="D199" s="46">
        <v>970</v>
      </c>
      <c r="E199" s="46">
        <v>946</v>
      </c>
      <c r="F199" s="46">
        <v>975</v>
      </c>
      <c r="H199" s="73">
        <v>98201</v>
      </c>
      <c r="I199" s="73" t="s">
        <v>345</v>
      </c>
      <c r="J199" s="75">
        <v>2582.9</v>
      </c>
      <c r="K199" s="75">
        <v>4181.88</v>
      </c>
      <c r="L199" s="75">
        <v>33180.539999999899</v>
      </c>
      <c r="M199" s="75">
        <v>63644.5099999999</v>
      </c>
      <c r="N199" s="75">
        <v>5962.25</v>
      </c>
      <c r="O199" s="75">
        <v>2054.9499999999998</v>
      </c>
      <c r="P199" s="75">
        <v>33716.8299999999</v>
      </c>
      <c r="Q199" s="75">
        <v>73888.929999999993</v>
      </c>
      <c r="R199" s="75">
        <v>6596.16</v>
      </c>
      <c r="S199" s="75">
        <v>2142.92</v>
      </c>
      <c r="T199" s="75">
        <v>31303.64</v>
      </c>
      <c r="U199" s="75">
        <v>60429.869999999901</v>
      </c>
      <c r="W199" s="73">
        <v>98421</v>
      </c>
      <c r="X199" s="15" t="s">
        <v>10</v>
      </c>
      <c r="Y199" s="75">
        <v>105.4</v>
      </c>
      <c r="Z199" s="75">
        <v>162.87</v>
      </c>
      <c r="AA199" s="75">
        <v>161.93</v>
      </c>
      <c r="AB199" s="75">
        <v>473.99</v>
      </c>
      <c r="AC199" s="75">
        <v>43.79</v>
      </c>
      <c r="AD199" s="75">
        <v>105.4</v>
      </c>
      <c r="AE199" s="75">
        <v>324.8</v>
      </c>
      <c r="AF199" s="75">
        <v>498.39</v>
      </c>
      <c r="AG199" s="75">
        <v>24.4</v>
      </c>
      <c r="AH199" s="75">
        <v>43.79</v>
      </c>
      <c r="AI199" s="75">
        <v>430.2</v>
      </c>
      <c r="AJ199" s="75">
        <v>515.62</v>
      </c>
      <c r="AV199" s="73" t="s">
        <v>161</v>
      </c>
      <c r="AW199" s="73" t="s">
        <v>345</v>
      </c>
      <c r="AX199" s="33">
        <v>1</v>
      </c>
      <c r="AY199" s="33"/>
      <c r="AZ199" s="33"/>
      <c r="BB199" s="73" t="s">
        <v>161</v>
      </c>
      <c r="BC199" s="73" t="s">
        <v>345</v>
      </c>
      <c r="BD199" s="75">
        <v>4796.57</v>
      </c>
      <c r="BE199" s="75"/>
      <c r="BF199" s="75"/>
      <c r="BH199" s="73">
        <v>98506</v>
      </c>
      <c r="BI199" s="73" t="s">
        <v>10</v>
      </c>
      <c r="BJ199" s="75">
        <v>-385.74</v>
      </c>
      <c r="BK199" s="75">
        <v>-901.49</v>
      </c>
      <c r="BL199" s="75">
        <v>-846.84</v>
      </c>
    </row>
    <row r="200" spans="2:64" x14ac:dyDescent="0.2">
      <c r="B200" s="81">
        <v>98203</v>
      </c>
      <c r="C200" s="62" t="s">
        <v>345</v>
      </c>
      <c r="D200" s="46">
        <v>52</v>
      </c>
      <c r="E200" s="46">
        <v>56</v>
      </c>
      <c r="F200" s="46">
        <v>49</v>
      </c>
      <c r="H200" s="73">
        <v>98201</v>
      </c>
      <c r="I200" s="73" t="s">
        <v>10</v>
      </c>
      <c r="J200" s="75">
        <v>29258.11</v>
      </c>
      <c r="K200" s="75">
        <v>30529.8</v>
      </c>
      <c r="L200" s="75">
        <v>154081.74</v>
      </c>
      <c r="M200" s="75">
        <v>249753.01</v>
      </c>
      <c r="N200" s="75">
        <v>21745.7</v>
      </c>
      <c r="O200" s="75">
        <v>23528.44</v>
      </c>
      <c r="P200" s="75">
        <v>161559.91</v>
      </c>
      <c r="Q200" s="75">
        <v>233475.4</v>
      </c>
      <c r="R200" s="75">
        <v>17062.11</v>
      </c>
      <c r="S200" s="75">
        <v>16883.2</v>
      </c>
      <c r="T200" s="75">
        <v>168152.41</v>
      </c>
      <c r="U200" s="75">
        <v>232013.5</v>
      </c>
      <c r="W200" s="73">
        <v>98422</v>
      </c>
      <c r="X200" s="15" t="s">
        <v>10</v>
      </c>
      <c r="Y200" s="75">
        <v>1770.52</v>
      </c>
      <c r="Z200" s="75">
        <v>1885.41</v>
      </c>
      <c r="AA200" s="75">
        <v>5920.1699999999901</v>
      </c>
      <c r="AB200" s="75">
        <v>11381.92</v>
      </c>
      <c r="AC200" s="75">
        <v>1499.18</v>
      </c>
      <c r="AD200" s="75">
        <v>1484.91</v>
      </c>
      <c r="AE200" s="75">
        <v>6371.54</v>
      </c>
      <c r="AF200" s="75">
        <v>10545.199999999901</v>
      </c>
      <c r="AG200" s="75">
        <v>1038.6199999999999</v>
      </c>
      <c r="AH200" s="75">
        <v>1423.75</v>
      </c>
      <c r="AI200" s="75">
        <v>6859.15</v>
      </c>
      <c r="AJ200" s="75">
        <v>10368.27</v>
      </c>
      <c r="AV200" s="73" t="s">
        <v>161</v>
      </c>
      <c r="AW200" s="73" t="s">
        <v>10</v>
      </c>
      <c r="AX200" s="33">
        <v>5</v>
      </c>
      <c r="AY200" s="33">
        <v>5</v>
      </c>
      <c r="AZ200" s="33">
        <v>11</v>
      </c>
      <c r="BB200" s="73" t="s">
        <v>161</v>
      </c>
      <c r="BC200" s="73" t="s">
        <v>10</v>
      </c>
      <c r="BD200" s="75">
        <v>4096.43</v>
      </c>
      <c r="BE200" s="75">
        <v>3736.11</v>
      </c>
      <c r="BF200" s="75">
        <v>15661.12</v>
      </c>
      <c r="BH200" s="73">
        <v>98512</v>
      </c>
      <c r="BI200" s="73" t="s">
        <v>345</v>
      </c>
      <c r="BJ200" s="75"/>
      <c r="BK200" s="75"/>
      <c r="BL200" s="75">
        <v>-100</v>
      </c>
    </row>
    <row r="201" spans="2:64" x14ac:dyDescent="0.2">
      <c r="B201" s="56">
        <v>98203</v>
      </c>
      <c r="C201" s="62" t="s">
        <v>10</v>
      </c>
      <c r="D201" s="46">
        <v>886</v>
      </c>
      <c r="E201" s="46">
        <v>810</v>
      </c>
      <c r="F201" s="46">
        <v>870</v>
      </c>
      <c r="H201" s="73">
        <v>98203</v>
      </c>
      <c r="I201" s="73" t="s">
        <v>345</v>
      </c>
      <c r="J201" s="75">
        <v>9064.2099999999991</v>
      </c>
      <c r="K201" s="75">
        <v>7340.86</v>
      </c>
      <c r="L201" s="75">
        <v>24980.98</v>
      </c>
      <c r="M201" s="75">
        <v>54710.92</v>
      </c>
      <c r="N201" s="75">
        <v>7684.78</v>
      </c>
      <c r="O201" s="75">
        <v>2096.31</v>
      </c>
      <c r="P201" s="75">
        <v>29945.789999999899</v>
      </c>
      <c r="Q201" s="75">
        <v>74254.28</v>
      </c>
      <c r="R201" s="75">
        <v>7625.5</v>
      </c>
      <c r="S201" s="75">
        <v>7140.35</v>
      </c>
      <c r="T201" s="75">
        <v>27940.01</v>
      </c>
      <c r="U201" s="75">
        <v>53665.17</v>
      </c>
      <c r="W201" s="73">
        <v>98424</v>
      </c>
      <c r="X201" s="15" t="s">
        <v>10</v>
      </c>
      <c r="Y201" s="75">
        <v>1620.4</v>
      </c>
      <c r="Z201" s="75">
        <v>2135.66</v>
      </c>
      <c r="AA201" s="75">
        <v>10744.74</v>
      </c>
      <c r="AB201" s="75">
        <v>16117.92</v>
      </c>
      <c r="AC201" s="75">
        <v>948.95</v>
      </c>
      <c r="AD201" s="75">
        <v>1149.73</v>
      </c>
      <c r="AE201" s="75">
        <v>7279.65</v>
      </c>
      <c r="AF201" s="75">
        <v>10429.66</v>
      </c>
      <c r="AG201" s="75">
        <v>919.22</v>
      </c>
      <c r="AH201" s="75">
        <v>690.84</v>
      </c>
      <c r="AI201" s="75">
        <v>6752.29</v>
      </c>
      <c r="AJ201" s="75">
        <v>9302.5499999999993</v>
      </c>
      <c r="AV201" s="73" t="s">
        <v>163</v>
      </c>
      <c r="AW201" s="73" t="s">
        <v>345</v>
      </c>
      <c r="AX201" s="33">
        <v>1</v>
      </c>
      <c r="AY201" s="33"/>
      <c r="AZ201" s="33"/>
      <c r="BB201" s="73" t="s">
        <v>163</v>
      </c>
      <c r="BC201" s="73" t="s">
        <v>345</v>
      </c>
      <c r="BD201" s="75">
        <v>488.63</v>
      </c>
      <c r="BE201" s="75"/>
      <c r="BF201" s="75"/>
      <c r="BH201" s="73">
        <v>98512</v>
      </c>
      <c r="BI201" s="73" t="s">
        <v>10</v>
      </c>
      <c r="BJ201" s="75">
        <v>-277.04000000000002</v>
      </c>
      <c r="BK201" s="75">
        <v>-375.15</v>
      </c>
      <c r="BL201" s="75">
        <v>-553.46</v>
      </c>
    </row>
    <row r="202" spans="2:64" x14ac:dyDescent="0.2">
      <c r="B202" s="81">
        <v>98204</v>
      </c>
      <c r="C202" s="62" t="s">
        <v>345</v>
      </c>
      <c r="D202" s="46">
        <v>65</v>
      </c>
      <c r="E202" s="46">
        <v>68</v>
      </c>
      <c r="F202" s="46">
        <v>72</v>
      </c>
      <c r="H202" s="73">
        <v>98203</v>
      </c>
      <c r="I202" s="73" t="s">
        <v>10</v>
      </c>
      <c r="J202" s="75">
        <v>31523.9</v>
      </c>
      <c r="K202" s="75">
        <v>28709.85</v>
      </c>
      <c r="L202" s="75">
        <v>134349.35999999999</v>
      </c>
      <c r="M202" s="75">
        <v>235141.49</v>
      </c>
      <c r="N202" s="75">
        <v>22350.47</v>
      </c>
      <c r="O202" s="75">
        <v>23549.69</v>
      </c>
      <c r="P202" s="75">
        <v>143118.71999999901</v>
      </c>
      <c r="Q202" s="75">
        <v>214617.38</v>
      </c>
      <c r="R202" s="75">
        <v>15634.85</v>
      </c>
      <c r="S202" s="75">
        <v>18113.88</v>
      </c>
      <c r="T202" s="75">
        <v>152807.83999999901</v>
      </c>
      <c r="U202" s="75">
        <v>211858.52</v>
      </c>
      <c r="W202" s="73">
        <v>98439</v>
      </c>
      <c r="X202" s="15" t="s">
        <v>10</v>
      </c>
      <c r="Y202" s="75">
        <v>11580.66</v>
      </c>
      <c r="Z202" s="75">
        <v>13506</v>
      </c>
      <c r="AA202" s="75">
        <v>56285.709999999897</v>
      </c>
      <c r="AB202" s="75">
        <v>90198.359999999899</v>
      </c>
      <c r="AC202" s="75">
        <v>7688.64</v>
      </c>
      <c r="AD202" s="75">
        <v>9836.08</v>
      </c>
      <c r="AE202" s="75">
        <v>52437.120000000003</v>
      </c>
      <c r="AF202" s="75">
        <v>80437.05</v>
      </c>
      <c r="AG202" s="75">
        <v>7560.9</v>
      </c>
      <c r="AH202" s="75">
        <v>6789.12</v>
      </c>
      <c r="AI202" s="75">
        <v>53900.0799999999</v>
      </c>
      <c r="AJ202" s="75">
        <v>78088.22</v>
      </c>
      <c r="AV202" s="73" t="s">
        <v>163</v>
      </c>
      <c r="AW202" s="73" t="s">
        <v>10</v>
      </c>
      <c r="AX202" s="33">
        <v>3</v>
      </c>
      <c r="AY202" s="33">
        <v>8</v>
      </c>
      <c r="AZ202" s="33">
        <v>5</v>
      </c>
      <c r="BB202" s="73" t="s">
        <v>163</v>
      </c>
      <c r="BC202" s="73" t="s">
        <v>10</v>
      </c>
      <c r="BD202" s="75">
        <v>900.38</v>
      </c>
      <c r="BE202" s="75">
        <v>6033.32</v>
      </c>
      <c r="BF202" s="75">
        <v>298.54000000000002</v>
      </c>
      <c r="BH202" s="73">
        <v>98513</v>
      </c>
      <c r="BI202" s="73" t="s">
        <v>10</v>
      </c>
      <c r="BJ202" s="75">
        <v>-819.57</v>
      </c>
      <c r="BK202" s="75">
        <v>-957.49</v>
      </c>
      <c r="BL202" s="75">
        <v>-1247.97</v>
      </c>
    </row>
    <row r="203" spans="2:64" x14ac:dyDescent="0.2">
      <c r="B203" s="56">
        <v>98204</v>
      </c>
      <c r="C203" s="62" t="s">
        <v>10</v>
      </c>
      <c r="D203" s="46">
        <v>624</v>
      </c>
      <c r="E203" s="46">
        <v>618</v>
      </c>
      <c r="F203" s="46">
        <v>631</v>
      </c>
      <c r="H203" s="73">
        <v>98204</v>
      </c>
      <c r="I203" s="73" t="s">
        <v>345</v>
      </c>
      <c r="J203" s="75">
        <v>7145.99</v>
      </c>
      <c r="K203" s="75">
        <v>5287.9</v>
      </c>
      <c r="L203" s="75">
        <v>31774.6</v>
      </c>
      <c r="M203" s="75">
        <v>53030.12</v>
      </c>
      <c r="N203" s="75">
        <v>3551.11</v>
      </c>
      <c r="O203" s="75">
        <v>3470.82</v>
      </c>
      <c r="P203" s="75">
        <v>30368</v>
      </c>
      <c r="Q203" s="75">
        <v>46632.569999999898</v>
      </c>
      <c r="R203" s="75">
        <v>6503.29</v>
      </c>
      <c r="S203" s="75">
        <v>2590.79</v>
      </c>
      <c r="T203" s="75">
        <v>29259.78</v>
      </c>
      <c r="U203" s="75">
        <v>47843.6</v>
      </c>
      <c r="W203" s="73">
        <v>98443</v>
      </c>
      <c r="X203" s="15" t="s">
        <v>10</v>
      </c>
      <c r="Y203" s="75">
        <v>320.72000000000003</v>
      </c>
      <c r="Z203" s="75">
        <v>441.95</v>
      </c>
      <c r="AA203" s="75">
        <v>2125.83</v>
      </c>
      <c r="AB203" s="75">
        <v>3145.33</v>
      </c>
      <c r="AC203" s="75">
        <v>215.23</v>
      </c>
      <c r="AD203" s="75">
        <v>218.2</v>
      </c>
      <c r="AE203" s="75">
        <v>1157.79</v>
      </c>
      <c r="AF203" s="75">
        <v>1751.36</v>
      </c>
      <c r="AG203" s="75">
        <v>48.23</v>
      </c>
      <c r="AH203" s="75">
        <v>75.19</v>
      </c>
      <c r="AI203" s="75">
        <v>1090.92</v>
      </c>
      <c r="AJ203" s="75">
        <v>1276.18</v>
      </c>
      <c r="AV203" s="73" t="s">
        <v>164</v>
      </c>
      <c r="AW203" s="73" t="s">
        <v>10</v>
      </c>
      <c r="AX203" s="33">
        <v>2</v>
      </c>
      <c r="AY203" s="33">
        <v>5</v>
      </c>
      <c r="AZ203" s="33">
        <v>2</v>
      </c>
      <c r="BB203" s="73" t="s">
        <v>164</v>
      </c>
      <c r="BC203" s="73" t="s">
        <v>10</v>
      </c>
      <c r="BD203" s="75">
        <v>312.87</v>
      </c>
      <c r="BE203" s="75">
        <v>1025.24</v>
      </c>
      <c r="BF203" s="75">
        <v>2780.76</v>
      </c>
      <c r="BH203" s="73">
        <v>98516</v>
      </c>
      <c r="BI203" s="73" t="s">
        <v>10</v>
      </c>
      <c r="BJ203" s="75">
        <v>-144.44</v>
      </c>
      <c r="BK203" s="75">
        <v>-416.31</v>
      </c>
      <c r="BL203" s="75">
        <v>-901.99</v>
      </c>
    </row>
    <row r="204" spans="2:64" x14ac:dyDescent="0.2">
      <c r="B204" s="81">
        <v>98208</v>
      </c>
      <c r="C204" s="62" t="s">
        <v>345</v>
      </c>
      <c r="D204" s="46">
        <v>39</v>
      </c>
      <c r="E204" s="46">
        <v>31</v>
      </c>
      <c r="F204" s="46">
        <v>33</v>
      </c>
      <c r="H204" s="73">
        <v>98204</v>
      </c>
      <c r="I204" s="73" t="s">
        <v>10</v>
      </c>
      <c r="J204" s="75">
        <v>19991.349999999999</v>
      </c>
      <c r="K204" s="75">
        <v>18379.82</v>
      </c>
      <c r="L204" s="75">
        <v>83393.429999999993</v>
      </c>
      <c r="M204" s="75">
        <v>147682.25999999899</v>
      </c>
      <c r="N204" s="75">
        <v>15141.73</v>
      </c>
      <c r="O204" s="75">
        <v>14077.94</v>
      </c>
      <c r="P204" s="75">
        <v>88774.759999999893</v>
      </c>
      <c r="Q204" s="75">
        <v>137318.68</v>
      </c>
      <c r="R204" s="75">
        <v>12926.3</v>
      </c>
      <c r="S204" s="75">
        <v>11820.95</v>
      </c>
      <c r="T204" s="75">
        <v>89350.69</v>
      </c>
      <c r="U204" s="75">
        <v>134516.59999999899</v>
      </c>
      <c r="W204" s="73">
        <v>98444</v>
      </c>
      <c r="X204" s="15" t="s">
        <v>10</v>
      </c>
      <c r="Y204" s="75">
        <v>3315.33</v>
      </c>
      <c r="Z204" s="75">
        <v>3618.87</v>
      </c>
      <c r="AA204" s="75">
        <v>10725.72</v>
      </c>
      <c r="AB204" s="75">
        <v>20075.8299999999</v>
      </c>
      <c r="AC204" s="75">
        <v>1916.75</v>
      </c>
      <c r="AD204" s="75">
        <v>2925.28</v>
      </c>
      <c r="AE204" s="75">
        <v>12669.699999999901</v>
      </c>
      <c r="AF204" s="75">
        <v>19186.62</v>
      </c>
      <c r="AG204" s="75">
        <v>1465.25</v>
      </c>
      <c r="AH204" s="75">
        <v>1831.4</v>
      </c>
      <c r="AI204" s="75">
        <v>13117.24</v>
      </c>
      <c r="AJ204" s="75">
        <v>18289.849999999999</v>
      </c>
      <c r="AV204" s="73" t="s">
        <v>165</v>
      </c>
      <c r="AW204" s="73" t="s">
        <v>345</v>
      </c>
      <c r="AX204" s="33"/>
      <c r="AY204" s="33">
        <v>1</v>
      </c>
      <c r="AZ204" s="33"/>
      <c r="BB204" s="73" t="s">
        <v>165</v>
      </c>
      <c r="BC204" s="73" t="s">
        <v>345</v>
      </c>
      <c r="BD204" s="75"/>
      <c r="BE204" s="75">
        <v>21.37</v>
      </c>
      <c r="BF204" s="75"/>
      <c r="BH204" s="73">
        <v>98531</v>
      </c>
      <c r="BI204" s="73" t="s">
        <v>345</v>
      </c>
      <c r="BJ204" s="75">
        <v>-50.31</v>
      </c>
      <c r="BK204" s="75">
        <v>-50.31</v>
      </c>
      <c r="BL204" s="75">
        <v>-50.48</v>
      </c>
    </row>
    <row r="205" spans="2:64" x14ac:dyDescent="0.2">
      <c r="B205" s="56">
        <v>98208</v>
      </c>
      <c r="C205" s="62" t="s">
        <v>10</v>
      </c>
      <c r="D205" s="46">
        <v>1188</v>
      </c>
      <c r="E205" s="46">
        <v>1082</v>
      </c>
      <c r="F205" s="46">
        <v>1119</v>
      </c>
      <c r="H205" s="73">
        <v>98208</v>
      </c>
      <c r="I205" s="73" t="s">
        <v>345</v>
      </c>
      <c r="J205" s="75">
        <v>2517.7800000000002</v>
      </c>
      <c r="K205" s="75">
        <v>2569.67</v>
      </c>
      <c r="L205" s="75">
        <v>27731.359999999899</v>
      </c>
      <c r="M205" s="75">
        <v>39307.360000000001</v>
      </c>
      <c r="N205" s="75">
        <v>2815.63</v>
      </c>
      <c r="O205" s="75">
        <v>1216.1400000000001</v>
      </c>
      <c r="P205" s="75">
        <v>28334.74</v>
      </c>
      <c r="Q205" s="75">
        <v>37352.42</v>
      </c>
      <c r="R205" s="75">
        <v>1562.54</v>
      </c>
      <c r="S205" s="75">
        <v>1204.4100000000001</v>
      </c>
      <c r="T205" s="75">
        <v>28144.9</v>
      </c>
      <c r="U205" s="75">
        <v>38782.11</v>
      </c>
      <c r="W205" s="73">
        <v>98445</v>
      </c>
      <c r="X205" s="15" t="s">
        <v>10</v>
      </c>
      <c r="Y205" s="75">
        <v>4898.7700000000004</v>
      </c>
      <c r="Z205" s="75">
        <v>5733.29</v>
      </c>
      <c r="AA205" s="75">
        <v>21157.019999999899</v>
      </c>
      <c r="AB205" s="75">
        <v>35157.47</v>
      </c>
      <c r="AC205" s="75">
        <v>2752.79</v>
      </c>
      <c r="AD205" s="75">
        <v>4033.47</v>
      </c>
      <c r="AE205" s="75">
        <v>22032.18</v>
      </c>
      <c r="AF205" s="75">
        <v>31447.14</v>
      </c>
      <c r="AG205" s="75">
        <v>1874.91</v>
      </c>
      <c r="AH205" s="75">
        <v>2278.2800000000002</v>
      </c>
      <c r="AI205" s="75">
        <v>22631.97</v>
      </c>
      <c r="AJ205" s="75">
        <v>29209.749999999902</v>
      </c>
      <c r="AV205" s="73" t="s">
        <v>165</v>
      </c>
      <c r="AW205" s="73" t="s">
        <v>10</v>
      </c>
      <c r="AX205" s="33">
        <v>1</v>
      </c>
      <c r="AY205" s="33">
        <v>2</v>
      </c>
      <c r="AZ205" s="33">
        <v>1</v>
      </c>
      <c r="BB205" s="73" t="s">
        <v>165</v>
      </c>
      <c r="BC205" s="73" t="s">
        <v>10</v>
      </c>
      <c r="BD205" s="75"/>
      <c r="BE205" s="75">
        <v>1253.31</v>
      </c>
      <c r="BF205" s="75">
        <v>13.37</v>
      </c>
      <c r="BH205" s="73">
        <v>98558</v>
      </c>
      <c r="BI205" s="73" t="s">
        <v>10</v>
      </c>
      <c r="BJ205" s="75"/>
      <c r="BK205" s="75">
        <v>-192.5</v>
      </c>
      <c r="BL205" s="75"/>
    </row>
    <row r="206" spans="2:64" x14ac:dyDescent="0.2">
      <c r="B206" s="81">
        <v>98220</v>
      </c>
      <c r="C206" s="62" t="s">
        <v>345</v>
      </c>
      <c r="D206" s="46">
        <v>11</v>
      </c>
      <c r="E206" s="46">
        <v>8</v>
      </c>
      <c r="F206" s="46">
        <v>17</v>
      </c>
      <c r="H206" s="73">
        <v>98208</v>
      </c>
      <c r="I206" s="73" t="s">
        <v>10</v>
      </c>
      <c r="J206" s="75">
        <v>45357.93</v>
      </c>
      <c r="K206" s="75">
        <v>39436.14</v>
      </c>
      <c r="L206" s="75">
        <v>179392.93999999901</v>
      </c>
      <c r="M206" s="75">
        <v>323505.59999999899</v>
      </c>
      <c r="N206" s="75">
        <v>33044.400000000001</v>
      </c>
      <c r="O206" s="75">
        <v>32625.5</v>
      </c>
      <c r="P206" s="75">
        <v>178123.269999999</v>
      </c>
      <c r="Q206" s="75">
        <v>281399.71000000002</v>
      </c>
      <c r="R206" s="75">
        <v>21958.47</v>
      </c>
      <c r="S206" s="75">
        <v>24242.44</v>
      </c>
      <c r="T206" s="75">
        <v>183447.489999999</v>
      </c>
      <c r="U206" s="75">
        <v>268962.70999999897</v>
      </c>
      <c r="W206" s="73">
        <v>98446</v>
      </c>
      <c r="X206" s="15" t="s">
        <v>10</v>
      </c>
      <c r="Y206" s="75">
        <v>3386.34</v>
      </c>
      <c r="Z206" s="75">
        <v>3433.61</v>
      </c>
      <c r="AA206" s="75">
        <v>11265.19</v>
      </c>
      <c r="AB206" s="75">
        <v>21020.749999999902</v>
      </c>
      <c r="AC206" s="75">
        <v>2457.38</v>
      </c>
      <c r="AD206" s="75">
        <v>3051.61</v>
      </c>
      <c r="AE206" s="75">
        <v>12557.88</v>
      </c>
      <c r="AF206" s="75">
        <v>20538.8</v>
      </c>
      <c r="AG206" s="75">
        <v>2019.43</v>
      </c>
      <c r="AH206" s="75">
        <v>2102.54</v>
      </c>
      <c r="AI206" s="75">
        <v>15148.98</v>
      </c>
      <c r="AJ206" s="75">
        <v>21759.1</v>
      </c>
      <c r="AV206" s="73" t="s">
        <v>166</v>
      </c>
      <c r="AW206" s="73" t="s">
        <v>345</v>
      </c>
      <c r="AX206" s="33"/>
      <c r="AY206" s="33">
        <v>1</v>
      </c>
      <c r="AZ206" s="33"/>
      <c r="BB206" s="73" t="s">
        <v>166</v>
      </c>
      <c r="BC206" s="73" t="s">
        <v>345</v>
      </c>
      <c r="BD206" s="75"/>
      <c r="BE206" s="75">
        <v>608.9</v>
      </c>
      <c r="BF206" s="75"/>
      <c r="BH206" s="73">
        <v>98579</v>
      </c>
      <c r="BI206" s="73" t="s">
        <v>10</v>
      </c>
      <c r="BJ206" s="75">
        <v>-200</v>
      </c>
      <c r="BK206" s="75">
        <v>-800</v>
      </c>
      <c r="BL206" s="75"/>
    </row>
    <row r="207" spans="2:64" x14ac:dyDescent="0.2">
      <c r="B207" s="56">
        <v>98220</v>
      </c>
      <c r="C207" s="62" t="s">
        <v>10</v>
      </c>
      <c r="D207" s="46">
        <v>42</v>
      </c>
      <c r="E207" s="46">
        <v>39</v>
      </c>
      <c r="F207" s="46">
        <v>46</v>
      </c>
      <c r="H207" s="73">
        <v>98220</v>
      </c>
      <c r="I207" s="73" t="s">
        <v>345</v>
      </c>
      <c r="J207" s="75">
        <v>6499.06</v>
      </c>
      <c r="K207" s="75">
        <v>6074.53</v>
      </c>
      <c r="L207" s="75">
        <v>56334.3</v>
      </c>
      <c r="M207" s="75">
        <v>77180.960000000006</v>
      </c>
      <c r="N207" s="75">
        <v>7200.47</v>
      </c>
      <c r="O207" s="75">
        <v>5809.64</v>
      </c>
      <c r="P207" s="75">
        <v>56543.99</v>
      </c>
      <c r="Q207" s="75">
        <v>83108.38</v>
      </c>
      <c r="R207" s="75">
        <v>12916.16</v>
      </c>
      <c r="S207" s="75">
        <v>7200.47</v>
      </c>
      <c r="T207" s="75">
        <v>62283.99</v>
      </c>
      <c r="U207" s="75">
        <v>90980.97</v>
      </c>
      <c r="W207" s="73">
        <v>98465</v>
      </c>
      <c r="X207" s="15" t="s">
        <v>10</v>
      </c>
      <c r="Y207" s="75">
        <v>687.98</v>
      </c>
      <c r="Z207" s="75">
        <v>612.74</v>
      </c>
      <c r="AA207" s="75">
        <v>2006.19</v>
      </c>
      <c r="AB207" s="75">
        <v>3854.39</v>
      </c>
      <c r="AC207" s="75">
        <v>214.69</v>
      </c>
      <c r="AD207" s="75">
        <v>532.91999999999996</v>
      </c>
      <c r="AE207" s="75">
        <v>3041.78</v>
      </c>
      <c r="AF207" s="75">
        <v>4197.32</v>
      </c>
      <c r="AG207" s="75">
        <v>328.39</v>
      </c>
      <c r="AH207" s="75">
        <v>170.95</v>
      </c>
      <c r="AI207" s="75">
        <v>3215.82</v>
      </c>
      <c r="AJ207" s="75">
        <v>3952.76999999999</v>
      </c>
      <c r="AV207" s="73" t="s">
        <v>166</v>
      </c>
      <c r="AW207" s="73" t="s">
        <v>10</v>
      </c>
      <c r="AX207" s="33">
        <v>4</v>
      </c>
      <c r="AY207" s="33">
        <v>3</v>
      </c>
      <c r="AZ207" s="33">
        <v>6</v>
      </c>
      <c r="BB207" s="73" t="s">
        <v>166</v>
      </c>
      <c r="BC207" s="73" t="s">
        <v>10</v>
      </c>
      <c r="BD207" s="75">
        <v>4040.1</v>
      </c>
      <c r="BE207" s="75">
        <v>892.24</v>
      </c>
      <c r="BF207" s="75">
        <v>6841.19</v>
      </c>
      <c r="BH207" s="73">
        <v>98589</v>
      </c>
      <c r="BI207" s="73" t="s">
        <v>10</v>
      </c>
      <c r="BJ207" s="75"/>
      <c r="BK207" s="75"/>
      <c r="BL207" s="75">
        <v>-762.12</v>
      </c>
    </row>
    <row r="208" spans="2:64" x14ac:dyDescent="0.2">
      <c r="B208" s="81">
        <v>98221</v>
      </c>
      <c r="C208" s="62" t="s">
        <v>345</v>
      </c>
      <c r="D208" s="46">
        <v>327</v>
      </c>
      <c r="E208" s="46">
        <v>285</v>
      </c>
      <c r="F208" s="46">
        <v>303</v>
      </c>
      <c r="H208" s="73">
        <v>98220</v>
      </c>
      <c r="I208" s="73" t="s">
        <v>10</v>
      </c>
      <c r="J208" s="75">
        <v>4644.74</v>
      </c>
      <c r="K208" s="75">
        <v>1234.8499999999999</v>
      </c>
      <c r="L208" s="75">
        <v>12962.66</v>
      </c>
      <c r="M208" s="75">
        <v>23527.59</v>
      </c>
      <c r="N208" s="75">
        <v>3147.94</v>
      </c>
      <c r="O208" s="75">
        <v>3371.44</v>
      </c>
      <c r="P208" s="75">
        <v>13111.82</v>
      </c>
      <c r="Q208" s="75">
        <v>24654.249999999902</v>
      </c>
      <c r="R208" s="75">
        <v>3385.9</v>
      </c>
      <c r="S208" s="75">
        <v>2939.04</v>
      </c>
      <c r="T208" s="75">
        <v>15156.449999999901</v>
      </c>
      <c r="U208" s="75">
        <v>25750.969999999899</v>
      </c>
      <c r="W208" s="73">
        <v>98466</v>
      </c>
      <c r="X208" s="15" t="s">
        <v>10</v>
      </c>
      <c r="Y208" s="75">
        <v>1333.93</v>
      </c>
      <c r="Z208" s="75">
        <v>1935.96</v>
      </c>
      <c r="AA208" s="75">
        <v>9167.56</v>
      </c>
      <c r="AB208" s="75">
        <v>13565.84</v>
      </c>
      <c r="AC208" s="75">
        <v>750.35</v>
      </c>
      <c r="AD208" s="75">
        <v>1120.57</v>
      </c>
      <c r="AE208" s="75">
        <v>9602.7900000000009</v>
      </c>
      <c r="AF208" s="75">
        <v>12051.2</v>
      </c>
      <c r="AG208" s="75">
        <v>517.25</v>
      </c>
      <c r="AH208" s="75">
        <v>662.7</v>
      </c>
      <c r="AI208" s="75">
        <v>9456.0299999999897</v>
      </c>
      <c r="AJ208" s="75">
        <v>11302.09</v>
      </c>
      <c r="AV208" s="73" t="s">
        <v>167</v>
      </c>
      <c r="AW208" s="73" t="s">
        <v>345</v>
      </c>
      <c r="AX208" s="33">
        <v>5</v>
      </c>
      <c r="AY208" s="33">
        <v>5</v>
      </c>
      <c r="AZ208" s="33">
        <v>5</v>
      </c>
      <c r="BB208" s="73" t="s">
        <v>167</v>
      </c>
      <c r="BC208" s="73" t="s">
        <v>345</v>
      </c>
      <c r="BD208" s="75">
        <v>6713.09</v>
      </c>
      <c r="BE208" s="75">
        <v>45411.43</v>
      </c>
      <c r="BF208" s="75">
        <v>3641.17</v>
      </c>
      <c r="BH208" s="73">
        <v>98596</v>
      </c>
      <c r="BI208" s="73" t="s">
        <v>10</v>
      </c>
      <c r="BJ208" s="75">
        <v>-687.64</v>
      </c>
      <c r="BK208" s="75"/>
      <c r="BL208" s="75"/>
    </row>
    <row r="209" spans="2:64" x14ac:dyDescent="0.2">
      <c r="B209" s="56">
        <v>98221</v>
      </c>
      <c r="C209" s="62" t="s">
        <v>10</v>
      </c>
      <c r="D209" s="46">
        <v>1569</v>
      </c>
      <c r="E209" s="46">
        <v>1590</v>
      </c>
      <c r="F209" s="46">
        <v>1630</v>
      </c>
      <c r="H209" s="73">
        <v>98221</v>
      </c>
      <c r="I209" s="73" t="s">
        <v>345</v>
      </c>
      <c r="J209" s="75">
        <v>29139.42</v>
      </c>
      <c r="K209" s="75">
        <v>18836.96</v>
      </c>
      <c r="L209" s="75">
        <v>196881.19</v>
      </c>
      <c r="M209" s="75">
        <v>643785.56000000006</v>
      </c>
      <c r="N209" s="75">
        <v>24972.15</v>
      </c>
      <c r="O209" s="75">
        <v>14355.77</v>
      </c>
      <c r="P209" s="75">
        <v>180422.83999999901</v>
      </c>
      <c r="Q209" s="75">
        <v>594708.81999999995</v>
      </c>
      <c r="R209" s="75">
        <v>41941.480000000003</v>
      </c>
      <c r="S209" s="75">
        <v>10465.42</v>
      </c>
      <c r="T209" s="75">
        <v>178402.72999999899</v>
      </c>
      <c r="U209" s="75">
        <v>543694.98</v>
      </c>
      <c r="W209" s="73">
        <v>98467</v>
      </c>
      <c r="X209" s="15" t="s">
        <v>10</v>
      </c>
      <c r="Y209" s="75">
        <v>381.93</v>
      </c>
      <c r="Z209" s="75">
        <v>394.09</v>
      </c>
      <c r="AA209" s="75">
        <v>1265.69999999999</v>
      </c>
      <c r="AB209" s="75">
        <v>2373.9</v>
      </c>
      <c r="AC209" s="75">
        <v>184.01</v>
      </c>
      <c r="AD209" s="75">
        <v>219.1</v>
      </c>
      <c r="AE209" s="75">
        <v>218.77999999999901</v>
      </c>
      <c r="AF209" s="75">
        <v>890.16</v>
      </c>
      <c r="AG209" s="75">
        <v>202.27</v>
      </c>
      <c r="AH209" s="75">
        <v>184.01</v>
      </c>
      <c r="AI209" s="75">
        <v>359.96</v>
      </c>
      <c r="AJ209" s="75">
        <v>973.92</v>
      </c>
      <c r="AV209" s="73" t="s">
        <v>167</v>
      </c>
      <c r="AW209" s="73" t="s">
        <v>10</v>
      </c>
      <c r="AX209" s="33">
        <v>17</v>
      </c>
      <c r="AY209" s="33">
        <v>21</v>
      </c>
      <c r="AZ209" s="33">
        <v>14</v>
      </c>
      <c r="BB209" s="73" t="s">
        <v>167</v>
      </c>
      <c r="BC209" s="73" t="s">
        <v>10</v>
      </c>
      <c r="BD209" s="75">
        <v>14011.9</v>
      </c>
      <c r="BE209" s="75">
        <v>10596.01</v>
      </c>
      <c r="BF209" s="75">
        <v>11504.92</v>
      </c>
      <c r="BH209" s="73">
        <v>98597</v>
      </c>
      <c r="BI209" s="73" t="s">
        <v>10</v>
      </c>
      <c r="BJ209" s="75"/>
      <c r="BK209" s="75">
        <v>-1981.43</v>
      </c>
      <c r="BL209" s="75">
        <v>-2608.34</v>
      </c>
    </row>
    <row r="210" spans="2:64" x14ac:dyDescent="0.2">
      <c r="B210" s="81">
        <v>98223</v>
      </c>
      <c r="C210" s="62" t="s">
        <v>345</v>
      </c>
      <c r="D210" s="46">
        <v>19</v>
      </c>
      <c r="E210" s="46">
        <v>15</v>
      </c>
      <c r="F210" s="46">
        <v>13</v>
      </c>
      <c r="H210" s="73">
        <v>98221</v>
      </c>
      <c r="I210" s="73" t="s">
        <v>10</v>
      </c>
      <c r="J210" s="75">
        <v>53278.879999999997</v>
      </c>
      <c r="K210" s="75">
        <v>37624.449999999997</v>
      </c>
      <c r="L210" s="75">
        <v>200875.579999999</v>
      </c>
      <c r="M210" s="75">
        <v>405430.72999999899</v>
      </c>
      <c r="N210" s="75">
        <v>45229.08</v>
      </c>
      <c r="O210" s="75">
        <v>36512.6</v>
      </c>
      <c r="P210" s="75">
        <v>206243.69999999899</v>
      </c>
      <c r="Q210" s="75">
        <v>399062.14</v>
      </c>
      <c r="R210" s="75">
        <v>47592.75</v>
      </c>
      <c r="S210" s="75">
        <v>32262.18</v>
      </c>
      <c r="T210" s="75">
        <v>210122.68</v>
      </c>
      <c r="U210" s="75">
        <v>410220.34999999899</v>
      </c>
      <c r="W210" s="73">
        <v>98498</v>
      </c>
      <c r="X210" s="15" t="s">
        <v>10</v>
      </c>
      <c r="Y210" s="75">
        <v>27557.63</v>
      </c>
      <c r="Z210" s="75">
        <v>29895.8</v>
      </c>
      <c r="AA210" s="75">
        <v>125160.29</v>
      </c>
      <c r="AB210" s="75">
        <v>211068.1</v>
      </c>
      <c r="AC210" s="75">
        <v>22957.32</v>
      </c>
      <c r="AD210" s="75">
        <v>23364.45</v>
      </c>
      <c r="AE210" s="75">
        <v>130446.03</v>
      </c>
      <c r="AF210" s="75">
        <v>198145.519999999</v>
      </c>
      <c r="AG210" s="75">
        <v>16546.8</v>
      </c>
      <c r="AH210" s="75">
        <v>19121.099999999999</v>
      </c>
      <c r="AI210" s="75">
        <v>126883.1</v>
      </c>
      <c r="AJ210" s="75">
        <v>184340.03999999899</v>
      </c>
      <c r="AV210" s="73" t="s">
        <v>168</v>
      </c>
      <c r="AW210" s="73" t="s">
        <v>345</v>
      </c>
      <c r="AX210" s="33">
        <v>1</v>
      </c>
      <c r="AY210" s="33">
        <v>1</v>
      </c>
      <c r="AZ210" s="33">
        <v>1</v>
      </c>
      <c r="BB210" s="73" t="s">
        <v>168</v>
      </c>
      <c r="BC210" s="73" t="s">
        <v>345</v>
      </c>
      <c r="BD210" s="75">
        <v>34448.14</v>
      </c>
      <c r="BE210" s="75">
        <v>16617.23</v>
      </c>
      <c r="BF210" s="75"/>
      <c r="BH210" s="73">
        <v>98926</v>
      </c>
      <c r="BI210" s="73" t="s">
        <v>10</v>
      </c>
      <c r="BJ210" s="75"/>
      <c r="BK210" s="75">
        <v>-201.13</v>
      </c>
      <c r="BL210" s="75"/>
    </row>
    <row r="211" spans="2:64" x14ac:dyDescent="0.2">
      <c r="B211" s="56">
        <v>98223</v>
      </c>
      <c r="C211" s="62" t="s">
        <v>10</v>
      </c>
      <c r="D211" s="46">
        <v>63</v>
      </c>
      <c r="E211" s="46">
        <v>64</v>
      </c>
      <c r="F211" s="46">
        <v>67</v>
      </c>
      <c r="H211" s="73">
        <v>98223</v>
      </c>
      <c r="I211" s="73" t="s">
        <v>345</v>
      </c>
      <c r="J211" s="75">
        <v>841.35</v>
      </c>
      <c r="K211" s="75">
        <v>719.48</v>
      </c>
      <c r="L211" s="75">
        <v>2550.7800000000002</v>
      </c>
      <c r="M211" s="75">
        <v>20974.41</v>
      </c>
      <c r="N211" s="75">
        <v>576.91999999999996</v>
      </c>
      <c r="O211" s="75">
        <v>649.99</v>
      </c>
      <c r="P211" s="75">
        <v>2843.97</v>
      </c>
      <c r="Q211" s="75">
        <v>6334.39</v>
      </c>
      <c r="R211" s="75">
        <v>1960.74</v>
      </c>
      <c r="S211" s="75">
        <v>543.08000000000004</v>
      </c>
      <c r="T211" s="75">
        <v>3353.24</v>
      </c>
      <c r="U211" s="75">
        <v>6531.32</v>
      </c>
      <c r="W211" s="73">
        <v>98499</v>
      </c>
      <c r="X211" s="15" t="s">
        <v>10</v>
      </c>
      <c r="Y211" s="75">
        <v>4941.7299999999996</v>
      </c>
      <c r="Z211" s="75">
        <v>5184.5</v>
      </c>
      <c r="AA211" s="75">
        <v>20401.749999999902</v>
      </c>
      <c r="AB211" s="75">
        <v>34132.33</v>
      </c>
      <c r="AC211" s="75">
        <v>2734.64</v>
      </c>
      <c r="AD211" s="75">
        <v>4160.8100000000004</v>
      </c>
      <c r="AE211" s="75">
        <v>21973.9899999999</v>
      </c>
      <c r="AF211" s="75">
        <v>31241.31</v>
      </c>
      <c r="AG211" s="75">
        <v>2047.01</v>
      </c>
      <c r="AH211" s="75">
        <v>2416.6799999999998</v>
      </c>
      <c r="AI211" s="75">
        <v>22582.389999999901</v>
      </c>
      <c r="AJ211" s="75">
        <v>29298.499999999902</v>
      </c>
      <c r="AV211" s="73" t="s">
        <v>168</v>
      </c>
      <c r="AW211" s="73" t="s">
        <v>10</v>
      </c>
      <c r="AX211" s="33">
        <v>4</v>
      </c>
      <c r="AY211" s="33">
        <v>5</v>
      </c>
      <c r="AZ211" s="33">
        <v>2</v>
      </c>
      <c r="BB211" s="73" t="s">
        <v>168</v>
      </c>
      <c r="BC211" s="73" t="s">
        <v>10</v>
      </c>
      <c r="BD211" s="75">
        <v>651.16</v>
      </c>
      <c r="BE211" s="75">
        <v>3233.41</v>
      </c>
      <c r="BF211" s="75">
        <v>957.4</v>
      </c>
      <c r="BH211" s="73"/>
      <c r="BI211" s="73" t="s">
        <v>345</v>
      </c>
      <c r="BJ211" s="75"/>
      <c r="BK211" s="75"/>
      <c r="BL211" s="75">
        <v>-6.97</v>
      </c>
    </row>
    <row r="212" spans="2:64" ht="16" thickBot="1" x14ac:dyDescent="0.25">
      <c r="B212" s="81">
        <v>98224</v>
      </c>
      <c r="C212" s="62" t="s">
        <v>345</v>
      </c>
      <c r="D212" s="46">
        <v>6</v>
      </c>
      <c r="E212" s="46">
        <v>5</v>
      </c>
      <c r="F212" s="46">
        <v>3</v>
      </c>
      <c r="H212" s="73">
        <v>98223</v>
      </c>
      <c r="I212" s="73" t="s">
        <v>10</v>
      </c>
      <c r="J212" s="75">
        <v>1957.6</v>
      </c>
      <c r="K212" s="75">
        <v>2264.65</v>
      </c>
      <c r="L212" s="75">
        <v>6793.65</v>
      </c>
      <c r="M212" s="75">
        <v>13720.28</v>
      </c>
      <c r="N212" s="75">
        <v>1121.8399999999999</v>
      </c>
      <c r="O212" s="75">
        <v>1368.21</v>
      </c>
      <c r="P212" s="75">
        <v>6936.08</v>
      </c>
      <c r="Q212" s="75">
        <v>10873.75</v>
      </c>
      <c r="R212" s="75">
        <v>882.57</v>
      </c>
      <c r="S212" s="75">
        <v>703.49</v>
      </c>
      <c r="T212" s="75">
        <v>7158.85</v>
      </c>
      <c r="U212" s="75">
        <v>10471.4299999999</v>
      </c>
      <c r="W212" s="73">
        <v>98501</v>
      </c>
      <c r="X212" s="15" t="s">
        <v>10</v>
      </c>
      <c r="Y212" s="75">
        <v>44218.38</v>
      </c>
      <c r="Z212" s="75">
        <v>43771.56</v>
      </c>
      <c r="AA212" s="75">
        <v>175055.08</v>
      </c>
      <c r="AB212" s="75">
        <v>310819.77</v>
      </c>
      <c r="AC212" s="75">
        <v>38191.870000000003</v>
      </c>
      <c r="AD212" s="75">
        <v>38068.839999999997</v>
      </c>
      <c r="AE212" s="75">
        <v>181246.53</v>
      </c>
      <c r="AF212" s="75">
        <v>301085.59999999998</v>
      </c>
      <c r="AG212" s="75">
        <v>34211.32</v>
      </c>
      <c r="AH212" s="75">
        <v>31949.71</v>
      </c>
      <c r="AI212" s="75">
        <v>186047.86</v>
      </c>
      <c r="AJ212" s="75">
        <v>298626.98</v>
      </c>
      <c r="AV212" s="73" t="s">
        <v>312</v>
      </c>
      <c r="AW212" s="73" t="s">
        <v>345</v>
      </c>
      <c r="AX212" s="33"/>
      <c r="AY212" s="33">
        <v>1</v>
      </c>
      <c r="AZ212" s="33"/>
      <c r="BB212" s="73" t="s">
        <v>312</v>
      </c>
      <c r="BC212" s="73" t="s">
        <v>345</v>
      </c>
      <c r="BD212" s="75"/>
      <c r="BE212" s="75">
        <v>1775.27</v>
      </c>
      <c r="BF212" s="75"/>
      <c r="BH212" s="106"/>
      <c r="BI212" s="106" t="s">
        <v>10</v>
      </c>
      <c r="BJ212" s="131">
        <v>-2040.11</v>
      </c>
      <c r="BK212" s="131"/>
      <c r="BL212" s="131">
        <v>-55.33</v>
      </c>
    </row>
    <row r="213" spans="2:64" ht="16" thickBot="1" x14ac:dyDescent="0.25">
      <c r="B213" s="56">
        <v>98224</v>
      </c>
      <c r="C213" s="62" t="s">
        <v>10</v>
      </c>
      <c r="D213" s="46">
        <v>40</v>
      </c>
      <c r="E213" s="46">
        <v>37</v>
      </c>
      <c r="F213" s="46">
        <v>36</v>
      </c>
      <c r="H213" s="73">
        <v>98224</v>
      </c>
      <c r="I213" s="73" t="s">
        <v>345</v>
      </c>
      <c r="J213" s="75">
        <v>79.78</v>
      </c>
      <c r="K213" s="75">
        <v>138.71</v>
      </c>
      <c r="L213" s="75">
        <v>280.58999999999997</v>
      </c>
      <c r="M213" s="75">
        <v>793.08</v>
      </c>
      <c r="N213" s="75">
        <v>242.71</v>
      </c>
      <c r="O213" s="75">
        <v>79.78</v>
      </c>
      <c r="P213" s="75">
        <v>419.3</v>
      </c>
      <c r="Q213" s="75">
        <v>788.05</v>
      </c>
      <c r="R213" s="75">
        <v>46.26</v>
      </c>
      <c r="S213" s="75">
        <v>95.89</v>
      </c>
      <c r="T213" s="75">
        <v>499.07999999999902</v>
      </c>
      <c r="U213" s="75">
        <v>727.89</v>
      </c>
      <c r="W213" s="73">
        <v>98502</v>
      </c>
      <c r="X213" s="15" t="s">
        <v>10</v>
      </c>
      <c r="Y213" s="75">
        <v>43448.93</v>
      </c>
      <c r="Z213" s="75">
        <v>50874.91</v>
      </c>
      <c r="AA213" s="75">
        <v>165951.179999999</v>
      </c>
      <c r="AB213" s="75">
        <v>316993.42</v>
      </c>
      <c r="AC213" s="75">
        <v>43147.68</v>
      </c>
      <c r="AD213" s="75">
        <v>36604.160000000003</v>
      </c>
      <c r="AE213" s="75">
        <v>190764.51</v>
      </c>
      <c r="AF213" s="75">
        <v>316019.42</v>
      </c>
      <c r="AG213" s="75">
        <v>38289.86</v>
      </c>
      <c r="AH213" s="75">
        <v>36370.33</v>
      </c>
      <c r="AI213" s="75">
        <v>188258.15</v>
      </c>
      <c r="AJ213" s="75">
        <v>313247.38</v>
      </c>
      <c r="AV213" s="73" t="s">
        <v>312</v>
      </c>
      <c r="AW213" s="73" t="s">
        <v>10</v>
      </c>
      <c r="AX213" s="33"/>
      <c r="AY213" s="33">
        <v>1</v>
      </c>
      <c r="AZ213" s="33">
        <v>4</v>
      </c>
      <c r="BB213" s="73" t="s">
        <v>312</v>
      </c>
      <c r="BC213" s="73" t="s">
        <v>10</v>
      </c>
      <c r="BD213" s="75"/>
      <c r="BE213" s="75">
        <v>537.34</v>
      </c>
      <c r="BF213" s="75">
        <v>1803.71</v>
      </c>
      <c r="BH213" s="190"/>
      <c r="BI213" s="193"/>
      <c r="BJ213" s="195">
        <f>SUMIF($BI$16:$BI$212,$BI$16,BJ16:BJ212)</f>
        <v>-51937.400000000009</v>
      </c>
      <c r="BK213" s="195">
        <f t="shared" ref="BK213:BL213" si="0">SUMIF($BI$16:$BI$212,$BI$16,BK16:BK212)</f>
        <v>-45944.909999999996</v>
      </c>
      <c r="BL213" s="195">
        <f>SUMIF($BI$16:$BI$212,$BI$16,BL16:BL212)</f>
        <v>-77069.340000000011</v>
      </c>
    </row>
    <row r="214" spans="2:64" x14ac:dyDescent="0.2">
      <c r="B214" s="81">
        <v>98225</v>
      </c>
      <c r="C214" s="62" t="s">
        <v>345</v>
      </c>
      <c r="D214" s="46">
        <v>237</v>
      </c>
      <c r="E214" s="46">
        <v>198</v>
      </c>
      <c r="F214" s="46">
        <v>232</v>
      </c>
      <c r="H214" s="73">
        <v>98224</v>
      </c>
      <c r="I214" s="73" t="s">
        <v>10</v>
      </c>
      <c r="J214" s="75">
        <v>1799.39</v>
      </c>
      <c r="K214" s="75">
        <v>4993.18</v>
      </c>
      <c r="L214" s="75">
        <v>20434.560000000001</v>
      </c>
      <c r="M214" s="75">
        <v>35970.339999999902</v>
      </c>
      <c r="N214" s="75">
        <v>6024.92</v>
      </c>
      <c r="O214" s="75">
        <v>2481.1799999999998</v>
      </c>
      <c r="P214" s="75">
        <v>25100.63</v>
      </c>
      <c r="Q214" s="75">
        <v>35635.779999999897</v>
      </c>
      <c r="R214" s="75">
        <v>1283.3699999999999</v>
      </c>
      <c r="S214" s="75">
        <v>5418.25</v>
      </c>
      <c r="T214" s="75">
        <v>24642.21</v>
      </c>
      <c r="U214" s="75">
        <v>34982.569999999898</v>
      </c>
      <c r="W214" s="73">
        <v>98503</v>
      </c>
      <c r="X214" s="15" t="s">
        <v>10</v>
      </c>
      <c r="Y214" s="75">
        <v>53953.06</v>
      </c>
      <c r="Z214" s="75">
        <v>51728.61</v>
      </c>
      <c r="AA214" s="75">
        <v>199384.07</v>
      </c>
      <c r="AB214" s="75">
        <v>362607.7</v>
      </c>
      <c r="AC214" s="75">
        <v>44147.03</v>
      </c>
      <c r="AD214" s="75">
        <v>43070.73</v>
      </c>
      <c r="AE214" s="75">
        <v>201243.92</v>
      </c>
      <c r="AF214" s="75">
        <v>351301.12</v>
      </c>
      <c r="AG214" s="75">
        <v>46585.37</v>
      </c>
      <c r="AH214" s="75">
        <v>34482</v>
      </c>
      <c r="AI214" s="75">
        <v>193223.179999999</v>
      </c>
      <c r="AJ214" s="75">
        <v>331685.28999999998</v>
      </c>
      <c r="AV214" s="73" t="s">
        <v>313</v>
      </c>
      <c r="AW214" s="73" t="s">
        <v>10</v>
      </c>
      <c r="AX214" s="33">
        <v>1</v>
      </c>
      <c r="AY214" s="33">
        <v>4</v>
      </c>
      <c r="AZ214" s="33">
        <v>6</v>
      </c>
      <c r="BB214" s="73" t="s">
        <v>313</v>
      </c>
      <c r="BC214" s="73" t="s">
        <v>10</v>
      </c>
      <c r="BD214" s="75">
        <v>0.24</v>
      </c>
      <c r="BE214" s="75">
        <v>2044.3</v>
      </c>
      <c r="BF214" s="75">
        <v>3094.42</v>
      </c>
      <c r="BH214" s="41"/>
      <c r="BI214" s="41"/>
      <c r="BJ214" s="132"/>
      <c r="BK214" s="132"/>
      <c r="BL214" s="132"/>
    </row>
    <row r="215" spans="2:64" x14ac:dyDescent="0.2">
      <c r="B215" s="56">
        <v>98225</v>
      </c>
      <c r="C215" s="62" t="s">
        <v>10</v>
      </c>
      <c r="D215" s="46">
        <v>2690</v>
      </c>
      <c r="E215" s="46">
        <v>2704</v>
      </c>
      <c r="F215" s="46">
        <v>2853</v>
      </c>
      <c r="H215" s="73">
        <v>98225</v>
      </c>
      <c r="I215" s="73" t="s">
        <v>345</v>
      </c>
      <c r="J215" s="75">
        <v>15239.27</v>
      </c>
      <c r="K215" s="75">
        <v>10450.64</v>
      </c>
      <c r="L215" s="75">
        <v>153989</v>
      </c>
      <c r="M215" s="75">
        <v>228466.50999999899</v>
      </c>
      <c r="N215" s="75">
        <v>12620.37</v>
      </c>
      <c r="O215" s="75">
        <v>8330.52</v>
      </c>
      <c r="P215" s="75">
        <v>144966.38</v>
      </c>
      <c r="Q215" s="75">
        <v>233719.40999999901</v>
      </c>
      <c r="R215" s="75">
        <v>23346.63</v>
      </c>
      <c r="S215" s="75">
        <v>7013.99</v>
      </c>
      <c r="T215" s="75">
        <v>146379.9</v>
      </c>
      <c r="U215" s="75">
        <v>250946.239999999</v>
      </c>
      <c r="W215" s="73">
        <v>98506</v>
      </c>
      <c r="X215" s="15" t="s">
        <v>10</v>
      </c>
      <c r="Y215" s="75">
        <v>20525.509999999998</v>
      </c>
      <c r="Z215" s="75">
        <v>18633.259999999998</v>
      </c>
      <c r="AA215" s="75">
        <v>70418.259999999995</v>
      </c>
      <c r="AB215" s="75">
        <v>128657.159999999</v>
      </c>
      <c r="AC215" s="75">
        <v>14734.31</v>
      </c>
      <c r="AD215" s="75">
        <v>16317.84</v>
      </c>
      <c r="AE215" s="75">
        <v>74471.83</v>
      </c>
      <c r="AF215" s="75">
        <v>122658.549999999</v>
      </c>
      <c r="AG215" s="75">
        <v>14311.53</v>
      </c>
      <c r="AH215" s="75">
        <v>12935.25</v>
      </c>
      <c r="AI215" s="75">
        <v>67962.84</v>
      </c>
      <c r="AJ215" s="75">
        <v>112770.86999999901</v>
      </c>
      <c r="AV215" s="73" t="s">
        <v>169</v>
      </c>
      <c r="AW215" s="73" t="s">
        <v>10</v>
      </c>
      <c r="AX215" s="33">
        <v>1</v>
      </c>
      <c r="AY215" s="33">
        <v>1</v>
      </c>
      <c r="AZ215" s="33"/>
      <c r="BB215" s="73" t="s">
        <v>169</v>
      </c>
      <c r="BC215" s="73" t="s">
        <v>10</v>
      </c>
      <c r="BD215" s="75">
        <v>14.08</v>
      </c>
      <c r="BE215" s="75">
        <v>1232.92</v>
      </c>
      <c r="BF215" s="75"/>
      <c r="BH215" s="41"/>
      <c r="BI215" s="41"/>
      <c r="BJ215" s="132"/>
      <c r="BK215" s="132"/>
      <c r="BL215" s="132"/>
    </row>
    <row r="216" spans="2:64" x14ac:dyDescent="0.2">
      <c r="B216" s="81">
        <v>98226</v>
      </c>
      <c r="C216" s="62" t="s">
        <v>345</v>
      </c>
      <c r="D216" s="46">
        <v>372</v>
      </c>
      <c r="E216" s="46">
        <v>369</v>
      </c>
      <c r="F216" s="46">
        <v>387</v>
      </c>
      <c r="H216" s="73">
        <v>98225</v>
      </c>
      <c r="I216" s="73" t="s">
        <v>10</v>
      </c>
      <c r="J216" s="75">
        <v>118108.8</v>
      </c>
      <c r="K216" s="75">
        <v>106238.45</v>
      </c>
      <c r="L216" s="75">
        <v>432086.22</v>
      </c>
      <c r="M216" s="75">
        <v>801193.19999999902</v>
      </c>
      <c r="N216" s="75">
        <v>50204.53</v>
      </c>
      <c r="O216" s="75">
        <v>91827.9</v>
      </c>
      <c r="P216" s="75">
        <v>497556.33</v>
      </c>
      <c r="Q216" s="75">
        <v>778012.09999999905</v>
      </c>
      <c r="R216" s="75">
        <v>93308.44</v>
      </c>
      <c r="S216" s="75">
        <v>36800.639999999999</v>
      </c>
      <c r="T216" s="75">
        <v>506931.73</v>
      </c>
      <c r="U216" s="75">
        <v>798043.29</v>
      </c>
      <c r="W216" s="73">
        <v>98512</v>
      </c>
      <c r="X216" s="15" t="s">
        <v>10</v>
      </c>
      <c r="Y216" s="75">
        <v>37839.06</v>
      </c>
      <c r="Z216" s="75">
        <v>37254.1</v>
      </c>
      <c r="AA216" s="75">
        <v>155560.16</v>
      </c>
      <c r="AB216" s="75">
        <v>264884.90999999997</v>
      </c>
      <c r="AC216" s="75">
        <v>29175.98</v>
      </c>
      <c r="AD216" s="75">
        <v>34004.980000000003</v>
      </c>
      <c r="AE216" s="75">
        <v>164963.50999999899</v>
      </c>
      <c r="AF216" s="75">
        <v>263134.38999999902</v>
      </c>
      <c r="AG216" s="75">
        <v>28749.34</v>
      </c>
      <c r="AH216" s="75">
        <v>25455.99</v>
      </c>
      <c r="AI216" s="75">
        <v>165188.519999999</v>
      </c>
      <c r="AJ216" s="75">
        <v>252544.24</v>
      </c>
      <c r="AV216" s="73" t="s">
        <v>170</v>
      </c>
      <c r="AW216" s="73" t="s">
        <v>10</v>
      </c>
      <c r="AX216" s="33">
        <v>1</v>
      </c>
      <c r="AY216" s="33">
        <v>3</v>
      </c>
      <c r="AZ216" s="33">
        <v>1</v>
      </c>
      <c r="BB216" s="73" t="s">
        <v>170</v>
      </c>
      <c r="BC216" s="73" t="s">
        <v>10</v>
      </c>
      <c r="BD216" s="75">
        <v>210.87</v>
      </c>
      <c r="BE216" s="75">
        <v>1235.99</v>
      </c>
      <c r="BF216" s="75"/>
      <c r="BH216" s="41"/>
      <c r="BI216" s="41"/>
      <c r="BJ216" s="132"/>
      <c r="BK216" s="132"/>
      <c r="BL216" s="132"/>
    </row>
    <row r="217" spans="2:64" x14ac:dyDescent="0.2">
      <c r="B217" s="56">
        <v>98226</v>
      </c>
      <c r="C217" s="62" t="s">
        <v>10</v>
      </c>
      <c r="D217" s="46">
        <v>3151</v>
      </c>
      <c r="E217" s="46">
        <v>3161</v>
      </c>
      <c r="F217" s="46">
        <v>3194</v>
      </c>
      <c r="H217" s="73">
        <v>98226</v>
      </c>
      <c r="I217" s="73" t="s">
        <v>345</v>
      </c>
      <c r="J217" s="75">
        <v>102926.22</v>
      </c>
      <c r="K217" s="75">
        <v>72765.08</v>
      </c>
      <c r="L217" s="75">
        <v>790399.03</v>
      </c>
      <c r="M217" s="75">
        <v>1149530.1899999899</v>
      </c>
      <c r="N217" s="75">
        <v>64504.63</v>
      </c>
      <c r="O217" s="75">
        <v>95924.73</v>
      </c>
      <c r="P217" s="75">
        <v>843410.1</v>
      </c>
      <c r="Q217" s="75">
        <v>1138630.3999999999</v>
      </c>
      <c r="R217" s="75">
        <v>69932.63</v>
      </c>
      <c r="S217" s="75">
        <v>59516.49</v>
      </c>
      <c r="T217" s="75">
        <v>908260.84</v>
      </c>
      <c r="U217" s="75">
        <v>1238881.21999999</v>
      </c>
      <c r="W217" s="73">
        <v>98513</v>
      </c>
      <c r="X217" s="15" t="s">
        <v>10</v>
      </c>
      <c r="Y217" s="75">
        <v>31973.7</v>
      </c>
      <c r="Z217" s="75">
        <v>32573.59</v>
      </c>
      <c r="AA217" s="75">
        <v>136293.29</v>
      </c>
      <c r="AB217" s="75">
        <v>237793.14</v>
      </c>
      <c r="AC217" s="75">
        <v>25382.35</v>
      </c>
      <c r="AD217" s="75">
        <v>26853.71</v>
      </c>
      <c r="AE217" s="75">
        <v>141678.109999999</v>
      </c>
      <c r="AF217" s="75">
        <v>228330.27</v>
      </c>
      <c r="AG217" s="75">
        <v>25447.040000000001</v>
      </c>
      <c r="AH217" s="75">
        <v>19959.84</v>
      </c>
      <c r="AI217" s="75">
        <v>134874.57</v>
      </c>
      <c r="AJ217" s="75">
        <v>211866.87</v>
      </c>
      <c r="AV217" s="73" t="s">
        <v>171</v>
      </c>
      <c r="AW217" s="73" t="s">
        <v>345</v>
      </c>
      <c r="AX217" s="33"/>
      <c r="AY217" s="33">
        <v>2</v>
      </c>
      <c r="AZ217" s="33"/>
      <c r="BB217" s="73" t="s">
        <v>171</v>
      </c>
      <c r="BC217" s="73" t="s">
        <v>345</v>
      </c>
      <c r="BD217" s="75"/>
      <c r="BE217" s="75">
        <v>2929.42</v>
      </c>
      <c r="BF217" s="75"/>
      <c r="BH217" s="41"/>
      <c r="BI217" s="41"/>
      <c r="BJ217" s="132"/>
      <c r="BK217" s="132"/>
      <c r="BL217" s="132"/>
    </row>
    <row r="218" spans="2:64" x14ac:dyDescent="0.2">
      <c r="B218" s="81">
        <v>98229</v>
      </c>
      <c r="C218" s="62" t="s">
        <v>345</v>
      </c>
      <c r="D218" s="46">
        <v>86</v>
      </c>
      <c r="E218" s="46">
        <v>89</v>
      </c>
      <c r="F218" s="46">
        <v>91</v>
      </c>
      <c r="H218" s="73">
        <v>98226</v>
      </c>
      <c r="I218" s="73" t="s">
        <v>10</v>
      </c>
      <c r="J218" s="75">
        <v>194610.07</v>
      </c>
      <c r="K218" s="75">
        <v>149353.68</v>
      </c>
      <c r="L218" s="75">
        <v>772928.03999999899</v>
      </c>
      <c r="M218" s="75">
        <v>1335875.79</v>
      </c>
      <c r="N218" s="75">
        <v>126584.6</v>
      </c>
      <c r="O218" s="75">
        <v>153812.67000000001</v>
      </c>
      <c r="P218" s="75">
        <v>819897.56</v>
      </c>
      <c r="Q218" s="75">
        <v>1365443.6799999899</v>
      </c>
      <c r="R218" s="75">
        <v>163800.25</v>
      </c>
      <c r="S218" s="75">
        <v>99999.13</v>
      </c>
      <c r="T218" s="75">
        <v>867960.28999999899</v>
      </c>
      <c r="U218" s="75">
        <v>1363775.6399999899</v>
      </c>
      <c r="W218" s="73">
        <v>98516</v>
      </c>
      <c r="X218" s="15" t="s">
        <v>10</v>
      </c>
      <c r="Y218" s="75">
        <v>25696.06</v>
      </c>
      <c r="Z218" s="75">
        <v>26809.57</v>
      </c>
      <c r="AA218" s="75">
        <v>116444.469999999</v>
      </c>
      <c r="AB218" s="75">
        <v>193099.41</v>
      </c>
      <c r="AC218" s="75">
        <v>19218.48</v>
      </c>
      <c r="AD218" s="75">
        <v>21289.81</v>
      </c>
      <c r="AE218" s="75">
        <v>120534.18</v>
      </c>
      <c r="AF218" s="75">
        <v>187571.68</v>
      </c>
      <c r="AG218" s="75">
        <v>21661.82</v>
      </c>
      <c r="AH218" s="75">
        <v>15664.39</v>
      </c>
      <c r="AI218" s="75">
        <v>106130.63</v>
      </c>
      <c r="AJ218" s="75">
        <v>169123.75</v>
      </c>
      <c r="AV218" s="73" t="s">
        <v>171</v>
      </c>
      <c r="AW218" s="73" t="s">
        <v>10</v>
      </c>
      <c r="AX218" s="33">
        <v>1</v>
      </c>
      <c r="AY218" s="33">
        <v>2</v>
      </c>
      <c r="AZ218" s="33"/>
      <c r="BB218" s="73" t="s">
        <v>171</v>
      </c>
      <c r="BC218" s="73" t="s">
        <v>10</v>
      </c>
      <c r="BD218" s="75">
        <v>1802.79</v>
      </c>
      <c r="BE218" s="75">
        <v>1077.72</v>
      </c>
      <c r="BF218" s="75"/>
      <c r="BH218" s="41"/>
      <c r="BI218" s="41"/>
      <c r="BJ218" s="132"/>
      <c r="BK218" s="132"/>
      <c r="BL218" s="132"/>
    </row>
    <row r="219" spans="2:64" x14ac:dyDescent="0.2">
      <c r="B219" s="56">
        <v>98229</v>
      </c>
      <c r="C219" s="62" t="s">
        <v>10</v>
      </c>
      <c r="D219" s="46">
        <v>1561</v>
      </c>
      <c r="E219" s="46">
        <v>1475</v>
      </c>
      <c r="F219" s="46">
        <v>1511</v>
      </c>
      <c r="H219" s="73">
        <v>98229</v>
      </c>
      <c r="I219" s="73" t="s">
        <v>345</v>
      </c>
      <c r="J219" s="75">
        <v>3802.14</v>
      </c>
      <c r="K219" s="75">
        <v>4201.21</v>
      </c>
      <c r="L219" s="75">
        <v>30444.93</v>
      </c>
      <c r="M219" s="75">
        <v>45590.409999999902</v>
      </c>
      <c r="N219" s="75">
        <v>2368.5</v>
      </c>
      <c r="O219" s="75">
        <v>3015.11</v>
      </c>
      <c r="P219" s="75">
        <v>32529</v>
      </c>
      <c r="Q219" s="75">
        <v>51064.1</v>
      </c>
      <c r="R219" s="75">
        <v>5284.83</v>
      </c>
      <c r="S219" s="75">
        <v>2021.08</v>
      </c>
      <c r="T219" s="75">
        <v>34502.209999999897</v>
      </c>
      <c r="U219" s="75">
        <v>47101.139999999898</v>
      </c>
      <c r="W219" s="73">
        <v>98530</v>
      </c>
      <c r="X219" s="15" t="s">
        <v>10</v>
      </c>
      <c r="Y219" s="75"/>
      <c r="Z219" s="75">
        <v>2998.84</v>
      </c>
      <c r="AA219" s="75">
        <v>7736.92</v>
      </c>
      <c r="AB219" s="75">
        <v>16751.509999999998</v>
      </c>
      <c r="AC219" s="75">
        <v>5109.17</v>
      </c>
      <c r="AD219" s="75"/>
      <c r="AE219" s="75">
        <v>9315.5</v>
      </c>
      <c r="AF219" s="75">
        <v>14424.67</v>
      </c>
      <c r="AG219" s="75"/>
      <c r="AH219" s="75">
        <v>4655.41</v>
      </c>
      <c r="AI219" s="75">
        <v>8934.75</v>
      </c>
      <c r="AJ219" s="75">
        <v>17372.16</v>
      </c>
      <c r="AV219" s="73" t="s">
        <v>314</v>
      </c>
      <c r="AW219" s="73" t="s">
        <v>10</v>
      </c>
      <c r="AX219" s="33">
        <v>12</v>
      </c>
      <c r="AY219" s="33">
        <v>15</v>
      </c>
      <c r="AZ219" s="33">
        <v>15</v>
      </c>
      <c r="BB219" s="73" t="s">
        <v>314</v>
      </c>
      <c r="BC219" s="73" t="s">
        <v>10</v>
      </c>
      <c r="BD219" s="75">
        <v>6077.87</v>
      </c>
      <c r="BE219" s="75">
        <v>3015.12</v>
      </c>
      <c r="BF219" s="75">
        <v>3771.76</v>
      </c>
      <c r="BH219" s="41"/>
      <c r="BI219" s="41"/>
      <c r="BJ219" s="132"/>
      <c r="BK219" s="132"/>
      <c r="BL219" s="132"/>
    </row>
    <row r="220" spans="2:64" x14ac:dyDescent="0.2">
      <c r="B220" s="81">
        <v>98230</v>
      </c>
      <c r="C220" s="62" t="s">
        <v>345</v>
      </c>
      <c r="D220" s="46">
        <v>100</v>
      </c>
      <c r="E220" s="46">
        <v>91</v>
      </c>
      <c r="F220" s="46">
        <v>121</v>
      </c>
      <c r="H220" s="73">
        <v>98229</v>
      </c>
      <c r="I220" s="73" t="s">
        <v>10</v>
      </c>
      <c r="J220" s="75">
        <v>92229.16</v>
      </c>
      <c r="K220" s="75">
        <v>85185.58</v>
      </c>
      <c r="L220" s="75">
        <v>333429.81</v>
      </c>
      <c r="M220" s="75">
        <v>633799.45999999903</v>
      </c>
      <c r="N220" s="75">
        <v>52590.13</v>
      </c>
      <c r="O220" s="75">
        <v>69998.509999999995</v>
      </c>
      <c r="P220" s="75">
        <v>355177.49</v>
      </c>
      <c r="Q220" s="75">
        <v>576037.75999999896</v>
      </c>
      <c r="R220" s="75">
        <v>66794.7</v>
      </c>
      <c r="S220" s="75">
        <v>37458.300000000003</v>
      </c>
      <c r="T220" s="75">
        <v>350581.94</v>
      </c>
      <c r="U220" s="75">
        <v>552306.24</v>
      </c>
      <c r="W220" s="73">
        <v>98531</v>
      </c>
      <c r="X220" s="15" t="s">
        <v>10</v>
      </c>
      <c r="Y220" s="75">
        <v>4768.22</v>
      </c>
      <c r="Z220" s="75">
        <v>6382.77</v>
      </c>
      <c r="AA220" s="75">
        <v>24725.1</v>
      </c>
      <c r="AB220" s="75">
        <v>43449.82</v>
      </c>
      <c r="AC220" s="75">
        <v>6084.52</v>
      </c>
      <c r="AD220" s="75">
        <v>3551.43</v>
      </c>
      <c r="AE220" s="75">
        <v>27108.720000000001</v>
      </c>
      <c r="AF220" s="75">
        <v>39957.5</v>
      </c>
      <c r="AG220" s="75">
        <v>3057.35</v>
      </c>
      <c r="AH220" s="75">
        <v>5961.74</v>
      </c>
      <c r="AI220" s="75">
        <v>28640.639999999999</v>
      </c>
      <c r="AJ220" s="75">
        <v>44142.9</v>
      </c>
      <c r="AV220" s="73" t="s">
        <v>172</v>
      </c>
      <c r="AW220" s="73" t="s">
        <v>345</v>
      </c>
      <c r="AX220" s="33"/>
      <c r="AY220" s="33">
        <v>1</v>
      </c>
      <c r="AZ220" s="33"/>
      <c r="BB220" s="73" t="s">
        <v>172</v>
      </c>
      <c r="BC220" s="73" t="s">
        <v>345</v>
      </c>
      <c r="BD220" s="75"/>
      <c r="BE220" s="75">
        <v>261.20999999999998</v>
      </c>
      <c r="BF220" s="75"/>
      <c r="BH220" s="41"/>
      <c r="BI220" s="41"/>
      <c r="BJ220" s="132"/>
      <c r="BK220" s="132"/>
      <c r="BL220" s="132"/>
    </row>
    <row r="221" spans="2:64" x14ac:dyDescent="0.2">
      <c r="B221" s="56">
        <v>98230</v>
      </c>
      <c r="C221" s="62" t="s">
        <v>10</v>
      </c>
      <c r="D221" s="46">
        <v>1188</v>
      </c>
      <c r="E221" s="46">
        <v>1137</v>
      </c>
      <c r="F221" s="46">
        <v>1204</v>
      </c>
      <c r="H221" s="73">
        <v>98230</v>
      </c>
      <c r="I221" s="73" t="s">
        <v>345</v>
      </c>
      <c r="J221" s="75">
        <v>47033.34</v>
      </c>
      <c r="K221" s="75">
        <v>50773.16</v>
      </c>
      <c r="L221" s="75">
        <v>1067205.9099999999</v>
      </c>
      <c r="M221" s="75">
        <v>1237832.3699999901</v>
      </c>
      <c r="N221" s="75">
        <v>45371.76</v>
      </c>
      <c r="O221" s="75">
        <v>45592.57</v>
      </c>
      <c r="P221" s="75">
        <v>1079021.83</v>
      </c>
      <c r="Q221" s="75">
        <v>1253752.53</v>
      </c>
      <c r="R221" s="75">
        <v>46970.2</v>
      </c>
      <c r="S221" s="75">
        <v>44368.99</v>
      </c>
      <c r="T221" s="75">
        <v>1085671.48</v>
      </c>
      <c r="U221" s="75">
        <v>1256749.33</v>
      </c>
      <c r="W221" s="73">
        <v>98532</v>
      </c>
      <c r="X221" s="15" t="s">
        <v>10</v>
      </c>
      <c r="Y221" s="75">
        <v>1865.08</v>
      </c>
      <c r="Z221" s="75">
        <v>719.29</v>
      </c>
      <c r="AA221" s="75">
        <v>4887.91</v>
      </c>
      <c r="AB221" s="75">
        <v>7970.8199999999897</v>
      </c>
      <c r="AC221" s="75">
        <v>498.54</v>
      </c>
      <c r="AD221" s="75">
        <v>1865.08</v>
      </c>
      <c r="AE221" s="75">
        <v>5184.13</v>
      </c>
      <c r="AF221" s="75">
        <v>7868.18</v>
      </c>
      <c r="AG221" s="75">
        <v>294.05</v>
      </c>
      <c r="AH221" s="75">
        <v>469.55</v>
      </c>
      <c r="AI221" s="75">
        <v>6621.46</v>
      </c>
      <c r="AJ221" s="75">
        <v>7630.08</v>
      </c>
      <c r="AV221" s="73" t="s">
        <v>172</v>
      </c>
      <c r="AW221" s="73" t="s">
        <v>10</v>
      </c>
      <c r="AX221" s="33">
        <v>4</v>
      </c>
      <c r="AY221" s="33">
        <v>1</v>
      </c>
      <c r="AZ221" s="33">
        <v>3</v>
      </c>
      <c r="BB221" s="73" t="s">
        <v>172</v>
      </c>
      <c r="BC221" s="73" t="s">
        <v>10</v>
      </c>
      <c r="BD221" s="75">
        <v>3631.56</v>
      </c>
      <c r="BE221" s="75">
        <v>117.82</v>
      </c>
      <c r="BF221" s="75">
        <v>832.57</v>
      </c>
      <c r="BH221" s="41"/>
      <c r="BI221" s="41"/>
      <c r="BJ221" s="132"/>
      <c r="BK221" s="132"/>
      <c r="BL221" s="132"/>
    </row>
    <row r="222" spans="2:64" x14ac:dyDescent="0.2">
      <c r="B222" s="81">
        <v>98232</v>
      </c>
      <c r="C222" s="62" t="s">
        <v>345</v>
      </c>
      <c r="D222" s="46">
        <v>33</v>
      </c>
      <c r="E222" s="46">
        <v>25</v>
      </c>
      <c r="F222" s="46">
        <v>26</v>
      </c>
      <c r="H222" s="73">
        <v>98230</v>
      </c>
      <c r="I222" s="73" t="s">
        <v>10</v>
      </c>
      <c r="J222" s="75">
        <v>53593.5</v>
      </c>
      <c r="K222" s="75">
        <v>43594.63</v>
      </c>
      <c r="L222" s="75">
        <v>227251.61</v>
      </c>
      <c r="M222" s="75">
        <v>401514.7</v>
      </c>
      <c r="N222" s="75">
        <v>38325.519999999997</v>
      </c>
      <c r="O222" s="75">
        <v>38796.26</v>
      </c>
      <c r="P222" s="75">
        <v>234261.06999999899</v>
      </c>
      <c r="Q222" s="75">
        <v>398522.94999999902</v>
      </c>
      <c r="R222" s="75">
        <v>43061.8</v>
      </c>
      <c r="S222" s="75">
        <v>30369.13</v>
      </c>
      <c r="T222" s="75">
        <v>244716.35</v>
      </c>
      <c r="U222" s="75">
        <v>408183.26999999897</v>
      </c>
      <c r="W222" s="73">
        <v>98558</v>
      </c>
      <c r="X222" s="15" t="s">
        <v>10</v>
      </c>
      <c r="Y222" s="75">
        <v>124.11</v>
      </c>
      <c r="Z222" s="75">
        <v>468.59</v>
      </c>
      <c r="AA222" s="75">
        <v>43.12</v>
      </c>
      <c r="AB222" s="75">
        <v>727.13</v>
      </c>
      <c r="AC222" s="75"/>
      <c r="AD222" s="75">
        <v>91.31</v>
      </c>
      <c r="AE222" s="75">
        <v>635.81999999999903</v>
      </c>
      <c r="AF222" s="75">
        <v>845.22</v>
      </c>
      <c r="AG222" s="75"/>
      <c r="AH222" s="75"/>
      <c r="AI222" s="75"/>
      <c r="AJ222" s="75"/>
      <c r="AV222" s="73" t="s">
        <v>173</v>
      </c>
      <c r="AW222" s="73" t="s">
        <v>10</v>
      </c>
      <c r="AX222" s="33">
        <v>1</v>
      </c>
      <c r="AY222" s="33">
        <v>2</v>
      </c>
      <c r="AZ222" s="33">
        <v>2</v>
      </c>
      <c r="BB222" s="73" t="s">
        <v>173</v>
      </c>
      <c r="BC222" s="73" t="s">
        <v>10</v>
      </c>
      <c r="BD222" s="75">
        <v>169.55</v>
      </c>
      <c r="BE222" s="75">
        <v>2787.19</v>
      </c>
      <c r="BF222" s="75">
        <v>230.24</v>
      </c>
      <c r="BH222" s="41"/>
      <c r="BI222" s="41"/>
      <c r="BJ222" s="132"/>
      <c r="BK222" s="132"/>
      <c r="BL222" s="132"/>
    </row>
    <row r="223" spans="2:64" x14ac:dyDescent="0.2">
      <c r="B223" s="56">
        <v>98232</v>
      </c>
      <c r="C223" s="62" t="s">
        <v>10</v>
      </c>
      <c r="D223" s="46">
        <v>155</v>
      </c>
      <c r="E223" s="46">
        <v>151</v>
      </c>
      <c r="F223" s="46">
        <v>159</v>
      </c>
      <c r="H223" s="73">
        <v>98232</v>
      </c>
      <c r="I223" s="73" t="s">
        <v>345</v>
      </c>
      <c r="J223" s="75">
        <v>1382.72</v>
      </c>
      <c r="K223" s="75">
        <v>1673.76</v>
      </c>
      <c r="L223" s="75">
        <v>6747.46</v>
      </c>
      <c r="M223" s="75">
        <v>18606.5999999999</v>
      </c>
      <c r="N223" s="75">
        <v>6313.79</v>
      </c>
      <c r="O223" s="75">
        <v>522.33000000000004</v>
      </c>
      <c r="P223" s="75">
        <v>5836.35</v>
      </c>
      <c r="Q223" s="75">
        <v>16077.0199999999</v>
      </c>
      <c r="R223" s="75">
        <v>3137.65</v>
      </c>
      <c r="S223" s="75">
        <v>2125.85</v>
      </c>
      <c r="T223" s="75">
        <v>5311.55</v>
      </c>
      <c r="U223" s="75">
        <v>15142.42</v>
      </c>
      <c r="W223" s="73">
        <v>98568</v>
      </c>
      <c r="X223" s="15" t="s">
        <v>10</v>
      </c>
      <c r="Y223" s="75"/>
      <c r="Z223" s="75"/>
      <c r="AA223" s="75"/>
      <c r="AB223" s="75">
        <v>380.46</v>
      </c>
      <c r="AC223" s="75"/>
      <c r="AD223" s="75"/>
      <c r="AE223" s="75"/>
      <c r="AF223" s="75"/>
      <c r="AG223" s="75"/>
      <c r="AH223" s="75"/>
      <c r="AI223" s="75"/>
      <c r="AJ223" s="75">
        <v>147.47</v>
      </c>
      <c r="AV223" s="73" t="s">
        <v>174</v>
      </c>
      <c r="AW223" s="73" t="s">
        <v>10</v>
      </c>
      <c r="AX223" s="33"/>
      <c r="AY223" s="33">
        <v>1</v>
      </c>
      <c r="AZ223" s="33">
        <v>1</v>
      </c>
      <c r="BB223" s="73" t="s">
        <v>174</v>
      </c>
      <c r="BC223" s="73" t="s">
        <v>10</v>
      </c>
      <c r="BD223" s="75"/>
      <c r="BE223" s="75">
        <v>812.04</v>
      </c>
      <c r="BF223" s="75">
        <v>128.08000000000001</v>
      </c>
      <c r="BH223" s="41"/>
      <c r="BI223" s="41"/>
      <c r="BJ223" s="132"/>
      <c r="BK223" s="132"/>
      <c r="BL223" s="132"/>
    </row>
    <row r="224" spans="2:64" x14ac:dyDescent="0.2">
      <c r="B224" s="81">
        <v>98233</v>
      </c>
      <c r="C224" s="62" t="s">
        <v>345</v>
      </c>
      <c r="D224" s="46">
        <v>87</v>
      </c>
      <c r="E224" s="46">
        <v>94</v>
      </c>
      <c r="F224" s="46">
        <v>98</v>
      </c>
      <c r="H224" s="73">
        <v>98232</v>
      </c>
      <c r="I224" s="73" t="s">
        <v>10</v>
      </c>
      <c r="J224" s="75">
        <v>15315.19</v>
      </c>
      <c r="K224" s="75">
        <v>11324.07</v>
      </c>
      <c r="L224" s="75">
        <v>48682.43</v>
      </c>
      <c r="M224" s="75">
        <v>93766.88</v>
      </c>
      <c r="N224" s="75">
        <v>11614.42</v>
      </c>
      <c r="O224" s="75">
        <v>8913.5499999999993</v>
      </c>
      <c r="P224" s="75">
        <v>49260.79</v>
      </c>
      <c r="Q224" s="75">
        <v>84830.94</v>
      </c>
      <c r="R224" s="75">
        <v>8848.24</v>
      </c>
      <c r="S224" s="75">
        <v>8010.67</v>
      </c>
      <c r="T224" s="75">
        <v>48453.69</v>
      </c>
      <c r="U224" s="75">
        <v>83119.460000000006</v>
      </c>
      <c r="W224" s="73">
        <v>98576</v>
      </c>
      <c r="X224" s="15" t="s">
        <v>10</v>
      </c>
      <c r="Y224" s="75">
        <v>11095.69</v>
      </c>
      <c r="Z224" s="75">
        <v>6710.74</v>
      </c>
      <c r="AA224" s="75">
        <v>52064.72</v>
      </c>
      <c r="AB224" s="75">
        <v>77683.64</v>
      </c>
      <c r="AC224" s="75">
        <v>5493.17</v>
      </c>
      <c r="AD224" s="75">
        <v>6751.62</v>
      </c>
      <c r="AE224" s="75">
        <v>52292.7599999999</v>
      </c>
      <c r="AF224" s="75">
        <v>71744.67</v>
      </c>
      <c r="AG224" s="75">
        <v>5601.6</v>
      </c>
      <c r="AH224" s="75">
        <v>5101.96</v>
      </c>
      <c r="AI224" s="75">
        <v>56848.7</v>
      </c>
      <c r="AJ224" s="75">
        <v>75399.94</v>
      </c>
      <c r="AV224" s="73" t="s">
        <v>175</v>
      </c>
      <c r="AW224" s="73" t="s">
        <v>345</v>
      </c>
      <c r="AX224" s="33">
        <v>3</v>
      </c>
      <c r="AY224" s="33">
        <v>1</v>
      </c>
      <c r="AZ224" s="33"/>
      <c r="BB224" s="73" t="s">
        <v>175</v>
      </c>
      <c r="BC224" s="73" t="s">
        <v>345</v>
      </c>
      <c r="BD224" s="75">
        <v>245.32</v>
      </c>
      <c r="BE224" s="75">
        <v>0.15</v>
      </c>
      <c r="BF224" s="75"/>
      <c r="BH224" s="41"/>
      <c r="BI224" s="41"/>
      <c r="BJ224" s="132"/>
      <c r="BK224" s="132"/>
      <c r="BL224" s="132"/>
    </row>
    <row r="225" spans="2:64" x14ac:dyDescent="0.2">
      <c r="B225" s="56">
        <v>98233</v>
      </c>
      <c r="C225" s="62" t="s">
        <v>10</v>
      </c>
      <c r="D225" s="46">
        <v>870</v>
      </c>
      <c r="E225" s="46">
        <v>874</v>
      </c>
      <c r="F225" s="46">
        <v>879</v>
      </c>
      <c r="H225" s="73">
        <v>98233</v>
      </c>
      <c r="I225" s="73" t="s">
        <v>345</v>
      </c>
      <c r="J225" s="75">
        <v>12460.08</v>
      </c>
      <c r="K225" s="75">
        <v>15274.38</v>
      </c>
      <c r="L225" s="75">
        <v>159760.97</v>
      </c>
      <c r="M225" s="75">
        <v>217699.09</v>
      </c>
      <c r="N225" s="75">
        <v>5036.21</v>
      </c>
      <c r="O225" s="75">
        <v>5961.58</v>
      </c>
      <c r="P225" s="75">
        <v>177296.59</v>
      </c>
      <c r="Q225" s="75">
        <v>233399.62</v>
      </c>
      <c r="R225" s="75">
        <v>7796.48</v>
      </c>
      <c r="S225" s="75">
        <v>4040.22</v>
      </c>
      <c r="T225" s="75">
        <v>174124.59</v>
      </c>
      <c r="U225" s="75">
        <v>222407.24</v>
      </c>
      <c r="W225" s="73">
        <v>98579</v>
      </c>
      <c r="X225" s="15" t="s">
        <v>10</v>
      </c>
      <c r="Y225" s="75">
        <v>22841.06</v>
      </c>
      <c r="Z225" s="75">
        <v>19160.830000000002</v>
      </c>
      <c r="AA225" s="75">
        <v>100207.59</v>
      </c>
      <c r="AB225" s="75">
        <v>161296.84</v>
      </c>
      <c r="AC225" s="75">
        <v>14036.8</v>
      </c>
      <c r="AD225" s="75">
        <v>20361.310000000001</v>
      </c>
      <c r="AE225" s="75">
        <v>105834.08</v>
      </c>
      <c r="AF225" s="75">
        <v>159091.96999999901</v>
      </c>
      <c r="AG225" s="75">
        <v>14772.74</v>
      </c>
      <c r="AH225" s="75">
        <v>11989.38</v>
      </c>
      <c r="AI225" s="75">
        <v>120849.05999999899</v>
      </c>
      <c r="AJ225" s="75">
        <v>166686.03999999899</v>
      </c>
      <c r="AV225" s="73" t="s">
        <v>175</v>
      </c>
      <c r="AW225" s="73" t="s">
        <v>10</v>
      </c>
      <c r="AX225" s="33">
        <v>13</v>
      </c>
      <c r="AY225" s="33">
        <v>10</v>
      </c>
      <c r="AZ225" s="33">
        <v>20</v>
      </c>
      <c r="BB225" s="73" t="s">
        <v>175</v>
      </c>
      <c r="BC225" s="73" t="s">
        <v>10</v>
      </c>
      <c r="BD225" s="75">
        <v>13058.28</v>
      </c>
      <c r="BE225" s="75">
        <v>4825.2</v>
      </c>
      <c r="BF225" s="75">
        <v>11392.78</v>
      </c>
      <c r="BH225" s="41"/>
      <c r="BI225" s="41"/>
      <c r="BJ225" s="132"/>
      <c r="BK225" s="132"/>
      <c r="BL225" s="132"/>
    </row>
    <row r="226" spans="2:64" x14ac:dyDescent="0.2">
      <c r="B226" s="81">
        <v>98235</v>
      </c>
      <c r="C226" s="62" t="s">
        <v>345</v>
      </c>
      <c r="D226" s="46">
        <v>5</v>
      </c>
      <c r="E226" s="46">
        <v>5</v>
      </c>
      <c r="F226" s="46">
        <v>4</v>
      </c>
      <c r="H226" s="73">
        <v>98233</v>
      </c>
      <c r="I226" s="73" t="s">
        <v>10</v>
      </c>
      <c r="J226" s="75">
        <v>53807.56</v>
      </c>
      <c r="K226" s="75">
        <v>45242.53</v>
      </c>
      <c r="L226" s="75">
        <v>190736.87</v>
      </c>
      <c r="M226" s="75">
        <v>349940.77999999898</v>
      </c>
      <c r="N226" s="75">
        <v>8622.89</v>
      </c>
      <c r="O226" s="75">
        <v>40473.24</v>
      </c>
      <c r="P226" s="75">
        <v>230598.27</v>
      </c>
      <c r="Q226" s="75">
        <v>343323.66999999899</v>
      </c>
      <c r="R226" s="75">
        <v>40659.24</v>
      </c>
      <c r="S226" s="75">
        <v>4509.5200000000004</v>
      </c>
      <c r="T226" s="75">
        <v>231050.96999999901</v>
      </c>
      <c r="U226" s="75">
        <v>336915.57999999903</v>
      </c>
      <c r="W226" s="73">
        <v>98580</v>
      </c>
      <c r="X226" s="15" t="s">
        <v>10</v>
      </c>
      <c r="Y226" s="75">
        <v>9771.66</v>
      </c>
      <c r="Z226" s="75">
        <v>9822.2199999999993</v>
      </c>
      <c r="AA226" s="75">
        <v>48065.069999999898</v>
      </c>
      <c r="AB226" s="75">
        <v>76641.899999999994</v>
      </c>
      <c r="AC226" s="75">
        <v>3654.32</v>
      </c>
      <c r="AD226" s="75">
        <v>7622.65</v>
      </c>
      <c r="AE226" s="75">
        <v>54623.74</v>
      </c>
      <c r="AF226" s="75">
        <v>73619.399999999994</v>
      </c>
      <c r="AG226" s="75">
        <v>6088.56</v>
      </c>
      <c r="AH226" s="75">
        <v>2984.22</v>
      </c>
      <c r="AI226" s="75">
        <v>59358.43</v>
      </c>
      <c r="AJ226" s="75">
        <v>76170.099999999904</v>
      </c>
      <c r="AV226" s="73" t="s">
        <v>176</v>
      </c>
      <c r="AW226" s="73" t="s">
        <v>10</v>
      </c>
      <c r="AX226" s="33">
        <v>7</v>
      </c>
      <c r="AY226" s="33">
        <v>7</v>
      </c>
      <c r="AZ226" s="33">
        <v>9</v>
      </c>
      <c r="BB226" s="73" t="s">
        <v>176</v>
      </c>
      <c r="BC226" s="73" t="s">
        <v>10</v>
      </c>
      <c r="BD226" s="75">
        <v>5607.8</v>
      </c>
      <c r="BE226" s="75">
        <v>17166.650000000001</v>
      </c>
      <c r="BF226" s="75">
        <v>4497.96</v>
      </c>
      <c r="BH226" s="41"/>
      <c r="BI226" s="41"/>
      <c r="BJ226" s="132"/>
      <c r="BK226" s="132"/>
      <c r="BL226" s="132"/>
    </row>
    <row r="227" spans="2:64" x14ac:dyDescent="0.2">
      <c r="B227" s="56">
        <v>98235</v>
      </c>
      <c r="C227" s="62" t="s">
        <v>10</v>
      </c>
      <c r="D227" s="46">
        <v>26</v>
      </c>
      <c r="E227" s="46">
        <v>16</v>
      </c>
      <c r="F227" s="46">
        <v>22</v>
      </c>
      <c r="H227" s="73">
        <v>98235</v>
      </c>
      <c r="I227" s="73" t="s">
        <v>345</v>
      </c>
      <c r="J227" s="75">
        <v>193.06</v>
      </c>
      <c r="K227" s="75">
        <v>28.71</v>
      </c>
      <c r="L227" s="75">
        <v>1810.83</v>
      </c>
      <c r="M227" s="75">
        <v>2242.98</v>
      </c>
      <c r="N227" s="75">
        <v>195.96</v>
      </c>
      <c r="O227" s="75">
        <v>178.64</v>
      </c>
      <c r="P227" s="75">
        <v>1625.09</v>
      </c>
      <c r="Q227" s="75">
        <v>2163.9</v>
      </c>
      <c r="R227" s="75">
        <v>164.21</v>
      </c>
      <c r="S227" s="75">
        <v>14.23</v>
      </c>
      <c r="T227" s="75">
        <v>1803.73</v>
      </c>
      <c r="U227" s="75">
        <v>2076.2600000000002</v>
      </c>
      <c r="W227" s="73">
        <v>98589</v>
      </c>
      <c r="X227" s="15" t="s">
        <v>10</v>
      </c>
      <c r="Y227" s="75">
        <v>18893.53</v>
      </c>
      <c r="Z227" s="75">
        <v>12316.83</v>
      </c>
      <c r="AA227" s="75">
        <v>44889.06</v>
      </c>
      <c r="AB227" s="75">
        <v>89116.219999999899</v>
      </c>
      <c r="AC227" s="75">
        <v>10874.73</v>
      </c>
      <c r="AD227" s="75">
        <v>16001.44</v>
      </c>
      <c r="AE227" s="75">
        <v>40357.51</v>
      </c>
      <c r="AF227" s="75">
        <v>80470.039999999994</v>
      </c>
      <c r="AG227" s="75">
        <v>11640.38</v>
      </c>
      <c r="AH227" s="75">
        <v>9976.86</v>
      </c>
      <c r="AI227" s="75">
        <v>51580.31</v>
      </c>
      <c r="AJ227" s="75">
        <v>82698.27</v>
      </c>
      <c r="AV227" s="73" t="s">
        <v>177</v>
      </c>
      <c r="AW227" s="73" t="s">
        <v>10</v>
      </c>
      <c r="AX227" s="33"/>
      <c r="AY227" s="33"/>
      <c r="AZ227" s="33">
        <v>1</v>
      </c>
      <c r="BB227" s="73" t="s">
        <v>177</v>
      </c>
      <c r="BC227" s="73" t="s">
        <v>10</v>
      </c>
      <c r="BD227" s="75"/>
      <c r="BE227" s="75"/>
      <c r="BF227" s="75"/>
      <c r="BH227" s="41"/>
      <c r="BI227" s="41"/>
      <c r="BJ227" s="132"/>
      <c r="BK227" s="132"/>
      <c r="BL227" s="132"/>
    </row>
    <row r="228" spans="2:64" x14ac:dyDescent="0.2">
      <c r="B228" s="81">
        <v>98236</v>
      </c>
      <c r="C228" s="62" t="s">
        <v>345</v>
      </c>
      <c r="D228" s="46">
        <v>63</v>
      </c>
      <c r="E228" s="46">
        <v>46</v>
      </c>
      <c r="F228" s="46">
        <v>54</v>
      </c>
      <c r="H228" s="73">
        <v>98235</v>
      </c>
      <c r="I228" s="73" t="s">
        <v>10</v>
      </c>
      <c r="J228" s="75">
        <v>691</v>
      </c>
      <c r="K228" s="75">
        <v>3080.62</v>
      </c>
      <c r="L228" s="75">
        <v>10597.6899999999</v>
      </c>
      <c r="M228" s="75">
        <v>18674.63</v>
      </c>
      <c r="N228" s="75">
        <v>2151.2199999999998</v>
      </c>
      <c r="O228" s="75">
        <v>237.98</v>
      </c>
      <c r="P228" s="75">
        <v>9557.5299999999897</v>
      </c>
      <c r="Q228" s="75">
        <v>12328.55</v>
      </c>
      <c r="R228" s="75">
        <v>333.31</v>
      </c>
      <c r="S228" s="75">
        <v>1864.21</v>
      </c>
      <c r="T228" s="75">
        <v>9212.9099999999908</v>
      </c>
      <c r="U228" s="75">
        <v>14087.0199999999</v>
      </c>
      <c r="W228" s="73">
        <v>98591</v>
      </c>
      <c r="X228" s="15" t="s">
        <v>10</v>
      </c>
      <c r="Y228" s="75">
        <v>251.04</v>
      </c>
      <c r="Z228" s="75">
        <v>299.83</v>
      </c>
      <c r="AA228" s="75">
        <v>749.24</v>
      </c>
      <c r="AB228" s="75">
        <v>1462.3</v>
      </c>
      <c r="AC228" s="75">
        <v>162.19</v>
      </c>
      <c r="AD228" s="75">
        <v>251.04</v>
      </c>
      <c r="AE228" s="75">
        <v>1049.07</v>
      </c>
      <c r="AF228" s="75">
        <v>1576.96</v>
      </c>
      <c r="AG228" s="75">
        <v>114.66</v>
      </c>
      <c r="AH228" s="75">
        <v>162.19</v>
      </c>
      <c r="AI228" s="75">
        <v>1300.1099999999999</v>
      </c>
      <c r="AJ228" s="75">
        <v>1662.83</v>
      </c>
      <c r="AV228" s="73" t="s">
        <v>315</v>
      </c>
      <c r="AW228" s="73" t="s">
        <v>345</v>
      </c>
      <c r="AX228" s="33"/>
      <c r="AY228" s="33">
        <v>1</v>
      </c>
      <c r="AZ228" s="33">
        <v>2</v>
      </c>
      <c r="BB228" s="73" t="s">
        <v>315</v>
      </c>
      <c r="BC228" s="73" t="s">
        <v>345</v>
      </c>
      <c r="BD228" s="75"/>
      <c r="BE228" s="75">
        <v>1027.93</v>
      </c>
      <c r="BF228" s="75">
        <v>1945.24</v>
      </c>
      <c r="BH228" s="41"/>
      <c r="BI228" s="41"/>
      <c r="BJ228" s="41"/>
      <c r="BK228" s="41"/>
      <c r="BL228" s="41"/>
    </row>
    <row r="229" spans="2:64" x14ac:dyDescent="0.2">
      <c r="B229" s="56">
        <v>98236</v>
      </c>
      <c r="C229" s="62" t="s">
        <v>10</v>
      </c>
      <c r="D229" s="46">
        <v>336</v>
      </c>
      <c r="E229" s="46">
        <v>328</v>
      </c>
      <c r="F229" s="46">
        <v>336</v>
      </c>
      <c r="H229" s="73">
        <v>98236</v>
      </c>
      <c r="I229" s="73" t="s">
        <v>345</v>
      </c>
      <c r="J229" s="75">
        <v>1903.88</v>
      </c>
      <c r="K229" s="75">
        <v>1264.8</v>
      </c>
      <c r="L229" s="75">
        <v>12889.9</v>
      </c>
      <c r="M229" s="75">
        <v>25862.68</v>
      </c>
      <c r="N229" s="75">
        <v>1673.57</v>
      </c>
      <c r="O229" s="75">
        <v>1065.53</v>
      </c>
      <c r="P229" s="75">
        <v>13736.279999999901</v>
      </c>
      <c r="Q229" s="75">
        <v>21397.73</v>
      </c>
      <c r="R229" s="75">
        <v>1186.1300000000001</v>
      </c>
      <c r="S229" s="75">
        <v>967</v>
      </c>
      <c r="T229" s="75">
        <v>14242.72</v>
      </c>
      <c r="U229" s="75">
        <v>28558.7399999999</v>
      </c>
      <c r="W229" s="73">
        <v>98596</v>
      </c>
      <c r="X229" s="15" t="s">
        <v>10</v>
      </c>
      <c r="Y229" s="75">
        <v>58.55</v>
      </c>
      <c r="Z229" s="75"/>
      <c r="AA229" s="75"/>
      <c r="AB229" s="75">
        <v>80.39</v>
      </c>
      <c r="AC229" s="75">
        <v>21.84</v>
      </c>
      <c r="AD229" s="75">
        <v>58.55</v>
      </c>
      <c r="AE229" s="75"/>
      <c r="AF229" s="75">
        <v>97.39</v>
      </c>
      <c r="AG229" s="75">
        <v>17</v>
      </c>
      <c r="AH229" s="75">
        <v>21.84</v>
      </c>
      <c r="AI229" s="75">
        <v>58.55</v>
      </c>
      <c r="AJ229" s="75">
        <v>114.35</v>
      </c>
      <c r="AV229" s="73" t="s">
        <v>315</v>
      </c>
      <c r="AW229" s="73" t="s">
        <v>10</v>
      </c>
      <c r="AX229" s="33">
        <v>17</v>
      </c>
      <c r="AY229" s="33">
        <v>20</v>
      </c>
      <c r="AZ229" s="33">
        <v>19</v>
      </c>
      <c r="BB229" s="73" t="s">
        <v>315</v>
      </c>
      <c r="BC229" s="73" t="s">
        <v>10</v>
      </c>
      <c r="BD229" s="75">
        <v>5982.39</v>
      </c>
      <c r="BE229" s="75">
        <v>5951.58</v>
      </c>
      <c r="BF229" s="75">
        <v>8840.77</v>
      </c>
      <c r="BH229" s="39"/>
      <c r="BI229" s="39"/>
      <c r="BJ229" s="61"/>
      <c r="BK229" s="60"/>
      <c r="BL229" s="60"/>
    </row>
    <row r="230" spans="2:64" x14ac:dyDescent="0.2">
      <c r="B230" s="81">
        <v>98237</v>
      </c>
      <c r="C230" s="62" t="s">
        <v>345</v>
      </c>
      <c r="D230" s="46">
        <v>37</v>
      </c>
      <c r="E230" s="46">
        <v>36</v>
      </c>
      <c r="F230" s="46">
        <v>39</v>
      </c>
      <c r="H230" s="73">
        <v>98236</v>
      </c>
      <c r="I230" s="73" t="s">
        <v>10</v>
      </c>
      <c r="J230" s="75">
        <v>21371.759999999998</v>
      </c>
      <c r="K230" s="75">
        <v>20448.48</v>
      </c>
      <c r="L230" s="75">
        <v>133504.21999999901</v>
      </c>
      <c r="M230" s="75">
        <v>205142.36999999901</v>
      </c>
      <c r="N230" s="75">
        <v>15566.49</v>
      </c>
      <c r="O230" s="75">
        <v>16056.04</v>
      </c>
      <c r="P230" s="75">
        <v>134222.9</v>
      </c>
      <c r="Q230" s="75">
        <v>191921.43</v>
      </c>
      <c r="R230" s="75">
        <v>16306.85</v>
      </c>
      <c r="S230" s="75">
        <v>12372.33</v>
      </c>
      <c r="T230" s="75">
        <v>138912.56</v>
      </c>
      <c r="U230" s="75">
        <v>194948.639999999</v>
      </c>
      <c r="W230" s="73">
        <v>98597</v>
      </c>
      <c r="X230" s="15" t="s">
        <v>10</v>
      </c>
      <c r="Y230" s="75">
        <v>38472.800000000003</v>
      </c>
      <c r="Z230" s="75">
        <v>44173.51</v>
      </c>
      <c r="AA230" s="75">
        <v>230470.30999999901</v>
      </c>
      <c r="AB230" s="75">
        <v>355722.53999999899</v>
      </c>
      <c r="AC230" s="75">
        <v>31301.23</v>
      </c>
      <c r="AD230" s="75">
        <v>35849.03</v>
      </c>
      <c r="AE230" s="75">
        <v>246216.97</v>
      </c>
      <c r="AF230" s="75">
        <v>350132.86</v>
      </c>
      <c r="AG230" s="75">
        <v>30567.33</v>
      </c>
      <c r="AH230" s="75">
        <v>28498.26</v>
      </c>
      <c r="AI230" s="75">
        <v>254971.34</v>
      </c>
      <c r="AJ230" s="75">
        <v>357819.21</v>
      </c>
      <c r="AV230" s="73" t="s">
        <v>316</v>
      </c>
      <c r="AW230" s="73" t="s">
        <v>10</v>
      </c>
      <c r="AX230" s="33">
        <v>2</v>
      </c>
      <c r="AY230" s="33">
        <v>7</v>
      </c>
      <c r="AZ230" s="33"/>
      <c r="BB230" s="73" t="s">
        <v>316</v>
      </c>
      <c r="BC230" s="73" t="s">
        <v>10</v>
      </c>
      <c r="BD230" s="75">
        <v>825.15</v>
      </c>
      <c r="BE230" s="75">
        <v>4318.04</v>
      </c>
      <c r="BF230" s="75"/>
      <c r="BH230" s="39"/>
      <c r="BI230" s="39"/>
      <c r="BJ230" s="60"/>
      <c r="BK230" s="61"/>
      <c r="BL230" s="61"/>
    </row>
    <row r="231" spans="2:64" x14ac:dyDescent="0.2">
      <c r="B231" s="56">
        <v>98237</v>
      </c>
      <c r="C231" s="62" t="s">
        <v>10</v>
      </c>
      <c r="D231" s="46">
        <v>463</v>
      </c>
      <c r="E231" s="46">
        <v>444</v>
      </c>
      <c r="F231" s="46">
        <v>460</v>
      </c>
      <c r="H231" s="73">
        <v>98237</v>
      </c>
      <c r="I231" s="73" t="s">
        <v>345</v>
      </c>
      <c r="J231" s="75">
        <v>2061.25</v>
      </c>
      <c r="K231" s="75">
        <v>6687.18</v>
      </c>
      <c r="L231" s="75">
        <v>22444.769999999899</v>
      </c>
      <c r="M231" s="75">
        <v>45383.09</v>
      </c>
      <c r="N231" s="75">
        <v>4494.93</v>
      </c>
      <c r="O231" s="75">
        <v>2061.25</v>
      </c>
      <c r="P231" s="75">
        <v>28010.67</v>
      </c>
      <c r="Q231" s="75">
        <v>48285.75</v>
      </c>
      <c r="R231" s="75">
        <v>1662.77</v>
      </c>
      <c r="S231" s="75">
        <v>2392.4499999999998</v>
      </c>
      <c r="T231" s="75">
        <v>28439.31</v>
      </c>
      <c r="U231" s="75">
        <v>37530.699999999997</v>
      </c>
      <c r="W231" s="73">
        <v>98922</v>
      </c>
      <c r="X231" s="15" t="s">
        <v>10</v>
      </c>
      <c r="Y231" s="75">
        <v>13142.92</v>
      </c>
      <c r="Z231" s="75">
        <v>9395.06</v>
      </c>
      <c r="AA231" s="75">
        <v>47065.959999999897</v>
      </c>
      <c r="AB231" s="75">
        <v>78045.4399999999</v>
      </c>
      <c r="AC231" s="75">
        <v>6805.84</v>
      </c>
      <c r="AD231" s="75">
        <v>12460.52</v>
      </c>
      <c r="AE231" s="75">
        <v>53828.17</v>
      </c>
      <c r="AF231" s="75">
        <v>80607.92</v>
      </c>
      <c r="AG231" s="75">
        <v>6126.66</v>
      </c>
      <c r="AH231" s="75">
        <v>6167.41</v>
      </c>
      <c r="AI231" s="75">
        <v>56949.2599999999</v>
      </c>
      <c r="AJ231" s="75">
        <v>76417.969999999899</v>
      </c>
      <c r="AV231" s="73" t="s">
        <v>178</v>
      </c>
      <c r="AW231" s="73" t="s">
        <v>345</v>
      </c>
      <c r="AX231" s="33"/>
      <c r="AY231" s="33">
        <v>2</v>
      </c>
      <c r="AZ231" s="33">
        <v>1</v>
      </c>
      <c r="BB231" s="73" t="s">
        <v>178</v>
      </c>
      <c r="BC231" s="73" t="s">
        <v>345</v>
      </c>
      <c r="BD231" s="75"/>
      <c r="BE231" s="75">
        <v>3920.91</v>
      </c>
      <c r="BF231" s="75">
        <v>74.89</v>
      </c>
      <c r="BH231" s="39"/>
      <c r="BI231" s="39"/>
      <c r="BJ231" s="61"/>
      <c r="BK231" s="61"/>
      <c r="BL231" s="61"/>
    </row>
    <row r="232" spans="2:64" x14ac:dyDescent="0.2">
      <c r="B232" s="81">
        <v>98238</v>
      </c>
      <c r="C232" s="62" t="s">
        <v>345</v>
      </c>
      <c r="D232" s="46">
        <v>1</v>
      </c>
      <c r="E232" s="46">
        <v>7</v>
      </c>
      <c r="F232" s="46">
        <v>4</v>
      </c>
      <c r="H232" s="73">
        <v>98237</v>
      </c>
      <c r="I232" s="73" t="s">
        <v>10</v>
      </c>
      <c r="J232" s="75">
        <v>43884.71</v>
      </c>
      <c r="K232" s="75">
        <v>57118.6</v>
      </c>
      <c r="L232" s="75">
        <v>236329.92</v>
      </c>
      <c r="M232" s="75">
        <v>401500.679999999</v>
      </c>
      <c r="N232" s="75">
        <v>51113.31</v>
      </c>
      <c r="O232" s="75">
        <v>32139.919999999998</v>
      </c>
      <c r="P232" s="75">
        <v>271260.51999999897</v>
      </c>
      <c r="Q232" s="75">
        <v>395297.67</v>
      </c>
      <c r="R232" s="75">
        <v>25386.06</v>
      </c>
      <c r="S232" s="75">
        <v>43358.07</v>
      </c>
      <c r="T232" s="75">
        <v>269502.69999999902</v>
      </c>
      <c r="U232" s="75">
        <v>397253.299999999</v>
      </c>
      <c r="W232" s="73">
        <v>98925</v>
      </c>
      <c r="X232" s="15" t="s">
        <v>10</v>
      </c>
      <c r="Y232" s="75">
        <v>1444.45</v>
      </c>
      <c r="Z232" s="75">
        <v>1515.12</v>
      </c>
      <c r="AA232" s="75">
        <v>1488.14</v>
      </c>
      <c r="AB232" s="75">
        <v>6019.5999999999904</v>
      </c>
      <c r="AC232" s="75">
        <v>1058.74</v>
      </c>
      <c r="AD232" s="75">
        <v>1169.26</v>
      </c>
      <c r="AE232" s="75">
        <v>2286.2999999999902</v>
      </c>
      <c r="AF232" s="75">
        <v>5836.19</v>
      </c>
      <c r="AG232" s="75">
        <v>996.29</v>
      </c>
      <c r="AH232" s="75">
        <v>884.07</v>
      </c>
      <c r="AI232" s="75">
        <v>3455.5599999999899</v>
      </c>
      <c r="AJ232" s="75">
        <v>6892.51</v>
      </c>
      <c r="AV232" s="73" t="s">
        <v>178</v>
      </c>
      <c r="AW232" s="73" t="s">
        <v>10</v>
      </c>
      <c r="AX232" s="33">
        <v>5</v>
      </c>
      <c r="AY232" s="33">
        <v>6</v>
      </c>
      <c r="AZ232" s="33">
        <v>2</v>
      </c>
      <c r="BB232" s="73" t="s">
        <v>178</v>
      </c>
      <c r="BC232" s="73" t="s">
        <v>10</v>
      </c>
      <c r="BD232" s="75">
        <v>1906.35</v>
      </c>
      <c r="BE232" s="75">
        <v>2041.95</v>
      </c>
      <c r="BF232" s="75">
        <v>190.86</v>
      </c>
      <c r="BH232" s="38"/>
      <c r="BI232" s="39"/>
      <c r="BJ232" s="60"/>
      <c r="BK232" s="60"/>
      <c r="BL232" s="60"/>
    </row>
    <row r="233" spans="2:64" x14ac:dyDescent="0.2">
      <c r="B233" s="56">
        <v>98238</v>
      </c>
      <c r="C233" s="62" t="s">
        <v>10</v>
      </c>
      <c r="D233" s="46">
        <v>2</v>
      </c>
      <c r="E233" s="46">
        <v>6</v>
      </c>
      <c r="F233" s="46"/>
      <c r="H233" s="73">
        <v>98238</v>
      </c>
      <c r="I233" s="73" t="s">
        <v>345</v>
      </c>
      <c r="J233" s="75">
        <v>76.06</v>
      </c>
      <c r="K233" s="75"/>
      <c r="L233" s="75"/>
      <c r="M233" s="75">
        <v>76.06</v>
      </c>
      <c r="N233" s="75"/>
      <c r="O233" s="75">
        <v>76.06</v>
      </c>
      <c r="P233" s="75"/>
      <c r="Q233" s="75">
        <v>11238.41</v>
      </c>
      <c r="R233" s="75">
        <v>195.55</v>
      </c>
      <c r="S233" s="75"/>
      <c r="T233" s="75">
        <v>76.06</v>
      </c>
      <c r="U233" s="75">
        <v>1557.89</v>
      </c>
      <c r="W233" s="73">
        <v>98926</v>
      </c>
      <c r="X233" s="15" t="s">
        <v>10</v>
      </c>
      <c r="Y233" s="75">
        <v>7512.87</v>
      </c>
      <c r="Z233" s="75">
        <v>6793.39</v>
      </c>
      <c r="AA233" s="75">
        <v>30504.49</v>
      </c>
      <c r="AB233" s="75">
        <v>51365.120000000003</v>
      </c>
      <c r="AC233" s="75">
        <v>5529.85</v>
      </c>
      <c r="AD233" s="75">
        <v>6644.97</v>
      </c>
      <c r="AE233" s="75">
        <v>31909.819999999901</v>
      </c>
      <c r="AF233" s="75">
        <v>50343.639999999898</v>
      </c>
      <c r="AG233" s="75">
        <v>4303.17</v>
      </c>
      <c r="AH233" s="75">
        <v>4976.22</v>
      </c>
      <c r="AI233" s="75">
        <v>34692.4399999999</v>
      </c>
      <c r="AJ233" s="75">
        <v>48837.959999999897</v>
      </c>
      <c r="AV233" s="73" t="s">
        <v>179</v>
      </c>
      <c r="AW233" s="73" t="s">
        <v>345</v>
      </c>
      <c r="AX233" s="33">
        <v>4</v>
      </c>
      <c r="AY233" s="33">
        <v>3</v>
      </c>
      <c r="AZ233" s="33"/>
      <c r="BB233" s="73" t="s">
        <v>179</v>
      </c>
      <c r="BC233" s="73" t="s">
        <v>345</v>
      </c>
      <c r="BD233" s="75">
        <v>6214.31</v>
      </c>
      <c r="BE233" s="75">
        <v>549.80000000000007</v>
      </c>
      <c r="BF233" s="75"/>
      <c r="BH233" s="41"/>
      <c r="BI233" s="39"/>
      <c r="BJ233" s="61"/>
      <c r="BK233" s="61"/>
      <c r="BL233" s="61"/>
    </row>
    <row r="234" spans="2:64" x14ac:dyDescent="0.2">
      <c r="B234" s="81">
        <v>98239</v>
      </c>
      <c r="C234" s="62" t="s">
        <v>345</v>
      </c>
      <c r="D234" s="46">
        <v>88</v>
      </c>
      <c r="E234" s="46">
        <v>72</v>
      </c>
      <c r="F234" s="46">
        <v>76</v>
      </c>
      <c r="H234" s="73">
        <v>98238</v>
      </c>
      <c r="I234" s="73" t="s">
        <v>10</v>
      </c>
      <c r="J234" s="75">
        <v>158.49</v>
      </c>
      <c r="K234" s="75"/>
      <c r="L234" s="75"/>
      <c r="M234" s="75">
        <v>158.49</v>
      </c>
      <c r="N234" s="75"/>
      <c r="O234" s="75"/>
      <c r="P234" s="75"/>
      <c r="Q234" s="75">
        <v>1110.5899999999999</v>
      </c>
      <c r="R234" s="75"/>
      <c r="S234" s="75"/>
      <c r="T234" s="75"/>
      <c r="U234" s="75"/>
      <c r="W234" s="73">
        <v>98934</v>
      </c>
      <c r="X234" s="15" t="s">
        <v>10</v>
      </c>
      <c r="Y234" s="75">
        <v>2028.37</v>
      </c>
      <c r="Z234" s="75">
        <v>2098.08</v>
      </c>
      <c r="AA234" s="75">
        <v>4970.5799999999899</v>
      </c>
      <c r="AB234" s="75">
        <v>10834.129999999899</v>
      </c>
      <c r="AC234" s="75">
        <v>1281.9100000000001</v>
      </c>
      <c r="AD234" s="75">
        <v>1488.81</v>
      </c>
      <c r="AE234" s="75">
        <v>4921.8899999999903</v>
      </c>
      <c r="AF234" s="75">
        <v>9524.2999999999902</v>
      </c>
      <c r="AG234" s="75">
        <v>1440.51</v>
      </c>
      <c r="AH234" s="75">
        <v>1167.03</v>
      </c>
      <c r="AI234" s="75">
        <v>6296.15</v>
      </c>
      <c r="AJ234" s="75">
        <v>11114.07</v>
      </c>
      <c r="AV234" s="73" t="s">
        <v>179</v>
      </c>
      <c r="AW234" s="73" t="s">
        <v>10</v>
      </c>
      <c r="AX234" s="33">
        <v>26</v>
      </c>
      <c r="AY234" s="33">
        <v>26</v>
      </c>
      <c r="AZ234" s="33">
        <v>22</v>
      </c>
      <c r="BB234" s="73" t="s">
        <v>179</v>
      </c>
      <c r="BC234" s="73" t="s">
        <v>10</v>
      </c>
      <c r="BD234" s="75">
        <v>11377.62</v>
      </c>
      <c r="BE234" s="75">
        <v>8408.43</v>
      </c>
      <c r="BF234" s="75">
        <v>5826</v>
      </c>
      <c r="BH234" s="39"/>
      <c r="BI234" s="39"/>
      <c r="BJ234" s="61"/>
      <c r="BK234" s="61"/>
      <c r="BL234" s="61"/>
    </row>
    <row r="235" spans="2:64" x14ac:dyDescent="0.2">
      <c r="B235" s="56">
        <v>98239</v>
      </c>
      <c r="C235" s="62" t="s">
        <v>10</v>
      </c>
      <c r="D235" s="46">
        <v>432</v>
      </c>
      <c r="E235" s="46">
        <v>438</v>
      </c>
      <c r="F235" s="46">
        <v>439</v>
      </c>
      <c r="H235" s="73">
        <v>98239</v>
      </c>
      <c r="I235" s="73" t="s">
        <v>345</v>
      </c>
      <c r="J235" s="75">
        <v>6063.11</v>
      </c>
      <c r="K235" s="75">
        <v>3160.76</v>
      </c>
      <c r="L235" s="75">
        <v>18026.539999999899</v>
      </c>
      <c r="M235" s="75">
        <v>39091.49</v>
      </c>
      <c r="N235" s="75">
        <v>2065.41</v>
      </c>
      <c r="O235" s="75">
        <v>2887.77</v>
      </c>
      <c r="P235" s="75">
        <v>21973.039999999899</v>
      </c>
      <c r="Q235" s="75">
        <v>45848.13</v>
      </c>
      <c r="R235" s="75">
        <v>4354.2299999999996</v>
      </c>
      <c r="S235" s="75">
        <v>170.04</v>
      </c>
      <c r="T235" s="75">
        <v>22758.47</v>
      </c>
      <c r="U235" s="75">
        <v>44954.96</v>
      </c>
      <c r="W235" s="73">
        <v>98940</v>
      </c>
      <c r="X235" s="15" t="s">
        <v>10</v>
      </c>
      <c r="Y235" s="75">
        <v>1081.3599999999999</v>
      </c>
      <c r="Z235" s="75">
        <v>1756.43</v>
      </c>
      <c r="AA235" s="75">
        <v>3883.41</v>
      </c>
      <c r="AB235" s="75">
        <v>7752.0999999999904</v>
      </c>
      <c r="AC235" s="75">
        <v>931.35</v>
      </c>
      <c r="AD235" s="75">
        <v>960.81</v>
      </c>
      <c r="AE235" s="75">
        <v>4760.3900000000003</v>
      </c>
      <c r="AF235" s="75">
        <v>7540.34</v>
      </c>
      <c r="AG235" s="75">
        <v>772.58</v>
      </c>
      <c r="AH235" s="75">
        <v>845.89</v>
      </c>
      <c r="AI235" s="75">
        <v>5719.7699999999904</v>
      </c>
      <c r="AJ235" s="75">
        <v>8021.15</v>
      </c>
      <c r="AV235" s="73" t="s">
        <v>180</v>
      </c>
      <c r="AW235" s="73" t="s">
        <v>10</v>
      </c>
      <c r="AX235" s="33">
        <v>5</v>
      </c>
      <c r="AY235" s="33">
        <v>11</v>
      </c>
      <c r="AZ235" s="33">
        <v>10</v>
      </c>
      <c r="BB235" s="73" t="s">
        <v>180</v>
      </c>
      <c r="BC235" s="73" t="s">
        <v>10</v>
      </c>
      <c r="BD235" s="75">
        <v>6927.69</v>
      </c>
      <c r="BE235" s="75">
        <v>2470.19</v>
      </c>
      <c r="BF235" s="75">
        <v>4910.21</v>
      </c>
      <c r="BH235" s="39"/>
      <c r="BI235" s="39"/>
      <c r="BJ235" s="61"/>
      <c r="BK235" s="61"/>
      <c r="BL235" s="61"/>
    </row>
    <row r="236" spans="2:64" x14ac:dyDescent="0.2">
      <c r="B236" s="81">
        <v>98240</v>
      </c>
      <c r="C236" s="62" t="s">
        <v>345</v>
      </c>
      <c r="D236" s="46">
        <v>34</v>
      </c>
      <c r="E236" s="46">
        <v>27</v>
      </c>
      <c r="F236" s="46">
        <v>28</v>
      </c>
      <c r="H236" s="73">
        <v>98239</v>
      </c>
      <c r="I236" s="73" t="s">
        <v>10</v>
      </c>
      <c r="J236" s="75">
        <v>25654.57</v>
      </c>
      <c r="K236" s="75">
        <v>24390.69</v>
      </c>
      <c r="L236" s="75">
        <v>111925.91</v>
      </c>
      <c r="M236" s="75">
        <v>199443.87999999899</v>
      </c>
      <c r="N236" s="75">
        <v>12850.42</v>
      </c>
      <c r="O236" s="75">
        <v>18126.43</v>
      </c>
      <c r="P236" s="75">
        <v>120963.849999999</v>
      </c>
      <c r="Q236" s="75">
        <v>191113.93999999901</v>
      </c>
      <c r="R236" s="75">
        <v>23904.85</v>
      </c>
      <c r="S236" s="75">
        <v>10045.9</v>
      </c>
      <c r="T236" s="75">
        <v>129771.38</v>
      </c>
      <c r="U236" s="75">
        <v>194912.94</v>
      </c>
      <c r="W236" s="73">
        <v>98941</v>
      </c>
      <c r="X236" s="15" t="s">
        <v>10</v>
      </c>
      <c r="Y236" s="75">
        <v>2345.14</v>
      </c>
      <c r="Z236" s="75">
        <v>1661.28</v>
      </c>
      <c r="AA236" s="75">
        <v>9304.1</v>
      </c>
      <c r="AB236" s="75">
        <v>15025.56</v>
      </c>
      <c r="AC236" s="75">
        <v>877.31</v>
      </c>
      <c r="AD236" s="75">
        <v>1028.71</v>
      </c>
      <c r="AE236" s="75">
        <v>8710.7099999999991</v>
      </c>
      <c r="AF236" s="75">
        <v>11677.48</v>
      </c>
      <c r="AG236" s="75">
        <v>690.69</v>
      </c>
      <c r="AH236" s="75">
        <v>809.41</v>
      </c>
      <c r="AI236" s="75">
        <v>8373.17</v>
      </c>
      <c r="AJ236" s="75">
        <v>10911.49</v>
      </c>
      <c r="AV236" s="73" t="s">
        <v>317</v>
      </c>
      <c r="AW236" s="73" t="s">
        <v>345</v>
      </c>
      <c r="AX236" s="33">
        <v>2</v>
      </c>
      <c r="AY236" s="33">
        <v>1</v>
      </c>
      <c r="AZ236" s="33"/>
      <c r="BB236" s="73" t="s">
        <v>317</v>
      </c>
      <c r="BC236" s="73" t="s">
        <v>345</v>
      </c>
      <c r="BD236" s="75">
        <v>90615.46</v>
      </c>
      <c r="BE236" s="75">
        <v>37.69</v>
      </c>
      <c r="BF236" s="75"/>
      <c r="BH236" s="39"/>
      <c r="BI236" s="39"/>
      <c r="BJ236" s="61"/>
      <c r="BK236" s="61"/>
      <c r="BL236" s="60"/>
    </row>
    <row r="237" spans="2:64" x14ac:dyDescent="0.2">
      <c r="B237" s="56">
        <v>98240</v>
      </c>
      <c r="C237" s="62" t="s">
        <v>10</v>
      </c>
      <c r="D237" s="46">
        <v>227</v>
      </c>
      <c r="E237" s="46">
        <v>226</v>
      </c>
      <c r="F237" s="46">
        <v>230</v>
      </c>
      <c r="H237" s="73">
        <v>98240</v>
      </c>
      <c r="I237" s="73" t="s">
        <v>345</v>
      </c>
      <c r="J237" s="75">
        <v>1283.6600000000001</v>
      </c>
      <c r="K237" s="75">
        <v>851.79</v>
      </c>
      <c r="L237" s="75">
        <v>9349.41</v>
      </c>
      <c r="M237" s="75">
        <v>13461.64</v>
      </c>
      <c r="N237" s="75">
        <v>1210.79</v>
      </c>
      <c r="O237" s="75">
        <v>1080.1600000000001</v>
      </c>
      <c r="P237" s="75">
        <v>8766.5300000000007</v>
      </c>
      <c r="Q237" s="75">
        <v>15663.8999999999</v>
      </c>
      <c r="R237" s="75">
        <v>3325.19</v>
      </c>
      <c r="S237" s="75">
        <v>1111.79</v>
      </c>
      <c r="T237" s="75">
        <v>8719.58</v>
      </c>
      <c r="U237" s="75">
        <v>17149.66</v>
      </c>
      <c r="W237" s="106">
        <v>98943</v>
      </c>
      <c r="X237" s="124" t="s">
        <v>10</v>
      </c>
      <c r="Y237" s="131">
        <v>2159.0100000000002</v>
      </c>
      <c r="Z237" s="131">
        <v>2824.67</v>
      </c>
      <c r="AA237" s="131">
        <v>5473.8099999999904</v>
      </c>
      <c r="AB237" s="131">
        <v>11920.379999999899</v>
      </c>
      <c r="AC237" s="131">
        <v>1277.8699999999999</v>
      </c>
      <c r="AD237" s="131">
        <v>2026.66</v>
      </c>
      <c r="AE237" s="131">
        <v>6398.48</v>
      </c>
      <c r="AF237" s="131">
        <v>10894.5</v>
      </c>
      <c r="AG237" s="131">
        <v>1191.49</v>
      </c>
      <c r="AH237" s="131">
        <v>1277.8699999999999</v>
      </c>
      <c r="AI237" s="131">
        <v>8187.1599999999899</v>
      </c>
      <c r="AJ237" s="131">
        <v>12502.289999999901</v>
      </c>
      <c r="AV237" s="73" t="s">
        <v>317</v>
      </c>
      <c r="AW237" s="73" t="s">
        <v>10</v>
      </c>
      <c r="AX237" s="33">
        <v>2</v>
      </c>
      <c r="AY237" s="33"/>
      <c r="AZ237" s="33">
        <v>2</v>
      </c>
      <c r="BB237" s="73" t="s">
        <v>317</v>
      </c>
      <c r="BC237" s="73" t="s">
        <v>10</v>
      </c>
      <c r="BD237" s="75">
        <v>1389.06</v>
      </c>
      <c r="BE237" s="75"/>
      <c r="BF237" s="75">
        <v>103.92</v>
      </c>
      <c r="BH237" s="39"/>
      <c r="BI237" s="39"/>
      <c r="BJ237" s="60"/>
      <c r="BK237" s="60"/>
      <c r="BL237" s="61"/>
    </row>
    <row r="238" spans="2:64" ht="16" thickBot="1" x14ac:dyDescent="0.25">
      <c r="B238" s="81">
        <v>98244</v>
      </c>
      <c r="C238" s="62" t="s">
        <v>345</v>
      </c>
      <c r="D238" s="46">
        <v>47</v>
      </c>
      <c r="E238" s="46">
        <v>37</v>
      </c>
      <c r="F238" s="46">
        <v>36</v>
      </c>
      <c r="H238" s="73">
        <v>98240</v>
      </c>
      <c r="I238" s="73" t="s">
        <v>10</v>
      </c>
      <c r="J238" s="75">
        <v>13194.07</v>
      </c>
      <c r="K238" s="75">
        <v>12874.3</v>
      </c>
      <c r="L238" s="75">
        <v>65590.929999999993</v>
      </c>
      <c r="M238" s="75">
        <v>114053.83</v>
      </c>
      <c r="N238" s="75">
        <v>11250.65</v>
      </c>
      <c r="O238" s="75">
        <v>9107.32</v>
      </c>
      <c r="P238" s="75">
        <v>69382.78</v>
      </c>
      <c r="Q238" s="75">
        <v>114050.999999999</v>
      </c>
      <c r="R238" s="75">
        <v>13336.9</v>
      </c>
      <c r="S238" s="75">
        <v>8738.91</v>
      </c>
      <c r="T238" s="75">
        <v>72022.259999999995</v>
      </c>
      <c r="U238" s="75">
        <v>122057.65</v>
      </c>
      <c r="W238" s="17">
        <v>98946</v>
      </c>
      <c r="X238" s="17" t="s">
        <v>10</v>
      </c>
      <c r="Y238" s="134">
        <v>550.46</v>
      </c>
      <c r="Z238" s="134">
        <v>637</v>
      </c>
      <c r="AA238" s="134">
        <v>109.16</v>
      </c>
      <c r="AB238" s="134">
        <v>1779.78</v>
      </c>
      <c r="AC238" s="134">
        <v>483.16</v>
      </c>
      <c r="AD238" s="134">
        <v>550.46</v>
      </c>
      <c r="AE238" s="134">
        <v>746.16</v>
      </c>
      <c r="AF238" s="134">
        <v>2420.81</v>
      </c>
      <c r="AG238" s="134">
        <v>616.92999999999995</v>
      </c>
      <c r="AH238" s="134">
        <v>331.54</v>
      </c>
      <c r="AI238" s="134">
        <v>1146.3399999999999</v>
      </c>
      <c r="AJ238" s="134">
        <v>2943.13</v>
      </c>
      <c r="AV238" s="73" t="s">
        <v>181</v>
      </c>
      <c r="AW238" s="73" t="s">
        <v>10</v>
      </c>
      <c r="AX238" s="33"/>
      <c r="AY238" s="33"/>
      <c r="AZ238" s="33">
        <v>1</v>
      </c>
      <c r="BB238" s="73" t="s">
        <v>181</v>
      </c>
      <c r="BC238" s="73" t="s">
        <v>10</v>
      </c>
      <c r="BD238" s="75"/>
      <c r="BE238" s="75"/>
      <c r="BF238" s="75">
        <v>628.51</v>
      </c>
      <c r="BH238" s="39"/>
      <c r="BI238" s="39"/>
      <c r="BJ238" s="61"/>
      <c r="BK238" s="60"/>
      <c r="BL238" s="60"/>
    </row>
    <row r="239" spans="2:64" ht="16" thickBot="1" x14ac:dyDescent="0.25">
      <c r="B239" s="56">
        <v>98244</v>
      </c>
      <c r="C239" s="62" t="s">
        <v>10</v>
      </c>
      <c r="D239" s="46">
        <v>281</v>
      </c>
      <c r="E239" s="46">
        <v>279</v>
      </c>
      <c r="F239" s="46">
        <v>272</v>
      </c>
      <c r="H239" s="73">
        <v>98244</v>
      </c>
      <c r="I239" s="73" t="s">
        <v>345</v>
      </c>
      <c r="J239" s="75">
        <v>1994.82</v>
      </c>
      <c r="K239" s="75">
        <v>5026.7</v>
      </c>
      <c r="L239" s="75">
        <v>15444.279999999901</v>
      </c>
      <c r="M239" s="75">
        <v>30712.68</v>
      </c>
      <c r="N239" s="75">
        <v>4201.24</v>
      </c>
      <c r="O239" s="75">
        <v>1556.41</v>
      </c>
      <c r="P239" s="75">
        <v>13278.32</v>
      </c>
      <c r="Q239" s="75">
        <v>21689.499999999902</v>
      </c>
      <c r="R239" s="75">
        <v>410.19</v>
      </c>
      <c r="S239" s="75">
        <v>3458.14</v>
      </c>
      <c r="T239" s="75">
        <v>11372.05</v>
      </c>
      <c r="U239" s="75">
        <v>21623.339999999898</v>
      </c>
      <c r="W239" s="184"/>
      <c r="X239" s="185"/>
      <c r="Y239" s="192">
        <f>SUM(Y17:Y238)</f>
        <v>2416743.5700000008</v>
      </c>
      <c r="Z239" s="192">
        <f t="shared" ref="Z239:AJ239" si="1">SUM(Z17:Z238)</f>
        <v>2456517.4300000002</v>
      </c>
      <c r="AA239" s="192">
        <f t="shared" si="1"/>
        <v>10243377.119999977</v>
      </c>
      <c r="AB239" s="192">
        <f t="shared" si="1"/>
        <v>17502162.349999979</v>
      </c>
      <c r="AC239" s="192">
        <f t="shared" si="1"/>
        <v>1830605.7699999993</v>
      </c>
      <c r="AD239" s="192">
        <f t="shared" si="1"/>
        <v>2051729.61</v>
      </c>
      <c r="AE239" s="192">
        <f t="shared" si="1"/>
        <v>11085684.089999981</v>
      </c>
      <c r="AF239" s="192">
        <f t="shared" si="1"/>
        <v>17161148.779999979</v>
      </c>
      <c r="AG239" s="192">
        <f>SUM(AG17:AG238)</f>
        <v>1777825.8399999996</v>
      </c>
      <c r="AH239" s="192">
        <f t="shared" si="1"/>
        <v>1572701.5599999996</v>
      </c>
      <c r="AI239" s="192">
        <f t="shared" si="1"/>
        <v>11527927.819999991</v>
      </c>
      <c r="AJ239" s="192">
        <f t="shared" si="1"/>
        <v>17122996.519999981</v>
      </c>
      <c r="AV239" s="73" t="s">
        <v>182</v>
      </c>
      <c r="AW239" s="73" t="s">
        <v>345</v>
      </c>
      <c r="AX239" s="33">
        <v>2</v>
      </c>
      <c r="AY239" s="33">
        <v>3</v>
      </c>
      <c r="AZ239" s="33">
        <v>3</v>
      </c>
      <c r="BB239" s="73" t="s">
        <v>182</v>
      </c>
      <c r="BC239" s="73" t="s">
        <v>345</v>
      </c>
      <c r="BD239" s="75">
        <v>638.4</v>
      </c>
      <c r="BE239" s="75">
        <v>639.6</v>
      </c>
      <c r="BF239" s="75">
        <v>1816.1</v>
      </c>
    </row>
    <row r="240" spans="2:64" x14ac:dyDescent="0.2">
      <c r="B240" s="81">
        <v>98247</v>
      </c>
      <c r="C240" s="62" t="s">
        <v>345</v>
      </c>
      <c r="D240" s="46">
        <v>88</v>
      </c>
      <c r="E240" s="46">
        <v>59</v>
      </c>
      <c r="F240" s="46">
        <v>71</v>
      </c>
      <c r="H240" s="73">
        <v>98244</v>
      </c>
      <c r="I240" s="73" t="s">
        <v>10</v>
      </c>
      <c r="J240" s="75">
        <v>22025.72</v>
      </c>
      <c r="K240" s="75">
        <v>23053.84</v>
      </c>
      <c r="L240" s="75">
        <v>89708.34</v>
      </c>
      <c r="M240" s="75">
        <v>170332.359999999</v>
      </c>
      <c r="N240" s="75">
        <v>24931.75</v>
      </c>
      <c r="O240" s="75">
        <v>16841.78</v>
      </c>
      <c r="P240" s="75">
        <v>105368.14</v>
      </c>
      <c r="Q240" s="75">
        <v>170308.72</v>
      </c>
      <c r="R240" s="75">
        <v>15936.29</v>
      </c>
      <c r="S240" s="75">
        <v>16203.43</v>
      </c>
      <c r="T240" s="75">
        <v>111232.91</v>
      </c>
      <c r="U240" s="75">
        <v>169086.23</v>
      </c>
      <c r="AV240" s="73" t="s">
        <v>182</v>
      </c>
      <c r="AW240" s="73" t="s">
        <v>10</v>
      </c>
      <c r="AX240" s="33">
        <v>47</v>
      </c>
      <c r="AY240" s="33">
        <v>55</v>
      </c>
      <c r="AZ240" s="33">
        <v>52</v>
      </c>
      <c r="BB240" s="73" t="s">
        <v>182</v>
      </c>
      <c r="BC240" s="73" t="s">
        <v>10</v>
      </c>
      <c r="BD240" s="75">
        <v>19835.88</v>
      </c>
      <c r="BE240" s="75">
        <v>19592.54</v>
      </c>
      <c r="BF240" s="75">
        <v>18052.75</v>
      </c>
    </row>
    <row r="241" spans="2:58" x14ac:dyDescent="0.2">
      <c r="B241" s="56">
        <v>98247</v>
      </c>
      <c r="C241" s="62" t="s">
        <v>10</v>
      </c>
      <c r="D241" s="46">
        <v>543</v>
      </c>
      <c r="E241" s="46">
        <v>509</v>
      </c>
      <c r="F241" s="46">
        <v>573</v>
      </c>
      <c r="H241" s="73">
        <v>98247</v>
      </c>
      <c r="I241" s="73" t="s">
        <v>345</v>
      </c>
      <c r="J241" s="75">
        <v>11652.17</v>
      </c>
      <c r="K241" s="75">
        <v>1048.18</v>
      </c>
      <c r="L241" s="75">
        <v>26249.059999999899</v>
      </c>
      <c r="M241" s="75">
        <v>71456.89</v>
      </c>
      <c r="N241" s="75">
        <v>1765.5</v>
      </c>
      <c r="O241" s="75">
        <v>10831.12</v>
      </c>
      <c r="P241" s="75">
        <v>25825.2399999999</v>
      </c>
      <c r="Q241" s="75">
        <v>71121.88</v>
      </c>
      <c r="R241" s="75">
        <v>4605.5200000000004</v>
      </c>
      <c r="S241" s="75">
        <v>1369.46</v>
      </c>
      <c r="T241" s="75">
        <v>25089.19</v>
      </c>
      <c r="U241" s="75">
        <v>91051.68</v>
      </c>
      <c r="AV241" s="73" t="s">
        <v>184</v>
      </c>
      <c r="AW241" s="73" t="s">
        <v>10</v>
      </c>
      <c r="AX241" s="33">
        <v>1</v>
      </c>
      <c r="AY241" s="33">
        <v>5</v>
      </c>
      <c r="AZ241" s="33">
        <v>2</v>
      </c>
      <c r="BB241" s="73" t="s">
        <v>184</v>
      </c>
      <c r="BC241" s="73" t="s">
        <v>10</v>
      </c>
      <c r="BD241" s="75">
        <v>49.6</v>
      </c>
      <c r="BE241" s="75">
        <v>189.2</v>
      </c>
      <c r="BF241" s="75">
        <v>200.04</v>
      </c>
    </row>
    <row r="242" spans="2:58" x14ac:dyDescent="0.2">
      <c r="B242" s="81">
        <v>98248</v>
      </c>
      <c r="C242" s="62" t="s">
        <v>345</v>
      </c>
      <c r="D242" s="46">
        <v>392</v>
      </c>
      <c r="E242" s="46">
        <v>327</v>
      </c>
      <c r="F242" s="46">
        <v>370</v>
      </c>
      <c r="H242" s="73">
        <v>98247</v>
      </c>
      <c r="I242" s="73" t="s">
        <v>10</v>
      </c>
      <c r="J242" s="75">
        <v>30723.89</v>
      </c>
      <c r="K242" s="75">
        <v>32142.94</v>
      </c>
      <c r="L242" s="75">
        <v>172350.50999999899</v>
      </c>
      <c r="M242" s="75">
        <v>283666.77</v>
      </c>
      <c r="N242" s="75">
        <v>26328</v>
      </c>
      <c r="O242" s="75">
        <v>23333.62</v>
      </c>
      <c r="P242" s="75">
        <v>191556.08</v>
      </c>
      <c r="Q242" s="75">
        <v>284709.02999999898</v>
      </c>
      <c r="R242" s="75">
        <v>26647.58</v>
      </c>
      <c r="S242" s="75">
        <v>19975.759999999998</v>
      </c>
      <c r="T242" s="75">
        <v>192772.54</v>
      </c>
      <c r="U242" s="75">
        <v>295062.90999999898</v>
      </c>
      <c r="AV242" s="73" t="s">
        <v>185</v>
      </c>
      <c r="AW242" s="73" t="s">
        <v>345</v>
      </c>
      <c r="AX242" s="33"/>
      <c r="AY242" s="33">
        <v>3</v>
      </c>
      <c r="AZ242" s="33"/>
      <c r="BB242" s="73" t="s">
        <v>185</v>
      </c>
      <c r="BC242" s="73" t="s">
        <v>345</v>
      </c>
      <c r="BD242" s="75"/>
      <c r="BE242" s="75">
        <v>1615.5</v>
      </c>
      <c r="BF242" s="75"/>
    </row>
    <row r="243" spans="2:58" x14ac:dyDescent="0.2">
      <c r="B243" s="56">
        <v>98248</v>
      </c>
      <c r="C243" s="62" t="s">
        <v>10</v>
      </c>
      <c r="D243" s="46">
        <v>2203</v>
      </c>
      <c r="E243" s="46">
        <v>2032</v>
      </c>
      <c r="F243" s="46">
        <v>2158</v>
      </c>
      <c r="H243" s="73">
        <v>98248</v>
      </c>
      <c r="I243" s="73" t="s">
        <v>345</v>
      </c>
      <c r="J243" s="75">
        <v>91296</v>
      </c>
      <c r="K243" s="75">
        <v>16097.26</v>
      </c>
      <c r="L243" s="75">
        <v>300812.90999999997</v>
      </c>
      <c r="M243" s="75">
        <v>591082.55999999901</v>
      </c>
      <c r="N243" s="75">
        <v>41360.21</v>
      </c>
      <c r="O243" s="75">
        <v>40201.25</v>
      </c>
      <c r="P243" s="75">
        <v>304838.99</v>
      </c>
      <c r="Q243" s="75">
        <v>514144.27</v>
      </c>
      <c r="R243" s="75">
        <v>24880.71</v>
      </c>
      <c r="S243" s="75">
        <v>34032.370000000003</v>
      </c>
      <c r="T243" s="75">
        <v>330773.22999999899</v>
      </c>
      <c r="U243" s="75">
        <v>509174.54</v>
      </c>
      <c r="AV243" s="73" t="s">
        <v>185</v>
      </c>
      <c r="AW243" s="73" t="s">
        <v>10</v>
      </c>
      <c r="AX243" s="33"/>
      <c r="AY243" s="33">
        <v>2</v>
      </c>
      <c r="AZ243" s="33">
        <v>1</v>
      </c>
      <c r="BB243" s="73" t="s">
        <v>185</v>
      </c>
      <c r="BC243" s="73" t="s">
        <v>10</v>
      </c>
      <c r="BD243" s="75"/>
      <c r="BE243" s="75">
        <v>1954.57</v>
      </c>
      <c r="BF243" s="75">
        <v>135.03</v>
      </c>
    </row>
    <row r="244" spans="2:58" x14ac:dyDescent="0.2">
      <c r="B244" s="81">
        <v>98249</v>
      </c>
      <c r="C244" s="62" t="s">
        <v>345</v>
      </c>
      <c r="D244" s="46">
        <v>35</v>
      </c>
      <c r="E244" s="46">
        <v>38</v>
      </c>
      <c r="F244" s="46">
        <v>52</v>
      </c>
      <c r="H244" s="73">
        <v>98248</v>
      </c>
      <c r="I244" s="73" t="s">
        <v>10</v>
      </c>
      <c r="J244" s="75">
        <v>122260.77</v>
      </c>
      <c r="K244" s="75">
        <v>90150.44</v>
      </c>
      <c r="L244" s="75">
        <v>688246.64</v>
      </c>
      <c r="M244" s="75">
        <v>1086728.5900000001</v>
      </c>
      <c r="N244" s="75">
        <v>84477.43</v>
      </c>
      <c r="O244" s="75">
        <v>93957.86</v>
      </c>
      <c r="P244" s="75">
        <v>711719.24999999895</v>
      </c>
      <c r="Q244" s="75">
        <v>1121954.8899999999</v>
      </c>
      <c r="R244" s="75">
        <v>140701.82999999999</v>
      </c>
      <c r="S244" s="75">
        <v>60912.33</v>
      </c>
      <c r="T244" s="75">
        <v>746141.87</v>
      </c>
      <c r="U244" s="75">
        <v>1166337.3500000001</v>
      </c>
      <c r="AV244" s="73" t="s">
        <v>186</v>
      </c>
      <c r="AW244" s="73" t="s">
        <v>345</v>
      </c>
      <c r="AX244" s="33">
        <v>2</v>
      </c>
      <c r="AY244" s="33">
        <v>4</v>
      </c>
      <c r="AZ244" s="33">
        <v>1</v>
      </c>
      <c r="BB244" s="73" t="s">
        <v>186</v>
      </c>
      <c r="BC244" s="73" t="s">
        <v>345</v>
      </c>
      <c r="BD244" s="75">
        <v>38.020000000000003</v>
      </c>
      <c r="BE244" s="75">
        <v>62552.43</v>
      </c>
      <c r="BF244" s="75">
        <v>21.81</v>
      </c>
    </row>
    <row r="245" spans="2:58" x14ac:dyDescent="0.2">
      <c r="B245" s="56">
        <v>98249</v>
      </c>
      <c r="C245" s="62" t="s">
        <v>10</v>
      </c>
      <c r="D245" s="46">
        <v>250</v>
      </c>
      <c r="E245" s="46">
        <v>235</v>
      </c>
      <c r="F245" s="46">
        <v>252</v>
      </c>
      <c r="H245" s="73">
        <v>98249</v>
      </c>
      <c r="I245" s="73" t="s">
        <v>345</v>
      </c>
      <c r="J245" s="75">
        <v>1839.89</v>
      </c>
      <c r="K245" s="75">
        <v>1351.83</v>
      </c>
      <c r="L245" s="75">
        <v>6182.6399999999903</v>
      </c>
      <c r="M245" s="75">
        <v>12457.92</v>
      </c>
      <c r="N245" s="75">
        <v>1392.11</v>
      </c>
      <c r="O245" s="75">
        <v>1551.19</v>
      </c>
      <c r="P245" s="75">
        <v>6332.5</v>
      </c>
      <c r="Q245" s="75">
        <v>13920.26</v>
      </c>
      <c r="R245" s="75">
        <v>5838.94</v>
      </c>
      <c r="S245" s="75">
        <v>1091.82</v>
      </c>
      <c r="T245" s="75">
        <v>23924.9</v>
      </c>
      <c r="U245" s="75">
        <v>36045.49</v>
      </c>
      <c r="AV245" s="73" t="s">
        <v>186</v>
      </c>
      <c r="AW245" s="73" t="s">
        <v>10</v>
      </c>
      <c r="AX245" s="33">
        <v>18</v>
      </c>
      <c r="AY245" s="33">
        <v>23</v>
      </c>
      <c r="AZ245" s="33">
        <v>29</v>
      </c>
      <c r="BB245" s="73" t="s">
        <v>186</v>
      </c>
      <c r="BC245" s="73" t="s">
        <v>10</v>
      </c>
      <c r="BD245" s="75">
        <v>5352.11</v>
      </c>
      <c r="BE245" s="75">
        <v>17502.490000000002</v>
      </c>
      <c r="BF245" s="75">
        <v>10521.95</v>
      </c>
    </row>
    <row r="246" spans="2:58" x14ac:dyDescent="0.2">
      <c r="B246" s="81">
        <v>98251</v>
      </c>
      <c r="C246" s="62" t="s">
        <v>345</v>
      </c>
      <c r="D246" s="46">
        <v>7</v>
      </c>
      <c r="E246" s="71">
        <v>8</v>
      </c>
      <c r="F246" s="46">
        <v>8</v>
      </c>
      <c r="H246" s="73">
        <v>98249</v>
      </c>
      <c r="I246" s="73" t="s">
        <v>10</v>
      </c>
      <c r="J246" s="75">
        <v>16832.02</v>
      </c>
      <c r="K246" s="75">
        <v>15461.88</v>
      </c>
      <c r="L246" s="75">
        <v>65271.38</v>
      </c>
      <c r="M246" s="75">
        <v>117744.27</v>
      </c>
      <c r="N246" s="75">
        <v>11780.25</v>
      </c>
      <c r="O246" s="75">
        <v>12065.61</v>
      </c>
      <c r="P246" s="75">
        <v>70789.679999999993</v>
      </c>
      <c r="Q246" s="75">
        <v>114332.389999999</v>
      </c>
      <c r="R246" s="75">
        <v>12755.7</v>
      </c>
      <c r="S246" s="75">
        <v>9742.7199999999993</v>
      </c>
      <c r="T246" s="75">
        <v>76137.589999999895</v>
      </c>
      <c r="U246" s="75">
        <v>117460.86999999901</v>
      </c>
      <c r="AV246" s="73" t="s">
        <v>187</v>
      </c>
      <c r="AW246" s="73" t="s">
        <v>10</v>
      </c>
      <c r="AX246" s="33">
        <v>1</v>
      </c>
      <c r="AY246" s="33">
        <v>1</v>
      </c>
      <c r="AZ246" s="33"/>
      <c r="BB246" s="73" t="s">
        <v>187</v>
      </c>
      <c r="BC246" s="73" t="s">
        <v>10</v>
      </c>
      <c r="BD246" s="75">
        <v>544.49</v>
      </c>
      <c r="BE246" s="75">
        <v>31.44</v>
      </c>
      <c r="BF246" s="75"/>
    </row>
    <row r="247" spans="2:58" x14ac:dyDescent="0.2">
      <c r="B247" s="56">
        <v>98251</v>
      </c>
      <c r="C247" s="62" t="s">
        <v>10</v>
      </c>
      <c r="D247" s="46">
        <v>120</v>
      </c>
      <c r="E247" s="46">
        <v>109</v>
      </c>
      <c r="F247" s="46">
        <v>115</v>
      </c>
      <c r="H247" s="73">
        <v>98251</v>
      </c>
      <c r="I247" s="73" t="s">
        <v>345</v>
      </c>
      <c r="J247" s="75">
        <v>159.46</v>
      </c>
      <c r="K247" s="75">
        <v>200.42</v>
      </c>
      <c r="L247" s="75">
        <v>747.54</v>
      </c>
      <c r="M247" s="75">
        <v>3097.54</v>
      </c>
      <c r="N247" s="75">
        <v>140.55000000000001</v>
      </c>
      <c r="O247" s="75">
        <v>49.95</v>
      </c>
      <c r="P247" s="75">
        <v>516.87</v>
      </c>
      <c r="Q247" s="75">
        <v>2279.8000000000002</v>
      </c>
      <c r="R247" s="75">
        <v>294.14</v>
      </c>
      <c r="S247" s="75">
        <v>44.12</v>
      </c>
      <c r="T247" s="75">
        <v>566.82000000000005</v>
      </c>
      <c r="U247" s="75">
        <v>2628.98</v>
      </c>
      <c r="AV247" s="73" t="s">
        <v>318</v>
      </c>
      <c r="AW247" s="73" t="s">
        <v>345</v>
      </c>
      <c r="AX247" s="33"/>
      <c r="AY247" s="33"/>
      <c r="AZ247" s="33">
        <v>1</v>
      </c>
      <c r="BB247" s="73" t="s">
        <v>318</v>
      </c>
      <c r="BC247" s="73" t="s">
        <v>345</v>
      </c>
      <c r="BD247" s="75"/>
      <c r="BE247" s="75"/>
      <c r="BF247" s="75">
        <v>555.11</v>
      </c>
    </row>
    <row r="248" spans="2:58" x14ac:dyDescent="0.2">
      <c r="B248" s="81">
        <v>98252</v>
      </c>
      <c r="C248" s="62" t="s">
        <v>345</v>
      </c>
      <c r="D248" s="46">
        <v>12</v>
      </c>
      <c r="E248" s="46">
        <v>13</v>
      </c>
      <c r="F248" s="46">
        <v>20</v>
      </c>
      <c r="H248" s="73">
        <v>98251</v>
      </c>
      <c r="I248" s="73" t="s">
        <v>10</v>
      </c>
      <c r="J248" s="75">
        <v>2864.24</v>
      </c>
      <c r="K248" s="75">
        <v>2707.83</v>
      </c>
      <c r="L248" s="75">
        <v>10069.219999999999</v>
      </c>
      <c r="M248" s="75">
        <v>19954.07</v>
      </c>
      <c r="N248" s="75">
        <v>1723.78</v>
      </c>
      <c r="O248" s="75">
        <v>1543.1</v>
      </c>
      <c r="P248" s="75">
        <v>9145.48</v>
      </c>
      <c r="Q248" s="75">
        <v>15644.15</v>
      </c>
      <c r="R248" s="75">
        <v>1150.4100000000001</v>
      </c>
      <c r="S248" s="75">
        <v>1197.1600000000001</v>
      </c>
      <c r="T248" s="75">
        <v>8653.09</v>
      </c>
      <c r="U248" s="75">
        <v>14378.78</v>
      </c>
      <c r="AV248" s="73" t="s">
        <v>318</v>
      </c>
      <c r="AW248" s="73" t="s">
        <v>10</v>
      </c>
      <c r="AX248" s="33"/>
      <c r="AY248" s="33">
        <v>2</v>
      </c>
      <c r="AZ248" s="33">
        <v>4</v>
      </c>
      <c r="BB248" s="73" t="s">
        <v>318</v>
      </c>
      <c r="BC248" s="73" t="s">
        <v>10</v>
      </c>
      <c r="BD248" s="75"/>
      <c r="BE248" s="75">
        <v>1067.46</v>
      </c>
      <c r="BF248" s="75">
        <v>1339.66</v>
      </c>
    </row>
    <row r="249" spans="2:58" x14ac:dyDescent="0.2">
      <c r="B249" s="56">
        <v>98252</v>
      </c>
      <c r="C249" s="62" t="s">
        <v>10</v>
      </c>
      <c r="D249" s="46">
        <v>262</v>
      </c>
      <c r="E249" s="46">
        <v>240</v>
      </c>
      <c r="F249" s="46">
        <v>242</v>
      </c>
      <c r="H249" s="73">
        <v>98252</v>
      </c>
      <c r="I249" s="73" t="s">
        <v>345</v>
      </c>
      <c r="J249" s="75">
        <v>648.78</v>
      </c>
      <c r="K249" s="75">
        <v>404</v>
      </c>
      <c r="L249" s="75">
        <v>2578.19</v>
      </c>
      <c r="M249" s="75">
        <v>5428.08</v>
      </c>
      <c r="N249" s="75">
        <v>737.24</v>
      </c>
      <c r="O249" s="75">
        <v>598.78</v>
      </c>
      <c r="P249" s="75">
        <v>2482.19</v>
      </c>
      <c r="Q249" s="75">
        <v>4933.4299999999903</v>
      </c>
      <c r="R249" s="75">
        <v>774.6</v>
      </c>
      <c r="S249" s="75">
        <v>309.14</v>
      </c>
      <c r="T249" s="75">
        <v>2517.87</v>
      </c>
      <c r="U249" s="75">
        <v>8297.0999999999894</v>
      </c>
      <c r="AV249" s="73" t="s">
        <v>188</v>
      </c>
      <c r="AW249" s="73" t="s">
        <v>10</v>
      </c>
      <c r="AX249" s="33">
        <v>1</v>
      </c>
      <c r="AY249" s="33"/>
      <c r="AZ249" s="33">
        <v>1</v>
      </c>
      <c r="BB249" s="73" t="s">
        <v>188</v>
      </c>
      <c r="BC249" s="73" t="s">
        <v>10</v>
      </c>
      <c r="BD249" s="75">
        <v>304.8</v>
      </c>
      <c r="BE249" s="75"/>
      <c r="BF249" s="75"/>
    </row>
    <row r="250" spans="2:58" x14ac:dyDescent="0.2">
      <c r="B250" s="81">
        <v>98253</v>
      </c>
      <c r="C250" s="62" t="s">
        <v>345</v>
      </c>
      <c r="D250" s="46">
        <v>16</v>
      </c>
      <c r="E250" s="46">
        <v>11</v>
      </c>
      <c r="F250" s="46">
        <v>15</v>
      </c>
      <c r="H250" s="73">
        <v>98252</v>
      </c>
      <c r="I250" s="73" t="s">
        <v>10</v>
      </c>
      <c r="J250" s="75">
        <v>8057.25</v>
      </c>
      <c r="K250" s="75">
        <v>7617.49</v>
      </c>
      <c r="L250" s="75">
        <v>45875.529999999897</v>
      </c>
      <c r="M250" s="75">
        <v>71075.049999999901</v>
      </c>
      <c r="N250" s="75">
        <v>5078.5600000000004</v>
      </c>
      <c r="O250" s="75">
        <v>6247.13</v>
      </c>
      <c r="P250" s="75">
        <v>45466.7</v>
      </c>
      <c r="Q250" s="75">
        <v>63357.93</v>
      </c>
      <c r="R250" s="75">
        <v>3448.91</v>
      </c>
      <c r="S250" s="75">
        <v>3486.81</v>
      </c>
      <c r="T250" s="75">
        <v>43228.3</v>
      </c>
      <c r="U250" s="75">
        <v>56841.03</v>
      </c>
      <c r="AV250" s="73" t="s">
        <v>319</v>
      </c>
      <c r="AW250" s="73" t="s">
        <v>10</v>
      </c>
      <c r="AX250" s="33">
        <v>1</v>
      </c>
      <c r="AY250" s="33">
        <v>1</v>
      </c>
      <c r="AZ250" s="33">
        <v>5</v>
      </c>
      <c r="BB250" s="73" t="s">
        <v>319</v>
      </c>
      <c r="BC250" s="73" t="s">
        <v>10</v>
      </c>
      <c r="BD250" s="75">
        <v>31.09</v>
      </c>
      <c r="BE250" s="75">
        <v>345.55</v>
      </c>
      <c r="BF250" s="75">
        <v>3357.71</v>
      </c>
    </row>
    <row r="251" spans="2:58" x14ac:dyDescent="0.2">
      <c r="B251" s="56">
        <v>98253</v>
      </c>
      <c r="C251" s="62" t="s">
        <v>10</v>
      </c>
      <c r="D251" s="46">
        <v>82</v>
      </c>
      <c r="E251" s="46">
        <v>80</v>
      </c>
      <c r="F251" s="46">
        <v>69</v>
      </c>
      <c r="H251" s="73">
        <v>98253</v>
      </c>
      <c r="I251" s="73" t="s">
        <v>345</v>
      </c>
      <c r="J251" s="75">
        <v>253.86</v>
      </c>
      <c r="K251" s="75">
        <v>80.94</v>
      </c>
      <c r="L251" s="75">
        <v>1428.75</v>
      </c>
      <c r="M251" s="75">
        <v>3899.97</v>
      </c>
      <c r="N251" s="75">
        <v>205.83</v>
      </c>
      <c r="O251" s="75">
        <v>117.04</v>
      </c>
      <c r="P251" s="75">
        <v>1509.69</v>
      </c>
      <c r="Q251" s="75">
        <v>3116.69</v>
      </c>
      <c r="R251" s="75">
        <v>346.42</v>
      </c>
      <c r="S251" s="75">
        <v>183.7</v>
      </c>
      <c r="T251" s="75">
        <v>1626.73</v>
      </c>
      <c r="U251" s="75">
        <v>3919.5299999999902</v>
      </c>
      <c r="AV251" s="73" t="s">
        <v>189</v>
      </c>
      <c r="AW251" s="73" t="s">
        <v>10</v>
      </c>
      <c r="AX251" s="33"/>
      <c r="AY251" s="33">
        <v>1</v>
      </c>
      <c r="AZ251" s="33">
        <v>2</v>
      </c>
      <c r="BB251" s="73" t="s">
        <v>189</v>
      </c>
      <c r="BC251" s="73" t="s">
        <v>10</v>
      </c>
      <c r="BD251" s="75"/>
      <c r="BE251" s="75">
        <v>356.34</v>
      </c>
      <c r="BF251" s="75">
        <v>89.96</v>
      </c>
    </row>
    <row r="252" spans="2:58" x14ac:dyDescent="0.2">
      <c r="B252" s="81">
        <v>98255</v>
      </c>
      <c r="C252" s="62" t="s">
        <v>345</v>
      </c>
      <c r="D252" s="46">
        <v>8</v>
      </c>
      <c r="E252" s="46">
        <v>5</v>
      </c>
      <c r="F252" s="46">
        <v>6</v>
      </c>
      <c r="H252" s="73">
        <v>98253</v>
      </c>
      <c r="I252" s="73" t="s">
        <v>10</v>
      </c>
      <c r="J252" s="75">
        <v>8133.8</v>
      </c>
      <c r="K252" s="75">
        <v>3524.21</v>
      </c>
      <c r="L252" s="75">
        <v>17132.09</v>
      </c>
      <c r="M252" s="75">
        <v>36369.2599999999</v>
      </c>
      <c r="N252" s="75">
        <v>4720.07</v>
      </c>
      <c r="O252" s="75">
        <v>5818.15</v>
      </c>
      <c r="P252" s="75">
        <v>15613.3</v>
      </c>
      <c r="Q252" s="75">
        <v>34099.22</v>
      </c>
      <c r="R252" s="75">
        <v>4947.7299999999996</v>
      </c>
      <c r="S252" s="75">
        <v>2984.45</v>
      </c>
      <c r="T252" s="75">
        <v>16904.169999999998</v>
      </c>
      <c r="U252" s="75">
        <v>30822.2599999999</v>
      </c>
      <c r="AV252" s="73" t="s">
        <v>320</v>
      </c>
      <c r="AW252" s="73" t="s">
        <v>10</v>
      </c>
      <c r="AX252" s="33">
        <v>1</v>
      </c>
      <c r="AY252" s="33">
        <v>2</v>
      </c>
      <c r="AZ252" s="33">
        <v>4</v>
      </c>
      <c r="BB252" s="73" t="s">
        <v>320</v>
      </c>
      <c r="BC252" s="73" t="s">
        <v>10</v>
      </c>
      <c r="BD252" s="75">
        <v>1207.3800000000001</v>
      </c>
      <c r="BE252" s="75">
        <v>685.79</v>
      </c>
      <c r="BF252" s="75">
        <v>827.43</v>
      </c>
    </row>
    <row r="253" spans="2:58" x14ac:dyDescent="0.2">
      <c r="B253" s="56">
        <v>98255</v>
      </c>
      <c r="C253" s="62" t="s">
        <v>10</v>
      </c>
      <c r="D253" s="46">
        <v>54</v>
      </c>
      <c r="E253" s="46">
        <v>40</v>
      </c>
      <c r="F253" s="46">
        <v>48</v>
      </c>
      <c r="H253" s="73">
        <v>98255</v>
      </c>
      <c r="I253" s="73" t="s">
        <v>345</v>
      </c>
      <c r="J253" s="75"/>
      <c r="K253" s="75">
        <v>1036.4000000000001</v>
      </c>
      <c r="L253" s="75">
        <v>1106.33</v>
      </c>
      <c r="M253" s="75">
        <v>3654.3899999999899</v>
      </c>
      <c r="N253" s="75">
        <v>1080.07</v>
      </c>
      <c r="O253" s="75"/>
      <c r="P253" s="75">
        <v>998.06999999999903</v>
      </c>
      <c r="Q253" s="75">
        <v>2837.99</v>
      </c>
      <c r="R253" s="75">
        <v>65.22</v>
      </c>
      <c r="S253" s="75">
        <v>331.54</v>
      </c>
      <c r="T253" s="75">
        <v>998.07</v>
      </c>
      <c r="U253" s="75">
        <v>2321.04</v>
      </c>
      <c r="AV253" s="73" t="s">
        <v>190</v>
      </c>
      <c r="AW253" s="73" t="s">
        <v>345</v>
      </c>
      <c r="AX253" s="33">
        <v>2</v>
      </c>
      <c r="AY253" s="33">
        <v>1</v>
      </c>
      <c r="AZ253" s="33">
        <v>2</v>
      </c>
      <c r="BB253" s="73" t="s">
        <v>190</v>
      </c>
      <c r="BC253" s="73" t="s">
        <v>345</v>
      </c>
      <c r="BD253" s="75">
        <v>11522.18</v>
      </c>
      <c r="BE253" s="75">
        <v>400.28</v>
      </c>
      <c r="BF253" s="75">
        <v>405.79</v>
      </c>
    </row>
    <row r="254" spans="2:58" x14ac:dyDescent="0.2">
      <c r="B254" s="81">
        <v>98257</v>
      </c>
      <c r="C254" s="62" t="s">
        <v>345</v>
      </c>
      <c r="D254" s="46">
        <v>102</v>
      </c>
      <c r="E254" s="46">
        <v>90</v>
      </c>
      <c r="F254" s="46">
        <v>79</v>
      </c>
      <c r="H254" s="73">
        <v>98255</v>
      </c>
      <c r="I254" s="73" t="s">
        <v>10</v>
      </c>
      <c r="J254" s="75">
        <v>1210.02</v>
      </c>
      <c r="K254" s="75">
        <v>10389</v>
      </c>
      <c r="L254" s="75">
        <v>12026.73</v>
      </c>
      <c r="M254" s="75">
        <v>32037.279999999999</v>
      </c>
      <c r="N254" s="75">
        <v>6900.38</v>
      </c>
      <c r="O254" s="75">
        <v>261.64999999999998</v>
      </c>
      <c r="P254" s="75">
        <v>21127.679999999898</v>
      </c>
      <c r="Q254" s="75">
        <v>28313.589999999898</v>
      </c>
      <c r="R254" s="75">
        <v>23.88</v>
      </c>
      <c r="S254" s="75">
        <v>6188.35</v>
      </c>
      <c r="T254" s="75">
        <v>20659.96</v>
      </c>
      <c r="U254" s="75">
        <v>33759.480000000003</v>
      </c>
      <c r="AV254" s="73" t="s">
        <v>190</v>
      </c>
      <c r="AW254" s="73" t="s">
        <v>10</v>
      </c>
      <c r="AX254" s="33">
        <v>25</v>
      </c>
      <c r="AY254" s="33">
        <v>45</v>
      </c>
      <c r="AZ254" s="33">
        <v>46</v>
      </c>
      <c r="BB254" s="73" t="s">
        <v>190</v>
      </c>
      <c r="BC254" s="73" t="s">
        <v>10</v>
      </c>
      <c r="BD254" s="75">
        <v>9226.41</v>
      </c>
      <c r="BE254" s="75">
        <v>30568.91</v>
      </c>
      <c r="BF254" s="75">
        <v>28292.21</v>
      </c>
    </row>
    <row r="255" spans="2:58" x14ac:dyDescent="0.2">
      <c r="B255" s="56">
        <v>98257</v>
      </c>
      <c r="C255" s="62" t="s">
        <v>10</v>
      </c>
      <c r="D255" s="46">
        <v>372</v>
      </c>
      <c r="E255" s="46">
        <v>304</v>
      </c>
      <c r="F255" s="46">
        <v>356</v>
      </c>
      <c r="H255" s="73">
        <v>98257</v>
      </c>
      <c r="I255" s="73" t="s">
        <v>345</v>
      </c>
      <c r="J255" s="75">
        <v>4115.51</v>
      </c>
      <c r="K255" s="75">
        <v>3738.52</v>
      </c>
      <c r="L255" s="75">
        <v>6857.98</v>
      </c>
      <c r="M255" s="75">
        <v>54552.639999999999</v>
      </c>
      <c r="N255" s="75">
        <v>5257.1</v>
      </c>
      <c r="O255" s="75">
        <v>3088.82</v>
      </c>
      <c r="P255" s="75">
        <v>7060.9099999999899</v>
      </c>
      <c r="Q255" s="75">
        <v>46108.18</v>
      </c>
      <c r="R255" s="75">
        <v>642.02</v>
      </c>
      <c r="S255" s="75">
        <v>625.45000000000005</v>
      </c>
      <c r="T255" s="75">
        <v>5447.74</v>
      </c>
      <c r="U255" s="75">
        <v>38252.080000000002</v>
      </c>
      <c r="AV255" s="73" t="s">
        <v>191</v>
      </c>
      <c r="AW255" s="73" t="s">
        <v>345</v>
      </c>
      <c r="AX255" s="33">
        <v>1</v>
      </c>
      <c r="AY255" s="33"/>
      <c r="AZ255" s="33"/>
      <c r="BB255" s="73" t="s">
        <v>191</v>
      </c>
      <c r="BC255" s="73" t="s">
        <v>345</v>
      </c>
      <c r="BD255" s="75">
        <v>66.8</v>
      </c>
      <c r="BE255" s="75"/>
      <c r="BF255" s="75"/>
    </row>
    <row r="256" spans="2:58" x14ac:dyDescent="0.2">
      <c r="B256" s="81">
        <v>98258</v>
      </c>
      <c r="C256" s="62" t="s">
        <v>345</v>
      </c>
      <c r="D256" s="46">
        <v>37</v>
      </c>
      <c r="E256" s="46">
        <v>28</v>
      </c>
      <c r="F256" s="46">
        <v>36</v>
      </c>
      <c r="H256" s="73">
        <v>98257</v>
      </c>
      <c r="I256" s="73" t="s">
        <v>10</v>
      </c>
      <c r="J256" s="75">
        <v>18764.900000000001</v>
      </c>
      <c r="K256" s="75">
        <v>22401.19</v>
      </c>
      <c r="L256" s="75">
        <v>88061.48</v>
      </c>
      <c r="M256" s="75">
        <v>166213.97</v>
      </c>
      <c r="N256" s="75">
        <v>19666.88</v>
      </c>
      <c r="O256" s="75">
        <v>13665.45</v>
      </c>
      <c r="P256" s="75">
        <v>95117.91</v>
      </c>
      <c r="Q256" s="75">
        <v>150081.36999999901</v>
      </c>
      <c r="R256" s="75">
        <v>13585.92</v>
      </c>
      <c r="S256" s="75">
        <v>17081.62</v>
      </c>
      <c r="T256" s="75">
        <v>101831.14</v>
      </c>
      <c r="U256" s="75">
        <v>161817.709999999</v>
      </c>
      <c r="AV256" s="73" t="s">
        <v>191</v>
      </c>
      <c r="AW256" s="73" t="s">
        <v>10</v>
      </c>
      <c r="AX256" s="33">
        <v>18</v>
      </c>
      <c r="AY256" s="33">
        <v>33</v>
      </c>
      <c r="AZ256" s="33">
        <v>25</v>
      </c>
      <c r="BB256" s="73" t="s">
        <v>191</v>
      </c>
      <c r="BC256" s="73" t="s">
        <v>10</v>
      </c>
      <c r="BD256" s="75">
        <v>10220.290000000001</v>
      </c>
      <c r="BE256" s="75">
        <v>24169.86</v>
      </c>
      <c r="BF256" s="75">
        <v>30615.15</v>
      </c>
    </row>
    <row r="257" spans="2:58" x14ac:dyDescent="0.2">
      <c r="B257" s="56">
        <v>98258</v>
      </c>
      <c r="C257" s="62" t="s">
        <v>10</v>
      </c>
      <c r="D257" s="46">
        <v>1746</v>
      </c>
      <c r="E257" s="46">
        <v>1670</v>
      </c>
      <c r="F257" s="46">
        <v>1712</v>
      </c>
      <c r="H257" s="73">
        <v>98258</v>
      </c>
      <c r="I257" s="73" t="s">
        <v>345</v>
      </c>
      <c r="J257" s="75">
        <v>872.93</v>
      </c>
      <c r="K257" s="75">
        <v>410.44</v>
      </c>
      <c r="L257" s="75">
        <v>3555.82</v>
      </c>
      <c r="M257" s="75">
        <v>10768.86</v>
      </c>
      <c r="N257" s="75">
        <v>333.9</v>
      </c>
      <c r="O257" s="75">
        <v>327.56</v>
      </c>
      <c r="P257" s="75">
        <v>3966.2599999999902</v>
      </c>
      <c r="Q257" s="75">
        <v>8542.7900000000009</v>
      </c>
      <c r="R257" s="75">
        <v>1947.44</v>
      </c>
      <c r="S257" s="75">
        <v>291.18</v>
      </c>
      <c r="T257" s="75">
        <v>4016.0599999999899</v>
      </c>
      <c r="U257" s="75">
        <v>17701.05</v>
      </c>
      <c r="AV257" s="73" t="s">
        <v>192</v>
      </c>
      <c r="AW257" s="73" t="s">
        <v>345</v>
      </c>
      <c r="AX257" s="33">
        <v>1</v>
      </c>
      <c r="AY257" s="33">
        <v>3</v>
      </c>
      <c r="AZ257" s="33">
        <v>3</v>
      </c>
      <c r="BB257" s="73" t="s">
        <v>192</v>
      </c>
      <c r="BC257" s="73" t="s">
        <v>345</v>
      </c>
      <c r="BD257" s="75">
        <v>594.83000000000004</v>
      </c>
      <c r="BE257" s="75">
        <v>5390.48</v>
      </c>
      <c r="BF257" s="75">
        <v>3949.03</v>
      </c>
    </row>
    <row r="258" spans="2:58" x14ac:dyDescent="0.2">
      <c r="B258" s="81">
        <v>98260</v>
      </c>
      <c r="C258" s="62" t="s">
        <v>345</v>
      </c>
      <c r="D258" s="46">
        <v>79</v>
      </c>
      <c r="E258" s="46">
        <v>69</v>
      </c>
      <c r="F258" s="46">
        <v>80</v>
      </c>
      <c r="H258" s="73">
        <v>98258</v>
      </c>
      <c r="I258" s="73" t="s">
        <v>10</v>
      </c>
      <c r="J258" s="75">
        <v>54168.6</v>
      </c>
      <c r="K258" s="75">
        <v>54180.66</v>
      </c>
      <c r="L258" s="75">
        <v>217772.62999999899</v>
      </c>
      <c r="M258" s="75">
        <v>396015.45</v>
      </c>
      <c r="N258" s="75">
        <v>35670.83</v>
      </c>
      <c r="O258" s="75">
        <v>38618.74</v>
      </c>
      <c r="P258" s="75">
        <v>238034.93999999901</v>
      </c>
      <c r="Q258" s="75">
        <v>363105.03</v>
      </c>
      <c r="R258" s="75">
        <v>25160.53</v>
      </c>
      <c r="S258" s="75">
        <v>25276.41</v>
      </c>
      <c r="T258" s="75">
        <v>243995.22999999899</v>
      </c>
      <c r="U258" s="75">
        <v>348435.36999999901</v>
      </c>
      <c r="AV258" s="73" t="s">
        <v>192</v>
      </c>
      <c r="AW258" s="73" t="s">
        <v>10</v>
      </c>
      <c r="AX258" s="33">
        <v>39</v>
      </c>
      <c r="AY258" s="33">
        <v>63</v>
      </c>
      <c r="AZ258" s="33">
        <v>61</v>
      </c>
      <c r="BB258" s="73" t="s">
        <v>192</v>
      </c>
      <c r="BC258" s="73" t="s">
        <v>10</v>
      </c>
      <c r="BD258" s="75">
        <v>20971.89</v>
      </c>
      <c r="BE258" s="75">
        <v>29242.37</v>
      </c>
      <c r="BF258" s="75">
        <v>73112.37</v>
      </c>
    </row>
    <row r="259" spans="2:58" x14ac:dyDescent="0.2">
      <c r="B259" s="56">
        <v>98260</v>
      </c>
      <c r="C259" s="62" t="s">
        <v>10</v>
      </c>
      <c r="D259" s="46">
        <v>338</v>
      </c>
      <c r="E259" s="46">
        <v>306</v>
      </c>
      <c r="F259" s="46">
        <v>340</v>
      </c>
      <c r="H259" s="73">
        <v>98260</v>
      </c>
      <c r="I259" s="73" t="s">
        <v>345</v>
      </c>
      <c r="J259" s="75">
        <v>1639.87</v>
      </c>
      <c r="K259" s="75">
        <v>4013.91</v>
      </c>
      <c r="L259" s="75">
        <v>27140.73</v>
      </c>
      <c r="M259" s="75">
        <v>62390.9399999999</v>
      </c>
      <c r="N259" s="75">
        <v>2911.44</v>
      </c>
      <c r="O259" s="75">
        <v>708.54</v>
      </c>
      <c r="P259" s="75">
        <v>28014.11</v>
      </c>
      <c r="Q259" s="75">
        <v>51648.09</v>
      </c>
      <c r="R259" s="75">
        <v>1392.25</v>
      </c>
      <c r="S259" s="75">
        <v>2347.75</v>
      </c>
      <c r="T259" s="75">
        <v>25861.05</v>
      </c>
      <c r="U259" s="75">
        <v>55911.98</v>
      </c>
      <c r="AV259" s="73" t="s">
        <v>194</v>
      </c>
      <c r="AW259" s="73" t="s">
        <v>345</v>
      </c>
      <c r="AX259" s="33">
        <v>1</v>
      </c>
      <c r="AY259" s="33">
        <v>4</v>
      </c>
      <c r="AZ259" s="33">
        <v>2</v>
      </c>
      <c r="BB259" s="73" t="s">
        <v>194</v>
      </c>
      <c r="BC259" s="73" t="s">
        <v>345</v>
      </c>
      <c r="BD259" s="75">
        <v>10.9</v>
      </c>
      <c r="BE259" s="75">
        <v>1887.69</v>
      </c>
      <c r="BF259" s="75">
        <v>10.9</v>
      </c>
    </row>
    <row r="260" spans="2:58" x14ac:dyDescent="0.2">
      <c r="B260" s="81">
        <v>98262</v>
      </c>
      <c r="C260" s="62" t="s">
        <v>345</v>
      </c>
      <c r="D260" s="46">
        <v>21</v>
      </c>
      <c r="E260" s="46">
        <v>19</v>
      </c>
      <c r="F260" s="46">
        <v>28</v>
      </c>
      <c r="H260" s="73">
        <v>98260</v>
      </c>
      <c r="I260" s="73" t="s">
        <v>10</v>
      </c>
      <c r="J260" s="75">
        <v>23758.85</v>
      </c>
      <c r="K260" s="75">
        <v>17574.759999999998</v>
      </c>
      <c r="L260" s="75">
        <v>82288.979999999894</v>
      </c>
      <c r="M260" s="75">
        <v>155006.58999999901</v>
      </c>
      <c r="N260" s="75">
        <v>14933.64</v>
      </c>
      <c r="O260" s="75">
        <v>14997.07</v>
      </c>
      <c r="P260" s="75">
        <v>84866.58</v>
      </c>
      <c r="Q260" s="75">
        <v>135589.72999999899</v>
      </c>
      <c r="R260" s="75">
        <v>12918.8</v>
      </c>
      <c r="S260" s="75">
        <v>11833.57</v>
      </c>
      <c r="T260" s="75">
        <v>89269.209999999905</v>
      </c>
      <c r="U260" s="75">
        <v>139509.04999999999</v>
      </c>
      <c r="AV260" s="73" t="s">
        <v>194</v>
      </c>
      <c r="AW260" s="73" t="s">
        <v>10</v>
      </c>
      <c r="AX260" s="33">
        <v>8</v>
      </c>
      <c r="AY260" s="33">
        <v>8</v>
      </c>
      <c r="AZ260" s="33">
        <v>8</v>
      </c>
      <c r="BB260" s="73" t="s">
        <v>194</v>
      </c>
      <c r="BC260" s="73" t="s">
        <v>10</v>
      </c>
      <c r="BD260" s="75">
        <v>8329.23</v>
      </c>
      <c r="BE260" s="75">
        <v>6410.69</v>
      </c>
      <c r="BF260" s="75">
        <v>9269.6200000000008</v>
      </c>
    </row>
    <row r="261" spans="2:58" x14ac:dyDescent="0.2">
      <c r="B261" s="56">
        <v>98262</v>
      </c>
      <c r="C261" s="62" t="s">
        <v>10</v>
      </c>
      <c r="D261" s="46">
        <v>120</v>
      </c>
      <c r="E261" s="46">
        <v>113</v>
      </c>
      <c r="F261" s="46">
        <v>121</v>
      </c>
      <c r="H261" s="73">
        <v>98262</v>
      </c>
      <c r="I261" s="73" t="s">
        <v>345</v>
      </c>
      <c r="J261" s="75">
        <v>311.45999999999998</v>
      </c>
      <c r="K261" s="75">
        <v>123.78</v>
      </c>
      <c r="L261" s="75">
        <v>469.82</v>
      </c>
      <c r="M261" s="75">
        <v>3549.18</v>
      </c>
      <c r="N261" s="75">
        <v>56.98</v>
      </c>
      <c r="O261" s="75"/>
      <c r="P261" s="75">
        <v>240.219999999999</v>
      </c>
      <c r="Q261" s="75">
        <v>2074.56</v>
      </c>
      <c r="R261" s="75">
        <v>419.69</v>
      </c>
      <c r="S261" s="75"/>
      <c r="T261" s="75">
        <v>240.22</v>
      </c>
      <c r="U261" s="75">
        <v>2194.89</v>
      </c>
      <c r="AV261" s="73" t="s">
        <v>197</v>
      </c>
      <c r="AW261" s="73" t="s">
        <v>10</v>
      </c>
      <c r="AX261" s="33">
        <v>11</v>
      </c>
      <c r="AY261" s="33">
        <v>4</v>
      </c>
      <c r="AZ261" s="33">
        <v>19</v>
      </c>
      <c r="BB261" s="73" t="s">
        <v>197</v>
      </c>
      <c r="BC261" s="73" t="s">
        <v>10</v>
      </c>
      <c r="BD261" s="75">
        <v>4164.99</v>
      </c>
      <c r="BE261" s="75">
        <v>1564.1</v>
      </c>
      <c r="BF261" s="75">
        <v>3128.92</v>
      </c>
    </row>
    <row r="262" spans="2:58" x14ac:dyDescent="0.2">
      <c r="B262" s="81">
        <v>98263</v>
      </c>
      <c r="C262" s="62" t="s">
        <v>345</v>
      </c>
      <c r="D262" s="46">
        <v>8</v>
      </c>
      <c r="E262" s="46">
        <v>3</v>
      </c>
      <c r="F262" s="71">
        <v>7</v>
      </c>
      <c r="H262" s="73">
        <v>98262</v>
      </c>
      <c r="I262" s="73" t="s">
        <v>10</v>
      </c>
      <c r="J262" s="75">
        <v>3749.08</v>
      </c>
      <c r="K262" s="75">
        <v>4561.6400000000003</v>
      </c>
      <c r="L262" s="75">
        <v>18096.4899999999</v>
      </c>
      <c r="M262" s="75">
        <v>32953.050000000003</v>
      </c>
      <c r="N262" s="75">
        <v>1954.53</v>
      </c>
      <c r="O262" s="75">
        <v>2844.03</v>
      </c>
      <c r="P262" s="75">
        <v>17300.419999999998</v>
      </c>
      <c r="Q262" s="75">
        <v>28548.07</v>
      </c>
      <c r="R262" s="75">
        <v>2504.21</v>
      </c>
      <c r="S262" s="75">
        <v>1785.19</v>
      </c>
      <c r="T262" s="75">
        <v>19836.07</v>
      </c>
      <c r="U262" s="75">
        <v>31427.02</v>
      </c>
      <c r="AV262" s="73" t="s">
        <v>198</v>
      </c>
      <c r="AW262" s="73" t="s">
        <v>10</v>
      </c>
      <c r="AX262" s="33">
        <v>1</v>
      </c>
      <c r="AY262" s="33">
        <v>1</v>
      </c>
      <c r="AZ262" s="33">
        <v>2</v>
      </c>
      <c r="BB262" s="73" t="s">
        <v>198</v>
      </c>
      <c r="BC262" s="73" t="s">
        <v>10</v>
      </c>
      <c r="BD262" s="75">
        <v>1297.52</v>
      </c>
      <c r="BE262" s="75">
        <v>1585.18</v>
      </c>
      <c r="BF262" s="75">
        <v>12.41</v>
      </c>
    </row>
    <row r="263" spans="2:58" x14ac:dyDescent="0.2">
      <c r="B263" s="56">
        <v>98263</v>
      </c>
      <c r="C263" s="62" t="s">
        <v>10</v>
      </c>
      <c r="D263" s="46">
        <v>35</v>
      </c>
      <c r="E263" s="46">
        <v>25</v>
      </c>
      <c r="F263" s="46">
        <v>31</v>
      </c>
      <c r="H263" s="73">
        <v>98263</v>
      </c>
      <c r="I263" s="73" t="s">
        <v>345</v>
      </c>
      <c r="J263" s="75">
        <v>111.11</v>
      </c>
      <c r="K263" s="75"/>
      <c r="L263" s="75"/>
      <c r="M263" s="75">
        <v>5519.32</v>
      </c>
      <c r="N263" s="75">
        <v>56.6</v>
      </c>
      <c r="O263" s="75">
        <v>81.05</v>
      </c>
      <c r="P263" s="75"/>
      <c r="Q263" s="75">
        <v>258.44</v>
      </c>
      <c r="R263" s="75">
        <v>120.79</v>
      </c>
      <c r="S263" s="75">
        <v>56.6</v>
      </c>
      <c r="T263" s="75">
        <v>81.05</v>
      </c>
      <c r="U263" s="75">
        <v>1046.31</v>
      </c>
      <c r="AV263" s="73" t="s">
        <v>199</v>
      </c>
      <c r="AW263" s="73" t="s">
        <v>10</v>
      </c>
      <c r="AX263" s="33">
        <v>1</v>
      </c>
      <c r="AY263" s="33"/>
      <c r="AZ263" s="33"/>
      <c r="BB263" s="73" t="s">
        <v>199</v>
      </c>
      <c r="BC263" s="73" t="s">
        <v>10</v>
      </c>
      <c r="BD263" s="75">
        <v>5271.07</v>
      </c>
      <c r="BE263" s="75"/>
      <c r="BF263" s="75"/>
    </row>
    <row r="264" spans="2:58" x14ac:dyDescent="0.2">
      <c r="B264" s="81">
        <v>98264</v>
      </c>
      <c r="C264" s="62" t="s">
        <v>345</v>
      </c>
      <c r="D264" s="46">
        <v>170</v>
      </c>
      <c r="E264" s="46">
        <v>173</v>
      </c>
      <c r="F264" s="46">
        <v>229</v>
      </c>
      <c r="H264" s="73">
        <v>98263</v>
      </c>
      <c r="I264" s="73" t="s">
        <v>10</v>
      </c>
      <c r="J264" s="75">
        <v>1283.1300000000001</v>
      </c>
      <c r="K264" s="75">
        <v>6472.68</v>
      </c>
      <c r="L264" s="75">
        <v>17663.599999999999</v>
      </c>
      <c r="M264" s="75">
        <v>32870.799999999901</v>
      </c>
      <c r="N264" s="75">
        <v>5720.07</v>
      </c>
      <c r="O264" s="75">
        <v>1157.6500000000001</v>
      </c>
      <c r="P264" s="75">
        <v>22357.41</v>
      </c>
      <c r="Q264" s="75">
        <v>30552.5799999999</v>
      </c>
      <c r="R264" s="75">
        <v>1172.79</v>
      </c>
      <c r="S264" s="75">
        <v>4348.5200000000004</v>
      </c>
      <c r="T264" s="75">
        <v>21633.37</v>
      </c>
      <c r="U264" s="75">
        <v>33868.39</v>
      </c>
      <c r="AV264" s="73" t="s">
        <v>200</v>
      </c>
      <c r="AW264" s="73" t="s">
        <v>345</v>
      </c>
      <c r="AX264" s="33"/>
      <c r="AY264" s="33"/>
      <c r="AZ264" s="33">
        <v>1</v>
      </c>
      <c r="BB264" s="73" t="s">
        <v>200</v>
      </c>
      <c r="BC264" s="73" t="s">
        <v>345</v>
      </c>
      <c r="BD264" s="75"/>
      <c r="BE264" s="75"/>
      <c r="BF264" s="75">
        <v>1571.7</v>
      </c>
    </row>
    <row r="265" spans="2:58" x14ac:dyDescent="0.2">
      <c r="B265" s="56">
        <v>98264</v>
      </c>
      <c r="C265" s="62" t="s">
        <v>10</v>
      </c>
      <c r="D265" s="46">
        <v>1197</v>
      </c>
      <c r="E265" s="46">
        <v>1268</v>
      </c>
      <c r="F265" s="46">
        <v>1272</v>
      </c>
      <c r="H265" s="73">
        <v>98264</v>
      </c>
      <c r="I265" s="73" t="s">
        <v>345</v>
      </c>
      <c r="J265" s="75">
        <v>7356.54</v>
      </c>
      <c r="K265" s="75">
        <v>3950.99</v>
      </c>
      <c r="L265" s="75">
        <v>28013.749999999902</v>
      </c>
      <c r="M265" s="75">
        <v>220032.87</v>
      </c>
      <c r="N265" s="75">
        <v>9300.5</v>
      </c>
      <c r="O265" s="75">
        <v>5752.08</v>
      </c>
      <c r="P265" s="75">
        <v>27644.749999999902</v>
      </c>
      <c r="Q265" s="75">
        <v>95632.82</v>
      </c>
      <c r="R265" s="75">
        <v>15320.54</v>
      </c>
      <c r="S265" s="75">
        <v>5756.01</v>
      </c>
      <c r="T265" s="75">
        <v>29620.61</v>
      </c>
      <c r="U265" s="75">
        <v>184132.05999999901</v>
      </c>
      <c r="AV265" s="73" t="s">
        <v>200</v>
      </c>
      <c r="AW265" s="73" t="s">
        <v>10</v>
      </c>
      <c r="AX265" s="33">
        <v>4</v>
      </c>
      <c r="AY265" s="33">
        <v>3</v>
      </c>
      <c r="AZ265" s="33">
        <v>5</v>
      </c>
      <c r="BB265" s="73" t="s">
        <v>200</v>
      </c>
      <c r="BC265" s="73" t="s">
        <v>10</v>
      </c>
      <c r="BD265" s="75">
        <v>1684.18</v>
      </c>
      <c r="BE265" s="75">
        <v>697.19</v>
      </c>
      <c r="BF265" s="75">
        <v>3955.05</v>
      </c>
    </row>
    <row r="266" spans="2:58" x14ac:dyDescent="0.2">
      <c r="B266" s="81">
        <v>98266</v>
      </c>
      <c r="C266" s="62" t="s">
        <v>345</v>
      </c>
      <c r="D266" s="46">
        <v>38</v>
      </c>
      <c r="E266" s="46">
        <v>35</v>
      </c>
      <c r="F266" s="46">
        <v>15</v>
      </c>
      <c r="H266" s="73">
        <v>98264</v>
      </c>
      <c r="I266" s="73" t="s">
        <v>10</v>
      </c>
      <c r="J266" s="75">
        <v>51789.440000000002</v>
      </c>
      <c r="K266" s="75">
        <v>47830.65</v>
      </c>
      <c r="L266" s="75">
        <v>255484.959999999</v>
      </c>
      <c r="M266" s="75">
        <v>439314.00999999902</v>
      </c>
      <c r="N266" s="75">
        <v>43714.31</v>
      </c>
      <c r="O266" s="75">
        <v>35672.9</v>
      </c>
      <c r="P266" s="75">
        <v>272028.17</v>
      </c>
      <c r="Q266" s="75">
        <v>460327.7</v>
      </c>
      <c r="R266" s="75">
        <v>53347.3</v>
      </c>
      <c r="S266" s="75">
        <v>31902.49</v>
      </c>
      <c r="T266" s="75">
        <v>274762.63</v>
      </c>
      <c r="U266" s="75">
        <v>478225.31</v>
      </c>
      <c r="AV266" s="73" t="s">
        <v>321</v>
      </c>
      <c r="AW266" s="73" t="s">
        <v>345</v>
      </c>
      <c r="AX266" s="33"/>
      <c r="AY266" s="33"/>
      <c r="AZ266" s="33">
        <v>1</v>
      </c>
      <c r="BB266" s="73" t="s">
        <v>321</v>
      </c>
      <c r="BC266" s="73" t="s">
        <v>345</v>
      </c>
      <c r="BD266" s="75"/>
      <c r="BE266" s="75"/>
      <c r="BF266" s="75">
        <v>966.87</v>
      </c>
    </row>
    <row r="267" spans="2:58" x14ac:dyDescent="0.2">
      <c r="B267" s="56">
        <v>98266</v>
      </c>
      <c r="C267" s="62" t="s">
        <v>10</v>
      </c>
      <c r="D267" s="46">
        <v>445</v>
      </c>
      <c r="E267" s="46">
        <v>436</v>
      </c>
      <c r="F267" s="46">
        <v>459</v>
      </c>
      <c r="H267" s="73">
        <v>98266</v>
      </c>
      <c r="I267" s="73" t="s">
        <v>345</v>
      </c>
      <c r="J267" s="75">
        <v>221.51</v>
      </c>
      <c r="K267" s="75">
        <v>47.03</v>
      </c>
      <c r="L267" s="75">
        <v>990.93</v>
      </c>
      <c r="M267" s="75">
        <v>6014.96</v>
      </c>
      <c r="N267" s="75">
        <v>182.93</v>
      </c>
      <c r="O267" s="75">
        <v>73.61</v>
      </c>
      <c r="P267" s="75">
        <v>1037.96</v>
      </c>
      <c r="Q267" s="75">
        <v>3728.8599999999901</v>
      </c>
      <c r="R267" s="75">
        <v>215.61</v>
      </c>
      <c r="S267" s="75">
        <v>148.22</v>
      </c>
      <c r="T267" s="75">
        <v>1111.57</v>
      </c>
      <c r="U267" s="75">
        <v>1952.53</v>
      </c>
      <c r="AV267" s="73" t="s">
        <v>321</v>
      </c>
      <c r="AW267" s="73" t="s">
        <v>10</v>
      </c>
      <c r="AX267" s="33">
        <v>3</v>
      </c>
      <c r="AY267" s="33">
        <v>7</v>
      </c>
      <c r="AZ267" s="33">
        <v>3</v>
      </c>
      <c r="BB267" s="73" t="s">
        <v>321</v>
      </c>
      <c r="BC267" s="73" t="s">
        <v>10</v>
      </c>
      <c r="BD267" s="75">
        <v>144.37</v>
      </c>
      <c r="BE267" s="75">
        <v>3663.94</v>
      </c>
      <c r="BF267" s="75">
        <v>21.45</v>
      </c>
    </row>
    <row r="268" spans="2:58" x14ac:dyDescent="0.2">
      <c r="B268" s="81">
        <v>98267</v>
      </c>
      <c r="C268" s="62" t="s">
        <v>345</v>
      </c>
      <c r="D268" s="46">
        <v>4</v>
      </c>
      <c r="E268" s="46">
        <v>4</v>
      </c>
      <c r="F268" s="46">
        <v>5</v>
      </c>
      <c r="H268" s="73">
        <v>98266</v>
      </c>
      <c r="I268" s="73" t="s">
        <v>10</v>
      </c>
      <c r="J268" s="75">
        <v>38124.980000000003</v>
      </c>
      <c r="K268" s="75">
        <v>33707.17</v>
      </c>
      <c r="L268" s="75">
        <v>169802.519999999</v>
      </c>
      <c r="M268" s="75">
        <v>278903.51</v>
      </c>
      <c r="N268" s="75">
        <v>25717.97</v>
      </c>
      <c r="O268" s="75">
        <v>30128.23</v>
      </c>
      <c r="P268" s="75">
        <v>173943.269999999</v>
      </c>
      <c r="Q268" s="75">
        <v>268976.53999999998</v>
      </c>
      <c r="R268" s="75">
        <v>28680.36</v>
      </c>
      <c r="S268" s="75">
        <v>20246.509999999998</v>
      </c>
      <c r="T268" s="75">
        <v>188069.55</v>
      </c>
      <c r="U268" s="75">
        <v>274734.78000000003</v>
      </c>
      <c r="AV268" s="73" t="s">
        <v>201</v>
      </c>
      <c r="AW268" s="73" t="s">
        <v>345</v>
      </c>
      <c r="AX268" s="33"/>
      <c r="AY268" s="33">
        <v>1</v>
      </c>
      <c r="AZ268" s="33"/>
      <c r="BB268" s="73" t="s">
        <v>201</v>
      </c>
      <c r="BC268" s="73" t="s">
        <v>345</v>
      </c>
      <c r="BD268" s="75"/>
      <c r="BE268" s="75">
        <v>145.62</v>
      </c>
      <c r="BF268" s="75"/>
    </row>
    <row r="269" spans="2:58" x14ac:dyDescent="0.2">
      <c r="B269" s="56">
        <v>98267</v>
      </c>
      <c r="C269" s="62" t="s">
        <v>10</v>
      </c>
      <c r="D269" s="46">
        <v>33</v>
      </c>
      <c r="E269" s="46">
        <v>44</v>
      </c>
      <c r="F269" s="46">
        <v>41</v>
      </c>
      <c r="H269" s="73">
        <v>98267</v>
      </c>
      <c r="I269" s="73" t="s">
        <v>345</v>
      </c>
      <c r="J269" s="75">
        <v>122</v>
      </c>
      <c r="K269" s="75"/>
      <c r="L269" s="75">
        <v>16</v>
      </c>
      <c r="M269" s="75">
        <v>573.72</v>
      </c>
      <c r="N269" s="75"/>
      <c r="O269" s="75">
        <v>48.65</v>
      </c>
      <c r="P269" s="75">
        <v>16</v>
      </c>
      <c r="Q269" s="75">
        <v>5074.3100000000004</v>
      </c>
      <c r="R269" s="75">
        <v>4929.47</v>
      </c>
      <c r="S269" s="75"/>
      <c r="T269" s="75">
        <v>64.650000000000006</v>
      </c>
      <c r="U269" s="75">
        <v>17358.6499999999</v>
      </c>
      <c r="AV269" s="73" t="s">
        <v>201</v>
      </c>
      <c r="AW269" s="73" t="s">
        <v>10</v>
      </c>
      <c r="AX269" s="33">
        <v>12</v>
      </c>
      <c r="AY269" s="33">
        <v>13</v>
      </c>
      <c r="AZ269" s="33">
        <v>23</v>
      </c>
      <c r="BB269" s="73" t="s">
        <v>201</v>
      </c>
      <c r="BC269" s="73" t="s">
        <v>10</v>
      </c>
      <c r="BD269" s="75">
        <v>5727.46</v>
      </c>
      <c r="BE269" s="75">
        <v>13752.32</v>
      </c>
      <c r="BF269" s="75">
        <v>24725.48</v>
      </c>
    </row>
    <row r="270" spans="2:58" x14ac:dyDescent="0.2">
      <c r="B270" s="81">
        <v>98270</v>
      </c>
      <c r="C270" s="62" t="s">
        <v>345</v>
      </c>
      <c r="D270" s="46">
        <v>80</v>
      </c>
      <c r="E270" s="46">
        <v>55</v>
      </c>
      <c r="F270" s="46">
        <v>79</v>
      </c>
      <c r="H270" s="73">
        <v>98267</v>
      </c>
      <c r="I270" s="73" t="s">
        <v>10</v>
      </c>
      <c r="J270" s="75">
        <v>8600.1200000000008</v>
      </c>
      <c r="K270" s="75"/>
      <c r="L270" s="75">
        <v>29211.82</v>
      </c>
      <c r="M270" s="75">
        <v>38504.78</v>
      </c>
      <c r="N270" s="75">
        <v>350.98</v>
      </c>
      <c r="O270" s="75">
        <v>7594.67</v>
      </c>
      <c r="P270" s="75">
        <v>28048.1</v>
      </c>
      <c r="Q270" s="75">
        <v>41905.8999999999</v>
      </c>
      <c r="R270" s="75">
        <v>5556.87</v>
      </c>
      <c r="S270" s="75">
        <v>350.98</v>
      </c>
      <c r="T270" s="75">
        <v>34881.94</v>
      </c>
      <c r="U270" s="75">
        <v>41521.669999999896</v>
      </c>
      <c r="AV270" s="73" t="s">
        <v>202</v>
      </c>
      <c r="AW270" s="73" t="s">
        <v>345</v>
      </c>
      <c r="AX270" s="33">
        <v>1</v>
      </c>
      <c r="AY270" s="33"/>
      <c r="AZ270" s="33"/>
      <c r="BB270" s="73" t="s">
        <v>202</v>
      </c>
      <c r="BC270" s="73" t="s">
        <v>345</v>
      </c>
      <c r="BD270" s="75">
        <v>26.73</v>
      </c>
      <c r="BE270" s="75"/>
      <c r="BF270" s="75"/>
    </row>
    <row r="271" spans="2:58" x14ac:dyDescent="0.2">
      <c r="B271" s="56">
        <v>98270</v>
      </c>
      <c r="C271" s="62" t="s">
        <v>10</v>
      </c>
      <c r="D271" s="46">
        <v>2112</v>
      </c>
      <c r="E271" s="46">
        <v>1984</v>
      </c>
      <c r="F271" s="46">
        <v>1977</v>
      </c>
      <c r="H271" s="73">
        <v>98270</v>
      </c>
      <c r="I271" s="73" t="s">
        <v>345</v>
      </c>
      <c r="J271" s="75">
        <v>4383.95</v>
      </c>
      <c r="K271" s="75">
        <v>4184.28</v>
      </c>
      <c r="L271" s="75">
        <v>39748.199999999997</v>
      </c>
      <c r="M271" s="75">
        <v>57107.619999999901</v>
      </c>
      <c r="N271" s="75">
        <v>3322.97</v>
      </c>
      <c r="O271" s="75">
        <v>3199.12</v>
      </c>
      <c r="P271" s="75">
        <v>41979.92</v>
      </c>
      <c r="Q271" s="75">
        <v>53521.89</v>
      </c>
      <c r="R271" s="75">
        <v>1921.77</v>
      </c>
      <c r="S271" s="75">
        <v>1926.37</v>
      </c>
      <c r="T271" s="75">
        <v>42134.3</v>
      </c>
      <c r="U271" s="75">
        <v>54034.97</v>
      </c>
      <c r="AV271" s="73" t="s">
        <v>202</v>
      </c>
      <c r="AW271" s="73" t="s">
        <v>10</v>
      </c>
      <c r="AX271" s="33">
        <v>14</v>
      </c>
      <c r="AY271" s="33">
        <v>11</v>
      </c>
      <c r="AZ271" s="33">
        <v>6</v>
      </c>
      <c r="BB271" s="73" t="s">
        <v>202</v>
      </c>
      <c r="BC271" s="73" t="s">
        <v>10</v>
      </c>
      <c r="BD271" s="75">
        <v>16710.3</v>
      </c>
      <c r="BE271" s="75">
        <v>11811.09</v>
      </c>
      <c r="BF271" s="75">
        <v>1827.43</v>
      </c>
    </row>
    <row r="272" spans="2:58" x14ac:dyDescent="0.2">
      <c r="B272" s="81">
        <v>98271</v>
      </c>
      <c r="C272" s="62" t="s">
        <v>345</v>
      </c>
      <c r="D272" s="46">
        <v>48</v>
      </c>
      <c r="E272" s="46">
        <v>51</v>
      </c>
      <c r="F272" s="46">
        <v>65</v>
      </c>
      <c r="H272" s="73">
        <v>98270</v>
      </c>
      <c r="I272" s="73" t="s">
        <v>10</v>
      </c>
      <c r="J272" s="75">
        <v>65239.37</v>
      </c>
      <c r="K272" s="75">
        <v>61230.66</v>
      </c>
      <c r="L272" s="75">
        <v>273181.39999999898</v>
      </c>
      <c r="M272" s="75">
        <v>476231.13</v>
      </c>
      <c r="N272" s="75">
        <v>41111.15</v>
      </c>
      <c r="O272" s="75">
        <v>47490.400000000001</v>
      </c>
      <c r="P272" s="75">
        <v>288103.42</v>
      </c>
      <c r="Q272" s="75">
        <v>439468.83</v>
      </c>
      <c r="R272" s="75">
        <v>36541.980000000003</v>
      </c>
      <c r="S272" s="75">
        <v>30517.85</v>
      </c>
      <c r="T272" s="75">
        <v>294325.82</v>
      </c>
      <c r="U272" s="75">
        <v>423972.70999999897</v>
      </c>
      <c r="AV272" s="73" t="s">
        <v>203</v>
      </c>
      <c r="AW272" s="73" t="s">
        <v>10</v>
      </c>
      <c r="AX272" s="33">
        <v>2</v>
      </c>
      <c r="AY272" s="33"/>
      <c r="AZ272" s="33">
        <v>1</v>
      </c>
      <c r="BB272" s="73" t="s">
        <v>203</v>
      </c>
      <c r="BC272" s="73" t="s">
        <v>10</v>
      </c>
      <c r="BD272" s="75">
        <v>225.76</v>
      </c>
      <c r="BE272" s="75"/>
      <c r="BF272" s="75">
        <v>6.26</v>
      </c>
    </row>
    <row r="273" spans="2:58" x14ac:dyDescent="0.2">
      <c r="B273" s="56">
        <v>98271</v>
      </c>
      <c r="C273" s="62" t="s">
        <v>10</v>
      </c>
      <c r="D273" s="46">
        <v>477</v>
      </c>
      <c r="E273" s="46">
        <v>456</v>
      </c>
      <c r="F273" s="46">
        <v>455</v>
      </c>
      <c r="H273" s="73">
        <v>98271</v>
      </c>
      <c r="I273" s="73" t="s">
        <v>345</v>
      </c>
      <c r="J273" s="75">
        <v>1862.32</v>
      </c>
      <c r="K273" s="75">
        <v>1165.22</v>
      </c>
      <c r="L273" s="75">
        <v>9358.7900000000009</v>
      </c>
      <c r="M273" s="75">
        <v>21928.049999999901</v>
      </c>
      <c r="N273" s="75">
        <v>586.46</v>
      </c>
      <c r="O273" s="75">
        <v>790.16</v>
      </c>
      <c r="P273" s="75">
        <v>9753.75</v>
      </c>
      <c r="Q273" s="75">
        <v>24655.39</v>
      </c>
      <c r="R273" s="75">
        <v>1023.56</v>
      </c>
      <c r="S273" s="75">
        <v>400.95</v>
      </c>
      <c r="T273" s="75">
        <v>10022.23</v>
      </c>
      <c r="U273" s="75">
        <v>21170.529999999901</v>
      </c>
      <c r="AV273" s="73" t="s">
        <v>204</v>
      </c>
      <c r="AW273" s="73" t="s">
        <v>10</v>
      </c>
      <c r="AX273" s="33"/>
      <c r="AY273" s="33">
        <v>2</v>
      </c>
      <c r="AZ273" s="33">
        <v>1</v>
      </c>
      <c r="BB273" s="73" t="s">
        <v>204</v>
      </c>
      <c r="BC273" s="73" t="s">
        <v>10</v>
      </c>
      <c r="BD273" s="75"/>
      <c r="BE273" s="75">
        <v>202.03</v>
      </c>
      <c r="BF273" s="75">
        <v>616.17999999999995</v>
      </c>
    </row>
    <row r="274" spans="2:58" x14ac:dyDescent="0.2">
      <c r="B274" s="81">
        <v>98272</v>
      </c>
      <c r="C274" s="62" t="s">
        <v>345</v>
      </c>
      <c r="D274" s="46">
        <v>133</v>
      </c>
      <c r="E274" s="46">
        <v>108</v>
      </c>
      <c r="F274" s="46">
        <v>122</v>
      </c>
      <c r="H274" s="73">
        <v>98271</v>
      </c>
      <c r="I274" s="73" t="s">
        <v>10</v>
      </c>
      <c r="J274" s="75">
        <v>14353.84</v>
      </c>
      <c r="K274" s="75">
        <v>14143.66</v>
      </c>
      <c r="L274" s="75">
        <v>76180.89</v>
      </c>
      <c r="M274" s="75">
        <v>123681.03</v>
      </c>
      <c r="N274" s="75">
        <v>9734.15</v>
      </c>
      <c r="O274" s="75">
        <v>10865.99</v>
      </c>
      <c r="P274" s="75">
        <v>75113.5</v>
      </c>
      <c r="Q274" s="75">
        <v>110903</v>
      </c>
      <c r="R274" s="75">
        <v>8787.52</v>
      </c>
      <c r="S274" s="75">
        <v>7699.38</v>
      </c>
      <c r="T274" s="75">
        <v>78059.89</v>
      </c>
      <c r="U274" s="75">
        <v>109206.78</v>
      </c>
      <c r="AV274" s="73" t="s">
        <v>206</v>
      </c>
      <c r="AW274" s="73" t="s">
        <v>10</v>
      </c>
      <c r="AX274" s="33"/>
      <c r="AY274" s="33">
        <v>1</v>
      </c>
      <c r="AZ274" s="33">
        <v>1</v>
      </c>
      <c r="BB274" s="73" t="s">
        <v>206</v>
      </c>
      <c r="BC274" s="73" t="s">
        <v>10</v>
      </c>
      <c r="BD274" s="75"/>
      <c r="BE274" s="75">
        <v>377.92</v>
      </c>
      <c r="BF274" s="75">
        <v>7.87</v>
      </c>
    </row>
    <row r="275" spans="2:58" x14ac:dyDescent="0.2">
      <c r="B275" s="56">
        <v>98272</v>
      </c>
      <c r="C275" s="62" t="s">
        <v>10</v>
      </c>
      <c r="D275" s="46">
        <v>797</v>
      </c>
      <c r="E275" s="46">
        <v>742</v>
      </c>
      <c r="F275" s="46">
        <v>773</v>
      </c>
      <c r="H275" s="73">
        <v>98272</v>
      </c>
      <c r="I275" s="73" t="s">
        <v>345</v>
      </c>
      <c r="J275" s="75">
        <v>10949.44</v>
      </c>
      <c r="K275" s="75">
        <v>3643.61</v>
      </c>
      <c r="L275" s="75">
        <v>10414.459999999999</v>
      </c>
      <c r="M275" s="75">
        <v>50516.779999999897</v>
      </c>
      <c r="N275" s="75">
        <v>3322.39</v>
      </c>
      <c r="O275" s="75">
        <v>2987.26</v>
      </c>
      <c r="P275" s="75">
        <v>8159.36</v>
      </c>
      <c r="Q275" s="75">
        <v>27466.63</v>
      </c>
      <c r="R275" s="75">
        <v>3678.04</v>
      </c>
      <c r="S275" s="75">
        <v>2104.4299999999998</v>
      </c>
      <c r="T275" s="75">
        <v>7496.29</v>
      </c>
      <c r="U275" s="75">
        <v>71676.86</v>
      </c>
      <c r="AV275" s="73" t="s">
        <v>207</v>
      </c>
      <c r="AW275" s="73" t="s">
        <v>345</v>
      </c>
      <c r="AX275" s="33">
        <v>2</v>
      </c>
      <c r="AY275" s="33">
        <v>1</v>
      </c>
      <c r="AZ275" s="33"/>
      <c r="BB275" s="73" t="s">
        <v>207</v>
      </c>
      <c r="BC275" s="73" t="s">
        <v>345</v>
      </c>
      <c r="BD275" s="75">
        <v>12088.84</v>
      </c>
      <c r="BE275" s="75">
        <v>9695.9</v>
      </c>
      <c r="BF275" s="75"/>
    </row>
    <row r="276" spans="2:58" x14ac:dyDescent="0.2">
      <c r="B276" s="81">
        <v>98273</v>
      </c>
      <c r="C276" s="62" t="s">
        <v>345</v>
      </c>
      <c r="D276" s="46">
        <v>324</v>
      </c>
      <c r="E276" s="46">
        <v>221</v>
      </c>
      <c r="F276" s="46">
        <v>348</v>
      </c>
      <c r="H276" s="73">
        <v>98272</v>
      </c>
      <c r="I276" s="73" t="s">
        <v>10</v>
      </c>
      <c r="J276" s="75">
        <v>20313.740000000002</v>
      </c>
      <c r="K276" s="75">
        <v>18229.71</v>
      </c>
      <c r="L276" s="75">
        <v>87628.37</v>
      </c>
      <c r="M276" s="75">
        <v>155562.39000000001</v>
      </c>
      <c r="N276" s="75">
        <v>12524.42</v>
      </c>
      <c r="O276" s="75">
        <v>13729</v>
      </c>
      <c r="P276" s="75">
        <v>88936.36</v>
      </c>
      <c r="Q276" s="75">
        <v>137301.859999999</v>
      </c>
      <c r="R276" s="75">
        <v>10632.84</v>
      </c>
      <c r="S276" s="75">
        <v>9377.6299999999992</v>
      </c>
      <c r="T276" s="75">
        <v>86969.95</v>
      </c>
      <c r="U276" s="75">
        <v>130727.21</v>
      </c>
      <c r="AV276" s="73" t="s">
        <v>207</v>
      </c>
      <c r="AW276" s="73" t="s">
        <v>10</v>
      </c>
      <c r="AX276" s="33">
        <v>3</v>
      </c>
      <c r="AY276" s="33">
        <v>3</v>
      </c>
      <c r="AZ276" s="33">
        <v>3</v>
      </c>
      <c r="BB276" s="73" t="s">
        <v>207</v>
      </c>
      <c r="BC276" s="73" t="s">
        <v>10</v>
      </c>
      <c r="BD276" s="75">
        <v>1289.22</v>
      </c>
      <c r="BE276" s="75">
        <v>887.4</v>
      </c>
      <c r="BF276" s="75">
        <v>3498.16</v>
      </c>
    </row>
    <row r="277" spans="2:58" x14ac:dyDescent="0.2">
      <c r="B277" s="56">
        <v>98273</v>
      </c>
      <c r="C277" s="62" t="s">
        <v>10</v>
      </c>
      <c r="D277" s="46">
        <v>1857</v>
      </c>
      <c r="E277" s="46">
        <v>1822</v>
      </c>
      <c r="F277" s="46">
        <v>1927</v>
      </c>
      <c r="H277" s="73">
        <v>98273</v>
      </c>
      <c r="I277" s="73" t="s">
        <v>345</v>
      </c>
      <c r="J277" s="75">
        <v>13354.39</v>
      </c>
      <c r="K277" s="75">
        <v>17456.55</v>
      </c>
      <c r="L277" s="75">
        <v>105377.18</v>
      </c>
      <c r="M277" s="75">
        <v>284191.75</v>
      </c>
      <c r="N277" s="75">
        <v>16060.25</v>
      </c>
      <c r="O277" s="75">
        <v>9415.26</v>
      </c>
      <c r="P277" s="75">
        <v>114779.57</v>
      </c>
      <c r="Q277" s="75">
        <v>243135.359999999</v>
      </c>
      <c r="R277" s="75">
        <v>15686.43</v>
      </c>
      <c r="S277" s="75">
        <v>11204.29</v>
      </c>
      <c r="T277" s="75">
        <v>113229.34</v>
      </c>
      <c r="U277" s="75">
        <v>294251.31</v>
      </c>
      <c r="AV277" s="73" t="s">
        <v>210</v>
      </c>
      <c r="AW277" s="73" t="s">
        <v>345</v>
      </c>
      <c r="AX277" s="33">
        <v>1</v>
      </c>
      <c r="AY277" s="33"/>
      <c r="AZ277" s="33"/>
      <c r="BB277" s="73" t="s">
        <v>210</v>
      </c>
      <c r="BC277" s="73" t="s">
        <v>345</v>
      </c>
      <c r="BD277" s="75">
        <v>240.96</v>
      </c>
      <c r="BE277" s="75"/>
      <c r="BF277" s="75"/>
    </row>
    <row r="278" spans="2:58" x14ac:dyDescent="0.2">
      <c r="B278" s="81">
        <v>98274</v>
      </c>
      <c r="C278" s="62" t="s">
        <v>345</v>
      </c>
      <c r="D278" s="46">
        <v>92</v>
      </c>
      <c r="E278" s="46">
        <v>72</v>
      </c>
      <c r="F278" s="46">
        <v>82</v>
      </c>
      <c r="H278" s="73">
        <v>98273</v>
      </c>
      <c r="I278" s="73" t="s">
        <v>10</v>
      </c>
      <c r="J278" s="75">
        <v>94852.51</v>
      </c>
      <c r="K278" s="75">
        <v>77036.62</v>
      </c>
      <c r="L278" s="75">
        <v>295178.05</v>
      </c>
      <c r="M278" s="75">
        <v>603636.32999999996</v>
      </c>
      <c r="N278" s="75">
        <v>59651.69</v>
      </c>
      <c r="O278" s="75">
        <v>67746.94</v>
      </c>
      <c r="P278" s="75">
        <v>334460.93</v>
      </c>
      <c r="Q278" s="75">
        <v>599252.08999999904</v>
      </c>
      <c r="R278" s="75">
        <v>78315.27</v>
      </c>
      <c r="S278" s="75">
        <v>44276.95</v>
      </c>
      <c r="T278" s="75">
        <v>342688.42</v>
      </c>
      <c r="U278" s="75">
        <v>612334.43999999994</v>
      </c>
      <c r="AV278" s="73" t="s">
        <v>210</v>
      </c>
      <c r="AW278" s="73" t="s">
        <v>10</v>
      </c>
      <c r="AX278" s="33">
        <v>2</v>
      </c>
      <c r="AY278" s="33">
        <v>4</v>
      </c>
      <c r="AZ278" s="33">
        <v>2</v>
      </c>
      <c r="BB278" s="73" t="s">
        <v>210</v>
      </c>
      <c r="BC278" s="73" t="s">
        <v>10</v>
      </c>
      <c r="BD278" s="75">
        <v>242.31</v>
      </c>
      <c r="BE278" s="75">
        <v>1073.99</v>
      </c>
      <c r="BF278" s="75">
        <v>254.27</v>
      </c>
    </row>
    <row r="279" spans="2:58" x14ac:dyDescent="0.2">
      <c r="B279" s="56">
        <v>98274</v>
      </c>
      <c r="C279" s="62" t="s">
        <v>10</v>
      </c>
      <c r="D279" s="46">
        <v>1039</v>
      </c>
      <c r="E279" s="46">
        <v>1006</v>
      </c>
      <c r="F279" s="46">
        <v>1076</v>
      </c>
      <c r="H279" s="73">
        <v>98274</v>
      </c>
      <c r="I279" s="73" t="s">
        <v>345</v>
      </c>
      <c r="J279" s="75">
        <v>8886.23</v>
      </c>
      <c r="K279" s="75">
        <v>19914</v>
      </c>
      <c r="L279" s="75">
        <v>247730.48</v>
      </c>
      <c r="M279" s="75">
        <v>350204.76999999897</v>
      </c>
      <c r="N279" s="75">
        <v>9368.6200000000008</v>
      </c>
      <c r="O279" s="75">
        <v>6626.7</v>
      </c>
      <c r="P279" s="75">
        <v>262067.19</v>
      </c>
      <c r="Q279" s="75">
        <v>298218.12</v>
      </c>
      <c r="R279" s="75">
        <v>11571.28</v>
      </c>
      <c r="S279" s="75">
        <v>7819.88</v>
      </c>
      <c r="T279" s="75">
        <v>267570.92</v>
      </c>
      <c r="U279" s="75">
        <v>313329.13</v>
      </c>
      <c r="AV279" s="73" t="s">
        <v>211</v>
      </c>
      <c r="AW279" s="73" t="s">
        <v>345</v>
      </c>
      <c r="AX279" s="33">
        <v>1</v>
      </c>
      <c r="AY279" s="33"/>
      <c r="AZ279" s="33"/>
      <c r="BB279" s="73" t="s">
        <v>211</v>
      </c>
      <c r="BC279" s="73" t="s">
        <v>345</v>
      </c>
      <c r="BD279" s="75">
        <v>1989.97</v>
      </c>
      <c r="BE279" s="75"/>
      <c r="BF279" s="75"/>
    </row>
    <row r="280" spans="2:58" x14ac:dyDescent="0.2">
      <c r="B280" s="81">
        <v>98275</v>
      </c>
      <c r="C280" s="62" t="s">
        <v>345</v>
      </c>
      <c r="D280" s="46">
        <v>32</v>
      </c>
      <c r="E280" s="46">
        <v>25</v>
      </c>
      <c r="F280" s="46">
        <v>37</v>
      </c>
      <c r="H280" s="73">
        <v>98274</v>
      </c>
      <c r="I280" s="73" t="s">
        <v>10</v>
      </c>
      <c r="J280" s="75">
        <v>64707.65</v>
      </c>
      <c r="K280" s="75">
        <v>44813.82</v>
      </c>
      <c r="L280" s="75">
        <v>205892.85</v>
      </c>
      <c r="M280" s="75">
        <v>397653.13999999902</v>
      </c>
      <c r="N280" s="75">
        <v>39921.360000000001</v>
      </c>
      <c r="O280" s="75">
        <v>44440.86</v>
      </c>
      <c r="P280" s="75">
        <v>221790.02999999901</v>
      </c>
      <c r="Q280" s="75">
        <v>401295.64999999898</v>
      </c>
      <c r="R280" s="75">
        <v>52520.45</v>
      </c>
      <c r="S280" s="75">
        <v>29376.79</v>
      </c>
      <c r="T280" s="75">
        <v>235960.899999999</v>
      </c>
      <c r="U280" s="75">
        <v>407682.72</v>
      </c>
      <c r="AV280" s="73" t="s">
        <v>211</v>
      </c>
      <c r="AW280" s="73" t="s">
        <v>10</v>
      </c>
      <c r="AX280" s="33">
        <v>2</v>
      </c>
      <c r="AY280" s="33"/>
      <c r="AZ280" s="33">
        <v>5</v>
      </c>
      <c r="BB280" s="73" t="s">
        <v>211</v>
      </c>
      <c r="BC280" s="73" t="s">
        <v>10</v>
      </c>
      <c r="BD280" s="75">
        <v>893.93</v>
      </c>
      <c r="BE280" s="75"/>
      <c r="BF280" s="75">
        <v>14375.83</v>
      </c>
    </row>
    <row r="281" spans="2:58" x14ac:dyDescent="0.2">
      <c r="B281" s="56">
        <v>98275</v>
      </c>
      <c r="C281" s="62" t="s">
        <v>10</v>
      </c>
      <c r="D281" s="46">
        <v>356</v>
      </c>
      <c r="E281" s="46">
        <v>351</v>
      </c>
      <c r="F281" s="46">
        <v>370</v>
      </c>
      <c r="H281" s="73">
        <v>98275</v>
      </c>
      <c r="I281" s="73" t="s">
        <v>345</v>
      </c>
      <c r="J281" s="75">
        <v>2720.04</v>
      </c>
      <c r="K281" s="75">
        <v>3165.16</v>
      </c>
      <c r="L281" s="75">
        <v>18711.43</v>
      </c>
      <c r="M281" s="75">
        <v>30017.15</v>
      </c>
      <c r="N281" s="75">
        <v>1246.17</v>
      </c>
      <c r="O281" s="75">
        <v>945.73</v>
      </c>
      <c r="P281" s="75">
        <v>19517.849999999999</v>
      </c>
      <c r="Q281" s="75">
        <v>23812.36</v>
      </c>
      <c r="R281" s="75">
        <v>1640.3</v>
      </c>
      <c r="S281" s="75">
        <v>833.76</v>
      </c>
      <c r="T281" s="75">
        <v>19798.78</v>
      </c>
      <c r="U281" s="75">
        <v>25302.67</v>
      </c>
      <c r="AV281" s="73" t="s">
        <v>212</v>
      </c>
      <c r="AW281" s="73" t="s">
        <v>10</v>
      </c>
      <c r="AX281" s="33">
        <v>6</v>
      </c>
      <c r="AY281" s="33">
        <v>8</v>
      </c>
      <c r="AZ281" s="33">
        <v>6</v>
      </c>
      <c r="BB281" s="73" t="s">
        <v>212</v>
      </c>
      <c r="BC281" s="73" t="s">
        <v>10</v>
      </c>
      <c r="BD281" s="75">
        <v>8309.67</v>
      </c>
      <c r="BE281" s="75">
        <v>13881.07</v>
      </c>
      <c r="BF281" s="75">
        <v>8214.49</v>
      </c>
    </row>
    <row r="282" spans="2:58" x14ac:dyDescent="0.2">
      <c r="B282" s="81">
        <v>98276</v>
      </c>
      <c r="C282" s="62" t="s">
        <v>345</v>
      </c>
      <c r="D282" s="46">
        <v>7</v>
      </c>
      <c r="E282" s="46">
        <v>4</v>
      </c>
      <c r="F282" s="46">
        <v>3</v>
      </c>
      <c r="H282" s="73">
        <v>98275</v>
      </c>
      <c r="I282" s="73" t="s">
        <v>10</v>
      </c>
      <c r="J282" s="75">
        <v>13325.59</v>
      </c>
      <c r="K282" s="75">
        <v>11756.01</v>
      </c>
      <c r="L282" s="75">
        <v>45976.82</v>
      </c>
      <c r="M282" s="75">
        <v>89308.999999999898</v>
      </c>
      <c r="N282" s="75">
        <v>8951.66</v>
      </c>
      <c r="O282" s="75">
        <v>8510.44</v>
      </c>
      <c r="P282" s="75">
        <v>47420.95</v>
      </c>
      <c r="Q282" s="75">
        <v>78641.5799999999</v>
      </c>
      <c r="R282" s="75">
        <v>7898.12</v>
      </c>
      <c r="S282" s="75">
        <v>6565.19</v>
      </c>
      <c r="T282" s="75">
        <v>50608.419999999896</v>
      </c>
      <c r="U282" s="75">
        <v>76477.06</v>
      </c>
      <c r="AV282" s="73" t="s">
        <v>214</v>
      </c>
      <c r="AW282" s="73" t="s">
        <v>345</v>
      </c>
      <c r="AX282" s="33">
        <v>1</v>
      </c>
      <c r="AY282" s="33">
        <v>1</v>
      </c>
      <c r="AZ282" s="33">
        <v>2</v>
      </c>
      <c r="BB282" s="73" t="s">
        <v>214</v>
      </c>
      <c r="BC282" s="73" t="s">
        <v>345</v>
      </c>
      <c r="BD282" s="75">
        <v>1747.29</v>
      </c>
      <c r="BE282" s="75">
        <v>238.72</v>
      </c>
      <c r="BF282" s="75">
        <v>4084.7</v>
      </c>
    </row>
    <row r="283" spans="2:58" x14ac:dyDescent="0.2">
      <c r="B283" s="56">
        <v>98276</v>
      </c>
      <c r="C283" s="62" t="s">
        <v>10</v>
      </c>
      <c r="D283" s="46">
        <v>87</v>
      </c>
      <c r="E283" s="46">
        <v>85</v>
      </c>
      <c r="F283" s="46">
        <v>90</v>
      </c>
      <c r="H283" s="73">
        <v>98276</v>
      </c>
      <c r="I283" s="73" t="s">
        <v>345</v>
      </c>
      <c r="J283" s="75">
        <v>345.26</v>
      </c>
      <c r="K283" s="75">
        <v>442.46</v>
      </c>
      <c r="L283" s="75">
        <v>3622.91</v>
      </c>
      <c r="M283" s="75">
        <v>4795.3500000000004</v>
      </c>
      <c r="N283" s="75">
        <v>263.5</v>
      </c>
      <c r="O283" s="75">
        <v>345.26</v>
      </c>
      <c r="P283" s="75">
        <v>4065.37</v>
      </c>
      <c r="Q283" s="75">
        <v>4915.5200000000004</v>
      </c>
      <c r="R283" s="75">
        <v>209.41</v>
      </c>
      <c r="S283" s="75">
        <v>230.49</v>
      </c>
      <c r="T283" s="75">
        <v>4061.03</v>
      </c>
      <c r="U283" s="75">
        <v>4723.43</v>
      </c>
      <c r="AV283" s="73" t="s">
        <v>214</v>
      </c>
      <c r="AW283" s="73" t="s">
        <v>10</v>
      </c>
      <c r="AX283" s="33">
        <v>46</v>
      </c>
      <c r="AY283" s="33">
        <v>47</v>
      </c>
      <c r="AZ283" s="33">
        <v>64</v>
      </c>
      <c r="BB283" s="73" t="s">
        <v>214</v>
      </c>
      <c r="BC283" s="73" t="s">
        <v>10</v>
      </c>
      <c r="BD283" s="75">
        <v>21234.16</v>
      </c>
      <c r="BE283" s="75">
        <v>46311.86</v>
      </c>
      <c r="BF283" s="75">
        <v>41415.57</v>
      </c>
    </row>
    <row r="284" spans="2:58" x14ac:dyDescent="0.2">
      <c r="B284" s="81">
        <v>98277</v>
      </c>
      <c r="C284" s="62" t="s">
        <v>345</v>
      </c>
      <c r="D284" s="46">
        <v>308</v>
      </c>
      <c r="E284" s="46">
        <v>265</v>
      </c>
      <c r="F284" s="46">
        <v>380</v>
      </c>
      <c r="H284" s="73">
        <v>98276</v>
      </c>
      <c r="I284" s="73" t="s">
        <v>10</v>
      </c>
      <c r="J284" s="75">
        <v>2866.98</v>
      </c>
      <c r="K284" s="75">
        <v>2449.91</v>
      </c>
      <c r="L284" s="75">
        <v>7316.7</v>
      </c>
      <c r="M284" s="75">
        <v>19660.909999999902</v>
      </c>
      <c r="N284" s="75">
        <v>2927.99</v>
      </c>
      <c r="O284" s="75">
        <v>1792.37</v>
      </c>
      <c r="P284" s="75">
        <v>7770.36</v>
      </c>
      <c r="Q284" s="75">
        <v>19407.68</v>
      </c>
      <c r="R284" s="75">
        <v>3594.14</v>
      </c>
      <c r="S284" s="75">
        <v>2014.63</v>
      </c>
      <c r="T284" s="75">
        <v>8557.41</v>
      </c>
      <c r="U284" s="75">
        <v>24394.77</v>
      </c>
      <c r="AV284" s="73" t="s">
        <v>215</v>
      </c>
      <c r="AW284" s="73" t="s">
        <v>345</v>
      </c>
      <c r="AX284" s="33"/>
      <c r="AY284" s="33">
        <v>1</v>
      </c>
      <c r="AZ284" s="33">
        <v>1</v>
      </c>
      <c r="BB284" s="73" t="s">
        <v>215</v>
      </c>
      <c r="BC284" s="73" t="s">
        <v>345</v>
      </c>
      <c r="BD284" s="75"/>
      <c r="BE284" s="75">
        <v>7.33</v>
      </c>
      <c r="BF284" s="75">
        <v>16.309999999999999</v>
      </c>
    </row>
    <row r="285" spans="2:58" x14ac:dyDescent="0.2">
      <c r="B285" s="56">
        <v>98277</v>
      </c>
      <c r="C285" s="62" t="s">
        <v>10</v>
      </c>
      <c r="D285" s="46">
        <v>2951</v>
      </c>
      <c r="E285" s="46">
        <v>2779</v>
      </c>
      <c r="F285" s="46">
        <v>3015</v>
      </c>
      <c r="H285" s="73">
        <v>98277</v>
      </c>
      <c r="I285" s="73" t="s">
        <v>345</v>
      </c>
      <c r="J285" s="75">
        <v>55103.61</v>
      </c>
      <c r="K285" s="75">
        <v>13607.62</v>
      </c>
      <c r="L285" s="75">
        <v>323312.11</v>
      </c>
      <c r="M285" s="75">
        <v>819802.85</v>
      </c>
      <c r="N285" s="75">
        <v>28980.31</v>
      </c>
      <c r="O285" s="75">
        <v>32856.57</v>
      </c>
      <c r="P285" s="75">
        <v>322456.09999999998</v>
      </c>
      <c r="Q285" s="75">
        <v>445087.27</v>
      </c>
      <c r="R285" s="75">
        <v>33364.26</v>
      </c>
      <c r="S285" s="75">
        <v>25056.74</v>
      </c>
      <c r="T285" s="75">
        <v>328507.34999999998</v>
      </c>
      <c r="U285" s="75">
        <v>537379.92000000004</v>
      </c>
      <c r="AV285" s="73" t="s">
        <v>215</v>
      </c>
      <c r="AW285" s="73" t="s">
        <v>10</v>
      </c>
      <c r="AX285" s="33">
        <v>10</v>
      </c>
      <c r="AY285" s="33">
        <v>20</v>
      </c>
      <c r="AZ285" s="33">
        <v>28</v>
      </c>
      <c r="BB285" s="73" t="s">
        <v>215</v>
      </c>
      <c r="BC285" s="73" t="s">
        <v>10</v>
      </c>
      <c r="BD285" s="75">
        <v>5993.9</v>
      </c>
      <c r="BE285" s="75">
        <v>25399.29</v>
      </c>
      <c r="BF285" s="75">
        <v>34058.370000000003</v>
      </c>
    </row>
    <row r="286" spans="2:58" x14ac:dyDescent="0.2">
      <c r="B286" s="81">
        <v>98281</v>
      </c>
      <c r="C286" s="62" t="s">
        <v>345</v>
      </c>
      <c r="D286" s="46">
        <v>45</v>
      </c>
      <c r="E286" s="71">
        <v>40</v>
      </c>
      <c r="F286" s="71">
        <v>33</v>
      </c>
      <c r="H286" s="73">
        <v>98277</v>
      </c>
      <c r="I286" s="73" t="s">
        <v>10</v>
      </c>
      <c r="J286" s="75">
        <v>142436.32</v>
      </c>
      <c r="K286" s="75">
        <v>131908.14000000001</v>
      </c>
      <c r="L286" s="75">
        <v>690375.05999999901</v>
      </c>
      <c r="M286" s="75">
        <v>1202672.6499999999</v>
      </c>
      <c r="N286" s="75">
        <v>121586.33</v>
      </c>
      <c r="O286" s="75">
        <v>103192.96000000001</v>
      </c>
      <c r="P286" s="75">
        <v>734949.36</v>
      </c>
      <c r="Q286" s="75">
        <v>1155648.3799999901</v>
      </c>
      <c r="R286" s="75">
        <v>102839.39</v>
      </c>
      <c r="S286" s="75">
        <v>89248.76</v>
      </c>
      <c r="T286" s="75">
        <v>753478.33999999904</v>
      </c>
      <c r="U286" s="75">
        <v>1178786.55</v>
      </c>
      <c r="AV286" s="73" t="s">
        <v>216</v>
      </c>
      <c r="AW286" s="73" t="s">
        <v>345</v>
      </c>
      <c r="AX286" s="33">
        <v>2</v>
      </c>
      <c r="AY286" s="33">
        <v>1</v>
      </c>
      <c r="AZ286" s="33">
        <v>3</v>
      </c>
      <c r="BB286" s="73" t="s">
        <v>216</v>
      </c>
      <c r="BC286" s="73" t="s">
        <v>345</v>
      </c>
      <c r="BD286" s="75">
        <v>489.65</v>
      </c>
      <c r="BE286" s="75">
        <v>863.77</v>
      </c>
      <c r="BF286" s="75">
        <v>3917.77</v>
      </c>
    </row>
    <row r="287" spans="2:58" x14ac:dyDescent="0.2">
      <c r="B287" s="81">
        <v>98281</v>
      </c>
      <c r="C287" s="62" t="s">
        <v>10</v>
      </c>
      <c r="D287" s="46">
        <v>520</v>
      </c>
      <c r="E287" s="46">
        <v>430</v>
      </c>
      <c r="F287" s="46">
        <v>462</v>
      </c>
      <c r="H287" s="73">
        <v>98281</v>
      </c>
      <c r="I287" s="73" t="s">
        <v>345</v>
      </c>
      <c r="J287" s="75">
        <v>901.34</v>
      </c>
      <c r="K287" s="75">
        <v>913.19</v>
      </c>
      <c r="L287" s="75">
        <v>11074.2699999999</v>
      </c>
      <c r="M287" s="75">
        <v>17701.78</v>
      </c>
      <c r="N287" s="75">
        <v>856.61</v>
      </c>
      <c r="O287" s="75">
        <v>800.57</v>
      </c>
      <c r="P287" s="75">
        <v>11446.18</v>
      </c>
      <c r="Q287" s="75">
        <v>16023.359999999901</v>
      </c>
      <c r="R287" s="75">
        <v>1546.71</v>
      </c>
      <c r="S287" s="75">
        <v>741.62</v>
      </c>
      <c r="T287" s="75">
        <v>11711.45</v>
      </c>
      <c r="U287" s="75">
        <v>16401.310000000001</v>
      </c>
      <c r="AV287" s="73" t="s">
        <v>216</v>
      </c>
      <c r="AW287" s="73" t="s">
        <v>10</v>
      </c>
      <c r="AX287" s="33">
        <v>13</v>
      </c>
      <c r="AY287" s="33">
        <v>26</v>
      </c>
      <c r="AZ287" s="33">
        <v>17</v>
      </c>
      <c r="BB287" s="73" t="s">
        <v>216</v>
      </c>
      <c r="BC287" s="73" t="s">
        <v>10</v>
      </c>
      <c r="BD287" s="75">
        <v>3525.48</v>
      </c>
      <c r="BE287" s="75">
        <v>13353.59</v>
      </c>
      <c r="BF287" s="75">
        <v>6378.96</v>
      </c>
    </row>
    <row r="288" spans="2:58" x14ac:dyDescent="0.2">
      <c r="B288" s="56">
        <v>98283</v>
      </c>
      <c r="C288" s="62" t="s">
        <v>345</v>
      </c>
      <c r="D288" s="46">
        <v>14</v>
      </c>
      <c r="E288" s="46">
        <v>10</v>
      </c>
      <c r="F288" s="46">
        <v>10</v>
      </c>
      <c r="H288" s="73">
        <v>98281</v>
      </c>
      <c r="I288" s="73" t="s">
        <v>10</v>
      </c>
      <c r="J288" s="75">
        <v>9123.1200000000008</v>
      </c>
      <c r="K288" s="75">
        <v>8960.9</v>
      </c>
      <c r="L288" s="75">
        <v>27505.289999999899</v>
      </c>
      <c r="M288" s="75">
        <v>65402.16</v>
      </c>
      <c r="N288" s="75">
        <v>8171.33</v>
      </c>
      <c r="O288" s="75">
        <v>5893.83</v>
      </c>
      <c r="P288" s="75">
        <v>31335.46</v>
      </c>
      <c r="Q288" s="75">
        <v>64098.37</v>
      </c>
      <c r="R288" s="75">
        <v>8449.9599999999991</v>
      </c>
      <c r="S288" s="75">
        <v>5121.47</v>
      </c>
      <c r="T288" s="75">
        <v>31604.41</v>
      </c>
      <c r="U288" s="75">
        <v>63654.14</v>
      </c>
      <c r="AV288" s="73" t="s">
        <v>217</v>
      </c>
      <c r="AW288" s="73" t="s">
        <v>345</v>
      </c>
      <c r="AX288" s="33">
        <v>7</v>
      </c>
      <c r="AY288" s="33">
        <v>6</v>
      </c>
      <c r="AZ288" s="33">
        <v>3</v>
      </c>
      <c r="BB288" s="73" t="s">
        <v>217</v>
      </c>
      <c r="BC288" s="73" t="s">
        <v>345</v>
      </c>
      <c r="BD288" s="75">
        <v>2744.93</v>
      </c>
      <c r="BE288" s="75">
        <v>5589.55</v>
      </c>
      <c r="BF288" s="75">
        <v>2397.9</v>
      </c>
    </row>
    <row r="289" spans="2:58" x14ac:dyDescent="0.2">
      <c r="B289" s="81">
        <v>98283</v>
      </c>
      <c r="C289" s="62" t="s">
        <v>10</v>
      </c>
      <c r="D289" s="46">
        <v>52</v>
      </c>
      <c r="E289" s="46">
        <v>34</v>
      </c>
      <c r="F289" s="46">
        <v>40</v>
      </c>
      <c r="H289" s="73">
        <v>98283</v>
      </c>
      <c r="I289" s="73" t="s">
        <v>345</v>
      </c>
      <c r="J289" s="75">
        <v>5773.22</v>
      </c>
      <c r="K289" s="75">
        <v>138.56</v>
      </c>
      <c r="L289" s="75">
        <v>11981.64</v>
      </c>
      <c r="M289" s="75">
        <v>18278.36</v>
      </c>
      <c r="N289" s="75">
        <v>121.94</v>
      </c>
      <c r="O289" s="75">
        <v>5068.4799999999996</v>
      </c>
      <c r="P289" s="75">
        <v>7543.71</v>
      </c>
      <c r="Q289" s="75">
        <v>16581.13</v>
      </c>
      <c r="R289" s="75">
        <v>3754.91</v>
      </c>
      <c r="S289" s="75">
        <v>121.94</v>
      </c>
      <c r="T289" s="75">
        <v>9612.19</v>
      </c>
      <c r="U289" s="75">
        <v>13578.46</v>
      </c>
      <c r="AV289" s="73" t="s">
        <v>217</v>
      </c>
      <c r="AW289" s="73" t="s">
        <v>10</v>
      </c>
      <c r="AX289" s="33">
        <v>23</v>
      </c>
      <c r="AY289" s="33">
        <v>27</v>
      </c>
      <c r="AZ289" s="33">
        <v>24</v>
      </c>
      <c r="BB289" s="73" t="s">
        <v>217</v>
      </c>
      <c r="BC289" s="73" t="s">
        <v>10</v>
      </c>
      <c r="BD289" s="75">
        <v>10367.69</v>
      </c>
      <c r="BE289" s="75">
        <v>12227.32</v>
      </c>
      <c r="BF289" s="75">
        <v>23890.02</v>
      </c>
    </row>
    <row r="290" spans="2:58" x14ac:dyDescent="0.2">
      <c r="B290" s="56">
        <v>98284</v>
      </c>
      <c r="C290" s="62" t="s">
        <v>345</v>
      </c>
      <c r="D290" s="46">
        <v>107</v>
      </c>
      <c r="E290" s="46">
        <v>121</v>
      </c>
      <c r="F290" s="46">
        <v>123</v>
      </c>
      <c r="H290" s="73">
        <v>98283</v>
      </c>
      <c r="I290" s="73" t="s">
        <v>10</v>
      </c>
      <c r="J290" s="75">
        <v>6941.3</v>
      </c>
      <c r="K290" s="75">
        <v>1593.47</v>
      </c>
      <c r="L290" s="75">
        <v>23716.59</v>
      </c>
      <c r="M290" s="75">
        <v>35057.969999999899</v>
      </c>
      <c r="N290" s="75">
        <v>936.69</v>
      </c>
      <c r="O290" s="75">
        <v>3599.58</v>
      </c>
      <c r="P290" s="75">
        <v>20816.93</v>
      </c>
      <c r="Q290" s="75">
        <v>29485.549999999901</v>
      </c>
      <c r="R290" s="75">
        <v>3557.01</v>
      </c>
      <c r="S290" s="75">
        <v>821.89</v>
      </c>
      <c r="T290" s="75">
        <v>23698.5999999999</v>
      </c>
      <c r="U290" s="75">
        <v>29991.6499999999</v>
      </c>
      <c r="AV290" s="73" t="s">
        <v>218</v>
      </c>
      <c r="AW290" s="73" t="s">
        <v>345</v>
      </c>
      <c r="AX290" s="33">
        <v>1</v>
      </c>
      <c r="AY290" s="33">
        <v>4</v>
      </c>
      <c r="AZ290" s="33">
        <v>6</v>
      </c>
      <c r="BB290" s="73" t="s">
        <v>218</v>
      </c>
      <c r="BC290" s="73" t="s">
        <v>345</v>
      </c>
      <c r="BD290" s="75">
        <v>1685.19</v>
      </c>
      <c r="BE290" s="75">
        <v>1046.43</v>
      </c>
      <c r="BF290" s="75">
        <v>1877.79</v>
      </c>
    </row>
    <row r="291" spans="2:58" x14ac:dyDescent="0.2">
      <c r="B291" s="81">
        <v>98284</v>
      </c>
      <c r="C291" s="62" t="s">
        <v>10</v>
      </c>
      <c r="D291" s="46">
        <v>1678</v>
      </c>
      <c r="E291" s="46">
        <v>1588</v>
      </c>
      <c r="F291" s="46">
        <v>1745</v>
      </c>
      <c r="H291" s="73">
        <v>98284</v>
      </c>
      <c r="I291" s="73" t="s">
        <v>345</v>
      </c>
      <c r="J291" s="75">
        <v>18674.240000000002</v>
      </c>
      <c r="K291" s="75">
        <v>29722.01</v>
      </c>
      <c r="L291" s="75">
        <v>210127.66</v>
      </c>
      <c r="M291" s="75">
        <v>273309.67</v>
      </c>
      <c r="N291" s="75">
        <v>10733.23</v>
      </c>
      <c r="O291" s="75">
        <v>7827.49</v>
      </c>
      <c r="P291" s="75">
        <v>187626.23999999999</v>
      </c>
      <c r="Q291" s="75">
        <v>224509.87</v>
      </c>
      <c r="R291" s="75">
        <v>8917.44</v>
      </c>
      <c r="S291" s="75">
        <v>8775.7099999999991</v>
      </c>
      <c r="T291" s="75">
        <v>191272.02</v>
      </c>
      <c r="U291" s="75">
        <v>225366.84</v>
      </c>
      <c r="AV291" s="73" t="s">
        <v>218</v>
      </c>
      <c r="AW291" s="73" t="s">
        <v>10</v>
      </c>
      <c r="AX291" s="33">
        <v>42</v>
      </c>
      <c r="AY291" s="33">
        <v>51</v>
      </c>
      <c r="AZ291" s="33">
        <v>38</v>
      </c>
      <c r="BB291" s="73" t="s">
        <v>218</v>
      </c>
      <c r="BC291" s="73" t="s">
        <v>10</v>
      </c>
      <c r="BD291" s="75">
        <v>24340.52</v>
      </c>
      <c r="BE291" s="75">
        <v>24178</v>
      </c>
      <c r="BF291" s="75">
        <v>12712.89</v>
      </c>
    </row>
    <row r="292" spans="2:58" x14ac:dyDescent="0.2">
      <c r="B292" s="56">
        <v>98288</v>
      </c>
      <c r="C292" s="62" t="s">
        <v>345</v>
      </c>
      <c r="D292" s="46">
        <v>9</v>
      </c>
      <c r="E292" s="46">
        <v>8</v>
      </c>
      <c r="F292" s="46">
        <v>9</v>
      </c>
      <c r="H292" s="73">
        <v>98284</v>
      </c>
      <c r="I292" s="73" t="s">
        <v>10</v>
      </c>
      <c r="J292" s="75">
        <v>118962.85</v>
      </c>
      <c r="K292" s="75">
        <v>109551.6</v>
      </c>
      <c r="L292" s="75">
        <v>499998.41999999899</v>
      </c>
      <c r="M292" s="75">
        <v>893890.72000000102</v>
      </c>
      <c r="N292" s="75">
        <v>107321.24</v>
      </c>
      <c r="O292" s="75">
        <v>93251.87</v>
      </c>
      <c r="P292" s="75">
        <v>532724.93000000005</v>
      </c>
      <c r="Q292" s="75">
        <v>870936.86999999895</v>
      </c>
      <c r="R292" s="75">
        <v>89930.91</v>
      </c>
      <c r="S292" s="75">
        <v>84295.52</v>
      </c>
      <c r="T292" s="75">
        <v>558165.82999999996</v>
      </c>
      <c r="U292" s="75">
        <v>891989.05999999901</v>
      </c>
      <c r="AV292" s="73" t="s">
        <v>219</v>
      </c>
      <c r="AW292" s="73" t="s">
        <v>345</v>
      </c>
      <c r="AX292" s="33">
        <v>2</v>
      </c>
      <c r="AY292" s="33">
        <v>5</v>
      </c>
      <c r="AZ292" s="33">
        <v>5</v>
      </c>
      <c r="BB292" s="73" t="s">
        <v>219</v>
      </c>
      <c r="BC292" s="73" t="s">
        <v>345</v>
      </c>
      <c r="BD292" s="75">
        <v>1037.22</v>
      </c>
      <c r="BE292" s="75">
        <v>9989.93</v>
      </c>
      <c r="BF292" s="75">
        <v>5954.5599999999995</v>
      </c>
    </row>
    <row r="293" spans="2:58" x14ac:dyDescent="0.2">
      <c r="B293" s="81">
        <v>98288</v>
      </c>
      <c r="C293" s="62" t="s">
        <v>10</v>
      </c>
      <c r="D293" s="46">
        <v>43</v>
      </c>
      <c r="E293" s="46">
        <v>49</v>
      </c>
      <c r="F293" s="46">
        <v>44</v>
      </c>
      <c r="H293" s="73">
        <v>98288</v>
      </c>
      <c r="I293" s="73" t="s">
        <v>345</v>
      </c>
      <c r="J293" s="75">
        <v>2850.88</v>
      </c>
      <c r="K293" s="75">
        <v>3217.23</v>
      </c>
      <c r="L293" s="75">
        <v>461.41</v>
      </c>
      <c r="M293" s="75">
        <v>8035.89</v>
      </c>
      <c r="N293" s="75">
        <v>469.66</v>
      </c>
      <c r="O293" s="75">
        <v>2850.88</v>
      </c>
      <c r="P293" s="75">
        <v>497.229999999999</v>
      </c>
      <c r="Q293" s="75">
        <v>4961.1499999999996</v>
      </c>
      <c r="R293" s="75">
        <v>1143.28</v>
      </c>
      <c r="S293" s="75">
        <v>54.15</v>
      </c>
      <c r="T293" s="75">
        <v>3058.12</v>
      </c>
      <c r="U293" s="75">
        <v>4925.3499999999904</v>
      </c>
      <c r="AV293" s="73" t="s">
        <v>219</v>
      </c>
      <c r="AW293" s="73" t="s">
        <v>10</v>
      </c>
      <c r="AX293" s="33">
        <v>37</v>
      </c>
      <c r="AY293" s="33">
        <v>47</v>
      </c>
      <c r="AZ293" s="33">
        <v>43</v>
      </c>
      <c r="BB293" s="73" t="s">
        <v>219</v>
      </c>
      <c r="BC293" s="73" t="s">
        <v>10</v>
      </c>
      <c r="BD293" s="75">
        <v>19780.77</v>
      </c>
      <c r="BE293" s="75">
        <v>32646.52</v>
      </c>
      <c r="BF293" s="75">
        <v>48033.760000000002</v>
      </c>
    </row>
    <row r="294" spans="2:58" x14ac:dyDescent="0.2">
      <c r="B294" s="56">
        <v>98290</v>
      </c>
      <c r="C294" s="62" t="s">
        <v>345</v>
      </c>
      <c r="D294" s="46">
        <v>54</v>
      </c>
      <c r="E294" s="46">
        <v>58</v>
      </c>
      <c r="F294" s="46">
        <v>69</v>
      </c>
      <c r="H294" s="73">
        <v>98288</v>
      </c>
      <c r="I294" s="73" t="s">
        <v>10</v>
      </c>
      <c r="J294" s="75">
        <v>3334.14</v>
      </c>
      <c r="K294" s="75">
        <v>1895.9</v>
      </c>
      <c r="L294" s="75">
        <v>12407.119999999901</v>
      </c>
      <c r="M294" s="75">
        <v>22858.3299999999</v>
      </c>
      <c r="N294" s="75">
        <v>3816.19</v>
      </c>
      <c r="O294" s="75">
        <v>2462.35</v>
      </c>
      <c r="P294" s="75">
        <v>12902.81</v>
      </c>
      <c r="Q294" s="75">
        <v>22632.38</v>
      </c>
      <c r="R294" s="75">
        <v>2719.03</v>
      </c>
      <c r="S294" s="75">
        <v>2399.9899999999998</v>
      </c>
      <c r="T294" s="75">
        <v>14305.21</v>
      </c>
      <c r="U294" s="75">
        <v>22288.449999999899</v>
      </c>
      <c r="AV294" s="73" t="s">
        <v>220</v>
      </c>
      <c r="AW294" s="73" t="s">
        <v>345</v>
      </c>
      <c r="AX294" s="33"/>
      <c r="AY294" s="33">
        <v>1</v>
      </c>
      <c r="AZ294" s="33">
        <v>1</v>
      </c>
      <c r="BB294" s="73" t="s">
        <v>220</v>
      </c>
      <c r="BC294" s="73" t="s">
        <v>345</v>
      </c>
      <c r="BD294" s="75"/>
      <c r="BE294" s="75">
        <v>15.37</v>
      </c>
      <c r="BF294" s="75">
        <v>1280.8599999999999</v>
      </c>
    </row>
    <row r="295" spans="2:58" x14ac:dyDescent="0.2">
      <c r="B295" s="81">
        <v>98290</v>
      </c>
      <c r="C295" s="62" t="s">
        <v>10</v>
      </c>
      <c r="D295" s="46">
        <v>494</v>
      </c>
      <c r="E295" s="46">
        <v>470</v>
      </c>
      <c r="F295" s="46">
        <v>476</v>
      </c>
      <c r="H295" s="73">
        <v>98290</v>
      </c>
      <c r="I295" s="73" t="s">
        <v>345</v>
      </c>
      <c r="J295" s="75">
        <v>2850.52</v>
      </c>
      <c r="K295" s="75">
        <v>7032.68</v>
      </c>
      <c r="L295" s="75">
        <v>10992.28</v>
      </c>
      <c r="M295" s="75">
        <v>29182.159999999902</v>
      </c>
      <c r="N295" s="75">
        <v>1794.72</v>
      </c>
      <c r="O295" s="75">
        <v>1714.58</v>
      </c>
      <c r="P295" s="75">
        <v>12951.73</v>
      </c>
      <c r="Q295" s="75">
        <v>24651.71</v>
      </c>
      <c r="R295" s="75">
        <v>1935.74</v>
      </c>
      <c r="S295" s="75">
        <v>1222.3599999999999</v>
      </c>
      <c r="T295" s="75">
        <v>13774.91</v>
      </c>
      <c r="U295" s="75">
        <v>26674.41</v>
      </c>
      <c r="AV295" s="73" t="s">
        <v>220</v>
      </c>
      <c r="AW295" s="73" t="s">
        <v>10</v>
      </c>
      <c r="AX295" s="33">
        <v>39</v>
      </c>
      <c r="AY295" s="33">
        <v>53</v>
      </c>
      <c r="AZ295" s="33">
        <v>43</v>
      </c>
      <c r="BB295" s="73" t="s">
        <v>220</v>
      </c>
      <c r="BC295" s="73" t="s">
        <v>10</v>
      </c>
      <c r="BD295" s="75">
        <v>27840.15</v>
      </c>
      <c r="BE295" s="75">
        <v>101071.25</v>
      </c>
      <c r="BF295" s="75">
        <v>30409.45</v>
      </c>
    </row>
    <row r="296" spans="2:58" x14ac:dyDescent="0.2">
      <c r="B296" s="56">
        <v>98292</v>
      </c>
      <c r="C296" s="62" t="s">
        <v>345</v>
      </c>
      <c r="D296" s="46">
        <v>3</v>
      </c>
      <c r="E296" s="46">
        <v>3</v>
      </c>
      <c r="F296" s="46">
        <v>3</v>
      </c>
      <c r="H296" s="73">
        <v>98290</v>
      </c>
      <c r="I296" s="73" t="s">
        <v>10</v>
      </c>
      <c r="J296" s="75">
        <v>13007.9</v>
      </c>
      <c r="K296" s="75">
        <v>11511.54</v>
      </c>
      <c r="L296" s="75">
        <v>64338.549999999901</v>
      </c>
      <c r="M296" s="75">
        <v>108122.66</v>
      </c>
      <c r="N296" s="75">
        <v>8834.8700000000008</v>
      </c>
      <c r="O296" s="75">
        <v>8611.14</v>
      </c>
      <c r="P296" s="75">
        <v>66402.710000000006</v>
      </c>
      <c r="Q296" s="75">
        <v>97304.6</v>
      </c>
      <c r="R296" s="75">
        <v>6408.97</v>
      </c>
      <c r="S296" s="75">
        <v>6794.06</v>
      </c>
      <c r="T296" s="75">
        <v>66182.28</v>
      </c>
      <c r="U296" s="75">
        <v>94800.3</v>
      </c>
      <c r="AV296" s="73" t="s">
        <v>221</v>
      </c>
      <c r="AW296" s="73" t="s">
        <v>345</v>
      </c>
      <c r="AX296" s="33">
        <v>2</v>
      </c>
      <c r="AY296" s="33"/>
      <c r="AZ296" s="33"/>
      <c r="BB296" s="73" t="s">
        <v>221</v>
      </c>
      <c r="BC296" s="73" t="s">
        <v>345</v>
      </c>
      <c r="BD296" s="75">
        <v>14381.55</v>
      </c>
      <c r="BE296" s="75"/>
      <c r="BF296" s="75"/>
    </row>
    <row r="297" spans="2:58" x14ac:dyDescent="0.2">
      <c r="B297" s="81">
        <v>98292</v>
      </c>
      <c r="C297" s="62" t="s">
        <v>10</v>
      </c>
      <c r="D297" s="46">
        <v>49</v>
      </c>
      <c r="E297" s="46">
        <v>50</v>
      </c>
      <c r="F297" s="46">
        <v>47</v>
      </c>
      <c r="H297" s="73">
        <v>98292</v>
      </c>
      <c r="I297" s="73" t="s">
        <v>345</v>
      </c>
      <c r="J297" s="75">
        <v>306.76</v>
      </c>
      <c r="K297" s="75">
        <v>14.68</v>
      </c>
      <c r="L297" s="75">
        <v>1687.39</v>
      </c>
      <c r="M297" s="75">
        <v>2023.49</v>
      </c>
      <c r="N297" s="75">
        <v>14.66</v>
      </c>
      <c r="O297" s="75">
        <v>306.76</v>
      </c>
      <c r="P297" s="75">
        <v>1702.07</v>
      </c>
      <c r="Q297" s="75">
        <v>2276.77</v>
      </c>
      <c r="R297" s="75">
        <v>253.28</v>
      </c>
      <c r="S297" s="75">
        <v>14.66</v>
      </c>
      <c r="T297" s="75">
        <v>2008.83</v>
      </c>
      <c r="U297" s="75">
        <v>2291.4299999999998</v>
      </c>
      <c r="AV297" s="73" t="s">
        <v>221</v>
      </c>
      <c r="AW297" s="73" t="s">
        <v>10</v>
      </c>
      <c r="AX297" s="33">
        <v>24</v>
      </c>
      <c r="AY297" s="33">
        <v>31</v>
      </c>
      <c r="AZ297" s="33">
        <v>24</v>
      </c>
      <c r="BB297" s="73" t="s">
        <v>221</v>
      </c>
      <c r="BC297" s="73" t="s">
        <v>10</v>
      </c>
      <c r="BD297" s="75">
        <v>16213.24</v>
      </c>
      <c r="BE297" s="75">
        <v>24556.080000000002</v>
      </c>
      <c r="BF297" s="75">
        <v>12774.12</v>
      </c>
    </row>
    <row r="298" spans="2:58" x14ac:dyDescent="0.2">
      <c r="B298" s="56">
        <v>98294</v>
      </c>
      <c r="C298" s="62" t="s">
        <v>345</v>
      </c>
      <c r="D298" s="46">
        <v>18</v>
      </c>
      <c r="E298" s="46">
        <v>6</v>
      </c>
      <c r="F298" s="46">
        <v>17</v>
      </c>
      <c r="H298" s="73">
        <v>98292</v>
      </c>
      <c r="I298" s="73" t="s">
        <v>10</v>
      </c>
      <c r="J298" s="75">
        <v>2495.9699999999998</v>
      </c>
      <c r="K298" s="75">
        <v>1374.83</v>
      </c>
      <c r="L298" s="75">
        <v>13011.1699999999</v>
      </c>
      <c r="M298" s="75">
        <v>18942.96</v>
      </c>
      <c r="N298" s="75">
        <v>876.88</v>
      </c>
      <c r="O298" s="75">
        <v>1677</v>
      </c>
      <c r="P298" s="75">
        <v>13798.32</v>
      </c>
      <c r="Q298" s="75">
        <v>19178.009999999998</v>
      </c>
      <c r="R298" s="75">
        <v>1185.71</v>
      </c>
      <c r="S298" s="75">
        <v>628.52</v>
      </c>
      <c r="T298" s="75">
        <v>14118.79</v>
      </c>
      <c r="U298" s="75">
        <v>17871.129999999899</v>
      </c>
      <c r="AV298" s="73" t="s">
        <v>222</v>
      </c>
      <c r="AW298" s="73" t="s">
        <v>345</v>
      </c>
      <c r="AX298" s="33">
        <v>3</v>
      </c>
      <c r="AY298" s="33"/>
      <c r="AZ298" s="33"/>
      <c r="BB298" s="73" t="s">
        <v>222</v>
      </c>
      <c r="BC298" s="73" t="s">
        <v>345</v>
      </c>
      <c r="BD298" s="75">
        <v>638.98</v>
      </c>
      <c r="BE298" s="75"/>
      <c r="BF298" s="75"/>
    </row>
    <row r="299" spans="2:58" x14ac:dyDescent="0.2">
      <c r="B299" s="81">
        <v>98294</v>
      </c>
      <c r="C299" s="62" t="s">
        <v>10</v>
      </c>
      <c r="D299" s="46">
        <v>353</v>
      </c>
      <c r="E299" s="46">
        <v>355</v>
      </c>
      <c r="F299" s="46">
        <v>367</v>
      </c>
      <c r="H299" s="73">
        <v>98294</v>
      </c>
      <c r="I299" s="73" t="s">
        <v>345</v>
      </c>
      <c r="J299" s="75">
        <v>143.47999999999999</v>
      </c>
      <c r="K299" s="75"/>
      <c r="L299" s="75"/>
      <c r="M299" s="75">
        <v>2171.3200000000002</v>
      </c>
      <c r="N299" s="75">
        <v>275.77</v>
      </c>
      <c r="O299" s="75">
        <v>105.05</v>
      </c>
      <c r="P299" s="75"/>
      <c r="Q299" s="75">
        <v>1057.77</v>
      </c>
      <c r="R299" s="75">
        <v>133.05000000000001</v>
      </c>
      <c r="S299" s="75">
        <v>36.11</v>
      </c>
      <c r="T299" s="75">
        <v>63.83</v>
      </c>
      <c r="U299" s="75">
        <v>1604.5599999999899</v>
      </c>
      <c r="AV299" s="73" t="s">
        <v>222</v>
      </c>
      <c r="AW299" s="73" t="s">
        <v>10</v>
      </c>
      <c r="AX299" s="33">
        <v>1</v>
      </c>
      <c r="AY299" s="33">
        <v>6</v>
      </c>
      <c r="AZ299" s="33">
        <v>4</v>
      </c>
      <c r="BB299" s="73" t="s">
        <v>222</v>
      </c>
      <c r="BC299" s="73" t="s">
        <v>10</v>
      </c>
      <c r="BD299" s="75">
        <v>61.97</v>
      </c>
      <c r="BE299" s="75">
        <v>12256.26</v>
      </c>
      <c r="BF299" s="75">
        <v>4311.78</v>
      </c>
    </row>
    <row r="300" spans="2:58" x14ac:dyDescent="0.2">
      <c r="B300" s="56">
        <v>98295</v>
      </c>
      <c r="C300" s="62" t="s">
        <v>345</v>
      </c>
      <c r="D300" s="46">
        <v>12</v>
      </c>
      <c r="E300" s="46">
        <v>11</v>
      </c>
      <c r="F300" s="46">
        <v>18</v>
      </c>
      <c r="H300" s="73">
        <v>98294</v>
      </c>
      <c r="I300" s="73" t="s">
        <v>10</v>
      </c>
      <c r="J300" s="75">
        <v>7331.1</v>
      </c>
      <c r="K300" s="75">
        <v>8650.83</v>
      </c>
      <c r="L300" s="75">
        <v>52805.8299999999</v>
      </c>
      <c r="M300" s="75">
        <v>79862.98</v>
      </c>
      <c r="N300" s="75">
        <v>5597.93</v>
      </c>
      <c r="O300" s="75">
        <v>5984.92</v>
      </c>
      <c r="P300" s="75">
        <v>57570.779999999897</v>
      </c>
      <c r="Q300" s="75">
        <v>78633.2</v>
      </c>
      <c r="R300" s="75">
        <v>5494.09</v>
      </c>
      <c r="S300" s="75">
        <v>4189.74</v>
      </c>
      <c r="T300" s="75">
        <v>55727.619999999901</v>
      </c>
      <c r="U300" s="75">
        <v>74827.08</v>
      </c>
      <c r="AV300" s="73" t="s">
        <v>223</v>
      </c>
      <c r="AW300" s="73" t="s">
        <v>345</v>
      </c>
      <c r="AX300" s="33"/>
      <c r="AY300" s="33">
        <v>3</v>
      </c>
      <c r="AZ300" s="33">
        <v>2</v>
      </c>
      <c r="BB300" s="73" t="s">
        <v>223</v>
      </c>
      <c r="BC300" s="73" t="s">
        <v>345</v>
      </c>
      <c r="BD300" s="75"/>
      <c r="BE300" s="75">
        <v>2762.41</v>
      </c>
      <c r="BF300" s="75">
        <v>571.88</v>
      </c>
    </row>
    <row r="301" spans="2:58" x14ac:dyDescent="0.2">
      <c r="B301" s="81">
        <v>98295</v>
      </c>
      <c r="C301" s="62" t="s">
        <v>10</v>
      </c>
      <c r="D301" s="46">
        <v>78</v>
      </c>
      <c r="E301" s="46">
        <v>73</v>
      </c>
      <c r="F301" s="46">
        <v>84</v>
      </c>
      <c r="H301" s="73">
        <v>98295</v>
      </c>
      <c r="I301" s="73" t="s">
        <v>345</v>
      </c>
      <c r="J301" s="75">
        <v>22131.71</v>
      </c>
      <c r="K301" s="75">
        <v>22435.95</v>
      </c>
      <c r="L301" s="75">
        <v>287466.46999999997</v>
      </c>
      <c r="M301" s="75">
        <v>350725.36</v>
      </c>
      <c r="N301" s="75">
        <v>18595.62</v>
      </c>
      <c r="O301" s="75">
        <v>21956.82</v>
      </c>
      <c r="P301" s="75">
        <v>294894.94</v>
      </c>
      <c r="Q301" s="75">
        <v>356986.09</v>
      </c>
      <c r="R301" s="75">
        <v>21082.52</v>
      </c>
      <c r="S301" s="75">
        <v>18319.38</v>
      </c>
      <c r="T301" s="75">
        <v>299270.12</v>
      </c>
      <c r="U301" s="75">
        <v>360328.45</v>
      </c>
      <c r="AV301" s="73" t="s">
        <v>223</v>
      </c>
      <c r="AW301" s="73" t="s">
        <v>10</v>
      </c>
      <c r="AX301" s="33">
        <v>30</v>
      </c>
      <c r="AY301" s="33">
        <v>35</v>
      </c>
      <c r="AZ301" s="33">
        <v>36</v>
      </c>
      <c r="BB301" s="73" t="s">
        <v>223</v>
      </c>
      <c r="BC301" s="73" t="s">
        <v>10</v>
      </c>
      <c r="BD301" s="75">
        <v>11036.07</v>
      </c>
      <c r="BE301" s="75">
        <v>18350.28</v>
      </c>
      <c r="BF301" s="75">
        <v>14655.46</v>
      </c>
    </row>
    <row r="302" spans="2:58" x14ac:dyDescent="0.2">
      <c r="B302" s="56">
        <v>98296</v>
      </c>
      <c r="C302" s="62" t="s">
        <v>345</v>
      </c>
      <c r="D302" s="46">
        <v>12</v>
      </c>
      <c r="E302" s="46">
        <v>10</v>
      </c>
      <c r="F302" s="46">
        <v>12</v>
      </c>
      <c r="H302" s="73">
        <v>98295</v>
      </c>
      <c r="I302" s="73" t="s">
        <v>10</v>
      </c>
      <c r="J302" s="75">
        <v>8054.53</v>
      </c>
      <c r="K302" s="75">
        <v>3573.07</v>
      </c>
      <c r="L302" s="75">
        <v>19491.830000000002</v>
      </c>
      <c r="M302" s="75">
        <v>39275.160000000003</v>
      </c>
      <c r="N302" s="75">
        <v>3711.49</v>
      </c>
      <c r="O302" s="75">
        <v>6398.41</v>
      </c>
      <c r="P302" s="75">
        <v>20321.59</v>
      </c>
      <c r="Q302" s="75">
        <v>39315.53</v>
      </c>
      <c r="R302" s="75">
        <v>6402.36</v>
      </c>
      <c r="S302" s="75">
        <v>3127.97</v>
      </c>
      <c r="T302" s="75">
        <v>24440.3999999999</v>
      </c>
      <c r="U302" s="75">
        <v>47049.5799999999</v>
      </c>
      <c r="AV302" s="73" t="s">
        <v>225</v>
      </c>
      <c r="AW302" s="73" t="s">
        <v>345</v>
      </c>
      <c r="AX302" s="33"/>
      <c r="AY302" s="33">
        <v>1</v>
      </c>
      <c r="AZ302" s="33">
        <v>1</v>
      </c>
      <c r="BB302" s="73" t="s">
        <v>225</v>
      </c>
      <c r="BC302" s="73" t="s">
        <v>345</v>
      </c>
      <c r="BD302" s="75"/>
      <c r="BE302" s="75">
        <v>889.18</v>
      </c>
      <c r="BF302" s="75">
        <v>5221.5200000000004</v>
      </c>
    </row>
    <row r="303" spans="2:58" x14ac:dyDescent="0.2">
      <c r="B303" s="81">
        <v>98296</v>
      </c>
      <c r="C303" s="62" t="s">
        <v>10</v>
      </c>
      <c r="D303" s="46">
        <v>384</v>
      </c>
      <c r="E303" s="46">
        <v>407</v>
      </c>
      <c r="F303" s="46">
        <v>415</v>
      </c>
      <c r="H303" s="73">
        <v>98296</v>
      </c>
      <c r="I303" s="73" t="s">
        <v>345</v>
      </c>
      <c r="J303" s="75">
        <v>820.44</v>
      </c>
      <c r="K303" s="75">
        <v>76.430000000000007</v>
      </c>
      <c r="L303" s="75">
        <v>93.52</v>
      </c>
      <c r="M303" s="75">
        <v>5585.32</v>
      </c>
      <c r="N303" s="75">
        <v>809.4</v>
      </c>
      <c r="O303" s="75">
        <v>96.08</v>
      </c>
      <c r="P303" s="75">
        <v>169.95</v>
      </c>
      <c r="Q303" s="75">
        <v>11774.87</v>
      </c>
      <c r="R303" s="75">
        <v>665.98</v>
      </c>
      <c r="S303" s="75">
        <v>466.92</v>
      </c>
      <c r="T303" s="75">
        <v>266.02999999999997</v>
      </c>
      <c r="U303" s="75">
        <v>3956.22</v>
      </c>
      <c r="AV303" s="73" t="s">
        <v>225</v>
      </c>
      <c r="AW303" s="73" t="s">
        <v>10</v>
      </c>
      <c r="AX303" s="33">
        <v>23</v>
      </c>
      <c r="AY303" s="33">
        <v>28</v>
      </c>
      <c r="AZ303" s="33">
        <v>31</v>
      </c>
      <c r="BB303" s="73" t="s">
        <v>225</v>
      </c>
      <c r="BC303" s="73" t="s">
        <v>10</v>
      </c>
      <c r="BD303" s="75">
        <v>11673.65</v>
      </c>
      <c r="BE303" s="75">
        <v>17532.62</v>
      </c>
      <c r="BF303" s="75">
        <v>26973.43</v>
      </c>
    </row>
    <row r="304" spans="2:58" x14ac:dyDescent="0.2">
      <c r="B304" s="56">
        <v>98310</v>
      </c>
      <c r="C304" s="62" t="s">
        <v>345</v>
      </c>
      <c r="D304" s="46">
        <v>124</v>
      </c>
      <c r="E304" s="46">
        <v>122</v>
      </c>
      <c r="F304" s="46">
        <v>193</v>
      </c>
      <c r="H304" s="73">
        <v>98296</v>
      </c>
      <c r="I304" s="73" t="s">
        <v>10</v>
      </c>
      <c r="J304" s="75">
        <v>15152.87</v>
      </c>
      <c r="K304" s="75">
        <v>13672.07</v>
      </c>
      <c r="L304" s="75">
        <v>50326.59</v>
      </c>
      <c r="M304" s="75">
        <v>100590.399999999</v>
      </c>
      <c r="N304" s="75">
        <v>9956.35</v>
      </c>
      <c r="O304" s="75">
        <v>10521.6</v>
      </c>
      <c r="P304" s="75">
        <v>56757.849999999897</v>
      </c>
      <c r="Q304" s="75">
        <v>94409.459999999905</v>
      </c>
      <c r="R304" s="75">
        <v>10056.59</v>
      </c>
      <c r="S304" s="75">
        <v>6621.74</v>
      </c>
      <c r="T304" s="75">
        <v>57828.049999999901</v>
      </c>
      <c r="U304" s="75">
        <v>88287.05</v>
      </c>
      <c r="AV304" s="73" t="s">
        <v>226</v>
      </c>
      <c r="AW304" s="73" t="s">
        <v>10</v>
      </c>
      <c r="AX304" s="33">
        <v>2</v>
      </c>
      <c r="AY304" s="33"/>
      <c r="AZ304" s="33">
        <v>2</v>
      </c>
      <c r="BB304" s="73" t="s">
        <v>226</v>
      </c>
      <c r="BC304" s="73" t="s">
        <v>10</v>
      </c>
      <c r="BD304" s="75">
        <v>226.99</v>
      </c>
      <c r="BE304" s="75"/>
      <c r="BF304" s="75">
        <v>231.21</v>
      </c>
    </row>
    <row r="305" spans="2:58" x14ac:dyDescent="0.2">
      <c r="B305" s="81">
        <v>98310</v>
      </c>
      <c r="C305" s="62" t="s">
        <v>10</v>
      </c>
      <c r="D305" s="46">
        <v>2165</v>
      </c>
      <c r="E305" s="46">
        <v>2114</v>
      </c>
      <c r="F305" s="46">
        <v>2141</v>
      </c>
      <c r="H305" s="73">
        <v>98310</v>
      </c>
      <c r="I305" s="73" t="s">
        <v>345</v>
      </c>
      <c r="J305" s="75">
        <v>12463.09</v>
      </c>
      <c r="K305" s="75">
        <v>4943.07</v>
      </c>
      <c r="L305" s="75">
        <v>34824.160000000003</v>
      </c>
      <c r="M305" s="75">
        <v>75281.67</v>
      </c>
      <c r="N305" s="75">
        <v>7861.16</v>
      </c>
      <c r="O305" s="75">
        <v>5304.12</v>
      </c>
      <c r="P305" s="75">
        <v>37512.19</v>
      </c>
      <c r="Q305" s="75">
        <v>88780.309999999896</v>
      </c>
      <c r="R305" s="75">
        <v>19263.09</v>
      </c>
      <c r="S305" s="75">
        <v>4071.49</v>
      </c>
      <c r="T305" s="75">
        <v>38735.360000000001</v>
      </c>
      <c r="U305" s="75">
        <v>101599.03999999999</v>
      </c>
      <c r="AV305" s="73" t="s">
        <v>227</v>
      </c>
      <c r="AW305" s="73" t="s">
        <v>345</v>
      </c>
      <c r="AX305" s="33">
        <v>1</v>
      </c>
      <c r="AY305" s="33">
        <v>7</v>
      </c>
      <c r="AZ305" s="33">
        <v>1</v>
      </c>
      <c r="BB305" s="73" t="s">
        <v>227</v>
      </c>
      <c r="BC305" s="73" t="s">
        <v>345</v>
      </c>
      <c r="BD305" s="75">
        <v>1295.33</v>
      </c>
      <c r="BE305" s="75">
        <v>8194.85</v>
      </c>
      <c r="BF305" s="75">
        <v>94.63</v>
      </c>
    </row>
    <row r="306" spans="2:58" x14ac:dyDescent="0.2">
      <c r="B306" s="56">
        <v>98311</v>
      </c>
      <c r="C306" s="62" t="s">
        <v>345</v>
      </c>
      <c r="D306" s="46">
        <v>116</v>
      </c>
      <c r="E306" s="46">
        <v>127</v>
      </c>
      <c r="F306" s="46">
        <v>126</v>
      </c>
      <c r="H306" s="73">
        <v>98310</v>
      </c>
      <c r="I306" s="73" t="s">
        <v>10</v>
      </c>
      <c r="J306" s="75">
        <v>101740.37</v>
      </c>
      <c r="K306" s="75">
        <v>104039.92</v>
      </c>
      <c r="L306" s="75">
        <v>492359.80999999901</v>
      </c>
      <c r="M306" s="75">
        <v>842551.89000000095</v>
      </c>
      <c r="N306" s="75">
        <v>86151.34</v>
      </c>
      <c r="O306" s="75">
        <v>83209.81</v>
      </c>
      <c r="P306" s="75">
        <v>518565.07999999903</v>
      </c>
      <c r="Q306" s="75">
        <v>844695.44999999902</v>
      </c>
      <c r="R306" s="75">
        <v>98288.37</v>
      </c>
      <c r="S306" s="75">
        <v>65507.87</v>
      </c>
      <c r="T306" s="75">
        <v>522282.07999999903</v>
      </c>
      <c r="U306" s="75">
        <v>851785.7</v>
      </c>
      <c r="AV306" s="73" t="s">
        <v>227</v>
      </c>
      <c r="AW306" s="73" t="s">
        <v>10</v>
      </c>
      <c r="AX306" s="33">
        <v>16</v>
      </c>
      <c r="AY306" s="33">
        <v>15</v>
      </c>
      <c r="AZ306" s="33">
        <v>20</v>
      </c>
      <c r="BB306" s="73" t="s">
        <v>227</v>
      </c>
      <c r="BC306" s="73" t="s">
        <v>10</v>
      </c>
      <c r="BD306" s="75">
        <v>9595.4</v>
      </c>
      <c r="BE306" s="75">
        <v>5293.91</v>
      </c>
      <c r="BF306" s="75">
        <v>22434.75</v>
      </c>
    </row>
    <row r="307" spans="2:58" x14ac:dyDescent="0.2">
      <c r="B307" s="81">
        <v>98311</v>
      </c>
      <c r="C307" s="62" t="s">
        <v>10</v>
      </c>
      <c r="D307" s="46">
        <v>1831</v>
      </c>
      <c r="E307" s="46">
        <v>1867</v>
      </c>
      <c r="F307" s="46">
        <v>1875</v>
      </c>
      <c r="H307" s="73">
        <v>98311</v>
      </c>
      <c r="I307" s="73" t="s">
        <v>345</v>
      </c>
      <c r="J307" s="75">
        <v>4266.99</v>
      </c>
      <c r="K307" s="75">
        <v>2788</v>
      </c>
      <c r="L307" s="75">
        <v>16856.919999999998</v>
      </c>
      <c r="M307" s="75">
        <v>92046.969999999899</v>
      </c>
      <c r="N307" s="75">
        <v>4291.6400000000003</v>
      </c>
      <c r="O307" s="75">
        <v>2151.14</v>
      </c>
      <c r="P307" s="75">
        <v>16889.900000000001</v>
      </c>
      <c r="Q307" s="75">
        <v>69804.259999999893</v>
      </c>
      <c r="R307" s="75">
        <v>7733.18</v>
      </c>
      <c r="S307" s="75">
        <v>2974.41</v>
      </c>
      <c r="T307" s="75">
        <v>17063.73</v>
      </c>
      <c r="U307" s="75">
        <v>87716.499999999898</v>
      </c>
      <c r="AV307" s="73" t="s">
        <v>228</v>
      </c>
      <c r="AW307" s="73" t="s">
        <v>345</v>
      </c>
      <c r="AX307" s="33">
        <v>2</v>
      </c>
      <c r="AY307" s="33">
        <v>6</v>
      </c>
      <c r="AZ307" s="33">
        <v>6</v>
      </c>
      <c r="BB307" s="73" t="s">
        <v>228</v>
      </c>
      <c r="BC307" s="73" t="s">
        <v>345</v>
      </c>
      <c r="BD307" s="75">
        <v>1632.4</v>
      </c>
      <c r="BE307" s="75">
        <v>13834.59</v>
      </c>
      <c r="BF307" s="75">
        <v>8284.49</v>
      </c>
    </row>
    <row r="308" spans="2:58" x14ac:dyDescent="0.2">
      <c r="B308" s="56">
        <v>98312</v>
      </c>
      <c r="C308" s="62" t="s">
        <v>345</v>
      </c>
      <c r="D308" s="46">
        <v>245</v>
      </c>
      <c r="E308" s="46">
        <v>233</v>
      </c>
      <c r="F308" s="46">
        <v>333</v>
      </c>
      <c r="H308" s="73">
        <v>98311</v>
      </c>
      <c r="I308" s="73" t="s">
        <v>10</v>
      </c>
      <c r="J308" s="75">
        <v>101653.54</v>
      </c>
      <c r="K308" s="75">
        <v>102174.97</v>
      </c>
      <c r="L308" s="75">
        <v>495586.88</v>
      </c>
      <c r="M308" s="75">
        <v>838950.13999999897</v>
      </c>
      <c r="N308" s="75">
        <v>80467.38</v>
      </c>
      <c r="O308" s="75">
        <v>77181.16</v>
      </c>
      <c r="P308" s="75">
        <v>509375.4</v>
      </c>
      <c r="Q308" s="75">
        <v>826557.59999999905</v>
      </c>
      <c r="R308" s="75">
        <v>91893.86</v>
      </c>
      <c r="S308" s="75">
        <v>61417.16</v>
      </c>
      <c r="T308" s="75">
        <v>504120.51999999897</v>
      </c>
      <c r="U308" s="75">
        <v>816461.39000000095</v>
      </c>
      <c r="AV308" s="73" t="s">
        <v>228</v>
      </c>
      <c r="AW308" s="73" t="s">
        <v>10</v>
      </c>
      <c r="AX308" s="33">
        <v>38</v>
      </c>
      <c r="AY308" s="33">
        <v>44</v>
      </c>
      <c r="AZ308" s="33">
        <v>38</v>
      </c>
      <c r="BB308" s="73" t="s">
        <v>228</v>
      </c>
      <c r="BC308" s="73" t="s">
        <v>10</v>
      </c>
      <c r="BD308" s="75">
        <v>29837.61</v>
      </c>
      <c r="BE308" s="75">
        <v>43585.72</v>
      </c>
      <c r="BF308" s="75">
        <v>25425.99</v>
      </c>
    </row>
    <row r="309" spans="2:58" x14ac:dyDescent="0.2">
      <c r="B309" s="81">
        <v>98312</v>
      </c>
      <c r="C309" s="62" t="s">
        <v>10</v>
      </c>
      <c r="D309" s="46">
        <v>2756</v>
      </c>
      <c r="E309" s="46">
        <v>2731</v>
      </c>
      <c r="F309" s="46">
        <v>2790</v>
      </c>
      <c r="H309" s="73">
        <v>98312</v>
      </c>
      <c r="I309" s="73" t="s">
        <v>345</v>
      </c>
      <c r="J309" s="75">
        <v>18059.72</v>
      </c>
      <c r="K309" s="75">
        <v>26403.57</v>
      </c>
      <c r="L309" s="75">
        <v>190623.94999999899</v>
      </c>
      <c r="M309" s="75">
        <v>378436.65999999898</v>
      </c>
      <c r="N309" s="75">
        <v>14069.3</v>
      </c>
      <c r="O309" s="75">
        <v>14189.64</v>
      </c>
      <c r="P309" s="75">
        <v>177902.12</v>
      </c>
      <c r="Q309" s="75">
        <v>366778.48</v>
      </c>
      <c r="R309" s="75">
        <v>16093.57</v>
      </c>
      <c r="S309" s="75">
        <v>12000.14</v>
      </c>
      <c r="T309" s="75">
        <v>154519.25</v>
      </c>
      <c r="U309" s="75">
        <v>439687.46999999898</v>
      </c>
      <c r="AV309" s="73" t="s">
        <v>229</v>
      </c>
      <c r="AW309" s="73" t="s">
        <v>10</v>
      </c>
      <c r="AX309" s="33">
        <v>9</v>
      </c>
      <c r="AY309" s="33">
        <v>3</v>
      </c>
      <c r="AZ309" s="33">
        <v>2</v>
      </c>
      <c r="BB309" s="73" t="s">
        <v>229</v>
      </c>
      <c r="BC309" s="73" t="s">
        <v>10</v>
      </c>
      <c r="BD309" s="75">
        <v>1147.73</v>
      </c>
      <c r="BE309" s="75">
        <v>5053.29</v>
      </c>
      <c r="BF309" s="75">
        <v>83.33</v>
      </c>
    </row>
    <row r="310" spans="2:58" x14ac:dyDescent="0.2">
      <c r="B310" s="56">
        <v>98314</v>
      </c>
      <c r="C310" s="62" t="s">
        <v>345</v>
      </c>
      <c r="D310" s="46">
        <v>1</v>
      </c>
      <c r="E310" s="46">
        <v>1</v>
      </c>
      <c r="F310" s="46">
        <v>2</v>
      </c>
      <c r="H310" s="73">
        <v>98312</v>
      </c>
      <c r="I310" s="73" t="s">
        <v>10</v>
      </c>
      <c r="J310" s="75">
        <v>194901.53</v>
      </c>
      <c r="K310" s="75">
        <v>165884.79999999999</v>
      </c>
      <c r="L310" s="75">
        <v>942750.82</v>
      </c>
      <c r="M310" s="75">
        <v>1506886.32</v>
      </c>
      <c r="N310" s="75">
        <v>125269.52</v>
      </c>
      <c r="O310" s="75">
        <v>148561.35999999999</v>
      </c>
      <c r="P310" s="75">
        <v>998761.31999999902</v>
      </c>
      <c r="Q310" s="75">
        <v>1507580.86</v>
      </c>
      <c r="R310" s="75">
        <v>153717.59</v>
      </c>
      <c r="S310" s="75">
        <v>98150.95</v>
      </c>
      <c r="T310" s="75">
        <v>994684.71</v>
      </c>
      <c r="U310" s="75">
        <v>1481878.97</v>
      </c>
      <c r="AV310" s="73" t="s">
        <v>231</v>
      </c>
      <c r="AW310" s="73" t="s">
        <v>10</v>
      </c>
      <c r="AX310" s="33">
        <v>1</v>
      </c>
      <c r="AY310" s="33"/>
      <c r="AZ310" s="33"/>
      <c r="BB310" s="73" t="s">
        <v>231</v>
      </c>
      <c r="BC310" s="73" t="s">
        <v>10</v>
      </c>
      <c r="BD310" s="75">
        <v>116.13</v>
      </c>
      <c r="BE310" s="75"/>
      <c r="BF310" s="75"/>
    </row>
    <row r="311" spans="2:58" x14ac:dyDescent="0.2">
      <c r="B311" s="81">
        <v>98321</v>
      </c>
      <c r="C311" s="62" t="s">
        <v>345</v>
      </c>
      <c r="D311" s="46">
        <v>110</v>
      </c>
      <c r="E311" s="46">
        <v>116</v>
      </c>
      <c r="F311" s="46">
        <v>111</v>
      </c>
      <c r="H311" s="73">
        <v>98314</v>
      </c>
      <c r="I311" s="73" t="s">
        <v>345</v>
      </c>
      <c r="J311" s="75">
        <v>480.18</v>
      </c>
      <c r="K311" s="75">
        <v>625.75</v>
      </c>
      <c r="L311" s="75">
        <v>3088.09</v>
      </c>
      <c r="M311" s="75">
        <v>4502.1000000000004</v>
      </c>
      <c r="N311" s="75">
        <v>308.08</v>
      </c>
      <c r="O311" s="75">
        <v>480.18</v>
      </c>
      <c r="P311" s="75">
        <v>3378.62</v>
      </c>
      <c r="Q311" s="75">
        <v>4502.1000000000004</v>
      </c>
      <c r="R311" s="75">
        <v>335.22</v>
      </c>
      <c r="S311" s="75">
        <v>308.08</v>
      </c>
      <c r="T311" s="75">
        <v>3491.93</v>
      </c>
      <c r="U311" s="75">
        <v>4627.76</v>
      </c>
      <c r="AV311" s="73" t="s">
        <v>322</v>
      </c>
      <c r="AW311" s="73" t="s">
        <v>345</v>
      </c>
      <c r="AX311" s="33">
        <v>2</v>
      </c>
      <c r="AY311" s="33"/>
      <c r="AZ311" s="33"/>
      <c r="BB311" s="73" t="s">
        <v>322</v>
      </c>
      <c r="BC311" s="73" t="s">
        <v>345</v>
      </c>
      <c r="BD311" s="75">
        <v>5974.56</v>
      </c>
      <c r="BE311" s="75"/>
      <c r="BF311" s="75"/>
    </row>
    <row r="312" spans="2:58" x14ac:dyDescent="0.2">
      <c r="B312" s="81">
        <v>98321</v>
      </c>
      <c r="C312" s="62" t="s">
        <v>10</v>
      </c>
      <c r="D312" s="46">
        <v>885</v>
      </c>
      <c r="E312" s="46">
        <v>877</v>
      </c>
      <c r="F312" s="46">
        <v>893</v>
      </c>
      <c r="H312" s="73">
        <v>98321</v>
      </c>
      <c r="I312" s="73" t="s">
        <v>345</v>
      </c>
      <c r="J312" s="75">
        <v>6290.43</v>
      </c>
      <c r="K312" s="75">
        <v>8364.0499999999993</v>
      </c>
      <c r="L312" s="75">
        <v>48487.25</v>
      </c>
      <c r="M312" s="75">
        <v>88734.66</v>
      </c>
      <c r="N312" s="75">
        <v>11219.97</v>
      </c>
      <c r="O312" s="75">
        <v>4695.8599999999997</v>
      </c>
      <c r="P312" s="75">
        <v>47364.19</v>
      </c>
      <c r="Q312" s="75">
        <v>83257.23</v>
      </c>
      <c r="R312" s="75">
        <v>5385.91</v>
      </c>
      <c r="S312" s="75">
        <v>8185.24</v>
      </c>
      <c r="T312" s="75">
        <v>48586.039999999899</v>
      </c>
      <c r="U312" s="75">
        <v>77692.749999999898</v>
      </c>
      <c r="AV312" s="73" t="s">
        <v>322</v>
      </c>
      <c r="AW312" s="73" t="s">
        <v>10</v>
      </c>
      <c r="AX312" s="33">
        <v>1</v>
      </c>
      <c r="AY312" s="33">
        <v>1</v>
      </c>
      <c r="AZ312" s="33"/>
      <c r="BB312" s="73" t="s">
        <v>322</v>
      </c>
      <c r="BC312" s="73" t="s">
        <v>10</v>
      </c>
      <c r="BD312" s="75">
        <v>666.12</v>
      </c>
      <c r="BE312" s="75">
        <v>68.599999999999994</v>
      </c>
      <c r="BF312" s="75"/>
    </row>
    <row r="313" spans="2:58" x14ac:dyDescent="0.2">
      <c r="B313" s="56">
        <v>98322</v>
      </c>
      <c r="C313" s="62" t="s">
        <v>345</v>
      </c>
      <c r="D313" s="46">
        <v>1</v>
      </c>
      <c r="E313" s="46">
        <v>1</v>
      </c>
      <c r="F313" s="46"/>
      <c r="H313" s="73">
        <v>98321</v>
      </c>
      <c r="I313" s="73" t="s">
        <v>10</v>
      </c>
      <c r="J313" s="75">
        <v>79953.91</v>
      </c>
      <c r="K313" s="75">
        <v>73535.53</v>
      </c>
      <c r="L313" s="75">
        <v>331240.34999999998</v>
      </c>
      <c r="M313" s="75">
        <v>595948.63999999897</v>
      </c>
      <c r="N313" s="75">
        <v>63928.67</v>
      </c>
      <c r="O313" s="75">
        <v>59643.37</v>
      </c>
      <c r="P313" s="75">
        <v>350602.04</v>
      </c>
      <c r="Q313" s="75">
        <v>571310.19999999902</v>
      </c>
      <c r="R313" s="75">
        <v>51103.51</v>
      </c>
      <c r="S313" s="75">
        <v>49154.77</v>
      </c>
      <c r="T313" s="75">
        <v>361507.989999999</v>
      </c>
      <c r="U313" s="75">
        <v>591212.929999999</v>
      </c>
      <c r="AV313" s="73" t="s">
        <v>323</v>
      </c>
      <c r="AW313" s="73" t="s">
        <v>10</v>
      </c>
      <c r="AX313" s="33">
        <v>2</v>
      </c>
      <c r="AY313" s="33">
        <v>5</v>
      </c>
      <c r="AZ313" s="33">
        <v>1</v>
      </c>
      <c r="BB313" s="73" t="s">
        <v>323</v>
      </c>
      <c r="BC313" s="73" t="s">
        <v>10</v>
      </c>
      <c r="BD313" s="75">
        <v>781.29</v>
      </c>
      <c r="BE313" s="75">
        <v>6691.82</v>
      </c>
      <c r="BF313" s="75">
        <v>192.58</v>
      </c>
    </row>
    <row r="314" spans="2:58" x14ac:dyDescent="0.2">
      <c r="B314" s="81">
        <v>98323</v>
      </c>
      <c r="C314" s="62" t="s">
        <v>345</v>
      </c>
      <c r="D314" s="71">
        <v>7</v>
      </c>
      <c r="E314" s="46">
        <v>9</v>
      </c>
      <c r="F314" s="71">
        <v>6</v>
      </c>
      <c r="H314" s="73">
        <v>98322</v>
      </c>
      <c r="I314" s="73" t="s">
        <v>345</v>
      </c>
      <c r="J314" s="75"/>
      <c r="K314" s="75"/>
      <c r="L314" s="75"/>
      <c r="M314" s="75">
        <v>16.39</v>
      </c>
      <c r="N314" s="75">
        <v>16.39</v>
      </c>
      <c r="O314" s="75"/>
      <c r="P314" s="75"/>
      <c r="Q314" s="75">
        <v>32.78</v>
      </c>
      <c r="R314" s="75"/>
      <c r="S314" s="75"/>
      <c r="T314" s="75"/>
      <c r="U314" s="75"/>
      <c r="AV314" s="73" t="s">
        <v>324</v>
      </c>
      <c r="AW314" s="73" t="s">
        <v>10</v>
      </c>
      <c r="AX314" s="33">
        <v>7</v>
      </c>
      <c r="AY314" s="33">
        <v>16</v>
      </c>
      <c r="AZ314" s="33">
        <v>15</v>
      </c>
      <c r="BB314" s="73" t="s">
        <v>324</v>
      </c>
      <c r="BC314" s="73" t="s">
        <v>10</v>
      </c>
      <c r="BD314" s="75">
        <v>2575.15</v>
      </c>
      <c r="BE314" s="75">
        <v>5111.16</v>
      </c>
      <c r="BF314" s="75">
        <v>4843.75</v>
      </c>
    </row>
    <row r="315" spans="2:58" x14ac:dyDescent="0.2">
      <c r="B315" s="81">
        <v>98323</v>
      </c>
      <c r="C315" s="62" t="s">
        <v>10</v>
      </c>
      <c r="D315" s="46">
        <v>48</v>
      </c>
      <c r="E315" s="46">
        <v>62</v>
      </c>
      <c r="F315" s="46">
        <v>40</v>
      </c>
      <c r="H315" s="73">
        <v>98323</v>
      </c>
      <c r="I315" s="73" t="s">
        <v>345</v>
      </c>
      <c r="J315" s="75">
        <v>2422.83</v>
      </c>
      <c r="K315" s="75">
        <v>724.17</v>
      </c>
      <c r="L315" s="75">
        <v>3620.35</v>
      </c>
      <c r="M315" s="75">
        <v>7868.7699999999904</v>
      </c>
      <c r="N315" s="75">
        <v>832.26</v>
      </c>
      <c r="O315" s="75">
        <v>2147.64</v>
      </c>
      <c r="P315" s="75">
        <v>4231.5599999999904</v>
      </c>
      <c r="Q315" s="75">
        <v>8146.37</v>
      </c>
      <c r="R315" s="75">
        <v>539.62</v>
      </c>
      <c r="S315" s="75">
        <v>832.26</v>
      </c>
      <c r="T315" s="75">
        <v>5581.07</v>
      </c>
      <c r="U315" s="75">
        <v>7699.2</v>
      </c>
      <c r="AV315" s="73" t="s">
        <v>325</v>
      </c>
      <c r="AW315" s="73" t="s">
        <v>345</v>
      </c>
      <c r="AX315" s="33"/>
      <c r="AY315" s="33">
        <v>1</v>
      </c>
      <c r="AZ315" s="33"/>
      <c r="BB315" s="73" t="s">
        <v>325</v>
      </c>
      <c r="BC315" s="73" t="s">
        <v>345</v>
      </c>
      <c r="BD315" s="75"/>
      <c r="BE315" s="75">
        <v>4589.83</v>
      </c>
      <c r="BF315" s="75"/>
    </row>
    <row r="316" spans="2:58" x14ac:dyDescent="0.2">
      <c r="B316" s="56">
        <v>98327</v>
      </c>
      <c r="C316" s="62" t="s">
        <v>345</v>
      </c>
      <c r="D316" s="46">
        <v>37</v>
      </c>
      <c r="E316" s="46">
        <v>33</v>
      </c>
      <c r="F316" s="46">
        <v>66</v>
      </c>
      <c r="H316" s="73">
        <v>98323</v>
      </c>
      <c r="I316" s="73" t="s">
        <v>10</v>
      </c>
      <c r="J316" s="75">
        <v>11524.09</v>
      </c>
      <c r="K316" s="75">
        <v>589.19000000000005</v>
      </c>
      <c r="L316" s="75">
        <v>18704.77</v>
      </c>
      <c r="M316" s="75">
        <v>32766.71</v>
      </c>
      <c r="N316" s="75">
        <v>583.97</v>
      </c>
      <c r="O316" s="75">
        <v>8474.81</v>
      </c>
      <c r="P316" s="75">
        <v>15210.5999999999</v>
      </c>
      <c r="Q316" s="75">
        <v>40208.14</v>
      </c>
      <c r="R316" s="75">
        <v>8763.1299999999992</v>
      </c>
      <c r="S316" s="75">
        <v>516.37</v>
      </c>
      <c r="T316" s="75">
        <v>20685</v>
      </c>
      <c r="U316" s="75">
        <v>30815.84</v>
      </c>
      <c r="AV316" s="73" t="s">
        <v>325</v>
      </c>
      <c r="AW316" s="73" t="s">
        <v>10</v>
      </c>
      <c r="AX316" s="33">
        <v>12</v>
      </c>
      <c r="AY316" s="33">
        <v>13</v>
      </c>
      <c r="AZ316" s="33">
        <v>13</v>
      </c>
      <c r="BB316" s="73" t="s">
        <v>325</v>
      </c>
      <c r="BC316" s="73" t="s">
        <v>10</v>
      </c>
      <c r="BD316" s="75">
        <v>3417.06</v>
      </c>
      <c r="BE316" s="75">
        <v>4175.2700000000004</v>
      </c>
      <c r="BF316" s="75">
        <v>4418.93</v>
      </c>
    </row>
    <row r="317" spans="2:58" x14ac:dyDescent="0.2">
      <c r="B317" s="81">
        <v>98327</v>
      </c>
      <c r="C317" s="62" t="s">
        <v>10</v>
      </c>
      <c r="D317" s="46">
        <v>459</v>
      </c>
      <c r="E317" s="46">
        <v>478</v>
      </c>
      <c r="F317" s="46">
        <v>538</v>
      </c>
      <c r="H317" s="73">
        <v>98327</v>
      </c>
      <c r="I317" s="73" t="s">
        <v>345</v>
      </c>
      <c r="J317" s="75">
        <v>14554.75</v>
      </c>
      <c r="K317" s="75">
        <v>14319.95</v>
      </c>
      <c r="L317" s="75">
        <v>262982.38</v>
      </c>
      <c r="M317" s="75">
        <v>458598.07</v>
      </c>
      <c r="N317" s="75">
        <v>13751.03</v>
      </c>
      <c r="O317" s="75">
        <v>13857.5</v>
      </c>
      <c r="P317" s="75">
        <v>275639.27</v>
      </c>
      <c r="Q317" s="75">
        <v>325026.84000000003</v>
      </c>
      <c r="R317" s="75">
        <v>18613.23</v>
      </c>
      <c r="S317" s="75">
        <v>13630.49</v>
      </c>
      <c r="T317" s="75">
        <v>289372.08999999898</v>
      </c>
      <c r="U317" s="75">
        <v>467746.32</v>
      </c>
      <c r="AV317" s="73" t="s">
        <v>326</v>
      </c>
      <c r="AW317" s="73" t="s">
        <v>345</v>
      </c>
      <c r="AX317" s="33"/>
      <c r="AY317" s="33"/>
      <c r="AZ317" s="33">
        <v>1</v>
      </c>
      <c r="BB317" s="73" t="s">
        <v>326</v>
      </c>
      <c r="BC317" s="73" t="s">
        <v>345</v>
      </c>
      <c r="BD317" s="75"/>
      <c r="BE317" s="75"/>
      <c r="BF317" s="75">
        <v>190.27</v>
      </c>
    </row>
    <row r="318" spans="2:58" x14ac:dyDescent="0.2">
      <c r="B318" s="56">
        <v>98328</v>
      </c>
      <c r="C318" s="62" t="s">
        <v>345</v>
      </c>
      <c r="D318" s="46">
        <v>12</v>
      </c>
      <c r="E318" s="46">
        <v>11</v>
      </c>
      <c r="F318" s="46">
        <v>9</v>
      </c>
      <c r="H318" s="73">
        <v>98327</v>
      </c>
      <c r="I318" s="73" t="s">
        <v>10</v>
      </c>
      <c r="J318" s="75">
        <v>26244.799999999999</v>
      </c>
      <c r="K318" s="75">
        <v>19442.009999999998</v>
      </c>
      <c r="L318" s="75">
        <v>80332.5</v>
      </c>
      <c r="M318" s="75">
        <v>166033.04</v>
      </c>
      <c r="N318" s="75">
        <v>20199.28</v>
      </c>
      <c r="O318" s="75">
        <v>19263.71</v>
      </c>
      <c r="P318" s="75">
        <v>84457.849999999904</v>
      </c>
      <c r="Q318" s="75">
        <v>168128.47999999899</v>
      </c>
      <c r="R318" s="75">
        <v>23906.45</v>
      </c>
      <c r="S318" s="75">
        <v>13980.81</v>
      </c>
      <c r="T318" s="75">
        <v>86651.729999999894</v>
      </c>
      <c r="U318" s="75">
        <v>180708.99</v>
      </c>
      <c r="AV318" s="73" t="s">
        <v>326</v>
      </c>
      <c r="AW318" s="73" t="s">
        <v>10</v>
      </c>
      <c r="AX318" s="33">
        <v>7</v>
      </c>
      <c r="AY318" s="33">
        <v>9</v>
      </c>
      <c r="AZ318" s="33">
        <v>7</v>
      </c>
      <c r="BB318" s="73" t="s">
        <v>326</v>
      </c>
      <c r="BC318" s="73" t="s">
        <v>10</v>
      </c>
      <c r="BD318" s="75">
        <v>4157.09</v>
      </c>
      <c r="BE318" s="75">
        <v>3072.19</v>
      </c>
      <c r="BF318" s="75">
        <v>5377.23</v>
      </c>
    </row>
    <row r="319" spans="2:58" x14ac:dyDescent="0.2">
      <c r="B319" s="81">
        <v>98328</v>
      </c>
      <c r="C319" s="62" t="s">
        <v>10</v>
      </c>
      <c r="D319" s="46">
        <v>64</v>
      </c>
      <c r="E319" s="46">
        <v>61</v>
      </c>
      <c r="F319" s="46">
        <v>66</v>
      </c>
      <c r="H319" s="73">
        <v>98328</v>
      </c>
      <c r="I319" s="73" t="s">
        <v>345</v>
      </c>
      <c r="J319" s="75">
        <v>2340.36</v>
      </c>
      <c r="K319" s="75">
        <v>22.37</v>
      </c>
      <c r="L319" s="75">
        <v>607.37</v>
      </c>
      <c r="M319" s="75">
        <v>4921.46</v>
      </c>
      <c r="N319" s="75">
        <v>393.8</v>
      </c>
      <c r="O319" s="75">
        <v>1899.27</v>
      </c>
      <c r="P319" s="75">
        <v>451.74</v>
      </c>
      <c r="Q319" s="75">
        <v>3603.75</v>
      </c>
      <c r="R319" s="75">
        <v>275.17</v>
      </c>
      <c r="S319" s="75">
        <v>156.52000000000001</v>
      </c>
      <c r="T319" s="75">
        <v>2173.96</v>
      </c>
      <c r="U319" s="75">
        <v>3600.24</v>
      </c>
      <c r="AV319" s="73" t="s">
        <v>327</v>
      </c>
      <c r="AW319" s="73" t="s">
        <v>10</v>
      </c>
      <c r="AX319" s="33">
        <v>5</v>
      </c>
      <c r="AY319" s="33">
        <v>3</v>
      </c>
      <c r="AZ319" s="33">
        <v>4</v>
      </c>
      <c r="BB319" s="73" t="s">
        <v>327</v>
      </c>
      <c r="BC319" s="73" t="s">
        <v>10</v>
      </c>
      <c r="BD319" s="75">
        <v>2418.7600000000002</v>
      </c>
      <c r="BE319" s="75">
        <v>1161.79</v>
      </c>
      <c r="BF319" s="75">
        <v>1916.31</v>
      </c>
    </row>
    <row r="320" spans="2:58" x14ac:dyDescent="0.2">
      <c r="B320" s="56">
        <v>98329</v>
      </c>
      <c r="C320" s="62" t="s">
        <v>10</v>
      </c>
      <c r="D320" s="46">
        <v>6</v>
      </c>
      <c r="E320" s="46">
        <v>6</v>
      </c>
      <c r="F320" s="46">
        <v>5</v>
      </c>
      <c r="H320" s="73">
        <v>98328</v>
      </c>
      <c r="I320" s="73" t="s">
        <v>10</v>
      </c>
      <c r="J320" s="75">
        <v>5347.86</v>
      </c>
      <c r="K320" s="75">
        <v>3841.98</v>
      </c>
      <c r="L320" s="75">
        <v>13229.3</v>
      </c>
      <c r="M320" s="75">
        <v>32252.469999999899</v>
      </c>
      <c r="N320" s="75">
        <v>3086.46</v>
      </c>
      <c r="O320" s="75">
        <v>2485.48</v>
      </c>
      <c r="P320" s="75">
        <v>12608.109999999901</v>
      </c>
      <c r="Q320" s="75">
        <v>26812.18</v>
      </c>
      <c r="R320" s="75">
        <v>3612.36</v>
      </c>
      <c r="S320" s="75">
        <v>1598.55</v>
      </c>
      <c r="T320" s="75">
        <v>12688.33</v>
      </c>
      <c r="U320" s="75">
        <v>30267.9899999999</v>
      </c>
      <c r="AV320" s="73" t="s">
        <v>328</v>
      </c>
      <c r="AW320" s="73" t="s">
        <v>10</v>
      </c>
      <c r="AX320" s="33">
        <v>4</v>
      </c>
      <c r="AY320" s="33">
        <v>11</v>
      </c>
      <c r="AZ320" s="33">
        <v>11</v>
      </c>
      <c r="BB320" s="73" t="s">
        <v>328</v>
      </c>
      <c r="BC320" s="73" t="s">
        <v>10</v>
      </c>
      <c r="BD320" s="75">
        <v>1392.08</v>
      </c>
      <c r="BE320" s="75">
        <v>5385.49</v>
      </c>
      <c r="BF320" s="75">
        <v>3257.04</v>
      </c>
    </row>
    <row r="321" spans="2:58" x14ac:dyDescent="0.2">
      <c r="B321" s="81">
        <v>98332</v>
      </c>
      <c r="C321" s="62" t="s">
        <v>345</v>
      </c>
      <c r="D321" s="46">
        <v>6</v>
      </c>
      <c r="E321" s="46">
        <v>6</v>
      </c>
      <c r="F321" s="46">
        <v>9</v>
      </c>
      <c r="H321" s="73">
        <v>98329</v>
      </c>
      <c r="I321" s="73" t="s">
        <v>10</v>
      </c>
      <c r="J321" s="75">
        <v>12.91</v>
      </c>
      <c r="K321" s="75">
        <v>20.190000000000001</v>
      </c>
      <c r="L321" s="75">
        <v>23.31</v>
      </c>
      <c r="M321" s="75">
        <v>1203.08</v>
      </c>
      <c r="N321" s="75">
        <v>381.32</v>
      </c>
      <c r="O321" s="75">
        <v>12.91</v>
      </c>
      <c r="P321" s="75">
        <v>43.5</v>
      </c>
      <c r="Q321" s="75">
        <v>596.70000000000005</v>
      </c>
      <c r="R321" s="75">
        <v>89.19</v>
      </c>
      <c r="S321" s="75">
        <v>21.23</v>
      </c>
      <c r="T321" s="75">
        <v>43.5</v>
      </c>
      <c r="U321" s="75">
        <v>816.94</v>
      </c>
      <c r="AV321" s="73" t="s">
        <v>329</v>
      </c>
      <c r="AW321" s="73" t="s">
        <v>345</v>
      </c>
      <c r="AX321" s="33">
        <v>3</v>
      </c>
      <c r="AY321" s="33"/>
      <c r="AZ321" s="33"/>
      <c r="BB321" s="73" t="s">
        <v>329</v>
      </c>
      <c r="BC321" s="73" t="s">
        <v>345</v>
      </c>
      <c r="BD321" s="75">
        <v>2015.28</v>
      </c>
      <c r="BE321" s="75"/>
      <c r="BF321" s="75"/>
    </row>
    <row r="322" spans="2:58" x14ac:dyDescent="0.2">
      <c r="B322" s="81">
        <v>98332</v>
      </c>
      <c r="C322" s="62" t="s">
        <v>10</v>
      </c>
      <c r="D322" s="46">
        <v>271</v>
      </c>
      <c r="E322" s="46">
        <v>277</v>
      </c>
      <c r="F322" s="46">
        <v>308</v>
      </c>
      <c r="H322" s="73">
        <v>98332</v>
      </c>
      <c r="I322" s="73" t="s">
        <v>345</v>
      </c>
      <c r="J322" s="75">
        <v>76.67</v>
      </c>
      <c r="K322" s="75">
        <v>78.25</v>
      </c>
      <c r="L322" s="75"/>
      <c r="M322" s="75">
        <v>6503.68</v>
      </c>
      <c r="N322" s="75">
        <v>150.88</v>
      </c>
      <c r="O322" s="75">
        <v>76.67</v>
      </c>
      <c r="P322" s="75">
        <v>78.25</v>
      </c>
      <c r="Q322" s="75">
        <v>1317.1399999999901</v>
      </c>
      <c r="R322" s="75">
        <v>820.04</v>
      </c>
      <c r="S322" s="75">
        <v>150.88</v>
      </c>
      <c r="T322" s="75">
        <v>154.91999999999999</v>
      </c>
      <c r="U322" s="75">
        <v>8393.61</v>
      </c>
      <c r="AV322" s="73" t="s">
        <v>329</v>
      </c>
      <c r="AW322" s="73" t="s">
        <v>10</v>
      </c>
      <c r="AX322" s="33">
        <v>5</v>
      </c>
      <c r="AY322" s="33">
        <v>7</v>
      </c>
      <c r="AZ322" s="33">
        <v>10</v>
      </c>
      <c r="BB322" s="73" t="s">
        <v>329</v>
      </c>
      <c r="BC322" s="73" t="s">
        <v>10</v>
      </c>
      <c r="BD322" s="75">
        <v>3330.28</v>
      </c>
      <c r="BE322" s="75">
        <v>3647.27</v>
      </c>
      <c r="BF322" s="75">
        <v>2535.92</v>
      </c>
    </row>
    <row r="323" spans="2:58" x14ac:dyDescent="0.2">
      <c r="B323" s="56">
        <v>98335</v>
      </c>
      <c r="C323" s="62" t="s">
        <v>345</v>
      </c>
      <c r="D323" s="46">
        <v>28</v>
      </c>
      <c r="E323" s="46">
        <v>26</v>
      </c>
      <c r="F323" s="46">
        <v>23</v>
      </c>
      <c r="H323" s="73">
        <v>98332</v>
      </c>
      <c r="I323" s="73" t="s">
        <v>10</v>
      </c>
      <c r="J323" s="75">
        <v>14873.6</v>
      </c>
      <c r="K323" s="75">
        <v>12302.4</v>
      </c>
      <c r="L323" s="75">
        <v>42348.44</v>
      </c>
      <c r="M323" s="75">
        <v>85762.369999999893</v>
      </c>
      <c r="N323" s="75">
        <v>9558.09</v>
      </c>
      <c r="O323" s="75">
        <v>10197.42</v>
      </c>
      <c r="P323" s="75">
        <v>45600.679999999898</v>
      </c>
      <c r="Q323" s="75">
        <v>77852.740000000005</v>
      </c>
      <c r="R323" s="75">
        <v>7632.78</v>
      </c>
      <c r="S323" s="75">
        <v>7261.18</v>
      </c>
      <c r="T323" s="75">
        <v>46924.58</v>
      </c>
      <c r="U323" s="75">
        <v>73469.73</v>
      </c>
      <c r="AV323" s="73" t="s">
        <v>332</v>
      </c>
      <c r="AW323" s="73" t="s">
        <v>10</v>
      </c>
      <c r="AX323" s="33">
        <v>7</v>
      </c>
      <c r="AY323" s="33">
        <v>2</v>
      </c>
      <c r="AZ323" s="33">
        <v>5</v>
      </c>
      <c r="BB323" s="73" t="s">
        <v>332</v>
      </c>
      <c r="BC323" s="73" t="s">
        <v>10</v>
      </c>
      <c r="BD323" s="75">
        <v>1408.69</v>
      </c>
      <c r="BE323" s="75">
        <v>1469.24</v>
      </c>
      <c r="BF323" s="75">
        <v>1610.69</v>
      </c>
    </row>
    <row r="324" spans="2:58" x14ac:dyDescent="0.2">
      <c r="B324" s="81">
        <v>98335</v>
      </c>
      <c r="C324" s="62" t="s">
        <v>10</v>
      </c>
      <c r="D324" s="46">
        <v>391</v>
      </c>
      <c r="E324" s="46">
        <v>408</v>
      </c>
      <c r="F324" s="46">
        <v>418</v>
      </c>
      <c r="H324" s="73">
        <v>98335</v>
      </c>
      <c r="I324" s="73" t="s">
        <v>345</v>
      </c>
      <c r="J324" s="75">
        <v>11524.84</v>
      </c>
      <c r="K324" s="75">
        <v>550.85</v>
      </c>
      <c r="L324" s="75">
        <v>2339</v>
      </c>
      <c r="M324" s="75">
        <v>19194.93</v>
      </c>
      <c r="N324" s="75">
        <v>666.83</v>
      </c>
      <c r="O324" s="75">
        <v>10942.29</v>
      </c>
      <c r="P324" s="75">
        <v>2536.7199999999998</v>
      </c>
      <c r="Q324" s="75">
        <v>15247.69</v>
      </c>
      <c r="R324" s="75">
        <v>750.21</v>
      </c>
      <c r="S324" s="75">
        <v>397.89</v>
      </c>
      <c r="T324" s="75">
        <v>12102.32</v>
      </c>
      <c r="U324" s="75">
        <v>15036.12</v>
      </c>
      <c r="AV324" s="73" t="s">
        <v>333</v>
      </c>
      <c r="AW324" s="73" t="s">
        <v>345</v>
      </c>
      <c r="AX324" s="33">
        <v>1</v>
      </c>
      <c r="AY324" s="33"/>
      <c r="AZ324" s="33">
        <v>1</v>
      </c>
      <c r="BB324" s="73" t="s">
        <v>333</v>
      </c>
      <c r="BC324" s="73" t="s">
        <v>345</v>
      </c>
      <c r="BD324" s="75">
        <v>1723.72</v>
      </c>
      <c r="BE324" s="75"/>
      <c r="BF324" s="75">
        <v>106.32</v>
      </c>
    </row>
    <row r="325" spans="2:58" x14ac:dyDescent="0.2">
      <c r="B325" s="56">
        <v>98337</v>
      </c>
      <c r="C325" s="62" t="s">
        <v>345</v>
      </c>
      <c r="D325" s="46">
        <v>49</v>
      </c>
      <c r="E325" s="46">
        <v>45</v>
      </c>
      <c r="F325" s="46">
        <v>89</v>
      </c>
      <c r="H325" s="73">
        <v>98335</v>
      </c>
      <c r="I325" s="73" t="s">
        <v>10</v>
      </c>
      <c r="J325" s="75">
        <v>17367.23</v>
      </c>
      <c r="K325" s="75">
        <v>13343.81</v>
      </c>
      <c r="L325" s="75">
        <v>53557.199999999903</v>
      </c>
      <c r="M325" s="75">
        <v>105944.34</v>
      </c>
      <c r="N325" s="75">
        <v>12888.04</v>
      </c>
      <c r="O325" s="75">
        <v>13198.41</v>
      </c>
      <c r="P325" s="75">
        <v>56452.469999999899</v>
      </c>
      <c r="Q325" s="75">
        <v>98247.28</v>
      </c>
      <c r="R325" s="75">
        <v>8915.31</v>
      </c>
      <c r="S325" s="75">
        <v>9691.44</v>
      </c>
      <c r="T325" s="75">
        <v>63735.029999999897</v>
      </c>
      <c r="U325" s="75">
        <v>96451.64</v>
      </c>
      <c r="AV325" s="73" t="s">
        <v>334</v>
      </c>
      <c r="AW325" s="73" t="s">
        <v>10</v>
      </c>
      <c r="AX325" s="33">
        <v>3</v>
      </c>
      <c r="AY325" s="33">
        <v>4</v>
      </c>
      <c r="AZ325" s="33">
        <v>4</v>
      </c>
      <c r="BB325" s="73" t="s">
        <v>334</v>
      </c>
      <c r="BC325" s="73" t="s">
        <v>10</v>
      </c>
      <c r="BD325" s="75">
        <v>895.42</v>
      </c>
      <c r="BE325" s="75">
        <v>2737.39</v>
      </c>
      <c r="BF325" s="75">
        <v>1626.95</v>
      </c>
    </row>
    <row r="326" spans="2:58" x14ac:dyDescent="0.2">
      <c r="B326" s="81">
        <v>98337</v>
      </c>
      <c r="C326" s="62" t="s">
        <v>10</v>
      </c>
      <c r="D326" s="46">
        <v>1000</v>
      </c>
      <c r="E326" s="46">
        <v>935</v>
      </c>
      <c r="F326" s="46">
        <v>878</v>
      </c>
      <c r="H326" s="73">
        <v>98337</v>
      </c>
      <c r="I326" s="73" t="s">
        <v>345</v>
      </c>
      <c r="J326" s="75">
        <v>3255.92</v>
      </c>
      <c r="K326" s="75">
        <v>1910.32</v>
      </c>
      <c r="L326" s="75">
        <v>31291.4399999999</v>
      </c>
      <c r="M326" s="75">
        <v>44283.15</v>
      </c>
      <c r="N326" s="75">
        <v>2757</v>
      </c>
      <c r="O326" s="75">
        <v>2709.17</v>
      </c>
      <c r="P326" s="75">
        <v>25355.17</v>
      </c>
      <c r="Q326" s="75">
        <v>38995.409999999902</v>
      </c>
      <c r="R326" s="75">
        <v>3092.05</v>
      </c>
      <c r="S326" s="75">
        <v>2297.3200000000002</v>
      </c>
      <c r="T326" s="75">
        <v>24381.279999999999</v>
      </c>
      <c r="U326" s="75">
        <v>95477.73</v>
      </c>
      <c r="AV326" s="73" t="s">
        <v>232</v>
      </c>
      <c r="AW326" s="73" t="s">
        <v>345</v>
      </c>
      <c r="AX326" s="33">
        <v>2</v>
      </c>
      <c r="AY326" s="33">
        <v>3</v>
      </c>
      <c r="AZ326" s="33">
        <v>1</v>
      </c>
      <c r="BB326" s="73" t="s">
        <v>232</v>
      </c>
      <c r="BC326" s="73" t="s">
        <v>345</v>
      </c>
      <c r="BD326" s="75">
        <v>634.16</v>
      </c>
      <c r="BE326" s="75">
        <v>718.51</v>
      </c>
      <c r="BF326" s="75">
        <v>2199.81</v>
      </c>
    </row>
    <row r="327" spans="2:58" x14ac:dyDescent="0.2">
      <c r="B327" s="56">
        <v>98338</v>
      </c>
      <c r="C327" s="62" t="s">
        <v>345</v>
      </c>
      <c r="D327" s="46">
        <v>60</v>
      </c>
      <c r="E327" s="46">
        <v>66</v>
      </c>
      <c r="F327" s="46">
        <v>60</v>
      </c>
      <c r="H327" s="73">
        <v>98337</v>
      </c>
      <c r="I327" s="73" t="s">
        <v>10</v>
      </c>
      <c r="J327" s="75">
        <v>42521.37</v>
      </c>
      <c r="K327" s="75">
        <v>36940.230000000003</v>
      </c>
      <c r="L327" s="75">
        <v>209469.91999999899</v>
      </c>
      <c r="M327" s="75">
        <v>345159.429999999</v>
      </c>
      <c r="N327" s="75">
        <v>33193.4</v>
      </c>
      <c r="O327" s="75">
        <v>34383.67</v>
      </c>
      <c r="P327" s="75">
        <v>224882.41</v>
      </c>
      <c r="Q327" s="75">
        <v>343323.26999999897</v>
      </c>
      <c r="R327" s="75">
        <v>34392.74</v>
      </c>
      <c r="S327" s="75">
        <v>24957.73</v>
      </c>
      <c r="T327" s="75">
        <v>214577.93999999901</v>
      </c>
      <c r="U327" s="75">
        <v>325508.99</v>
      </c>
      <c r="AV327" s="73" t="s">
        <v>232</v>
      </c>
      <c r="AW327" s="73" t="s">
        <v>10</v>
      </c>
      <c r="AX327" s="33">
        <v>4</v>
      </c>
      <c r="AY327" s="33">
        <v>2</v>
      </c>
      <c r="AZ327" s="33">
        <v>5</v>
      </c>
      <c r="BB327" s="73" t="s">
        <v>232</v>
      </c>
      <c r="BC327" s="73" t="s">
        <v>10</v>
      </c>
      <c r="BD327" s="75">
        <v>2852.25</v>
      </c>
      <c r="BE327" s="75">
        <v>861.69</v>
      </c>
      <c r="BF327" s="75">
        <v>1030.7</v>
      </c>
    </row>
    <row r="328" spans="2:58" x14ac:dyDescent="0.2">
      <c r="B328" s="81">
        <v>98338</v>
      </c>
      <c r="C328" s="62" t="s">
        <v>10</v>
      </c>
      <c r="D328" s="46">
        <v>847</v>
      </c>
      <c r="E328" s="46">
        <v>853</v>
      </c>
      <c r="F328" s="46">
        <v>867</v>
      </c>
      <c r="H328" s="73">
        <v>98338</v>
      </c>
      <c r="I328" s="73" t="s">
        <v>345</v>
      </c>
      <c r="J328" s="75">
        <v>4112.16</v>
      </c>
      <c r="K328" s="75">
        <v>3736.62</v>
      </c>
      <c r="L328" s="75">
        <v>16741.2399999999</v>
      </c>
      <c r="M328" s="75">
        <v>35885.08</v>
      </c>
      <c r="N328" s="75">
        <v>5269.84</v>
      </c>
      <c r="O328" s="75">
        <v>2339.0500000000002</v>
      </c>
      <c r="P328" s="75">
        <v>16517.55</v>
      </c>
      <c r="Q328" s="75">
        <v>32221.1</v>
      </c>
      <c r="R328" s="75">
        <v>3463.62</v>
      </c>
      <c r="S328" s="75">
        <v>1427.08</v>
      </c>
      <c r="T328" s="75">
        <v>16247.14</v>
      </c>
      <c r="U328" s="75">
        <v>28272.54</v>
      </c>
      <c r="AV328" s="73" t="s">
        <v>235</v>
      </c>
      <c r="AW328" s="73" t="s">
        <v>345</v>
      </c>
      <c r="AX328" s="33">
        <v>1</v>
      </c>
      <c r="AY328" s="33">
        <v>2</v>
      </c>
      <c r="AZ328" s="33"/>
      <c r="BB328" s="73" t="s">
        <v>235</v>
      </c>
      <c r="BC328" s="73" t="s">
        <v>345</v>
      </c>
      <c r="BD328" s="75">
        <v>27.31</v>
      </c>
      <c r="BE328" s="75">
        <v>71.25</v>
      </c>
      <c r="BF328" s="75"/>
    </row>
    <row r="329" spans="2:58" x14ac:dyDescent="0.2">
      <c r="B329" s="56">
        <v>98340</v>
      </c>
      <c r="C329" s="62" t="s">
        <v>345</v>
      </c>
      <c r="D329" s="46">
        <v>31</v>
      </c>
      <c r="E329" s="46">
        <v>29</v>
      </c>
      <c r="F329" s="46">
        <v>26</v>
      </c>
      <c r="H329" s="73">
        <v>98338</v>
      </c>
      <c r="I329" s="73" t="s">
        <v>10</v>
      </c>
      <c r="J329" s="75">
        <v>72403.77</v>
      </c>
      <c r="K329" s="75">
        <v>77772.95</v>
      </c>
      <c r="L329" s="75">
        <v>400602.80999999901</v>
      </c>
      <c r="M329" s="75">
        <v>646543.71999999904</v>
      </c>
      <c r="N329" s="75">
        <v>57935.4</v>
      </c>
      <c r="O329" s="75">
        <v>64230.59</v>
      </c>
      <c r="P329" s="75">
        <v>428329.609999999</v>
      </c>
      <c r="Q329" s="75">
        <v>634670.55999999901</v>
      </c>
      <c r="R329" s="75">
        <v>57690.51</v>
      </c>
      <c r="S329" s="75">
        <v>47000.55</v>
      </c>
      <c r="T329" s="75">
        <v>458930.67</v>
      </c>
      <c r="U329" s="75">
        <v>645228.75999999896</v>
      </c>
      <c r="AV329" s="73" t="s">
        <v>235</v>
      </c>
      <c r="AW329" s="73" t="s">
        <v>10</v>
      </c>
      <c r="AX329" s="33">
        <v>16</v>
      </c>
      <c r="AY329" s="33">
        <v>35</v>
      </c>
      <c r="AZ329" s="33">
        <v>14</v>
      </c>
      <c r="BB329" s="73" t="s">
        <v>235</v>
      </c>
      <c r="BC329" s="73" t="s">
        <v>10</v>
      </c>
      <c r="BD329" s="75">
        <v>12029.71</v>
      </c>
      <c r="BE329" s="75">
        <v>27273.7</v>
      </c>
      <c r="BF329" s="75">
        <v>4062.62</v>
      </c>
    </row>
    <row r="330" spans="2:58" x14ac:dyDescent="0.2">
      <c r="B330" s="81">
        <v>98340</v>
      </c>
      <c r="C330" s="62" t="s">
        <v>10</v>
      </c>
      <c r="D330" s="46">
        <v>232</v>
      </c>
      <c r="E330" s="46">
        <v>253</v>
      </c>
      <c r="F330" s="46">
        <v>268</v>
      </c>
      <c r="H330" s="73">
        <v>98340</v>
      </c>
      <c r="I330" s="73" t="s">
        <v>345</v>
      </c>
      <c r="J330" s="75">
        <v>576.44000000000005</v>
      </c>
      <c r="K330" s="75">
        <v>1040.5</v>
      </c>
      <c r="L330" s="75">
        <v>6518.2999999999902</v>
      </c>
      <c r="M330" s="75">
        <v>10012.24</v>
      </c>
      <c r="N330" s="75">
        <v>577.88</v>
      </c>
      <c r="O330" s="75">
        <v>1005.98</v>
      </c>
      <c r="P330" s="75">
        <v>7370.94</v>
      </c>
      <c r="Q330" s="75">
        <v>10489.18</v>
      </c>
      <c r="R330" s="75">
        <v>255.68</v>
      </c>
      <c r="S330" s="75">
        <v>355.64</v>
      </c>
      <c r="T330" s="75">
        <v>7051.3</v>
      </c>
      <c r="U330" s="75">
        <v>8937.59</v>
      </c>
      <c r="AV330" s="73" t="s">
        <v>336</v>
      </c>
      <c r="AW330" s="73" t="s">
        <v>10</v>
      </c>
      <c r="AX330" s="33"/>
      <c r="AY330" s="33">
        <v>1</v>
      </c>
      <c r="AZ330" s="33">
        <v>1</v>
      </c>
      <c r="BB330" s="73" t="s">
        <v>336</v>
      </c>
      <c r="BC330" s="73" t="s">
        <v>10</v>
      </c>
      <c r="BD330" s="75"/>
      <c r="BE330" s="75">
        <v>1512.51</v>
      </c>
      <c r="BF330" s="75"/>
    </row>
    <row r="331" spans="2:58" x14ac:dyDescent="0.2">
      <c r="B331" s="56">
        <v>98342</v>
      </c>
      <c r="C331" s="62" t="s">
        <v>345</v>
      </c>
      <c r="D331" s="46">
        <v>9</v>
      </c>
      <c r="E331" s="46">
        <v>5</v>
      </c>
      <c r="F331" s="46">
        <v>10</v>
      </c>
      <c r="H331" s="73">
        <v>98340</v>
      </c>
      <c r="I331" s="73" t="s">
        <v>10</v>
      </c>
      <c r="J331" s="75">
        <v>10830.75</v>
      </c>
      <c r="K331" s="75">
        <v>7863.37</v>
      </c>
      <c r="L331" s="75">
        <v>32499.369999999901</v>
      </c>
      <c r="M331" s="75">
        <v>74281.429999999993</v>
      </c>
      <c r="N331" s="75">
        <v>8753.5400000000009</v>
      </c>
      <c r="O331" s="75">
        <v>7720.11</v>
      </c>
      <c r="P331" s="75">
        <v>34026.619999999901</v>
      </c>
      <c r="Q331" s="75">
        <v>71804.59</v>
      </c>
      <c r="R331" s="75">
        <v>6197.69</v>
      </c>
      <c r="S331" s="75">
        <v>4500.16</v>
      </c>
      <c r="T331" s="75">
        <v>32567.759999999998</v>
      </c>
      <c r="U331" s="75">
        <v>64652.89</v>
      </c>
      <c r="AV331" s="73" t="s">
        <v>337</v>
      </c>
      <c r="AW331" s="73" t="s">
        <v>345</v>
      </c>
      <c r="AX331" s="33">
        <v>4</v>
      </c>
      <c r="AY331" s="33">
        <v>1</v>
      </c>
      <c r="AZ331" s="33"/>
      <c r="BB331" s="73" t="s">
        <v>337</v>
      </c>
      <c r="BC331" s="73" t="s">
        <v>345</v>
      </c>
      <c r="BD331" s="75">
        <v>1579.16</v>
      </c>
      <c r="BE331" s="75">
        <v>1099.79</v>
      </c>
      <c r="BF331" s="75"/>
    </row>
    <row r="332" spans="2:58" x14ac:dyDescent="0.2">
      <c r="B332" s="81">
        <v>98342</v>
      </c>
      <c r="C332" s="62" t="s">
        <v>10</v>
      </c>
      <c r="D332" s="46">
        <v>131</v>
      </c>
      <c r="E332" s="71">
        <v>124</v>
      </c>
      <c r="F332" s="46">
        <v>133</v>
      </c>
      <c r="H332" s="73">
        <v>98342</v>
      </c>
      <c r="I332" s="73" t="s">
        <v>345</v>
      </c>
      <c r="J332" s="75">
        <v>191.51</v>
      </c>
      <c r="K332" s="75">
        <v>59.4</v>
      </c>
      <c r="L332" s="75"/>
      <c r="M332" s="75">
        <v>631.73999999999899</v>
      </c>
      <c r="N332" s="75">
        <v>73.55</v>
      </c>
      <c r="O332" s="75"/>
      <c r="P332" s="75"/>
      <c r="Q332" s="75">
        <v>430.01</v>
      </c>
      <c r="R332" s="75">
        <v>11.91</v>
      </c>
      <c r="S332" s="75"/>
      <c r="T332" s="75"/>
      <c r="U332" s="75">
        <v>566.19000000000005</v>
      </c>
      <c r="AV332" s="73" t="s">
        <v>337</v>
      </c>
      <c r="AW332" s="73" t="s">
        <v>10</v>
      </c>
      <c r="AX332" s="33">
        <v>2</v>
      </c>
      <c r="AY332" s="33">
        <v>8</v>
      </c>
      <c r="AZ332" s="33">
        <v>13</v>
      </c>
      <c r="BB332" s="73" t="s">
        <v>337</v>
      </c>
      <c r="BC332" s="73" t="s">
        <v>10</v>
      </c>
      <c r="BD332" s="75">
        <v>288.97000000000003</v>
      </c>
      <c r="BE332" s="75">
        <v>2557.6799999999998</v>
      </c>
      <c r="BF332" s="75">
        <v>7607.23</v>
      </c>
    </row>
    <row r="333" spans="2:58" x14ac:dyDescent="0.2">
      <c r="B333" s="56">
        <v>98345</v>
      </c>
      <c r="C333" s="62" t="s">
        <v>345</v>
      </c>
      <c r="D333" s="46">
        <v>6</v>
      </c>
      <c r="E333" s="46">
        <v>3</v>
      </c>
      <c r="F333" s="46">
        <v>7</v>
      </c>
      <c r="H333" s="73">
        <v>98342</v>
      </c>
      <c r="I333" s="73" t="s">
        <v>10</v>
      </c>
      <c r="J333" s="75">
        <v>6903.93</v>
      </c>
      <c r="K333" s="75">
        <v>5737.39</v>
      </c>
      <c r="L333" s="75">
        <v>17569.53</v>
      </c>
      <c r="M333" s="75">
        <v>40750.28</v>
      </c>
      <c r="N333" s="75">
        <v>4948.3999999999996</v>
      </c>
      <c r="O333" s="75">
        <v>4552.78</v>
      </c>
      <c r="P333" s="75">
        <v>19555.82</v>
      </c>
      <c r="Q333" s="75">
        <v>37978.44</v>
      </c>
      <c r="R333" s="75">
        <v>4095.94</v>
      </c>
      <c r="S333" s="75">
        <v>3368.15</v>
      </c>
      <c r="T333" s="75">
        <v>20052.82</v>
      </c>
      <c r="U333" s="75">
        <v>37698.369999999901</v>
      </c>
      <c r="AV333" s="73" t="s">
        <v>236</v>
      </c>
      <c r="AW333" s="73" t="s">
        <v>10</v>
      </c>
      <c r="AX333" s="33">
        <v>10</v>
      </c>
      <c r="AY333" s="33">
        <v>9</v>
      </c>
      <c r="AZ333" s="33">
        <v>10</v>
      </c>
      <c r="BB333" s="73" t="s">
        <v>236</v>
      </c>
      <c r="BC333" s="73" t="s">
        <v>10</v>
      </c>
      <c r="BD333" s="75">
        <v>4428.37</v>
      </c>
      <c r="BE333" s="75">
        <v>4907.0200000000004</v>
      </c>
      <c r="BF333" s="75">
        <v>2475.35</v>
      </c>
    </row>
    <row r="334" spans="2:58" x14ac:dyDescent="0.2">
      <c r="B334" s="81">
        <v>98345</v>
      </c>
      <c r="C334" s="62" t="s">
        <v>10</v>
      </c>
      <c r="D334" s="46">
        <v>37</v>
      </c>
      <c r="E334" s="46">
        <v>41</v>
      </c>
      <c r="F334" s="46">
        <v>40</v>
      </c>
      <c r="H334" s="73">
        <v>98345</v>
      </c>
      <c r="I334" s="73" t="s">
        <v>345</v>
      </c>
      <c r="J334" s="75">
        <v>209.67</v>
      </c>
      <c r="K334" s="75">
        <v>67.459999999999994</v>
      </c>
      <c r="L334" s="75">
        <v>433.99</v>
      </c>
      <c r="M334" s="75">
        <v>1034.55</v>
      </c>
      <c r="N334" s="75">
        <v>71.739999999999995</v>
      </c>
      <c r="O334" s="75">
        <v>67.62</v>
      </c>
      <c r="P334" s="75">
        <v>477.95</v>
      </c>
      <c r="Q334" s="75">
        <v>771.11</v>
      </c>
      <c r="R334" s="75">
        <v>75.569999999999993</v>
      </c>
      <c r="S334" s="75">
        <v>71.739999999999995</v>
      </c>
      <c r="T334" s="75">
        <v>545.57000000000005</v>
      </c>
      <c r="U334" s="75">
        <v>1018.15</v>
      </c>
      <c r="AV334" s="73" t="s">
        <v>237</v>
      </c>
      <c r="AW334" s="73" t="s">
        <v>10</v>
      </c>
      <c r="AX334" s="33">
        <v>9</v>
      </c>
      <c r="AY334" s="33">
        <v>8</v>
      </c>
      <c r="AZ334" s="33">
        <v>16</v>
      </c>
      <c r="BB334" s="73" t="s">
        <v>237</v>
      </c>
      <c r="BC334" s="73" t="s">
        <v>10</v>
      </c>
      <c r="BD334" s="75">
        <v>6127.64</v>
      </c>
      <c r="BE334" s="75">
        <v>1822.14</v>
      </c>
      <c r="BF334" s="75">
        <v>11754.76</v>
      </c>
    </row>
    <row r="335" spans="2:58" x14ac:dyDescent="0.2">
      <c r="B335" s="56">
        <v>98346</v>
      </c>
      <c r="C335" s="62" t="s">
        <v>345</v>
      </c>
      <c r="D335" s="46">
        <v>71</v>
      </c>
      <c r="E335" s="46">
        <v>73</v>
      </c>
      <c r="F335" s="46">
        <v>99</v>
      </c>
      <c r="H335" s="73">
        <v>98345</v>
      </c>
      <c r="I335" s="73" t="s">
        <v>10</v>
      </c>
      <c r="J335" s="75">
        <v>2147.52</v>
      </c>
      <c r="K335" s="75">
        <v>2191.38</v>
      </c>
      <c r="L335" s="75">
        <v>12771.29</v>
      </c>
      <c r="M335" s="75">
        <v>19510.5</v>
      </c>
      <c r="N335" s="75">
        <v>1255.6199999999999</v>
      </c>
      <c r="O335" s="75">
        <v>1642.48</v>
      </c>
      <c r="P335" s="75">
        <v>13364.77</v>
      </c>
      <c r="Q335" s="75">
        <v>19196.47</v>
      </c>
      <c r="R335" s="75">
        <v>1887.11</v>
      </c>
      <c r="S335" s="75">
        <v>1130.97</v>
      </c>
      <c r="T335" s="75">
        <v>13809.539999999901</v>
      </c>
      <c r="U335" s="75">
        <v>19649.289999999899</v>
      </c>
      <c r="AV335" s="73" t="s">
        <v>339</v>
      </c>
      <c r="AW335" s="73" t="s">
        <v>10</v>
      </c>
      <c r="AX335" s="33"/>
      <c r="AY335" s="33">
        <v>1</v>
      </c>
      <c r="AZ335" s="33">
        <v>2</v>
      </c>
      <c r="BB335" s="73" t="s">
        <v>339</v>
      </c>
      <c r="BC335" s="73" t="s">
        <v>10</v>
      </c>
      <c r="BD335" s="75"/>
      <c r="BE335" s="75">
        <v>1611.72</v>
      </c>
      <c r="BF335" s="75">
        <v>245.77</v>
      </c>
    </row>
    <row r="336" spans="2:58" x14ac:dyDescent="0.2">
      <c r="B336" s="81">
        <v>98346</v>
      </c>
      <c r="C336" s="62" t="s">
        <v>10</v>
      </c>
      <c r="D336" s="46">
        <v>639</v>
      </c>
      <c r="E336" s="46">
        <v>656</v>
      </c>
      <c r="F336" s="46">
        <v>639</v>
      </c>
      <c r="H336" s="73">
        <v>98346</v>
      </c>
      <c r="I336" s="73" t="s">
        <v>345</v>
      </c>
      <c r="J336" s="75">
        <v>3251.13</v>
      </c>
      <c r="K336" s="75">
        <v>1673.87</v>
      </c>
      <c r="L336" s="75">
        <v>9474.7000000000007</v>
      </c>
      <c r="M336" s="75">
        <v>31433.4399999999</v>
      </c>
      <c r="N336" s="75">
        <v>884.39</v>
      </c>
      <c r="O336" s="75">
        <v>2828.87</v>
      </c>
      <c r="P336" s="75">
        <v>11034.41</v>
      </c>
      <c r="Q336" s="75">
        <v>29465.809999999899</v>
      </c>
      <c r="R336" s="75">
        <v>3223.69</v>
      </c>
      <c r="S336" s="75">
        <v>707.35</v>
      </c>
      <c r="T336" s="75">
        <v>11998.42</v>
      </c>
      <c r="U336" s="75">
        <v>45731.21</v>
      </c>
      <c r="AV336" s="73" t="s">
        <v>340</v>
      </c>
      <c r="AW336" s="73" t="s">
        <v>345</v>
      </c>
      <c r="AX336" s="33">
        <v>1</v>
      </c>
      <c r="AY336" s="33"/>
      <c r="AZ336" s="33"/>
      <c r="BB336" s="73" t="s">
        <v>340</v>
      </c>
      <c r="BC336" s="73" t="s">
        <v>345</v>
      </c>
      <c r="BD336" s="75">
        <v>173.71</v>
      </c>
      <c r="BE336" s="75"/>
      <c r="BF336" s="75"/>
    </row>
    <row r="337" spans="2:58" x14ac:dyDescent="0.2">
      <c r="B337" s="56">
        <v>98353</v>
      </c>
      <c r="C337" s="62" t="s">
        <v>345</v>
      </c>
      <c r="D337" s="46">
        <v>1</v>
      </c>
      <c r="E337" s="46"/>
      <c r="F337" s="46"/>
      <c r="H337" s="73">
        <v>98346</v>
      </c>
      <c r="I337" s="73" t="s">
        <v>10</v>
      </c>
      <c r="J337" s="75">
        <v>49700.26</v>
      </c>
      <c r="K337" s="75">
        <v>41652.31</v>
      </c>
      <c r="L337" s="75">
        <v>217560.66</v>
      </c>
      <c r="M337" s="75">
        <v>380264.76999999897</v>
      </c>
      <c r="N337" s="75">
        <v>23375.45</v>
      </c>
      <c r="O337" s="75">
        <v>36125.75</v>
      </c>
      <c r="P337" s="75">
        <v>251753.33</v>
      </c>
      <c r="Q337" s="75">
        <v>377422.72999999899</v>
      </c>
      <c r="R337" s="75">
        <v>34657.26</v>
      </c>
      <c r="S337" s="75">
        <v>14571.24</v>
      </c>
      <c r="T337" s="75">
        <v>250370.17</v>
      </c>
      <c r="U337" s="75">
        <v>352383.47</v>
      </c>
      <c r="AV337" s="73" t="s">
        <v>340</v>
      </c>
      <c r="AW337" s="73" t="s">
        <v>10</v>
      </c>
      <c r="AX337" s="33">
        <v>3</v>
      </c>
      <c r="AY337" s="33">
        <v>8</v>
      </c>
      <c r="AZ337" s="33">
        <v>5</v>
      </c>
      <c r="BB337" s="73" t="s">
        <v>340</v>
      </c>
      <c r="BC337" s="73" t="s">
        <v>10</v>
      </c>
      <c r="BD337" s="75">
        <v>44.94</v>
      </c>
      <c r="BE337" s="75">
        <v>1711.29</v>
      </c>
      <c r="BF337" s="75">
        <v>2090.73</v>
      </c>
    </row>
    <row r="338" spans="2:58" x14ac:dyDescent="0.2">
      <c r="B338" s="81">
        <v>98353</v>
      </c>
      <c r="C338" s="62" t="s">
        <v>10</v>
      </c>
      <c r="D338" s="46">
        <v>2</v>
      </c>
      <c r="E338" s="46">
        <v>3</v>
      </c>
      <c r="F338" s="46">
        <v>2</v>
      </c>
      <c r="H338" s="73">
        <v>98353</v>
      </c>
      <c r="I338" s="73" t="s">
        <v>345</v>
      </c>
      <c r="J338" s="75"/>
      <c r="K338" s="75"/>
      <c r="L338" s="75"/>
      <c r="M338" s="75">
        <v>10.210000000000001</v>
      </c>
      <c r="N338" s="75"/>
      <c r="O338" s="75"/>
      <c r="P338" s="75"/>
      <c r="Q338" s="75"/>
      <c r="R338" s="75"/>
      <c r="S338" s="75"/>
      <c r="T338" s="75"/>
      <c r="U338" s="75"/>
      <c r="AV338" s="73" t="s">
        <v>341</v>
      </c>
      <c r="AW338" s="73" t="s">
        <v>345</v>
      </c>
      <c r="AX338" s="33"/>
      <c r="AY338" s="33">
        <v>1</v>
      </c>
      <c r="AZ338" s="33"/>
      <c r="BB338" s="73" t="s">
        <v>341</v>
      </c>
      <c r="BC338" s="73" t="s">
        <v>345</v>
      </c>
      <c r="BD338" s="75"/>
      <c r="BE338" s="75"/>
      <c r="BF338" s="75"/>
    </row>
    <row r="339" spans="2:58" x14ac:dyDescent="0.2">
      <c r="B339" s="81">
        <v>98354</v>
      </c>
      <c r="C339" s="62" t="s">
        <v>345</v>
      </c>
      <c r="D339" s="46">
        <v>12</v>
      </c>
      <c r="E339" s="46">
        <v>11</v>
      </c>
      <c r="F339" s="46">
        <v>13</v>
      </c>
      <c r="H339" s="73">
        <v>98353</v>
      </c>
      <c r="I339" s="73" t="s">
        <v>10</v>
      </c>
      <c r="J339" s="75">
        <v>240.13</v>
      </c>
      <c r="K339" s="75">
        <v>120.24</v>
      </c>
      <c r="L339" s="75">
        <v>725.06999999999903</v>
      </c>
      <c r="M339" s="75">
        <v>1243.6199999999999</v>
      </c>
      <c r="N339" s="75">
        <v>106.19</v>
      </c>
      <c r="O339" s="75">
        <v>186.94</v>
      </c>
      <c r="P339" s="75">
        <v>845.31</v>
      </c>
      <c r="Q339" s="75">
        <v>1324.81</v>
      </c>
      <c r="R339" s="75">
        <v>95.99</v>
      </c>
      <c r="S339" s="75">
        <v>106.19</v>
      </c>
      <c r="T339" s="75">
        <v>1032.25</v>
      </c>
      <c r="U339" s="75">
        <v>1496.6799999999901</v>
      </c>
      <c r="AV339" s="73" t="s">
        <v>341</v>
      </c>
      <c r="AW339" s="73" t="s">
        <v>10</v>
      </c>
      <c r="AX339" s="33">
        <v>4</v>
      </c>
      <c r="AY339" s="33">
        <v>3</v>
      </c>
      <c r="AZ339" s="33">
        <v>2</v>
      </c>
      <c r="BB339" s="73" t="s">
        <v>341</v>
      </c>
      <c r="BC339" s="73" t="s">
        <v>10</v>
      </c>
      <c r="BD339" s="75">
        <v>1255.97</v>
      </c>
      <c r="BE339" s="75">
        <v>518.99</v>
      </c>
      <c r="BF339" s="75">
        <v>1110.56</v>
      </c>
    </row>
    <row r="340" spans="2:58" x14ac:dyDescent="0.2">
      <c r="B340" s="56">
        <v>98354</v>
      </c>
      <c r="C340" s="62" t="s">
        <v>10</v>
      </c>
      <c r="D340" s="46">
        <v>178</v>
      </c>
      <c r="E340" s="46">
        <v>179</v>
      </c>
      <c r="F340" s="46">
        <v>194</v>
      </c>
      <c r="H340" s="73">
        <v>98354</v>
      </c>
      <c r="I340" s="73" t="s">
        <v>345</v>
      </c>
      <c r="J340" s="75">
        <v>925.46</v>
      </c>
      <c r="K340" s="75">
        <v>962.58</v>
      </c>
      <c r="L340" s="75">
        <v>7771.33</v>
      </c>
      <c r="M340" s="75">
        <v>11960.95</v>
      </c>
      <c r="N340" s="75">
        <v>1218.6099999999999</v>
      </c>
      <c r="O340" s="75">
        <v>658.87</v>
      </c>
      <c r="P340" s="75">
        <v>7558.8099999999904</v>
      </c>
      <c r="Q340" s="75">
        <v>11233.46</v>
      </c>
      <c r="R340" s="75">
        <v>863.37</v>
      </c>
      <c r="S340" s="75">
        <v>387.71</v>
      </c>
      <c r="T340" s="75">
        <v>6960.69</v>
      </c>
      <c r="U340" s="75">
        <v>10236.02</v>
      </c>
      <c r="AV340" s="73" t="s">
        <v>240</v>
      </c>
      <c r="AW340" s="73" t="s">
        <v>345</v>
      </c>
      <c r="AX340" s="33"/>
      <c r="AY340" s="33">
        <v>4</v>
      </c>
      <c r="AZ340" s="33"/>
      <c r="BB340" s="73" t="s">
        <v>240</v>
      </c>
      <c r="BC340" s="73" t="s">
        <v>345</v>
      </c>
      <c r="BD340" s="75"/>
      <c r="BE340" s="75">
        <v>1491.6200000000001</v>
      </c>
      <c r="BF340" s="75"/>
    </row>
    <row r="341" spans="2:58" x14ac:dyDescent="0.2">
      <c r="B341" s="81">
        <v>98359</v>
      </c>
      <c r="C341" s="62" t="s">
        <v>345</v>
      </c>
      <c r="D341" s="46">
        <v>22</v>
      </c>
      <c r="E341" s="46">
        <v>19</v>
      </c>
      <c r="F341" s="46">
        <v>28</v>
      </c>
      <c r="H341" s="73">
        <v>98354</v>
      </c>
      <c r="I341" s="73" t="s">
        <v>10</v>
      </c>
      <c r="J341" s="75">
        <v>7018.58</v>
      </c>
      <c r="K341" s="75">
        <v>5914.07</v>
      </c>
      <c r="L341" s="75">
        <v>20040.349999999999</v>
      </c>
      <c r="M341" s="75">
        <v>40660.3999999999</v>
      </c>
      <c r="N341" s="75">
        <v>4890.2299999999996</v>
      </c>
      <c r="O341" s="75">
        <v>5678.78</v>
      </c>
      <c r="P341" s="75">
        <v>22782.86</v>
      </c>
      <c r="Q341" s="75">
        <v>39365.879999999903</v>
      </c>
      <c r="R341" s="75">
        <v>4394</v>
      </c>
      <c r="S341" s="75">
        <v>4180.3100000000004</v>
      </c>
      <c r="T341" s="75">
        <v>25875.08</v>
      </c>
      <c r="U341" s="75">
        <v>40503.8299999999</v>
      </c>
      <c r="AV341" s="73" t="s">
        <v>240</v>
      </c>
      <c r="AW341" s="73" t="s">
        <v>10</v>
      </c>
      <c r="AX341" s="33">
        <v>33</v>
      </c>
      <c r="AY341" s="33">
        <v>49</v>
      </c>
      <c r="AZ341" s="33">
        <v>49</v>
      </c>
      <c r="BB341" s="73" t="s">
        <v>240</v>
      </c>
      <c r="BC341" s="73" t="s">
        <v>10</v>
      </c>
      <c r="BD341" s="75">
        <v>17761.169999999998</v>
      </c>
      <c r="BE341" s="75">
        <v>39022.080000000002</v>
      </c>
      <c r="BF341" s="75">
        <v>48660.14</v>
      </c>
    </row>
    <row r="342" spans="2:58" x14ac:dyDescent="0.2">
      <c r="B342" s="56">
        <v>98359</v>
      </c>
      <c r="C342" s="62" t="s">
        <v>10</v>
      </c>
      <c r="D342" s="46">
        <v>249</v>
      </c>
      <c r="E342" s="46">
        <v>249</v>
      </c>
      <c r="F342" s="46">
        <v>284</v>
      </c>
      <c r="H342" s="73">
        <v>98359</v>
      </c>
      <c r="I342" s="73" t="s">
        <v>345</v>
      </c>
      <c r="J342" s="75">
        <v>524.12</v>
      </c>
      <c r="K342" s="75">
        <v>769.32</v>
      </c>
      <c r="L342" s="75">
        <v>3104.15</v>
      </c>
      <c r="M342" s="75">
        <v>5814.62</v>
      </c>
      <c r="N342" s="75">
        <v>443.03</v>
      </c>
      <c r="O342" s="75">
        <v>319.89</v>
      </c>
      <c r="P342" s="75">
        <v>2736.95</v>
      </c>
      <c r="Q342" s="75">
        <v>4283.6299999999901</v>
      </c>
      <c r="R342" s="75">
        <v>371.35</v>
      </c>
      <c r="S342" s="75">
        <v>319.33999999999997</v>
      </c>
      <c r="T342" s="75">
        <v>1933.92</v>
      </c>
      <c r="U342" s="75">
        <v>4344.07</v>
      </c>
      <c r="AV342" s="73" t="s">
        <v>241</v>
      </c>
      <c r="AW342" s="73" t="s">
        <v>345</v>
      </c>
      <c r="AX342" s="33"/>
      <c r="AY342" s="33">
        <v>3</v>
      </c>
      <c r="AZ342" s="33">
        <v>1</v>
      </c>
      <c r="BB342" s="73" t="s">
        <v>241</v>
      </c>
      <c r="BC342" s="73" t="s">
        <v>345</v>
      </c>
      <c r="BD342" s="75"/>
      <c r="BE342" s="75">
        <v>3283.33</v>
      </c>
      <c r="BF342" s="75">
        <v>448.95</v>
      </c>
    </row>
    <row r="343" spans="2:58" x14ac:dyDescent="0.2">
      <c r="B343" s="81">
        <v>98360</v>
      </c>
      <c r="C343" s="62" t="s">
        <v>345</v>
      </c>
      <c r="D343" s="46">
        <v>40</v>
      </c>
      <c r="E343" s="46">
        <v>45</v>
      </c>
      <c r="F343" s="46">
        <v>48</v>
      </c>
      <c r="H343" s="73">
        <v>98359</v>
      </c>
      <c r="I343" s="73" t="s">
        <v>10</v>
      </c>
      <c r="J343" s="75">
        <v>24013.97</v>
      </c>
      <c r="K343" s="75">
        <v>17592.080000000002</v>
      </c>
      <c r="L343" s="75">
        <v>121640.72</v>
      </c>
      <c r="M343" s="75">
        <v>191375.19999999899</v>
      </c>
      <c r="N343" s="75">
        <v>16269.29</v>
      </c>
      <c r="O343" s="75">
        <v>18616.189999999999</v>
      </c>
      <c r="P343" s="75">
        <v>130357.71</v>
      </c>
      <c r="Q343" s="75">
        <v>191195.05</v>
      </c>
      <c r="R343" s="75">
        <v>13974.78</v>
      </c>
      <c r="S343" s="75">
        <v>13518.51</v>
      </c>
      <c r="T343" s="75">
        <v>125853.67</v>
      </c>
      <c r="U343" s="75">
        <v>182730.179999999</v>
      </c>
      <c r="AV343" s="73" t="s">
        <v>241</v>
      </c>
      <c r="AW343" s="73" t="s">
        <v>10</v>
      </c>
      <c r="AX343" s="33">
        <v>7</v>
      </c>
      <c r="AY343" s="33">
        <v>10</v>
      </c>
      <c r="AZ343" s="33">
        <v>14</v>
      </c>
      <c r="BB343" s="73" t="s">
        <v>241</v>
      </c>
      <c r="BC343" s="73" t="s">
        <v>10</v>
      </c>
      <c r="BD343" s="75">
        <v>2525.89</v>
      </c>
      <c r="BE343" s="75">
        <v>6615.29</v>
      </c>
      <c r="BF343" s="75">
        <v>10332.07</v>
      </c>
    </row>
    <row r="344" spans="2:58" x14ac:dyDescent="0.2">
      <c r="B344" s="56">
        <v>98360</v>
      </c>
      <c r="C344" s="62" t="s">
        <v>10</v>
      </c>
      <c r="D344" s="46">
        <v>693</v>
      </c>
      <c r="E344" s="46">
        <v>666</v>
      </c>
      <c r="F344" s="46">
        <v>723</v>
      </c>
      <c r="H344" s="73">
        <v>98360</v>
      </c>
      <c r="I344" s="73" t="s">
        <v>345</v>
      </c>
      <c r="J344" s="75">
        <v>5985.98</v>
      </c>
      <c r="K344" s="75">
        <v>2454.6999999999998</v>
      </c>
      <c r="L344" s="75">
        <v>25572.84</v>
      </c>
      <c r="M344" s="75">
        <v>44624.55</v>
      </c>
      <c r="N344" s="75">
        <v>3340.31</v>
      </c>
      <c r="O344" s="75">
        <v>3498.5</v>
      </c>
      <c r="P344" s="75">
        <v>21071.769999999899</v>
      </c>
      <c r="Q344" s="75">
        <v>46875.379999999903</v>
      </c>
      <c r="R344" s="75">
        <v>3386.94</v>
      </c>
      <c r="S344" s="75">
        <v>2428.5700000000002</v>
      </c>
      <c r="T344" s="75">
        <v>20223.909999999902</v>
      </c>
      <c r="U344" s="75">
        <v>42198.589999999902</v>
      </c>
      <c r="AV344" s="73" t="s">
        <v>242</v>
      </c>
      <c r="AW344" s="73" t="s">
        <v>345</v>
      </c>
      <c r="AX344" s="33">
        <v>14</v>
      </c>
      <c r="AY344" s="33">
        <v>7</v>
      </c>
      <c r="AZ344" s="33">
        <v>16</v>
      </c>
      <c r="BB344" s="73" t="s">
        <v>242</v>
      </c>
      <c r="BC344" s="73" t="s">
        <v>345</v>
      </c>
      <c r="BD344" s="75">
        <v>26407.79</v>
      </c>
      <c r="BE344" s="75">
        <v>1902.19</v>
      </c>
      <c r="BF344" s="75">
        <v>8090.8</v>
      </c>
    </row>
    <row r="345" spans="2:58" x14ac:dyDescent="0.2">
      <c r="B345" s="81">
        <v>98364</v>
      </c>
      <c r="C345" s="62" t="s">
        <v>345</v>
      </c>
      <c r="D345" s="46">
        <v>2</v>
      </c>
      <c r="E345" s="71">
        <v>2</v>
      </c>
      <c r="F345" s="71"/>
      <c r="H345" s="73">
        <v>98360</v>
      </c>
      <c r="I345" s="73" t="s">
        <v>10</v>
      </c>
      <c r="J345" s="75">
        <v>77151.320000000007</v>
      </c>
      <c r="K345" s="75">
        <v>56307.86</v>
      </c>
      <c r="L345" s="75">
        <v>313691.95999999897</v>
      </c>
      <c r="M345" s="75">
        <v>540878.36</v>
      </c>
      <c r="N345" s="75">
        <v>58518.85</v>
      </c>
      <c r="O345" s="75">
        <v>57563.68</v>
      </c>
      <c r="P345" s="75">
        <v>322918.50999999902</v>
      </c>
      <c r="Q345" s="75">
        <v>524542.30000000005</v>
      </c>
      <c r="R345" s="75">
        <v>56012.71</v>
      </c>
      <c r="S345" s="75">
        <v>44369.599999999999</v>
      </c>
      <c r="T345" s="75">
        <v>333628.25999999902</v>
      </c>
      <c r="U345" s="75">
        <v>547349.93000000005</v>
      </c>
      <c r="AV345" s="73" t="s">
        <v>242</v>
      </c>
      <c r="AW345" s="73" t="s">
        <v>10</v>
      </c>
      <c r="AX345" s="33">
        <v>44</v>
      </c>
      <c r="AY345" s="33">
        <v>70</v>
      </c>
      <c r="AZ345" s="33">
        <v>68</v>
      </c>
      <c r="BB345" s="73" t="s">
        <v>242</v>
      </c>
      <c r="BC345" s="73" t="s">
        <v>10</v>
      </c>
      <c r="BD345" s="75">
        <v>19671.89</v>
      </c>
      <c r="BE345" s="75">
        <v>29498.22</v>
      </c>
      <c r="BF345" s="75">
        <v>48370.87</v>
      </c>
    </row>
    <row r="346" spans="2:58" x14ac:dyDescent="0.2">
      <c r="B346" s="81">
        <v>98364</v>
      </c>
      <c r="C346" s="62" t="s">
        <v>10</v>
      </c>
      <c r="D346" s="46">
        <v>2</v>
      </c>
      <c r="E346" s="46">
        <v>1</v>
      </c>
      <c r="F346" s="46">
        <v>1</v>
      </c>
      <c r="H346" s="73">
        <v>98364</v>
      </c>
      <c r="I346" s="73" t="s">
        <v>345</v>
      </c>
      <c r="J346" s="75"/>
      <c r="K346" s="75"/>
      <c r="L346" s="75"/>
      <c r="M346" s="75">
        <v>76.64</v>
      </c>
      <c r="N346" s="75"/>
      <c r="O346" s="75"/>
      <c r="P346" s="75"/>
      <c r="Q346" s="75">
        <v>76.64</v>
      </c>
      <c r="R346" s="75"/>
      <c r="S346" s="75"/>
      <c r="T346" s="75"/>
      <c r="U346" s="75"/>
      <c r="AV346" s="73" t="s">
        <v>243</v>
      </c>
      <c r="AW346" s="73" t="s">
        <v>345</v>
      </c>
      <c r="AX346" s="33">
        <v>1</v>
      </c>
      <c r="AY346" s="33">
        <v>2</v>
      </c>
      <c r="AZ346" s="33">
        <v>4</v>
      </c>
      <c r="BB346" s="73" t="s">
        <v>243</v>
      </c>
      <c r="BC346" s="73" t="s">
        <v>345</v>
      </c>
      <c r="BD346" s="75">
        <v>127.43</v>
      </c>
      <c r="BE346" s="75">
        <v>478.42</v>
      </c>
      <c r="BF346" s="75">
        <v>5393.06</v>
      </c>
    </row>
    <row r="347" spans="2:58" x14ac:dyDescent="0.2">
      <c r="B347" s="56">
        <v>98366</v>
      </c>
      <c r="C347" s="62" t="s">
        <v>345</v>
      </c>
      <c r="D347" s="46">
        <v>156</v>
      </c>
      <c r="E347" s="46">
        <v>165</v>
      </c>
      <c r="F347" s="46">
        <v>135</v>
      </c>
      <c r="H347" s="73">
        <v>98364</v>
      </c>
      <c r="I347" s="73" t="s">
        <v>10</v>
      </c>
      <c r="J347" s="75">
        <v>209.99</v>
      </c>
      <c r="K347" s="75">
        <v>190.96</v>
      </c>
      <c r="L347" s="75">
        <v>2803.73</v>
      </c>
      <c r="M347" s="75">
        <v>3367.62</v>
      </c>
      <c r="N347" s="75"/>
      <c r="O347" s="75">
        <v>147.72999999999999</v>
      </c>
      <c r="P347" s="75">
        <v>2859.68</v>
      </c>
      <c r="Q347" s="75">
        <v>3096.42</v>
      </c>
      <c r="R347" s="75">
        <v>89.01</v>
      </c>
      <c r="S347" s="75"/>
      <c r="T347" s="75">
        <v>3007.41</v>
      </c>
      <c r="U347" s="75">
        <v>3148.46</v>
      </c>
      <c r="AV347" s="73" t="s">
        <v>243</v>
      </c>
      <c r="AW347" s="73" t="s">
        <v>10</v>
      </c>
      <c r="AX347" s="33">
        <v>49</v>
      </c>
      <c r="AY347" s="33">
        <v>50</v>
      </c>
      <c r="AZ347" s="33">
        <v>65</v>
      </c>
      <c r="BB347" s="73" t="s">
        <v>243</v>
      </c>
      <c r="BC347" s="73" t="s">
        <v>10</v>
      </c>
      <c r="BD347" s="75">
        <v>28581.97</v>
      </c>
      <c r="BE347" s="75">
        <v>28224.49</v>
      </c>
      <c r="BF347" s="75">
        <v>45597.88</v>
      </c>
    </row>
    <row r="348" spans="2:58" x14ac:dyDescent="0.2">
      <c r="B348" s="81">
        <v>98366</v>
      </c>
      <c r="C348" s="62" t="s">
        <v>10</v>
      </c>
      <c r="D348" s="46">
        <v>2653</v>
      </c>
      <c r="E348" s="46">
        <v>2610</v>
      </c>
      <c r="F348" s="46">
        <v>2748</v>
      </c>
      <c r="H348" s="73">
        <v>98366</v>
      </c>
      <c r="I348" s="73" t="s">
        <v>345</v>
      </c>
      <c r="J348" s="75">
        <v>11431.08</v>
      </c>
      <c r="K348" s="75">
        <v>5099.84</v>
      </c>
      <c r="L348" s="75">
        <v>28246.039999999899</v>
      </c>
      <c r="M348" s="75">
        <v>87993.959999999905</v>
      </c>
      <c r="N348" s="75">
        <v>6731.11</v>
      </c>
      <c r="O348" s="75">
        <v>4445.72</v>
      </c>
      <c r="P348" s="75">
        <v>26818.7599999999</v>
      </c>
      <c r="Q348" s="75">
        <v>228557.03</v>
      </c>
      <c r="R348" s="75">
        <v>7582.26</v>
      </c>
      <c r="S348" s="75">
        <v>4749.41</v>
      </c>
      <c r="T348" s="75">
        <v>24461.68</v>
      </c>
      <c r="U348" s="75">
        <v>88151.93</v>
      </c>
      <c r="AV348" s="73" t="s">
        <v>244</v>
      </c>
      <c r="AW348" s="73" t="s">
        <v>345</v>
      </c>
      <c r="AX348" s="33">
        <v>2</v>
      </c>
      <c r="AY348" s="33"/>
      <c r="AZ348" s="33">
        <v>7</v>
      </c>
      <c r="BB348" s="73" t="s">
        <v>244</v>
      </c>
      <c r="BC348" s="73" t="s">
        <v>345</v>
      </c>
      <c r="BD348" s="75">
        <v>2569.9899999999998</v>
      </c>
      <c r="BE348" s="75"/>
      <c r="BF348" s="75">
        <v>4087.69</v>
      </c>
    </row>
    <row r="349" spans="2:58" x14ac:dyDescent="0.2">
      <c r="B349" s="56">
        <v>98367</v>
      </c>
      <c r="C349" s="62" t="s">
        <v>345</v>
      </c>
      <c r="D349" s="46">
        <v>133</v>
      </c>
      <c r="E349" s="46">
        <v>141</v>
      </c>
      <c r="F349" s="46">
        <v>180</v>
      </c>
      <c r="H349" s="73">
        <v>98366</v>
      </c>
      <c r="I349" s="73" t="s">
        <v>10</v>
      </c>
      <c r="J349" s="75">
        <v>158296.1</v>
      </c>
      <c r="K349" s="75">
        <v>159525.53</v>
      </c>
      <c r="L349" s="75">
        <v>810738.85</v>
      </c>
      <c r="M349" s="75">
        <v>1341838.21</v>
      </c>
      <c r="N349" s="75">
        <v>133665.82999999999</v>
      </c>
      <c r="O349" s="75">
        <v>121050.37</v>
      </c>
      <c r="P349" s="75">
        <v>834710.39999999898</v>
      </c>
      <c r="Q349" s="75">
        <v>1292776.93</v>
      </c>
      <c r="R349" s="75">
        <v>132392.92000000001</v>
      </c>
      <c r="S349" s="75">
        <v>107935.86</v>
      </c>
      <c r="T349" s="75">
        <v>843193.33999999904</v>
      </c>
      <c r="U349" s="75">
        <v>1313726.69</v>
      </c>
      <c r="AV349" s="73" t="s">
        <v>244</v>
      </c>
      <c r="AW349" s="73" t="s">
        <v>10</v>
      </c>
      <c r="AX349" s="33">
        <v>52</v>
      </c>
      <c r="AY349" s="33">
        <v>60</v>
      </c>
      <c r="AZ349" s="33">
        <v>58</v>
      </c>
      <c r="BB349" s="73" t="s">
        <v>244</v>
      </c>
      <c r="BC349" s="73" t="s">
        <v>10</v>
      </c>
      <c r="BD349" s="75">
        <v>28283.919999999998</v>
      </c>
      <c r="BE349" s="75">
        <v>27634.5</v>
      </c>
      <c r="BF349" s="75">
        <v>33472.370000000003</v>
      </c>
    </row>
    <row r="350" spans="2:58" x14ac:dyDescent="0.2">
      <c r="B350" s="81">
        <v>98367</v>
      </c>
      <c r="C350" s="62" t="s">
        <v>10</v>
      </c>
      <c r="D350" s="46">
        <v>1560</v>
      </c>
      <c r="E350" s="46">
        <v>1607</v>
      </c>
      <c r="F350" s="46">
        <v>1712</v>
      </c>
      <c r="H350" s="73">
        <v>98367</v>
      </c>
      <c r="I350" s="73" t="s">
        <v>345</v>
      </c>
      <c r="J350" s="75">
        <v>6333.78</v>
      </c>
      <c r="K350" s="75">
        <v>4350.1099999999997</v>
      </c>
      <c r="L350" s="75">
        <v>13209.02</v>
      </c>
      <c r="M350" s="75">
        <v>34353.919999999998</v>
      </c>
      <c r="N350" s="75">
        <v>3992.25</v>
      </c>
      <c r="O350" s="75">
        <v>3309.72</v>
      </c>
      <c r="P350" s="75">
        <v>13483.2699999999</v>
      </c>
      <c r="Q350" s="75">
        <v>30282.32</v>
      </c>
      <c r="R350" s="75">
        <v>2837.33</v>
      </c>
      <c r="S350" s="75">
        <v>1450.05</v>
      </c>
      <c r="T350" s="75">
        <v>14491.9399999999</v>
      </c>
      <c r="U350" s="75">
        <v>64936.819999999898</v>
      </c>
      <c r="AV350" s="73" t="s">
        <v>246</v>
      </c>
      <c r="AW350" s="73" t="s">
        <v>345</v>
      </c>
      <c r="AX350" s="33"/>
      <c r="AY350" s="33"/>
      <c r="AZ350" s="33">
        <v>1</v>
      </c>
      <c r="BB350" s="73" t="s">
        <v>246</v>
      </c>
      <c r="BC350" s="73" t="s">
        <v>345</v>
      </c>
      <c r="BD350" s="75"/>
      <c r="BE350" s="75"/>
      <c r="BF350" s="75">
        <v>1443.14</v>
      </c>
    </row>
    <row r="351" spans="2:58" x14ac:dyDescent="0.2">
      <c r="B351" s="56">
        <v>98370</v>
      </c>
      <c r="C351" s="62" t="s">
        <v>345</v>
      </c>
      <c r="D351" s="46">
        <v>316</v>
      </c>
      <c r="E351" s="46">
        <v>265</v>
      </c>
      <c r="F351" s="46">
        <v>298</v>
      </c>
      <c r="H351" s="73">
        <v>98367</v>
      </c>
      <c r="I351" s="73" t="s">
        <v>10</v>
      </c>
      <c r="J351" s="75">
        <v>125973.17</v>
      </c>
      <c r="K351" s="75">
        <v>118288.65</v>
      </c>
      <c r="L351" s="75">
        <v>633732.97</v>
      </c>
      <c r="M351" s="75">
        <v>1069035.9099999899</v>
      </c>
      <c r="N351" s="75">
        <v>110400.14</v>
      </c>
      <c r="O351" s="75">
        <v>98954.89</v>
      </c>
      <c r="P351" s="75">
        <v>661964.62</v>
      </c>
      <c r="Q351" s="75">
        <v>1030091.90999999</v>
      </c>
      <c r="R351" s="75">
        <v>83787.62</v>
      </c>
      <c r="S351" s="75">
        <v>79683.66</v>
      </c>
      <c r="T351" s="75">
        <v>666397.19999999995</v>
      </c>
      <c r="U351" s="75">
        <v>1011654.57</v>
      </c>
      <c r="AV351" s="73" t="s">
        <v>246</v>
      </c>
      <c r="AW351" s="73" t="s">
        <v>10</v>
      </c>
      <c r="AX351" s="33">
        <v>24</v>
      </c>
      <c r="AY351" s="33">
        <v>28</v>
      </c>
      <c r="AZ351" s="33">
        <v>31</v>
      </c>
      <c r="BB351" s="73" t="s">
        <v>246</v>
      </c>
      <c r="BC351" s="73" t="s">
        <v>10</v>
      </c>
      <c r="BD351" s="75">
        <v>10712.37</v>
      </c>
      <c r="BE351" s="75">
        <v>8002.45</v>
      </c>
      <c r="BF351" s="75">
        <v>18123.89</v>
      </c>
    </row>
    <row r="352" spans="2:58" x14ac:dyDescent="0.2">
      <c r="B352" s="81">
        <v>98370</v>
      </c>
      <c r="C352" s="62" t="s">
        <v>10</v>
      </c>
      <c r="D352" s="46">
        <v>1807</v>
      </c>
      <c r="E352" s="46">
        <v>1777</v>
      </c>
      <c r="F352" s="46">
        <v>1871</v>
      </c>
      <c r="H352" s="73">
        <v>98370</v>
      </c>
      <c r="I352" s="73" t="s">
        <v>345</v>
      </c>
      <c r="J352" s="75">
        <v>16263.15</v>
      </c>
      <c r="K352" s="75">
        <v>11135.94</v>
      </c>
      <c r="L352" s="75">
        <v>150516.739999999</v>
      </c>
      <c r="M352" s="75">
        <v>290399.52999999898</v>
      </c>
      <c r="N352" s="75">
        <v>11102.18</v>
      </c>
      <c r="O352" s="75">
        <v>6393.97</v>
      </c>
      <c r="P352" s="75">
        <v>155838.53999999899</v>
      </c>
      <c r="Q352" s="75">
        <v>210050.019999999</v>
      </c>
      <c r="R352" s="75">
        <v>12701.26</v>
      </c>
      <c r="S352" s="75">
        <v>7641.33</v>
      </c>
      <c r="T352" s="75">
        <v>156341.00999999899</v>
      </c>
      <c r="U352" s="75">
        <v>269875.27999999898</v>
      </c>
      <c r="AV352" s="73" t="s">
        <v>247</v>
      </c>
      <c r="AW352" s="73" t="s">
        <v>345</v>
      </c>
      <c r="AX352" s="33">
        <v>5</v>
      </c>
      <c r="AY352" s="33">
        <v>3</v>
      </c>
      <c r="AZ352" s="33">
        <v>5</v>
      </c>
      <c r="BB352" s="73" t="s">
        <v>247</v>
      </c>
      <c r="BC352" s="73" t="s">
        <v>345</v>
      </c>
      <c r="BD352" s="75">
        <v>697.64</v>
      </c>
      <c r="BE352" s="75">
        <v>9825.89</v>
      </c>
      <c r="BF352" s="75">
        <v>305.23</v>
      </c>
    </row>
    <row r="353" spans="2:58" x14ac:dyDescent="0.2">
      <c r="B353" s="56">
        <v>98371</v>
      </c>
      <c r="C353" s="62" t="s">
        <v>345</v>
      </c>
      <c r="D353" s="46">
        <v>155</v>
      </c>
      <c r="E353" s="46">
        <v>145</v>
      </c>
      <c r="F353" s="46">
        <v>147</v>
      </c>
      <c r="H353" s="73">
        <v>98370</v>
      </c>
      <c r="I353" s="73" t="s">
        <v>10</v>
      </c>
      <c r="J353" s="75">
        <v>129070.64</v>
      </c>
      <c r="K353" s="75">
        <v>101313.65</v>
      </c>
      <c r="L353" s="75">
        <v>523671.97999999899</v>
      </c>
      <c r="M353" s="75">
        <v>931677.89</v>
      </c>
      <c r="N353" s="75">
        <v>90351.52</v>
      </c>
      <c r="O353" s="75">
        <v>102608.98</v>
      </c>
      <c r="P353" s="75">
        <v>551327.33999999904</v>
      </c>
      <c r="Q353" s="75">
        <v>911763.19999999902</v>
      </c>
      <c r="R353" s="75">
        <v>88097.22</v>
      </c>
      <c r="S353" s="75">
        <v>65033.29</v>
      </c>
      <c r="T353" s="75">
        <v>582726.50999999896</v>
      </c>
      <c r="U353" s="75">
        <v>908177.40999999898</v>
      </c>
      <c r="AV353" s="73" t="s">
        <v>247</v>
      </c>
      <c r="AW353" s="73" t="s">
        <v>10</v>
      </c>
      <c r="AX353" s="33">
        <v>25</v>
      </c>
      <c r="AY353" s="33">
        <v>35</v>
      </c>
      <c r="AZ353" s="33">
        <v>50</v>
      </c>
      <c r="BB353" s="73" t="s">
        <v>247</v>
      </c>
      <c r="BC353" s="73" t="s">
        <v>10</v>
      </c>
      <c r="BD353" s="75">
        <v>9252.44</v>
      </c>
      <c r="BE353" s="75">
        <v>26569.84</v>
      </c>
      <c r="BF353" s="75">
        <v>33881.910000000003</v>
      </c>
    </row>
    <row r="354" spans="2:58" x14ac:dyDescent="0.2">
      <c r="B354" s="81">
        <v>98371</v>
      </c>
      <c r="C354" s="62" t="s">
        <v>10</v>
      </c>
      <c r="D354" s="46">
        <v>1538</v>
      </c>
      <c r="E354" s="46">
        <v>1509</v>
      </c>
      <c r="F354" s="46">
        <v>1534</v>
      </c>
      <c r="H354" s="73">
        <v>98371</v>
      </c>
      <c r="I354" s="73" t="s">
        <v>345</v>
      </c>
      <c r="J354" s="75">
        <v>24631.25</v>
      </c>
      <c r="K354" s="75">
        <v>7660.9</v>
      </c>
      <c r="L354" s="75">
        <v>44102.74</v>
      </c>
      <c r="M354" s="75">
        <v>159965.44</v>
      </c>
      <c r="N354" s="75">
        <v>28289.439999999999</v>
      </c>
      <c r="O354" s="75">
        <v>9657.61</v>
      </c>
      <c r="P354" s="75">
        <v>48937.22</v>
      </c>
      <c r="Q354" s="75">
        <v>231413.65</v>
      </c>
      <c r="R354" s="75">
        <v>24838.59</v>
      </c>
      <c r="S354" s="75">
        <v>12162.88</v>
      </c>
      <c r="T354" s="75">
        <v>53491.839999999997</v>
      </c>
      <c r="U354" s="75">
        <v>150044.85</v>
      </c>
      <c r="AV354" s="73" t="s">
        <v>248</v>
      </c>
      <c r="AW354" s="73" t="s">
        <v>345</v>
      </c>
      <c r="AX354" s="33"/>
      <c r="AY354" s="33"/>
      <c r="AZ354" s="33">
        <v>4</v>
      </c>
      <c r="BB354" s="73" t="s">
        <v>248</v>
      </c>
      <c r="BC354" s="73" t="s">
        <v>345</v>
      </c>
      <c r="BD354" s="75"/>
      <c r="BE354" s="75"/>
      <c r="BF354" s="75">
        <v>4315.09</v>
      </c>
    </row>
    <row r="355" spans="2:58" x14ac:dyDescent="0.2">
      <c r="B355" s="56">
        <v>98372</v>
      </c>
      <c r="C355" s="62" t="s">
        <v>345</v>
      </c>
      <c r="D355" s="46">
        <v>127</v>
      </c>
      <c r="E355" s="46">
        <v>139</v>
      </c>
      <c r="F355" s="46">
        <v>124</v>
      </c>
      <c r="H355" s="73">
        <v>98371</v>
      </c>
      <c r="I355" s="73" t="s">
        <v>10</v>
      </c>
      <c r="J355" s="75">
        <v>103979.02</v>
      </c>
      <c r="K355" s="75">
        <v>99758.75</v>
      </c>
      <c r="L355" s="75">
        <v>498444.05999999901</v>
      </c>
      <c r="M355" s="75">
        <v>839053.05999999901</v>
      </c>
      <c r="N355" s="75">
        <v>80255.27</v>
      </c>
      <c r="O355" s="75">
        <v>78328.95</v>
      </c>
      <c r="P355" s="75">
        <v>520456.88</v>
      </c>
      <c r="Q355" s="75">
        <v>803991.99999999895</v>
      </c>
      <c r="R355" s="75">
        <v>77513.22</v>
      </c>
      <c r="S355" s="75">
        <v>59241.16</v>
      </c>
      <c r="T355" s="75">
        <v>516320.679999999</v>
      </c>
      <c r="U355" s="75">
        <v>805437.40999999898</v>
      </c>
      <c r="AV355" s="73" t="s">
        <v>248</v>
      </c>
      <c r="AW355" s="73" t="s">
        <v>10</v>
      </c>
      <c r="AX355" s="33">
        <v>33</v>
      </c>
      <c r="AY355" s="33">
        <v>28</v>
      </c>
      <c r="AZ355" s="33">
        <v>45</v>
      </c>
      <c r="BB355" s="73" t="s">
        <v>248</v>
      </c>
      <c r="BC355" s="73" t="s">
        <v>10</v>
      </c>
      <c r="BD355" s="75">
        <v>18067.23</v>
      </c>
      <c r="BE355" s="75">
        <v>16367.64</v>
      </c>
      <c r="BF355" s="75">
        <v>29331.75</v>
      </c>
    </row>
    <row r="356" spans="2:58" x14ac:dyDescent="0.2">
      <c r="B356" s="81">
        <v>98372</v>
      </c>
      <c r="C356" s="62" t="s">
        <v>10</v>
      </c>
      <c r="D356" s="46">
        <v>1997</v>
      </c>
      <c r="E356" s="46">
        <v>1974</v>
      </c>
      <c r="F356" s="46">
        <v>2014</v>
      </c>
      <c r="H356" s="73">
        <v>98372</v>
      </c>
      <c r="I356" s="73" t="s">
        <v>345</v>
      </c>
      <c r="J356" s="75">
        <v>18865.740000000002</v>
      </c>
      <c r="K356" s="75">
        <v>5580.43</v>
      </c>
      <c r="L356" s="75">
        <v>27161.83</v>
      </c>
      <c r="M356" s="75">
        <v>103984.039999999</v>
      </c>
      <c r="N356" s="75">
        <v>18240.490000000002</v>
      </c>
      <c r="O356" s="75">
        <v>5383.48</v>
      </c>
      <c r="P356" s="75">
        <v>20207.629999999899</v>
      </c>
      <c r="Q356" s="75">
        <v>105117.42</v>
      </c>
      <c r="R356" s="75">
        <v>25051.96</v>
      </c>
      <c r="S356" s="75">
        <v>7252.51</v>
      </c>
      <c r="T356" s="75">
        <v>20451.099999999999</v>
      </c>
      <c r="U356" s="75">
        <v>122566.45</v>
      </c>
      <c r="AV356" s="73" t="s">
        <v>249</v>
      </c>
      <c r="AW356" s="73" t="s">
        <v>345</v>
      </c>
      <c r="AX356" s="33">
        <v>5</v>
      </c>
      <c r="AY356" s="33">
        <v>5</v>
      </c>
      <c r="AZ356" s="33">
        <v>5</v>
      </c>
      <c r="BB356" s="73" t="s">
        <v>249</v>
      </c>
      <c r="BC356" s="73" t="s">
        <v>345</v>
      </c>
      <c r="BD356" s="75">
        <v>750.89</v>
      </c>
      <c r="BE356" s="75">
        <v>407.97</v>
      </c>
      <c r="BF356" s="75">
        <v>1149.8799999999999</v>
      </c>
    </row>
    <row r="357" spans="2:58" x14ac:dyDescent="0.2">
      <c r="B357" s="56">
        <v>98373</v>
      </c>
      <c r="C357" s="62" t="s">
        <v>345</v>
      </c>
      <c r="D357" s="46">
        <v>127</v>
      </c>
      <c r="E357" s="46">
        <v>107</v>
      </c>
      <c r="F357" s="46">
        <v>112</v>
      </c>
      <c r="H357" s="73">
        <v>98372</v>
      </c>
      <c r="I357" s="73" t="s">
        <v>10</v>
      </c>
      <c r="J357" s="75">
        <v>137938.06</v>
      </c>
      <c r="K357" s="75">
        <v>123314.9</v>
      </c>
      <c r="L357" s="75">
        <v>662291.52999999898</v>
      </c>
      <c r="M357" s="75">
        <v>1102850.08</v>
      </c>
      <c r="N357" s="75">
        <v>116341.92</v>
      </c>
      <c r="O357" s="75">
        <v>107205.32</v>
      </c>
      <c r="P357" s="75">
        <v>691672.94</v>
      </c>
      <c r="Q357" s="75">
        <v>1082692.5999999901</v>
      </c>
      <c r="R357" s="75">
        <v>108807.91</v>
      </c>
      <c r="S357" s="75">
        <v>89873.54</v>
      </c>
      <c r="T357" s="75">
        <v>723169.85</v>
      </c>
      <c r="U357" s="75">
        <v>1118778.06</v>
      </c>
      <c r="AV357" s="73" t="s">
        <v>249</v>
      </c>
      <c r="AW357" s="73" t="s">
        <v>10</v>
      </c>
      <c r="AX357" s="33">
        <v>30</v>
      </c>
      <c r="AY357" s="33">
        <v>40</v>
      </c>
      <c r="AZ357" s="33">
        <v>39</v>
      </c>
      <c r="BB357" s="73" t="s">
        <v>249</v>
      </c>
      <c r="BC357" s="73" t="s">
        <v>10</v>
      </c>
      <c r="BD357" s="75">
        <v>8957.23</v>
      </c>
      <c r="BE357" s="75">
        <v>23426.63</v>
      </c>
      <c r="BF357" s="75">
        <v>34319.199999999997</v>
      </c>
    </row>
    <row r="358" spans="2:58" x14ac:dyDescent="0.2">
      <c r="B358" s="81">
        <v>98373</v>
      </c>
      <c r="C358" s="62" t="s">
        <v>10</v>
      </c>
      <c r="D358" s="46">
        <v>1831</v>
      </c>
      <c r="E358" s="46">
        <v>1800</v>
      </c>
      <c r="F358" s="46">
        <v>1881</v>
      </c>
      <c r="H358" s="73">
        <v>98373</v>
      </c>
      <c r="I358" s="73" t="s">
        <v>345</v>
      </c>
      <c r="J358" s="75">
        <v>15820.25</v>
      </c>
      <c r="K358" s="75">
        <v>5695.9</v>
      </c>
      <c r="L358" s="75">
        <v>114881.269999999</v>
      </c>
      <c r="M358" s="75">
        <v>203944.37</v>
      </c>
      <c r="N358" s="75">
        <v>33353.730000000003</v>
      </c>
      <c r="O358" s="75">
        <v>3123.54</v>
      </c>
      <c r="P358" s="75">
        <v>113465.319999999</v>
      </c>
      <c r="Q358" s="75">
        <v>201959.55</v>
      </c>
      <c r="R358" s="75">
        <v>33441.379999999997</v>
      </c>
      <c r="S358" s="75">
        <v>14047.43</v>
      </c>
      <c r="T358" s="75">
        <v>108094.30999999899</v>
      </c>
      <c r="U358" s="75">
        <v>203488.21</v>
      </c>
      <c r="AV358" s="73" t="s">
        <v>250</v>
      </c>
      <c r="AW358" s="73" t="s">
        <v>345</v>
      </c>
      <c r="AX358" s="33"/>
      <c r="AY358" s="33"/>
      <c r="AZ358" s="33">
        <v>1</v>
      </c>
      <c r="BB358" s="73" t="s">
        <v>250</v>
      </c>
      <c r="BC358" s="73" t="s">
        <v>345</v>
      </c>
      <c r="BD358" s="75"/>
      <c r="BE358" s="75"/>
      <c r="BF358" s="75">
        <v>2613</v>
      </c>
    </row>
    <row r="359" spans="2:58" x14ac:dyDescent="0.2">
      <c r="B359" s="56">
        <v>98374</v>
      </c>
      <c r="C359" s="62" t="s">
        <v>345</v>
      </c>
      <c r="D359" s="46">
        <v>106</v>
      </c>
      <c r="E359" s="46">
        <v>101</v>
      </c>
      <c r="F359" s="46">
        <v>120</v>
      </c>
      <c r="H359" s="73">
        <v>98373</v>
      </c>
      <c r="I359" s="73" t="s">
        <v>10</v>
      </c>
      <c r="J359" s="75">
        <v>124606.97</v>
      </c>
      <c r="K359" s="75">
        <v>111128.43</v>
      </c>
      <c r="L359" s="75">
        <v>596693.63</v>
      </c>
      <c r="M359" s="75">
        <v>982222.77999999898</v>
      </c>
      <c r="N359" s="75">
        <v>101414.22</v>
      </c>
      <c r="O359" s="75">
        <v>97888.48</v>
      </c>
      <c r="P359" s="75">
        <v>611443.34999999905</v>
      </c>
      <c r="Q359" s="75">
        <v>937703.38</v>
      </c>
      <c r="R359" s="75">
        <v>87033.32</v>
      </c>
      <c r="S359" s="75">
        <v>79867.34</v>
      </c>
      <c r="T359" s="75">
        <v>602254.01</v>
      </c>
      <c r="U359" s="75">
        <v>925627.65999999898</v>
      </c>
      <c r="AV359" s="73" t="s">
        <v>250</v>
      </c>
      <c r="AW359" s="73" t="s">
        <v>10</v>
      </c>
      <c r="AX359" s="33">
        <v>1</v>
      </c>
      <c r="AY359" s="33"/>
      <c r="AZ359" s="33"/>
      <c r="BB359" s="73" t="s">
        <v>250</v>
      </c>
      <c r="BC359" s="73" t="s">
        <v>10</v>
      </c>
      <c r="BD359" s="75"/>
      <c r="BE359" s="75"/>
      <c r="BF359" s="75"/>
    </row>
    <row r="360" spans="2:58" x14ac:dyDescent="0.2">
      <c r="B360" s="81">
        <v>98374</v>
      </c>
      <c r="C360" s="62" t="s">
        <v>10</v>
      </c>
      <c r="D360" s="46">
        <v>2435</v>
      </c>
      <c r="E360" s="46">
        <v>2345</v>
      </c>
      <c r="F360" s="46">
        <v>2439</v>
      </c>
      <c r="H360" s="73">
        <v>98374</v>
      </c>
      <c r="I360" s="73" t="s">
        <v>345</v>
      </c>
      <c r="J360" s="75">
        <v>22699.46</v>
      </c>
      <c r="K360" s="75">
        <v>6403.21</v>
      </c>
      <c r="L360" s="75">
        <v>104637.93</v>
      </c>
      <c r="M360" s="75">
        <v>514797.95999999897</v>
      </c>
      <c r="N360" s="75">
        <v>30102.94</v>
      </c>
      <c r="O360" s="75">
        <v>6910.26</v>
      </c>
      <c r="P360" s="75">
        <v>87146.919999999896</v>
      </c>
      <c r="Q360" s="75">
        <v>186281.65</v>
      </c>
      <c r="R360" s="75">
        <v>24549.66</v>
      </c>
      <c r="S360" s="75">
        <v>14511.56</v>
      </c>
      <c r="T360" s="75">
        <v>89713.64</v>
      </c>
      <c r="U360" s="75">
        <v>213417.78</v>
      </c>
      <c r="AV360" s="73" t="s">
        <v>251</v>
      </c>
      <c r="AW360" s="73" t="s">
        <v>345</v>
      </c>
      <c r="AX360" s="33">
        <v>1</v>
      </c>
      <c r="AY360" s="33">
        <v>2</v>
      </c>
      <c r="AZ360" s="33">
        <v>1</v>
      </c>
      <c r="BB360" s="73" t="s">
        <v>251</v>
      </c>
      <c r="BC360" s="73" t="s">
        <v>345</v>
      </c>
      <c r="BD360" s="75">
        <v>100.79</v>
      </c>
      <c r="BE360" s="75">
        <v>408.37</v>
      </c>
      <c r="BF360" s="75"/>
    </row>
    <row r="361" spans="2:58" x14ac:dyDescent="0.2">
      <c r="B361" s="56">
        <v>98375</v>
      </c>
      <c r="C361" s="62" t="s">
        <v>345</v>
      </c>
      <c r="D361" s="46">
        <v>38</v>
      </c>
      <c r="E361" s="46">
        <v>41</v>
      </c>
      <c r="F361" s="46">
        <v>53</v>
      </c>
      <c r="H361" s="73">
        <v>98374</v>
      </c>
      <c r="I361" s="73" t="s">
        <v>10</v>
      </c>
      <c r="J361" s="75">
        <v>201827.73</v>
      </c>
      <c r="K361" s="75">
        <v>190407.69</v>
      </c>
      <c r="L361" s="75">
        <v>962301.61</v>
      </c>
      <c r="M361" s="75">
        <v>1639102.50999999</v>
      </c>
      <c r="N361" s="75">
        <v>182942.54</v>
      </c>
      <c r="O361" s="75">
        <v>158083.68</v>
      </c>
      <c r="P361" s="75">
        <v>1003166.42</v>
      </c>
      <c r="Q361" s="75">
        <v>1581999.0999999901</v>
      </c>
      <c r="R361" s="75">
        <v>157132.19</v>
      </c>
      <c r="S361" s="75">
        <v>143800.74</v>
      </c>
      <c r="T361" s="75">
        <v>1024859.97</v>
      </c>
      <c r="U361" s="75">
        <v>1590306.74999999</v>
      </c>
      <c r="AV361" s="73" t="s">
        <v>251</v>
      </c>
      <c r="AW361" s="73" t="s">
        <v>10</v>
      </c>
      <c r="AX361" s="33">
        <v>9</v>
      </c>
      <c r="AY361" s="33">
        <v>4</v>
      </c>
      <c r="AZ361" s="33">
        <v>13</v>
      </c>
      <c r="BB361" s="73" t="s">
        <v>251</v>
      </c>
      <c r="BC361" s="73" t="s">
        <v>10</v>
      </c>
      <c r="BD361" s="75">
        <v>1793.9</v>
      </c>
      <c r="BE361" s="75">
        <v>2051.14</v>
      </c>
      <c r="BF361" s="75">
        <v>3483.1</v>
      </c>
    </row>
    <row r="362" spans="2:58" x14ac:dyDescent="0.2">
      <c r="B362" s="81">
        <v>98375</v>
      </c>
      <c r="C362" s="62" t="s">
        <v>10</v>
      </c>
      <c r="D362" s="46">
        <v>1473</v>
      </c>
      <c r="E362" s="46">
        <v>1424</v>
      </c>
      <c r="F362" s="46">
        <v>1428</v>
      </c>
      <c r="H362" s="73">
        <v>98375</v>
      </c>
      <c r="I362" s="73" t="s">
        <v>345</v>
      </c>
      <c r="J362" s="75">
        <v>40590.620000000003</v>
      </c>
      <c r="K362" s="75">
        <v>382.4</v>
      </c>
      <c r="L362" s="75">
        <v>8697.5</v>
      </c>
      <c r="M362" s="75">
        <v>148346.33999999901</v>
      </c>
      <c r="N362" s="75">
        <v>55913.77</v>
      </c>
      <c r="O362" s="75">
        <v>24384.54</v>
      </c>
      <c r="P362" s="75">
        <v>8810.66</v>
      </c>
      <c r="Q362" s="75">
        <v>164148.97</v>
      </c>
      <c r="R362" s="75">
        <v>61059.59</v>
      </c>
      <c r="S362" s="75">
        <v>22063.47</v>
      </c>
      <c r="T362" s="75">
        <v>9165.8799999999992</v>
      </c>
      <c r="U362" s="75">
        <v>178208.71</v>
      </c>
      <c r="AV362" s="73" t="s">
        <v>342</v>
      </c>
      <c r="AW362" s="73" t="s">
        <v>345</v>
      </c>
      <c r="AX362" s="33"/>
      <c r="AY362" s="33">
        <v>1</v>
      </c>
      <c r="AZ362" s="33"/>
      <c r="BB362" s="73" t="s">
        <v>342</v>
      </c>
      <c r="BC362" s="73" t="s">
        <v>345</v>
      </c>
      <c r="BD362" s="75"/>
      <c r="BE362" s="75">
        <v>45.38</v>
      </c>
      <c r="BF362" s="75"/>
    </row>
    <row r="363" spans="2:58" x14ac:dyDescent="0.2">
      <c r="B363" s="56">
        <v>98380</v>
      </c>
      <c r="C363" s="62" t="s">
        <v>345</v>
      </c>
      <c r="D363" s="46">
        <v>28</v>
      </c>
      <c r="E363" s="46">
        <v>26</v>
      </c>
      <c r="F363" s="46">
        <v>35</v>
      </c>
      <c r="H363" s="73">
        <v>98375</v>
      </c>
      <c r="I363" s="73" t="s">
        <v>10</v>
      </c>
      <c r="J363" s="75">
        <v>117282.98</v>
      </c>
      <c r="K363" s="75">
        <v>105702.97</v>
      </c>
      <c r="L363" s="75">
        <v>519300.09999999899</v>
      </c>
      <c r="M363" s="75">
        <v>880833.22</v>
      </c>
      <c r="N363" s="75">
        <v>96322.19</v>
      </c>
      <c r="O363" s="75">
        <v>93672.22</v>
      </c>
      <c r="P363" s="75">
        <v>551266.46999999904</v>
      </c>
      <c r="Q363" s="75">
        <v>864377.96</v>
      </c>
      <c r="R363" s="75">
        <v>83766.720000000001</v>
      </c>
      <c r="S363" s="75">
        <v>74321.210000000006</v>
      </c>
      <c r="T363" s="75">
        <v>552553.60999999905</v>
      </c>
      <c r="U363" s="75">
        <v>845016.4</v>
      </c>
      <c r="AV363" s="73" t="s">
        <v>342</v>
      </c>
      <c r="AW363" s="73" t="s">
        <v>10</v>
      </c>
      <c r="AX363" s="33">
        <v>3</v>
      </c>
      <c r="AY363" s="33">
        <v>1</v>
      </c>
      <c r="AZ363" s="33"/>
      <c r="BB363" s="73" t="s">
        <v>342</v>
      </c>
      <c r="BC363" s="73" t="s">
        <v>10</v>
      </c>
      <c r="BD363" s="75">
        <v>1821.6</v>
      </c>
      <c r="BE363" s="75">
        <v>34.64</v>
      </c>
      <c r="BF363" s="75"/>
    </row>
    <row r="364" spans="2:58" x14ac:dyDescent="0.2">
      <c r="B364" s="81">
        <v>98380</v>
      </c>
      <c r="C364" s="62" t="s">
        <v>10</v>
      </c>
      <c r="D364" s="46">
        <v>277</v>
      </c>
      <c r="E364" s="46">
        <v>250</v>
      </c>
      <c r="F364" s="46">
        <v>287</v>
      </c>
      <c r="H364" s="73">
        <v>98380</v>
      </c>
      <c r="I364" s="73" t="s">
        <v>345</v>
      </c>
      <c r="J364" s="75">
        <v>220.09</v>
      </c>
      <c r="K364" s="75">
        <v>1400.62</v>
      </c>
      <c r="L364" s="75">
        <v>1355.07</v>
      </c>
      <c r="M364" s="75">
        <v>4753.67</v>
      </c>
      <c r="N364" s="75">
        <v>1160.45</v>
      </c>
      <c r="O364" s="75">
        <v>205.09</v>
      </c>
      <c r="P364" s="75">
        <v>2620.7600000000002</v>
      </c>
      <c r="Q364" s="75">
        <v>4965.22</v>
      </c>
      <c r="R364" s="75">
        <v>513.34</v>
      </c>
      <c r="S364" s="75">
        <v>957.83</v>
      </c>
      <c r="T364" s="75">
        <v>1833.8</v>
      </c>
      <c r="U364" s="75">
        <v>7488.34</v>
      </c>
      <c r="AV364" s="73" t="s">
        <v>252</v>
      </c>
      <c r="AW364" s="73" t="s">
        <v>10</v>
      </c>
      <c r="AX364" s="33"/>
      <c r="AY364" s="33">
        <v>2</v>
      </c>
      <c r="AZ364" s="33"/>
      <c r="BB364" s="73" t="s">
        <v>252</v>
      </c>
      <c r="BC364" s="73" t="s">
        <v>10</v>
      </c>
      <c r="BD364" s="75"/>
      <c r="BE364" s="75">
        <v>1151.57</v>
      </c>
      <c r="BF364" s="75"/>
    </row>
    <row r="365" spans="2:58" x14ac:dyDescent="0.2">
      <c r="B365" s="56">
        <v>98383</v>
      </c>
      <c r="C365" s="62" t="s">
        <v>345</v>
      </c>
      <c r="D365" s="46">
        <v>153</v>
      </c>
      <c r="E365" s="46">
        <v>130</v>
      </c>
      <c r="F365" s="46">
        <v>150</v>
      </c>
      <c r="H365" s="73">
        <v>98380</v>
      </c>
      <c r="I365" s="73" t="s">
        <v>10</v>
      </c>
      <c r="J365" s="75">
        <v>18496.64</v>
      </c>
      <c r="K365" s="75">
        <v>43397.63</v>
      </c>
      <c r="L365" s="75">
        <v>150989.76000000001</v>
      </c>
      <c r="M365" s="75">
        <v>264062.06999999902</v>
      </c>
      <c r="N365" s="75">
        <v>33317.53</v>
      </c>
      <c r="O365" s="75">
        <v>14732.94</v>
      </c>
      <c r="P365" s="75">
        <v>165464.42000000001</v>
      </c>
      <c r="Q365" s="75">
        <v>238575.99</v>
      </c>
      <c r="R365" s="75">
        <v>16660.71</v>
      </c>
      <c r="S365" s="75">
        <v>24476.89</v>
      </c>
      <c r="T365" s="75">
        <v>157507.00999999899</v>
      </c>
      <c r="U365" s="75">
        <v>240436.3</v>
      </c>
      <c r="AV365" s="73" t="s">
        <v>254</v>
      </c>
      <c r="AW365" s="73" t="s">
        <v>10</v>
      </c>
      <c r="AX365" s="33">
        <v>5</v>
      </c>
      <c r="AY365" s="33">
        <v>4</v>
      </c>
      <c r="AZ365" s="33">
        <v>2</v>
      </c>
      <c r="BB365" s="73" t="s">
        <v>254</v>
      </c>
      <c r="BC365" s="73" t="s">
        <v>10</v>
      </c>
      <c r="BD365" s="75">
        <v>3648.27</v>
      </c>
      <c r="BE365" s="75">
        <v>1647.91</v>
      </c>
      <c r="BF365" s="75">
        <v>337.19</v>
      </c>
    </row>
    <row r="366" spans="2:58" x14ac:dyDescent="0.2">
      <c r="B366" s="81">
        <v>98383</v>
      </c>
      <c r="C366" s="62" t="s">
        <v>10</v>
      </c>
      <c r="D366" s="46">
        <v>1320</v>
      </c>
      <c r="E366" s="46">
        <v>1298</v>
      </c>
      <c r="F366" s="46">
        <v>1329</v>
      </c>
      <c r="H366" s="73">
        <v>98383</v>
      </c>
      <c r="I366" s="73" t="s">
        <v>345</v>
      </c>
      <c r="J366" s="75">
        <v>5599.86</v>
      </c>
      <c r="K366" s="75">
        <v>4629.87</v>
      </c>
      <c r="L366" s="75">
        <v>28591.549999999901</v>
      </c>
      <c r="M366" s="75">
        <v>114118.53</v>
      </c>
      <c r="N366" s="75">
        <v>4581.26</v>
      </c>
      <c r="O366" s="75">
        <v>2692.2</v>
      </c>
      <c r="P366" s="75">
        <v>24859.389999999901</v>
      </c>
      <c r="Q366" s="75">
        <v>82782.149999999994</v>
      </c>
      <c r="R366" s="75">
        <v>6054.81</v>
      </c>
      <c r="S366" s="75">
        <v>3266.39</v>
      </c>
      <c r="T366" s="75">
        <v>24651.9899999999</v>
      </c>
      <c r="U366" s="75">
        <v>170236.81</v>
      </c>
      <c r="AV366" s="73" t="s">
        <v>255</v>
      </c>
      <c r="AW366" s="73" t="s">
        <v>345</v>
      </c>
      <c r="AX366" s="33">
        <v>1</v>
      </c>
      <c r="AY366" s="33"/>
      <c r="AZ366" s="33"/>
      <c r="BB366" s="73" t="s">
        <v>255</v>
      </c>
      <c r="BC366" s="73" t="s">
        <v>345</v>
      </c>
      <c r="BD366" s="75">
        <v>24.6</v>
      </c>
      <c r="BE366" s="75"/>
      <c r="BF366" s="75"/>
    </row>
    <row r="367" spans="2:58" x14ac:dyDescent="0.2">
      <c r="B367" s="56">
        <v>98385</v>
      </c>
      <c r="C367" s="62" t="s">
        <v>345</v>
      </c>
      <c r="D367" s="46">
        <v>5</v>
      </c>
      <c r="E367" s="46">
        <v>3</v>
      </c>
      <c r="F367" s="46">
        <v>2</v>
      </c>
      <c r="H367" s="73">
        <v>98383</v>
      </c>
      <c r="I367" s="73" t="s">
        <v>10</v>
      </c>
      <c r="J367" s="75">
        <v>72557.2</v>
      </c>
      <c r="K367" s="75">
        <v>60561.35</v>
      </c>
      <c r="L367" s="75">
        <v>277021.03999999998</v>
      </c>
      <c r="M367" s="75">
        <v>509958.38</v>
      </c>
      <c r="N367" s="75">
        <v>60033.58</v>
      </c>
      <c r="O367" s="75">
        <v>55515.6</v>
      </c>
      <c r="P367" s="75">
        <v>286450.77</v>
      </c>
      <c r="Q367" s="75">
        <v>500895.37</v>
      </c>
      <c r="R367" s="75">
        <v>58556.08</v>
      </c>
      <c r="S367" s="75">
        <v>46026.18</v>
      </c>
      <c r="T367" s="75">
        <v>296359.87999999902</v>
      </c>
      <c r="U367" s="75">
        <v>506466.27999999898</v>
      </c>
      <c r="AV367" s="73" t="s">
        <v>255</v>
      </c>
      <c r="AW367" s="73" t="s">
        <v>10</v>
      </c>
      <c r="AX367" s="33">
        <v>14</v>
      </c>
      <c r="AY367" s="33">
        <v>8</v>
      </c>
      <c r="AZ367" s="33">
        <v>8</v>
      </c>
      <c r="BB367" s="73" t="s">
        <v>255</v>
      </c>
      <c r="BC367" s="73" t="s">
        <v>10</v>
      </c>
      <c r="BD367" s="75">
        <v>10233.469999999999</v>
      </c>
      <c r="BE367" s="75">
        <v>10826.68</v>
      </c>
      <c r="BF367" s="75">
        <v>2935.07</v>
      </c>
    </row>
    <row r="368" spans="2:58" x14ac:dyDescent="0.2">
      <c r="B368" s="81">
        <v>98385</v>
      </c>
      <c r="C368" s="62" t="s">
        <v>10</v>
      </c>
      <c r="D368" s="46">
        <v>20</v>
      </c>
      <c r="E368" s="46">
        <v>21</v>
      </c>
      <c r="F368" s="46">
        <v>26</v>
      </c>
      <c r="H368" s="73">
        <v>98385</v>
      </c>
      <c r="I368" s="73" t="s">
        <v>345</v>
      </c>
      <c r="J368" s="75">
        <v>432.03</v>
      </c>
      <c r="K368" s="75">
        <v>4298.71</v>
      </c>
      <c r="L368" s="75">
        <v>3887.0499999999902</v>
      </c>
      <c r="M368" s="75">
        <v>9080.16</v>
      </c>
      <c r="N368" s="75">
        <v>225.13</v>
      </c>
      <c r="O368" s="75">
        <v>241.63</v>
      </c>
      <c r="P368" s="75">
        <v>7983.83</v>
      </c>
      <c r="Q368" s="75">
        <v>8698.0299999999897</v>
      </c>
      <c r="R368" s="75">
        <v>236.55</v>
      </c>
      <c r="S368" s="75">
        <v>225.13</v>
      </c>
      <c r="T368" s="75">
        <v>3582.89</v>
      </c>
      <c r="U368" s="75">
        <v>4268.5999999999904</v>
      </c>
      <c r="AV368" s="73" t="s">
        <v>256</v>
      </c>
      <c r="AW368" s="73" t="s">
        <v>10</v>
      </c>
      <c r="AX368" s="33">
        <v>3</v>
      </c>
      <c r="AY368" s="33">
        <v>3</v>
      </c>
      <c r="AZ368" s="33">
        <v>2</v>
      </c>
      <c r="BB368" s="73" t="s">
        <v>256</v>
      </c>
      <c r="BC368" s="73" t="s">
        <v>10</v>
      </c>
      <c r="BD368" s="75">
        <v>1988.87</v>
      </c>
      <c r="BE368" s="75">
        <v>11976.87</v>
      </c>
      <c r="BF368" s="75">
        <v>4646.2700000000004</v>
      </c>
    </row>
    <row r="369" spans="2:58" x14ac:dyDescent="0.2">
      <c r="B369" s="56">
        <v>98387</v>
      </c>
      <c r="C369" s="62" t="s">
        <v>345</v>
      </c>
      <c r="D369" s="46">
        <v>63</v>
      </c>
      <c r="E369" s="46">
        <v>52</v>
      </c>
      <c r="F369" s="46">
        <v>68</v>
      </c>
      <c r="H369" s="73">
        <v>98385</v>
      </c>
      <c r="I369" s="73" t="s">
        <v>10</v>
      </c>
      <c r="J369" s="75">
        <v>2931.24</v>
      </c>
      <c r="K369" s="75">
        <v>2714.56</v>
      </c>
      <c r="L369" s="75">
        <v>13941.96</v>
      </c>
      <c r="M369" s="75">
        <v>22191.98</v>
      </c>
      <c r="N369" s="75">
        <v>1980.19</v>
      </c>
      <c r="O369" s="75">
        <v>2394.41</v>
      </c>
      <c r="P369" s="75">
        <v>15546.95</v>
      </c>
      <c r="Q369" s="75">
        <v>22956.26</v>
      </c>
      <c r="R369" s="75">
        <v>2361.04</v>
      </c>
      <c r="S369" s="75">
        <v>1340.64</v>
      </c>
      <c r="T369" s="75">
        <v>15611.09</v>
      </c>
      <c r="U369" s="75">
        <v>23270.4399999999</v>
      </c>
      <c r="AV369" s="73" t="s">
        <v>257</v>
      </c>
      <c r="AW369" s="73" t="s">
        <v>345</v>
      </c>
      <c r="AX369" s="33">
        <v>1</v>
      </c>
      <c r="AY369" s="33">
        <v>1</v>
      </c>
      <c r="AZ369" s="33">
        <v>2</v>
      </c>
      <c r="BB369" s="73" t="s">
        <v>257</v>
      </c>
      <c r="BC369" s="73" t="s">
        <v>345</v>
      </c>
      <c r="BD369" s="75">
        <v>67.45</v>
      </c>
      <c r="BE369" s="75"/>
      <c r="BF369" s="75">
        <v>5605.97</v>
      </c>
    </row>
    <row r="370" spans="2:58" x14ac:dyDescent="0.2">
      <c r="B370" s="81">
        <v>98387</v>
      </c>
      <c r="C370" s="62" t="s">
        <v>10</v>
      </c>
      <c r="D370" s="46">
        <v>2150</v>
      </c>
      <c r="E370" s="71">
        <v>2087</v>
      </c>
      <c r="F370" s="46">
        <v>2031</v>
      </c>
      <c r="H370" s="73">
        <v>98387</v>
      </c>
      <c r="I370" s="73" t="s">
        <v>345</v>
      </c>
      <c r="J370" s="75">
        <v>2101.5</v>
      </c>
      <c r="K370" s="75">
        <v>2991.4</v>
      </c>
      <c r="L370" s="75">
        <v>24074.240000000002</v>
      </c>
      <c r="M370" s="75">
        <v>36287.69</v>
      </c>
      <c r="N370" s="75">
        <v>1480.76</v>
      </c>
      <c r="O370" s="75">
        <v>1838.87</v>
      </c>
      <c r="P370" s="75">
        <v>25479.519999999899</v>
      </c>
      <c r="Q370" s="75">
        <v>35120.89</v>
      </c>
      <c r="R370" s="75">
        <v>1352.05</v>
      </c>
      <c r="S370" s="75">
        <v>1251.95</v>
      </c>
      <c r="T370" s="75">
        <v>21023.54</v>
      </c>
      <c r="U370" s="75">
        <v>29980.52</v>
      </c>
      <c r="AV370" s="73" t="s">
        <v>257</v>
      </c>
      <c r="AW370" s="73" t="s">
        <v>10</v>
      </c>
      <c r="AX370" s="33">
        <v>3</v>
      </c>
      <c r="AY370" s="33">
        <v>6</v>
      </c>
      <c r="AZ370" s="33">
        <v>10</v>
      </c>
      <c r="BB370" s="73" t="s">
        <v>257</v>
      </c>
      <c r="BC370" s="73" t="s">
        <v>10</v>
      </c>
      <c r="BD370" s="75">
        <v>297.17</v>
      </c>
      <c r="BE370" s="75">
        <v>24474.53</v>
      </c>
      <c r="BF370" s="75">
        <v>4763.67</v>
      </c>
    </row>
    <row r="371" spans="2:58" x14ac:dyDescent="0.2">
      <c r="B371" s="56">
        <v>98388</v>
      </c>
      <c r="C371" s="62" t="s">
        <v>345</v>
      </c>
      <c r="D371" s="46"/>
      <c r="E371" s="46"/>
      <c r="F371" s="46">
        <v>1</v>
      </c>
      <c r="H371" s="73">
        <v>98387</v>
      </c>
      <c r="I371" s="73" t="s">
        <v>10</v>
      </c>
      <c r="J371" s="75">
        <v>95887.72</v>
      </c>
      <c r="K371" s="75">
        <v>94546.97</v>
      </c>
      <c r="L371" s="75">
        <v>432659.58</v>
      </c>
      <c r="M371" s="75">
        <v>740728.16999999899</v>
      </c>
      <c r="N371" s="75">
        <v>61402.37</v>
      </c>
      <c r="O371" s="75">
        <v>71066.990000000005</v>
      </c>
      <c r="P371" s="75">
        <v>459830.679999999</v>
      </c>
      <c r="Q371" s="75">
        <v>703801.56999999902</v>
      </c>
      <c r="R371" s="75">
        <v>61602.32</v>
      </c>
      <c r="S371" s="75">
        <v>46402.02</v>
      </c>
      <c r="T371" s="75">
        <v>454369.06999999902</v>
      </c>
      <c r="U371" s="75">
        <v>664976.39999999898</v>
      </c>
      <c r="AV371" s="73" t="s">
        <v>344</v>
      </c>
      <c r="AW371" s="73" t="s">
        <v>345</v>
      </c>
      <c r="AX371" s="33">
        <v>1</v>
      </c>
      <c r="AY371" s="33"/>
      <c r="AZ371" s="33"/>
      <c r="BB371" s="73" t="s">
        <v>344</v>
      </c>
      <c r="BC371" s="73" t="s">
        <v>345</v>
      </c>
      <c r="BD371" s="75">
        <v>1184.32</v>
      </c>
      <c r="BE371" s="75"/>
      <c r="BF371" s="75"/>
    </row>
    <row r="372" spans="2:58" x14ac:dyDescent="0.2">
      <c r="B372" s="81">
        <v>98388</v>
      </c>
      <c r="C372" s="62" t="s">
        <v>10</v>
      </c>
      <c r="D372" s="46">
        <v>136</v>
      </c>
      <c r="E372" s="46">
        <v>132</v>
      </c>
      <c r="F372" s="46">
        <v>134</v>
      </c>
      <c r="H372" s="73">
        <v>98388</v>
      </c>
      <c r="I372" s="73" t="s">
        <v>345</v>
      </c>
      <c r="J372" s="75"/>
      <c r="K372" s="75"/>
      <c r="L372" s="75"/>
      <c r="M372" s="75"/>
      <c r="N372" s="75"/>
      <c r="O372" s="75"/>
      <c r="P372" s="75"/>
      <c r="Q372" s="75"/>
      <c r="R372" s="75"/>
      <c r="S372" s="75"/>
      <c r="T372" s="75"/>
      <c r="U372" s="75">
        <v>68.5</v>
      </c>
      <c r="AV372" s="73" t="s">
        <v>344</v>
      </c>
      <c r="AW372" s="73" t="s">
        <v>10</v>
      </c>
      <c r="AX372" s="33">
        <v>2</v>
      </c>
      <c r="AY372" s="33"/>
      <c r="AZ372" s="33"/>
      <c r="BB372" s="73" t="s">
        <v>344</v>
      </c>
      <c r="BC372" s="73" t="s">
        <v>10</v>
      </c>
      <c r="BD372" s="75">
        <v>4539</v>
      </c>
      <c r="BE372" s="75"/>
      <c r="BF372" s="75"/>
    </row>
    <row r="373" spans="2:58" x14ac:dyDescent="0.2">
      <c r="B373" s="56">
        <v>98390</v>
      </c>
      <c r="C373" s="62" t="s">
        <v>345</v>
      </c>
      <c r="D373" s="46">
        <v>164</v>
      </c>
      <c r="E373" s="46">
        <v>163</v>
      </c>
      <c r="F373" s="46">
        <v>160</v>
      </c>
      <c r="H373" s="73">
        <v>98388</v>
      </c>
      <c r="I373" s="73" t="s">
        <v>10</v>
      </c>
      <c r="J373" s="75">
        <v>5220.37</v>
      </c>
      <c r="K373" s="75">
        <v>4897.93</v>
      </c>
      <c r="L373" s="75">
        <v>19911.14</v>
      </c>
      <c r="M373" s="75">
        <v>37301.049999999901</v>
      </c>
      <c r="N373" s="75">
        <v>5337.48</v>
      </c>
      <c r="O373" s="75">
        <v>4371.8999999999996</v>
      </c>
      <c r="P373" s="75">
        <v>21868.269999999899</v>
      </c>
      <c r="Q373" s="75">
        <v>36245.29</v>
      </c>
      <c r="R373" s="75">
        <v>2817.66</v>
      </c>
      <c r="S373" s="75">
        <v>4066.9</v>
      </c>
      <c r="T373" s="75">
        <v>21501.8499999999</v>
      </c>
      <c r="U373" s="75">
        <v>32869.919999999998</v>
      </c>
      <c r="AV373" s="73" t="s">
        <v>258</v>
      </c>
      <c r="AW373" s="73" t="s">
        <v>345</v>
      </c>
      <c r="AX373" s="33">
        <v>2</v>
      </c>
      <c r="AY373" s="33">
        <v>8</v>
      </c>
      <c r="AZ373" s="33">
        <v>2</v>
      </c>
      <c r="BB373" s="73" t="s">
        <v>258</v>
      </c>
      <c r="BC373" s="73" t="s">
        <v>345</v>
      </c>
      <c r="BD373" s="75">
        <v>270.91000000000003</v>
      </c>
      <c r="BE373" s="75">
        <v>7078.92</v>
      </c>
      <c r="BF373" s="75"/>
    </row>
    <row r="374" spans="2:58" x14ac:dyDescent="0.2">
      <c r="B374" s="81">
        <v>98390</v>
      </c>
      <c r="C374" s="62" t="s">
        <v>10</v>
      </c>
      <c r="D374" s="46">
        <v>928</v>
      </c>
      <c r="E374" s="46">
        <v>928</v>
      </c>
      <c r="F374" s="46">
        <v>956</v>
      </c>
      <c r="H374" s="73">
        <v>98390</v>
      </c>
      <c r="I374" s="73" t="s">
        <v>345</v>
      </c>
      <c r="J374" s="75">
        <v>15048.9</v>
      </c>
      <c r="K374" s="75">
        <v>65980.23</v>
      </c>
      <c r="L374" s="75">
        <v>245555.65</v>
      </c>
      <c r="M374" s="75">
        <v>408470.55</v>
      </c>
      <c r="N374" s="75">
        <v>8944.69</v>
      </c>
      <c r="O374" s="75">
        <v>12983.79</v>
      </c>
      <c r="P374" s="75">
        <v>279519.96000000002</v>
      </c>
      <c r="Q374" s="75">
        <v>356700.19</v>
      </c>
      <c r="R374" s="75">
        <v>4743.1400000000003</v>
      </c>
      <c r="S374" s="75">
        <v>6201.46</v>
      </c>
      <c r="T374" s="75">
        <v>265619.65999999997</v>
      </c>
      <c r="U374" s="75">
        <v>404313.27999999898</v>
      </c>
      <c r="AV374" s="73" t="s">
        <v>258</v>
      </c>
      <c r="AW374" s="73" t="s">
        <v>10</v>
      </c>
      <c r="AX374" s="33">
        <v>30</v>
      </c>
      <c r="AY374" s="33">
        <v>39</v>
      </c>
      <c r="AZ374" s="33">
        <v>35</v>
      </c>
      <c r="BB374" s="73" t="s">
        <v>258</v>
      </c>
      <c r="BC374" s="73" t="s">
        <v>10</v>
      </c>
      <c r="BD374" s="75">
        <v>19068.849999999999</v>
      </c>
      <c r="BE374" s="75">
        <v>23962.51</v>
      </c>
      <c r="BF374" s="75">
        <v>24039.17</v>
      </c>
    </row>
    <row r="375" spans="2:58" x14ac:dyDescent="0.2">
      <c r="B375" s="56">
        <v>98391</v>
      </c>
      <c r="C375" s="62" t="s">
        <v>345</v>
      </c>
      <c r="D375" s="46">
        <v>146</v>
      </c>
      <c r="E375" s="46">
        <v>124</v>
      </c>
      <c r="F375" s="46">
        <v>135</v>
      </c>
      <c r="H375" s="73">
        <v>98390</v>
      </c>
      <c r="I375" s="73" t="s">
        <v>10</v>
      </c>
      <c r="J375" s="75">
        <v>62807.53</v>
      </c>
      <c r="K375" s="75">
        <v>60714.71</v>
      </c>
      <c r="L375" s="75">
        <v>279459.92</v>
      </c>
      <c r="M375" s="75">
        <v>481486.20999999897</v>
      </c>
      <c r="N375" s="75">
        <v>51460.93</v>
      </c>
      <c r="O375" s="75">
        <v>49531.06</v>
      </c>
      <c r="P375" s="75">
        <v>301888.609999999</v>
      </c>
      <c r="Q375" s="75">
        <v>483179.54</v>
      </c>
      <c r="R375" s="75">
        <v>51714.21</v>
      </c>
      <c r="S375" s="75">
        <v>40498.85</v>
      </c>
      <c r="T375" s="75">
        <v>295756.69999999902</v>
      </c>
      <c r="U375" s="75">
        <v>486380.96999999898</v>
      </c>
      <c r="AV375" s="73" t="s">
        <v>259</v>
      </c>
      <c r="AW375" s="73" t="s">
        <v>345</v>
      </c>
      <c r="AX375" s="33">
        <v>1</v>
      </c>
      <c r="AY375" s="33"/>
      <c r="AZ375" s="33">
        <v>1</v>
      </c>
      <c r="BB375" s="73" t="s">
        <v>259</v>
      </c>
      <c r="BC375" s="73" t="s">
        <v>345</v>
      </c>
      <c r="BD375" s="75">
        <v>892.01</v>
      </c>
      <c r="BE375" s="75"/>
      <c r="BF375" s="75">
        <v>328.78</v>
      </c>
    </row>
    <row r="376" spans="2:58" x14ac:dyDescent="0.2">
      <c r="B376" s="81">
        <v>98391</v>
      </c>
      <c r="C376" s="62" t="s">
        <v>10</v>
      </c>
      <c r="D376" s="46">
        <v>2888</v>
      </c>
      <c r="E376" s="46">
        <v>2759</v>
      </c>
      <c r="F376" s="46">
        <v>2888</v>
      </c>
      <c r="H376" s="73">
        <v>98391</v>
      </c>
      <c r="I376" s="73" t="s">
        <v>345</v>
      </c>
      <c r="J376" s="75">
        <v>10318.459999999999</v>
      </c>
      <c r="K376" s="75">
        <v>5321.08</v>
      </c>
      <c r="L376" s="75">
        <v>45477.5</v>
      </c>
      <c r="M376" s="75">
        <v>81319.709999999905</v>
      </c>
      <c r="N376" s="75">
        <v>5018.74</v>
      </c>
      <c r="O376" s="75">
        <v>8662.41</v>
      </c>
      <c r="P376" s="75">
        <v>42029.13</v>
      </c>
      <c r="Q376" s="75">
        <v>83281.86</v>
      </c>
      <c r="R376" s="75">
        <v>9967.17</v>
      </c>
      <c r="S376" s="75">
        <v>4104.6000000000004</v>
      </c>
      <c r="T376" s="75">
        <v>47778.38</v>
      </c>
      <c r="U376" s="75">
        <v>78583.279999999897</v>
      </c>
      <c r="AV376" s="73" t="s">
        <v>259</v>
      </c>
      <c r="AW376" s="73" t="s">
        <v>10</v>
      </c>
      <c r="AX376" s="33"/>
      <c r="AY376" s="33">
        <v>8</v>
      </c>
      <c r="AZ376" s="33">
        <v>7</v>
      </c>
      <c r="BB376" s="73" t="s">
        <v>259</v>
      </c>
      <c r="BC376" s="73" t="s">
        <v>10</v>
      </c>
      <c r="BD376" s="75"/>
      <c r="BE376" s="75">
        <v>5144.1400000000003</v>
      </c>
      <c r="BF376" s="75">
        <v>5074.04</v>
      </c>
    </row>
    <row r="377" spans="2:58" x14ac:dyDescent="0.2">
      <c r="B377" s="56">
        <v>98392</v>
      </c>
      <c r="C377" s="62" t="s">
        <v>345</v>
      </c>
      <c r="D377" s="46">
        <v>15</v>
      </c>
      <c r="E377" s="46">
        <v>14</v>
      </c>
      <c r="F377" s="46">
        <v>15</v>
      </c>
      <c r="H377" s="73">
        <v>98391</v>
      </c>
      <c r="I377" s="73" t="s">
        <v>10</v>
      </c>
      <c r="J377" s="75">
        <v>245465.62</v>
      </c>
      <c r="K377" s="75">
        <v>200585.57</v>
      </c>
      <c r="L377" s="75">
        <v>964662.76</v>
      </c>
      <c r="M377" s="75">
        <v>1753558.76</v>
      </c>
      <c r="N377" s="75">
        <v>193809.47</v>
      </c>
      <c r="O377" s="75">
        <v>180586.6</v>
      </c>
      <c r="P377" s="75">
        <v>985814.47</v>
      </c>
      <c r="Q377" s="75">
        <v>1660517.3299999901</v>
      </c>
      <c r="R377" s="75">
        <v>184589.8</v>
      </c>
      <c r="S377" s="75">
        <v>147960.35999999999</v>
      </c>
      <c r="T377" s="75">
        <v>1018911.94</v>
      </c>
      <c r="U377" s="75">
        <v>1748144.78</v>
      </c>
      <c r="AV377" s="73" t="s">
        <v>260</v>
      </c>
      <c r="AW377" s="73" t="s">
        <v>10</v>
      </c>
      <c r="AX377" s="33"/>
      <c r="AY377" s="33">
        <v>2</v>
      </c>
      <c r="AZ377" s="33"/>
      <c r="BB377" s="73" t="s">
        <v>260</v>
      </c>
      <c r="BC377" s="73" t="s">
        <v>10</v>
      </c>
      <c r="BD377" s="75"/>
      <c r="BE377" s="75">
        <v>1286.4100000000001</v>
      </c>
      <c r="BF377" s="75"/>
    </row>
    <row r="378" spans="2:58" x14ac:dyDescent="0.2">
      <c r="B378" s="81">
        <v>98392</v>
      </c>
      <c r="C378" s="62" t="s">
        <v>10</v>
      </c>
      <c r="D378" s="71">
        <v>304</v>
      </c>
      <c r="E378" s="46">
        <v>313</v>
      </c>
      <c r="F378" s="46">
        <v>333</v>
      </c>
      <c r="H378" s="73">
        <v>98392</v>
      </c>
      <c r="I378" s="73" t="s">
        <v>345</v>
      </c>
      <c r="J378" s="75">
        <v>253.81</v>
      </c>
      <c r="K378" s="75">
        <v>312.02</v>
      </c>
      <c r="L378" s="75">
        <v>2688.87</v>
      </c>
      <c r="M378" s="75">
        <v>7416.29</v>
      </c>
      <c r="N378" s="75">
        <v>372.08</v>
      </c>
      <c r="O378" s="75">
        <v>235.24</v>
      </c>
      <c r="P378" s="75">
        <v>2600.9499999999998</v>
      </c>
      <c r="Q378" s="75">
        <v>3865.99</v>
      </c>
      <c r="R378" s="75">
        <v>315.39</v>
      </c>
      <c r="S378" s="75">
        <v>239.38</v>
      </c>
      <c r="T378" s="75">
        <v>2200.9</v>
      </c>
      <c r="U378" s="75">
        <v>5789.12</v>
      </c>
      <c r="AV378" s="73" t="s">
        <v>261</v>
      </c>
      <c r="AW378" s="73" t="s">
        <v>10</v>
      </c>
      <c r="AX378" s="33">
        <v>5</v>
      </c>
      <c r="AY378" s="33">
        <v>4</v>
      </c>
      <c r="AZ378" s="33">
        <v>2</v>
      </c>
      <c r="BB378" s="73" t="s">
        <v>261</v>
      </c>
      <c r="BC378" s="73" t="s">
        <v>10</v>
      </c>
      <c r="BD378" s="75">
        <v>2095.38</v>
      </c>
      <c r="BE378" s="75">
        <v>4387.37</v>
      </c>
      <c r="BF378" s="75">
        <v>5089.24</v>
      </c>
    </row>
    <row r="379" spans="2:58" x14ac:dyDescent="0.2">
      <c r="B379" s="56">
        <v>98396</v>
      </c>
      <c r="C379" s="62" t="s">
        <v>345</v>
      </c>
      <c r="D379" s="46">
        <v>2</v>
      </c>
      <c r="E379" s="46">
        <v>2</v>
      </c>
      <c r="F379" s="46">
        <v>3</v>
      </c>
      <c r="H379" s="73">
        <v>98392</v>
      </c>
      <c r="I379" s="73" t="s">
        <v>10</v>
      </c>
      <c r="J379" s="75">
        <v>16078.23</v>
      </c>
      <c r="K379" s="75">
        <v>16321.64</v>
      </c>
      <c r="L379" s="75">
        <v>98447.64</v>
      </c>
      <c r="M379" s="75">
        <v>159885.51</v>
      </c>
      <c r="N379" s="75">
        <v>15635.86</v>
      </c>
      <c r="O379" s="75">
        <v>12373.88</v>
      </c>
      <c r="P379" s="75">
        <v>96877.79</v>
      </c>
      <c r="Q379" s="75">
        <v>148449.32999999999</v>
      </c>
      <c r="R379" s="75">
        <v>11957.29</v>
      </c>
      <c r="S379" s="75">
        <v>11673.26</v>
      </c>
      <c r="T379" s="75">
        <v>91663.669999999896</v>
      </c>
      <c r="U379" s="75">
        <v>146085.68999999901</v>
      </c>
      <c r="AV379" s="73" t="s">
        <v>262</v>
      </c>
      <c r="AW379" s="73" t="s">
        <v>10</v>
      </c>
      <c r="AX379" s="33">
        <v>2</v>
      </c>
      <c r="AY379" s="33">
        <v>5</v>
      </c>
      <c r="AZ379" s="33">
        <v>3</v>
      </c>
      <c r="BB379" s="73" t="s">
        <v>262</v>
      </c>
      <c r="BC379" s="73" t="s">
        <v>10</v>
      </c>
      <c r="BD379" s="75">
        <v>293.45999999999998</v>
      </c>
      <c r="BE379" s="75">
        <v>2938.36</v>
      </c>
      <c r="BF379" s="75">
        <v>1420.59</v>
      </c>
    </row>
    <row r="380" spans="2:58" x14ac:dyDescent="0.2">
      <c r="B380" s="81">
        <v>98396</v>
      </c>
      <c r="C380" s="62" t="s">
        <v>10</v>
      </c>
      <c r="D380" s="46">
        <v>50</v>
      </c>
      <c r="E380" s="46">
        <v>31</v>
      </c>
      <c r="F380" s="46">
        <v>49</v>
      </c>
      <c r="H380" s="73">
        <v>98396</v>
      </c>
      <c r="I380" s="73" t="s">
        <v>345</v>
      </c>
      <c r="J380" s="75"/>
      <c r="K380" s="75"/>
      <c r="L380" s="75"/>
      <c r="M380" s="75">
        <v>322.83</v>
      </c>
      <c r="N380" s="75">
        <v>102.29</v>
      </c>
      <c r="O380" s="75"/>
      <c r="P380" s="75"/>
      <c r="Q380" s="75">
        <v>398.48</v>
      </c>
      <c r="R380" s="75">
        <v>84.98</v>
      </c>
      <c r="S380" s="75">
        <v>102.29</v>
      </c>
      <c r="T380" s="75"/>
      <c r="U380" s="75">
        <v>574.48</v>
      </c>
      <c r="AV380" s="73" t="s">
        <v>263</v>
      </c>
      <c r="AW380" s="73" t="s">
        <v>10</v>
      </c>
      <c r="AX380" s="33"/>
      <c r="AY380" s="33"/>
      <c r="AZ380" s="33">
        <v>3</v>
      </c>
      <c r="BB380" s="73" t="s">
        <v>263</v>
      </c>
      <c r="BC380" s="73" t="s">
        <v>10</v>
      </c>
      <c r="BD380" s="75"/>
      <c r="BE380" s="75"/>
      <c r="BF380" s="75">
        <v>1097.6300000000001</v>
      </c>
    </row>
    <row r="381" spans="2:58" x14ac:dyDescent="0.2">
      <c r="B381" s="56">
        <v>98402</v>
      </c>
      <c r="C381" s="62" t="s">
        <v>345</v>
      </c>
      <c r="D381" s="46">
        <v>58</v>
      </c>
      <c r="E381" s="46">
        <v>47</v>
      </c>
      <c r="F381" s="46">
        <v>64</v>
      </c>
      <c r="H381" s="73">
        <v>98396</v>
      </c>
      <c r="I381" s="73" t="s">
        <v>10</v>
      </c>
      <c r="J381" s="75">
        <v>1477.44</v>
      </c>
      <c r="K381" s="75">
        <v>8040.96</v>
      </c>
      <c r="L381" s="75">
        <v>15073.109999999901</v>
      </c>
      <c r="M381" s="75">
        <v>34460.75</v>
      </c>
      <c r="N381" s="75">
        <v>6837.88</v>
      </c>
      <c r="O381" s="75">
        <v>1268.77</v>
      </c>
      <c r="P381" s="75">
        <v>19747.64</v>
      </c>
      <c r="Q381" s="75">
        <v>28616.94</v>
      </c>
      <c r="R381" s="75">
        <v>82.11</v>
      </c>
      <c r="S381" s="75">
        <v>5494.72</v>
      </c>
      <c r="T381" s="75">
        <v>18289.64</v>
      </c>
      <c r="U381" s="75">
        <v>34904.239999999998</v>
      </c>
      <c r="AV381" s="73" t="s">
        <v>264</v>
      </c>
      <c r="AW381" s="73" t="s">
        <v>10</v>
      </c>
      <c r="AX381" s="33"/>
      <c r="AY381" s="33"/>
      <c r="AZ381" s="33">
        <v>2</v>
      </c>
      <c r="BB381" s="73" t="s">
        <v>264</v>
      </c>
      <c r="BC381" s="73" t="s">
        <v>10</v>
      </c>
      <c r="BD381" s="75"/>
      <c r="BE381" s="75"/>
      <c r="BF381" s="75">
        <v>8520.17</v>
      </c>
    </row>
    <row r="382" spans="2:58" x14ac:dyDescent="0.2">
      <c r="B382" s="81">
        <v>98402</v>
      </c>
      <c r="C382" s="62" t="s">
        <v>10</v>
      </c>
      <c r="D382" s="46">
        <v>43</v>
      </c>
      <c r="E382" s="46">
        <v>55</v>
      </c>
      <c r="F382" s="46">
        <v>46</v>
      </c>
      <c r="H382" s="73">
        <v>98402</v>
      </c>
      <c r="I382" s="73" t="s">
        <v>345</v>
      </c>
      <c r="J382" s="75">
        <v>7084.01</v>
      </c>
      <c r="K382" s="75">
        <v>4772.4399999999996</v>
      </c>
      <c r="L382" s="75">
        <v>40736.909999999902</v>
      </c>
      <c r="M382" s="75">
        <v>76173</v>
      </c>
      <c r="N382" s="75">
        <v>2825.9</v>
      </c>
      <c r="O382" s="75">
        <v>2084.25</v>
      </c>
      <c r="P382" s="75">
        <v>36319.15</v>
      </c>
      <c r="Q382" s="75">
        <v>58688.05</v>
      </c>
      <c r="R382" s="75">
        <v>2391.7199999999998</v>
      </c>
      <c r="S382" s="75">
        <v>1039.6199999999999</v>
      </c>
      <c r="T382" s="75">
        <v>35277.93</v>
      </c>
      <c r="U382" s="75">
        <v>58911.8999999999</v>
      </c>
      <c r="AV382" s="73" t="s">
        <v>266</v>
      </c>
      <c r="AW382" s="73" t="s">
        <v>10</v>
      </c>
      <c r="AX382" s="33">
        <v>1</v>
      </c>
      <c r="AY382" s="33"/>
      <c r="AZ382" s="33">
        <v>1</v>
      </c>
      <c r="BB382" s="73" t="s">
        <v>266</v>
      </c>
      <c r="BC382" s="73" t="s">
        <v>10</v>
      </c>
      <c r="BD382" s="75">
        <v>1034.5899999999999</v>
      </c>
      <c r="BE382" s="75"/>
      <c r="BF382" s="75"/>
    </row>
    <row r="383" spans="2:58" x14ac:dyDescent="0.2">
      <c r="B383" s="56">
        <v>98403</v>
      </c>
      <c r="C383" s="62" t="s">
        <v>345</v>
      </c>
      <c r="D383" s="46">
        <v>16</v>
      </c>
      <c r="E383" s="46">
        <v>20</v>
      </c>
      <c r="F383" s="46">
        <v>15</v>
      </c>
      <c r="H383" s="73">
        <v>98402</v>
      </c>
      <c r="I383" s="73" t="s">
        <v>10</v>
      </c>
      <c r="J383" s="75">
        <v>1397.17</v>
      </c>
      <c r="K383" s="75">
        <v>973.97</v>
      </c>
      <c r="L383" s="75">
        <v>11405.3999999999</v>
      </c>
      <c r="M383" s="75">
        <v>15178.47</v>
      </c>
      <c r="N383" s="75">
        <v>708.42</v>
      </c>
      <c r="O383" s="75">
        <v>1057.02</v>
      </c>
      <c r="P383" s="75">
        <v>12123.7499999999</v>
      </c>
      <c r="Q383" s="75">
        <v>15143.03</v>
      </c>
      <c r="R383" s="75">
        <v>675.88</v>
      </c>
      <c r="S383" s="75">
        <v>567.5</v>
      </c>
      <c r="T383" s="75">
        <v>12942.15</v>
      </c>
      <c r="U383" s="75">
        <v>15718.51</v>
      </c>
      <c r="AV383" s="73" t="s">
        <v>347</v>
      </c>
      <c r="AW383" s="73" t="s">
        <v>345</v>
      </c>
      <c r="AX383" s="33">
        <v>1</v>
      </c>
      <c r="AY383" s="33"/>
      <c r="AZ383" s="33">
        <v>1</v>
      </c>
      <c r="BB383" s="73" t="s">
        <v>347</v>
      </c>
      <c r="BC383" s="73" t="s">
        <v>345</v>
      </c>
      <c r="BD383" s="75">
        <v>301.37</v>
      </c>
      <c r="BE383" s="75"/>
      <c r="BF383" s="75"/>
    </row>
    <row r="384" spans="2:58" ht="16" thickBot="1" x14ac:dyDescent="0.25">
      <c r="B384" s="81">
        <v>98403</v>
      </c>
      <c r="C384" s="62" t="s">
        <v>10</v>
      </c>
      <c r="D384" s="46">
        <v>277</v>
      </c>
      <c r="E384" s="46">
        <v>261</v>
      </c>
      <c r="F384" s="46">
        <v>298</v>
      </c>
      <c r="H384" s="73">
        <v>98403</v>
      </c>
      <c r="I384" s="73" t="s">
        <v>345</v>
      </c>
      <c r="J384" s="75">
        <v>468.04</v>
      </c>
      <c r="K384" s="75">
        <v>785.97</v>
      </c>
      <c r="L384" s="75">
        <v>12145.17</v>
      </c>
      <c r="M384" s="75">
        <v>19776.73</v>
      </c>
      <c r="N384" s="75">
        <v>402.07</v>
      </c>
      <c r="O384" s="75">
        <v>422.86</v>
      </c>
      <c r="P384" s="75">
        <v>11710.14</v>
      </c>
      <c r="Q384" s="75">
        <v>17848.79</v>
      </c>
      <c r="R384" s="75">
        <v>1187.07</v>
      </c>
      <c r="S384" s="75">
        <v>365.34</v>
      </c>
      <c r="T384" s="75">
        <v>11969.07</v>
      </c>
      <c r="U384" s="75">
        <v>17486.1499999999</v>
      </c>
      <c r="AV384" s="106" t="s">
        <v>347</v>
      </c>
      <c r="AW384" s="106" t="s">
        <v>10</v>
      </c>
      <c r="AX384" s="86">
        <v>3</v>
      </c>
      <c r="AY384" s="86">
        <v>7</v>
      </c>
      <c r="AZ384" s="86">
        <v>12</v>
      </c>
      <c r="BB384" s="106" t="s">
        <v>347</v>
      </c>
      <c r="BC384" s="106" t="s">
        <v>10</v>
      </c>
      <c r="BD384" s="131"/>
      <c r="BE384" s="131"/>
      <c r="BF384" s="131"/>
    </row>
    <row r="385" spans="2:58" ht="16" thickBot="1" x14ac:dyDescent="0.25">
      <c r="B385" s="56">
        <v>98404</v>
      </c>
      <c r="C385" s="62" t="s">
        <v>345</v>
      </c>
      <c r="D385" s="46">
        <v>38</v>
      </c>
      <c r="E385" s="46">
        <v>24</v>
      </c>
      <c r="F385" s="46">
        <v>46</v>
      </c>
      <c r="H385" s="73">
        <v>98403</v>
      </c>
      <c r="I385" s="73" t="s">
        <v>10</v>
      </c>
      <c r="J385" s="75">
        <v>7451.16</v>
      </c>
      <c r="K385" s="75">
        <v>11265.03</v>
      </c>
      <c r="L385" s="75">
        <v>45195.54</v>
      </c>
      <c r="M385" s="75">
        <v>73778.549999999901</v>
      </c>
      <c r="N385" s="75">
        <v>5119.71</v>
      </c>
      <c r="O385" s="75">
        <v>5396.01</v>
      </c>
      <c r="P385" s="75">
        <v>44677.61</v>
      </c>
      <c r="Q385" s="75">
        <v>61779.519999999997</v>
      </c>
      <c r="R385" s="75">
        <v>3736.44</v>
      </c>
      <c r="S385" s="75">
        <v>3749.68</v>
      </c>
      <c r="T385" s="75">
        <v>44534.96</v>
      </c>
      <c r="U385" s="75">
        <v>59074.379999999903</v>
      </c>
      <c r="AV385" s="190"/>
      <c r="AW385" s="193"/>
      <c r="AX385" s="194">
        <f>SUMIF($AW$16:$AW$384,$AW$17,AX16:AX384)</f>
        <v>2947</v>
      </c>
      <c r="AY385" s="194">
        <f t="shared" ref="AY385:AZ385" si="2">SUMIF($AW$16:$AW$384,$AW$17,AY16:AY384)</f>
        <v>3705</v>
      </c>
      <c r="AZ385" s="194">
        <f t="shared" si="2"/>
        <v>3728</v>
      </c>
      <c r="BA385" s="194"/>
      <c r="BB385" s="194"/>
      <c r="BC385" s="194"/>
      <c r="BD385" s="194">
        <f>SUMIF($BC$16:$BC$384,$AW$17,BD16:BD384)</f>
        <v>1480185.3299999998</v>
      </c>
      <c r="BE385" s="194">
        <f>SUMIF($BC$16:$BC$384,$AW$17,BE16:BE384)</f>
        <v>2256143.0100000007</v>
      </c>
      <c r="BF385" s="194">
        <f t="shared" ref="BE385:BF385" si="3">SUMIF($BC$16:$BC$384,$AW$17,BF16:BF384)</f>
        <v>2122752.1499999994</v>
      </c>
    </row>
    <row r="386" spans="2:58" x14ac:dyDescent="0.2">
      <c r="B386" s="81">
        <v>98404</v>
      </c>
      <c r="C386" s="62" t="s">
        <v>10</v>
      </c>
      <c r="D386" s="46">
        <v>1042</v>
      </c>
      <c r="E386" s="46">
        <v>1008</v>
      </c>
      <c r="F386" s="46">
        <v>1023</v>
      </c>
      <c r="H386" s="73">
        <v>98404</v>
      </c>
      <c r="I386" s="73" t="s">
        <v>345</v>
      </c>
      <c r="J386" s="75">
        <v>2709.32</v>
      </c>
      <c r="K386" s="75">
        <v>2898.08</v>
      </c>
      <c r="L386" s="75">
        <v>8238.3799999999992</v>
      </c>
      <c r="M386" s="75">
        <v>20805.28</v>
      </c>
      <c r="N386" s="75">
        <v>2992.99</v>
      </c>
      <c r="O386" s="75">
        <v>2013.3</v>
      </c>
      <c r="P386" s="75">
        <v>9117.6</v>
      </c>
      <c r="Q386" s="75">
        <v>21651.64</v>
      </c>
      <c r="R386" s="75">
        <v>4943.6899999999996</v>
      </c>
      <c r="S386" s="75">
        <v>2290.2600000000002</v>
      </c>
      <c r="T386" s="75">
        <v>9876.58</v>
      </c>
      <c r="U386" s="75">
        <v>40832.119999999901</v>
      </c>
      <c r="AV386" s="41"/>
      <c r="AW386" s="41"/>
      <c r="AX386" s="41"/>
      <c r="AY386" s="41"/>
      <c r="AZ386" s="41"/>
      <c r="BB386" s="41"/>
      <c r="BC386" s="41"/>
      <c r="BD386" s="132"/>
      <c r="BE386" s="132"/>
      <c r="BF386" s="132"/>
    </row>
    <row r="387" spans="2:58" x14ac:dyDescent="0.2">
      <c r="B387" s="56">
        <v>98405</v>
      </c>
      <c r="C387" s="62" t="s">
        <v>345</v>
      </c>
      <c r="D387" s="46">
        <v>64</v>
      </c>
      <c r="E387" s="46">
        <v>62</v>
      </c>
      <c r="F387" s="46">
        <v>57</v>
      </c>
      <c r="H387" s="73">
        <v>98404</v>
      </c>
      <c r="I387" s="73" t="s">
        <v>10</v>
      </c>
      <c r="J387" s="75">
        <v>34637.29</v>
      </c>
      <c r="K387" s="75">
        <v>38572.74</v>
      </c>
      <c r="L387" s="75">
        <v>188268.75999999899</v>
      </c>
      <c r="M387" s="75">
        <v>297450.59999999998</v>
      </c>
      <c r="N387" s="75">
        <v>21751.11</v>
      </c>
      <c r="O387" s="75">
        <v>27286.39</v>
      </c>
      <c r="P387" s="75">
        <v>199770.74</v>
      </c>
      <c r="Q387" s="75">
        <v>277101.96999999898</v>
      </c>
      <c r="R387" s="75">
        <v>17765.75</v>
      </c>
      <c r="S387" s="75">
        <v>17407.919999999998</v>
      </c>
      <c r="T387" s="75">
        <v>204735.43</v>
      </c>
      <c r="U387" s="75">
        <v>268421.549999999</v>
      </c>
      <c r="AV387" s="41"/>
      <c r="AW387" s="41"/>
      <c r="AX387" s="41"/>
      <c r="AY387" s="41"/>
      <c r="AZ387" s="41"/>
      <c r="BB387" s="41"/>
      <c r="BC387" s="41"/>
      <c r="BD387" s="132"/>
      <c r="BE387" s="132"/>
      <c r="BF387" s="132"/>
    </row>
    <row r="388" spans="2:58" x14ac:dyDescent="0.2">
      <c r="B388" s="81">
        <v>98405</v>
      </c>
      <c r="C388" s="62" t="s">
        <v>10</v>
      </c>
      <c r="D388" s="46">
        <v>1076</v>
      </c>
      <c r="E388" s="46">
        <v>1063</v>
      </c>
      <c r="F388" s="46">
        <v>1095</v>
      </c>
      <c r="H388" s="73">
        <v>98405</v>
      </c>
      <c r="I388" s="73" t="s">
        <v>345</v>
      </c>
      <c r="J388" s="75">
        <v>5302.65</v>
      </c>
      <c r="K388" s="75">
        <v>5518.26</v>
      </c>
      <c r="L388" s="75">
        <v>34992.19</v>
      </c>
      <c r="M388" s="75">
        <v>71185.239999999903</v>
      </c>
      <c r="N388" s="75">
        <v>2674.63</v>
      </c>
      <c r="O388" s="75">
        <v>3623.73</v>
      </c>
      <c r="P388" s="75">
        <v>34323.709999999897</v>
      </c>
      <c r="Q388" s="75">
        <v>49735.37</v>
      </c>
      <c r="R388" s="75">
        <v>1535.42</v>
      </c>
      <c r="S388" s="75">
        <v>1513.79</v>
      </c>
      <c r="T388" s="75">
        <v>30653.89</v>
      </c>
      <c r="U388" s="75">
        <v>42388.039999999899</v>
      </c>
      <c r="AV388" s="38"/>
      <c r="AW388" s="38"/>
    </row>
    <row r="389" spans="2:58" x14ac:dyDescent="0.2">
      <c r="B389" s="56">
        <v>98406</v>
      </c>
      <c r="C389" s="62" t="s">
        <v>345</v>
      </c>
      <c r="D389" s="46">
        <v>34</v>
      </c>
      <c r="E389" s="46">
        <v>27</v>
      </c>
      <c r="F389" s="46">
        <v>33</v>
      </c>
      <c r="H389" s="73">
        <v>98405</v>
      </c>
      <c r="I389" s="73" t="s">
        <v>10</v>
      </c>
      <c r="J389" s="75">
        <v>33254.79</v>
      </c>
      <c r="K389" s="75">
        <v>37374.49</v>
      </c>
      <c r="L389" s="75">
        <v>183921.99</v>
      </c>
      <c r="M389" s="75">
        <v>289197.75</v>
      </c>
      <c r="N389" s="75">
        <v>20947.57</v>
      </c>
      <c r="O389" s="75">
        <v>27313.02</v>
      </c>
      <c r="P389" s="75">
        <v>198159.91999999899</v>
      </c>
      <c r="Q389" s="75">
        <v>274332.66999999899</v>
      </c>
      <c r="R389" s="75">
        <v>17121.32</v>
      </c>
      <c r="S389" s="75">
        <v>16494.47</v>
      </c>
      <c r="T389" s="75">
        <v>198353.269999999</v>
      </c>
      <c r="U389" s="75">
        <v>258224.709999999</v>
      </c>
      <c r="AV389" s="38"/>
      <c r="AW389" s="38"/>
    </row>
    <row r="390" spans="2:58" x14ac:dyDescent="0.2">
      <c r="B390" s="81">
        <v>98406</v>
      </c>
      <c r="C390" s="62" t="s">
        <v>10</v>
      </c>
      <c r="D390" s="46">
        <v>802</v>
      </c>
      <c r="E390" s="46">
        <v>761</v>
      </c>
      <c r="F390" s="46">
        <v>794</v>
      </c>
      <c r="H390" s="73">
        <v>98406</v>
      </c>
      <c r="I390" s="73" t="s">
        <v>345</v>
      </c>
      <c r="J390" s="75">
        <v>2170.0500000000002</v>
      </c>
      <c r="K390" s="75">
        <v>1871.87</v>
      </c>
      <c r="L390" s="75">
        <v>10896.16</v>
      </c>
      <c r="M390" s="75">
        <v>19699.490000000002</v>
      </c>
      <c r="N390" s="75">
        <v>1226.28</v>
      </c>
      <c r="O390" s="75">
        <v>1598.24</v>
      </c>
      <c r="P390" s="75">
        <v>9131.93</v>
      </c>
      <c r="Q390" s="75">
        <v>15432.56</v>
      </c>
      <c r="R390" s="75">
        <v>1014.33</v>
      </c>
      <c r="S390" s="75">
        <v>897.42</v>
      </c>
      <c r="T390" s="75">
        <v>9531.91</v>
      </c>
      <c r="U390" s="75">
        <v>18335.859999999899</v>
      </c>
      <c r="AV390" s="38"/>
      <c r="AW390" s="38"/>
    </row>
    <row r="391" spans="2:58" x14ac:dyDescent="0.2">
      <c r="B391" s="56">
        <v>98407</v>
      </c>
      <c r="C391" s="62" t="s">
        <v>345</v>
      </c>
      <c r="D391" s="46">
        <v>18</v>
      </c>
      <c r="E391" s="46">
        <v>12</v>
      </c>
      <c r="F391" s="46">
        <v>20</v>
      </c>
      <c r="H391" s="73">
        <v>98406</v>
      </c>
      <c r="I391" s="73" t="s">
        <v>10</v>
      </c>
      <c r="J391" s="75">
        <v>22463.99</v>
      </c>
      <c r="K391" s="75">
        <v>23603.41</v>
      </c>
      <c r="L391" s="75">
        <v>129322.88</v>
      </c>
      <c r="M391" s="75">
        <v>207150.53999999899</v>
      </c>
      <c r="N391" s="75">
        <v>13192.53</v>
      </c>
      <c r="O391" s="75">
        <v>14570.89</v>
      </c>
      <c r="P391" s="75">
        <v>139384.96999999901</v>
      </c>
      <c r="Q391" s="75">
        <v>187302.769999999</v>
      </c>
      <c r="R391" s="75">
        <v>10155.25</v>
      </c>
      <c r="S391" s="75">
        <v>10122.969999999999</v>
      </c>
      <c r="T391" s="75">
        <v>130666.18</v>
      </c>
      <c r="U391" s="75">
        <v>173936.76</v>
      </c>
      <c r="AV391" s="38"/>
      <c r="AW391" s="38"/>
    </row>
    <row r="392" spans="2:58" x14ac:dyDescent="0.2">
      <c r="B392" s="81">
        <v>98407</v>
      </c>
      <c r="C392" s="62" t="s">
        <v>10</v>
      </c>
      <c r="D392" s="46">
        <v>689</v>
      </c>
      <c r="E392" s="46">
        <v>647</v>
      </c>
      <c r="F392" s="46">
        <v>654</v>
      </c>
      <c r="H392" s="73">
        <v>98407</v>
      </c>
      <c r="I392" s="73" t="s">
        <v>345</v>
      </c>
      <c r="J392" s="75">
        <v>2496.1999999999998</v>
      </c>
      <c r="K392" s="75">
        <v>1672.39</v>
      </c>
      <c r="L392" s="75">
        <v>1927.72</v>
      </c>
      <c r="M392" s="75">
        <v>19333.740000000002</v>
      </c>
      <c r="N392" s="75">
        <v>949.85</v>
      </c>
      <c r="O392" s="75">
        <v>1106.17</v>
      </c>
      <c r="P392" s="75">
        <v>2902.3799999999901</v>
      </c>
      <c r="Q392" s="75">
        <v>7066.18</v>
      </c>
      <c r="R392" s="75">
        <v>937.54</v>
      </c>
      <c r="S392" s="75">
        <v>709.63</v>
      </c>
      <c r="T392" s="75">
        <v>1565.1499999999901</v>
      </c>
      <c r="U392" s="75">
        <v>6608.53999999999</v>
      </c>
      <c r="AV392" s="38"/>
      <c r="AW392" s="38"/>
    </row>
    <row r="393" spans="2:58" x14ac:dyDescent="0.2">
      <c r="B393" s="56">
        <v>98408</v>
      </c>
      <c r="C393" s="62" t="s">
        <v>345</v>
      </c>
      <c r="D393" s="46">
        <v>28</v>
      </c>
      <c r="E393" s="46">
        <v>27</v>
      </c>
      <c r="F393" s="46">
        <v>32</v>
      </c>
      <c r="H393" s="73">
        <v>98407</v>
      </c>
      <c r="I393" s="73" t="s">
        <v>10</v>
      </c>
      <c r="J393" s="75">
        <v>20964.919999999998</v>
      </c>
      <c r="K393" s="75">
        <v>24739.41</v>
      </c>
      <c r="L393" s="75">
        <v>106255.65</v>
      </c>
      <c r="M393" s="75">
        <v>175476.3</v>
      </c>
      <c r="N393" s="75">
        <v>11759.93</v>
      </c>
      <c r="O393" s="75">
        <v>16010.33</v>
      </c>
      <c r="P393" s="75">
        <v>114327.85</v>
      </c>
      <c r="Q393" s="75">
        <v>159029.37</v>
      </c>
      <c r="R393" s="75">
        <v>9153.17</v>
      </c>
      <c r="S393" s="75">
        <v>8419.94</v>
      </c>
      <c r="T393" s="75">
        <v>113616.38</v>
      </c>
      <c r="U393" s="75">
        <v>153263.95000000001</v>
      </c>
      <c r="AV393" s="38"/>
      <c r="AW393" s="38"/>
    </row>
    <row r="394" spans="2:58" x14ac:dyDescent="0.2">
      <c r="B394" s="81">
        <v>98408</v>
      </c>
      <c r="C394" s="62" t="s">
        <v>10</v>
      </c>
      <c r="D394" s="46">
        <v>906</v>
      </c>
      <c r="E394" s="46">
        <v>896</v>
      </c>
      <c r="F394" s="46">
        <v>933</v>
      </c>
      <c r="H394" s="73">
        <v>98408</v>
      </c>
      <c r="I394" s="73" t="s">
        <v>345</v>
      </c>
      <c r="J394" s="75">
        <v>906.75</v>
      </c>
      <c r="K394" s="75">
        <v>1092.95</v>
      </c>
      <c r="L394" s="75">
        <v>16376.789999999901</v>
      </c>
      <c r="M394" s="75">
        <v>21430.65</v>
      </c>
      <c r="N394" s="75">
        <v>769.4</v>
      </c>
      <c r="O394" s="75">
        <v>801.87</v>
      </c>
      <c r="P394" s="75">
        <v>17204.25</v>
      </c>
      <c r="Q394" s="75">
        <v>20795.740000000002</v>
      </c>
      <c r="R394" s="75">
        <v>644.09</v>
      </c>
      <c r="S394" s="75">
        <v>640.55999999999995</v>
      </c>
      <c r="T394" s="75">
        <v>17536.599999999999</v>
      </c>
      <c r="U394" s="75">
        <v>20984.49</v>
      </c>
      <c r="AV394" s="38"/>
      <c r="AW394" s="38"/>
    </row>
    <row r="395" spans="2:58" x14ac:dyDescent="0.2">
      <c r="B395" s="56">
        <v>98409</v>
      </c>
      <c r="C395" s="62" t="s">
        <v>345</v>
      </c>
      <c r="D395" s="46">
        <v>77</v>
      </c>
      <c r="E395" s="46">
        <v>89</v>
      </c>
      <c r="F395" s="46">
        <v>90</v>
      </c>
      <c r="H395" s="73">
        <v>98408</v>
      </c>
      <c r="I395" s="73" t="s">
        <v>10</v>
      </c>
      <c r="J395" s="75">
        <v>30685.58</v>
      </c>
      <c r="K395" s="75">
        <v>37377.449999999997</v>
      </c>
      <c r="L395" s="75">
        <v>177694.639999999</v>
      </c>
      <c r="M395" s="75">
        <v>276696.12999999902</v>
      </c>
      <c r="N395" s="75">
        <v>19847.2</v>
      </c>
      <c r="O395" s="75">
        <v>24478.15</v>
      </c>
      <c r="P395" s="75">
        <v>190416.019999999</v>
      </c>
      <c r="Q395" s="75">
        <v>256762.00999999899</v>
      </c>
      <c r="R395" s="75">
        <v>13752.79</v>
      </c>
      <c r="S395" s="75">
        <v>15505.93</v>
      </c>
      <c r="T395" s="75">
        <v>187243.43999999901</v>
      </c>
      <c r="U395" s="75">
        <v>238315.61999999901</v>
      </c>
      <c r="AV395" s="38"/>
      <c r="AW395" s="38"/>
    </row>
    <row r="396" spans="2:58" x14ac:dyDescent="0.2">
      <c r="B396" s="81">
        <v>98409</v>
      </c>
      <c r="C396" s="62" t="s">
        <v>10</v>
      </c>
      <c r="D396" s="46">
        <v>709</v>
      </c>
      <c r="E396" s="46">
        <v>694</v>
      </c>
      <c r="F396" s="46">
        <v>733</v>
      </c>
      <c r="H396" s="73">
        <v>98409</v>
      </c>
      <c r="I396" s="73" t="s">
        <v>345</v>
      </c>
      <c r="J396" s="75">
        <v>3770.8</v>
      </c>
      <c r="K396" s="75">
        <v>3959.78</v>
      </c>
      <c r="L396" s="75">
        <v>27186.45</v>
      </c>
      <c r="M396" s="75">
        <v>44506.97</v>
      </c>
      <c r="N396" s="75">
        <v>3717.31</v>
      </c>
      <c r="O396" s="75">
        <v>3037.4</v>
      </c>
      <c r="P396" s="75">
        <v>26828.28</v>
      </c>
      <c r="Q396" s="75">
        <v>52595.48</v>
      </c>
      <c r="R396" s="75">
        <v>6148.8</v>
      </c>
      <c r="S396" s="75">
        <v>2972.26</v>
      </c>
      <c r="T396" s="75">
        <v>26311</v>
      </c>
      <c r="U396" s="75">
        <v>58600.69</v>
      </c>
      <c r="AV396" s="38"/>
      <c r="AW396" s="38"/>
    </row>
    <row r="397" spans="2:58" x14ac:dyDescent="0.2">
      <c r="B397" s="56">
        <v>98418</v>
      </c>
      <c r="C397" s="62" t="s">
        <v>345</v>
      </c>
      <c r="D397" s="46">
        <v>17</v>
      </c>
      <c r="E397" s="46">
        <v>17</v>
      </c>
      <c r="F397" s="46">
        <v>18</v>
      </c>
      <c r="H397" s="73">
        <v>98409</v>
      </c>
      <c r="I397" s="73" t="s">
        <v>10</v>
      </c>
      <c r="J397" s="75">
        <v>25933.17</v>
      </c>
      <c r="K397" s="75">
        <v>29543.11</v>
      </c>
      <c r="L397" s="75">
        <v>119093.15</v>
      </c>
      <c r="M397" s="75">
        <v>198985.61999999901</v>
      </c>
      <c r="N397" s="75">
        <v>16774.37</v>
      </c>
      <c r="O397" s="75">
        <v>20691.330000000002</v>
      </c>
      <c r="P397" s="75">
        <v>131495.65999999901</v>
      </c>
      <c r="Q397" s="75">
        <v>188442.86</v>
      </c>
      <c r="R397" s="75">
        <v>14336.18</v>
      </c>
      <c r="S397" s="75">
        <v>13560.32</v>
      </c>
      <c r="T397" s="75">
        <v>136097.609999999</v>
      </c>
      <c r="U397" s="75">
        <v>182683.399999999</v>
      </c>
      <c r="AV397" s="38"/>
      <c r="AW397" s="38"/>
    </row>
    <row r="398" spans="2:58" x14ac:dyDescent="0.2">
      <c r="B398" s="81">
        <v>98418</v>
      </c>
      <c r="C398" s="62" t="s">
        <v>10</v>
      </c>
      <c r="D398" s="46">
        <v>504</v>
      </c>
      <c r="E398" s="46">
        <v>503</v>
      </c>
      <c r="F398" s="46">
        <v>497</v>
      </c>
      <c r="H398" s="73">
        <v>98418</v>
      </c>
      <c r="I398" s="73" t="s">
        <v>345</v>
      </c>
      <c r="J398" s="75">
        <v>466.59</v>
      </c>
      <c r="K398" s="75">
        <v>756.49</v>
      </c>
      <c r="L398" s="75">
        <v>11517.68</v>
      </c>
      <c r="M398" s="75">
        <v>13754.13</v>
      </c>
      <c r="N398" s="75">
        <v>481.75</v>
      </c>
      <c r="O398" s="75">
        <v>466.59</v>
      </c>
      <c r="P398" s="75">
        <v>10412.61</v>
      </c>
      <c r="Q398" s="75">
        <v>12396.47</v>
      </c>
      <c r="R398" s="75">
        <v>425.95</v>
      </c>
      <c r="S398" s="75">
        <v>481.75</v>
      </c>
      <c r="T398" s="75">
        <v>9036.2999999999993</v>
      </c>
      <c r="U398" s="75">
        <v>12055.789999999901</v>
      </c>
      <c r="AV398" s="38"/>
      <c r="AW398" s="38"/>
    </row>
    <row r="399" spans="2:58" x14ac:dyDescent="0.2">
      <c r="B399" s="56">
        <v>98421</v>
      </c>
      <c r="C399" s="62" t="s">
        <v>345</v>
      </c>
      <c r="D399" s="46">
        <v>25</v>
      </c>
      <c r="E399" s="46">
        <v>26</v>
      </c>
      <c r="F399" s="46">
        <v>22</v>
      </c>
      <c r="H399" s="73">
        <v>98418</v>
      </c>
      <c r="I399" s="73" t="s">
        <v>10</v>
      </c>
      <c r="J399" s="75">
        <v>17534.05</v>
      </c>
      <c r="K399" s="75">
        <v>20001.060000000001</v>
      </c>
      <c r="L399" s="75">
        <v>118970.67</v>
      </c>
      <c r="M399" s="75">
        <v>172130.43</v>
      </c>
      <c r="N399" s="75">
        <v>9914.4699999999993</v>
      </c>
      <c r="O399" s="75">
        <v>15118.28</v>
      </c>
      <c r="P399" s="75">
        <v>128199.6</v>
      </c>
      <c r="Q399" s="75">
        <v>165146.82</v>
      </c>
      <c r="R399" s="75">
        <v>7715.88</v>
      </c>
      <c r="S399" s="75">
        <v>8122.48</v>
      </c>
      <c r="T399" s="75">
        <v>132017.1</v>
      </c>
      <c r="U399" s="75">
        <v>159418.47</v>
      </c>
      <c r="AV399" s="38"/>
      <c r="AW399" s="38"/>
    </row>
    <row r="400" spans="2:58" x14ac:dyDescent="0.2">
      <c r="B400" s="81">
        <v>98421</v>
      </c>
      <c r="C400" s="62" t="s">
        <v>10</v>
      </c>
      <c r="D400" s="46">
        <v>7</v>
      </c>
      <c r="E400" s="46">
        <v>5</v>
      </c>
      <c r="F400" s="46">
        <v>5</v>
      </c>
      <c r="H400" s="73">
        <v>98421</v>
      </c>
      <c r="I400" s="73" t="s">
        <v>345</v>
      </c>
      <c r="J400" s="75">
        <v>4250.8500000000004</v>
      </c>
      <c r="K400" s="75">
        <v>6564.74</v>
      </c>
      <c r="L400" s="75">
        <v>56728.38</v>
      </c>
      <c r="M400" s="75">
        <v>70531.31</v>
      </c>
      <c r="N400" s="75">
        <v>1327.86</v>
      </c>
      <c r="O400" s="75">
        <v>3633.97</v>
      </c>
      <c r="P400" s="75">
        <v>61493.120000000003</v>
      </c>
      <c r="Q400" s="75">
        <v>79385.849999999904</v>
      </c>
      <c r="R400" s="75">
        <v>706.9</v>
      </c>
      <c r="S400" s="75">
        <v>1033.29</v>
      </c>
      <c r="T400" s="75">
        <v>62780.71</v>
      </c>
      <c r="U400" s="75">
        <v>65833.919999999998</v>
      </c>
      <c r="AV400" s="38"/>
      <c r="AW400" s="38"/>
    </row>
    <row r="401" spans="2:49" x14ac:dyDescent="0.2">
      <c r="B401" s="56">
        <v>98422</v>
      </c>
      <c r="C401" s="62" t="s">
        <v>345</v>
      </c>
      <c r="D401" s="46">
        <v>3</v>
      </c>
      <c r="E401" s="46">
        <v>3</v>
      </c>
      <c r="F401" s="46">
        <v>4</v>
      </c>
      <c r="H401" s="73">
        <v>98421</v>
      </c>
      <c r="I401" s="73" t="s">
        <v>10</v>
      </c>
      <c r="J401" s="75">
        <v>179.95</v>
      </c>
      <c r="K401" s="75">
        <v>258.82</v>
      </c>
      <c r="L401" s="75">
        <v>1090.75</v>
      </c>
      <c r="M401" s="75">
        <v>1819.79</v>
      </c>
      <c r="N401" s="75">
        <v>151.91</v>
      </c>
      <c r="O401" s="75">
        <v>179.95</v>
      </c>
      <c r="P401" s="75">
        <v>1349.57</v>
      </c>
      <c r="Q401" s="75">
        <v>1838.88</v>
      </c>
      <c r="R401" s="75">
        <v>120.72</v>
      </c>
      <c r="S401" s="75">
        <v>106.99</v>
      </c>
      <c r="T401" s="75">
        <v>1349.9099999999901</v>
      </c>
      <c r="U401" s="75">
        <v>1742.77</v>
      </c>
      <c r="AV401" s="38"/>
      <c r="AW401" s="38"/>
    </row>
    <row r="402" spans="2:49" x14ac:dyDescent="0.2">
      <c r="B402" s="81">
        <v>98422</v>
      </c>
      <c r="C402" s="62" t="s">
        <v>10</v>
      </c>
      <c r="D402" s="46">
        <v>455</v>
      </c>
      <c r="E402" s="46">
        <v>483</v>
      </c>
      <c r="F402" s="46">
        <v>500</v>
      </c>
      <c r="H402" s="73">
        <v>98422</v>
      </c>
      <c r="I402" s="73" t="s">
        <v>345</v>
      </c>
      <c r="J402" s="75">
        <v>1315</v>
      </c>
      <c r="K402" s="75">
        <v>1218.55</v>
      </c>
      <c r="L402" s="75">
        <v>8963.41</v>
      </c>
      <c r="M402" s="75">
        <v>12456.71</v>
      </c>
      <c r="N402" s="75">
        <v>836.27</v>
      </c>
      <c r="O402" s="75">
        <v>1001.37</v>
      </c>
      <c r="P402" s="75">
        <v>10181.959999999999</v>
      </c>
      <c r="Q402" s="75">
        <v>12697.199999999901</v>
      </c>
      <c r="R402" s="75">
        <v>677.6</v>
      </c>
      <c r="S402" s="75">
        <v>836.27</v>
      </c>
      <c r="T402" s="75">
        <v>11183.3299999999</v>
      </c>
      <c r="U402" s="75">
        <v>13192.5699999999</v>
      </c>
      <c r="AV402" s="38"/>
      <c r="AW402" s="38"/>
    </row>
    <row r="403" spans="2:49" x14ac:dyDescent="0.2">
      <c r="B403" s="56">
        <v>98424</v>
      </c>
      <c r="C403" s="62" t="s">
        <v>345</v>
      </c>
      <c r="D403" s="46">
        <v>55</v>
      </c>
      <c r="E403" s="46">
        <v>46</v>
      </c>
      <c r="F403" s="46">
        <v>45</v>
      </c>
      <c r="H403" s="73">
        <v>98422</v>
      </c>
      <c r="I403" s="73" t="s">
        <v>10</v>
      </c>
      <c r="J403" s="75">
        <v>21837.3</v>
      </c>
      <c r="K403" s="75">
        <v>23539.84</v>
      </c>
      <c r="L403" s="75">
        <v>112083.3</v>
      </c>
      <c r="M403" s="75">
        <v>179714.98</v>
      </c>
      <c r="N403" s="75">
        <v>14415.64</v>
      </c>
      <c r="O403" s="75">
        <v>16603.97</v>
      </c>
      <c r="P403" s="75">
        <v>117993.159999999</v>
      </c>
      <c r="Q403" s="75">
        <v>167528.709999999</v>
      </c>
      <c r="R403" s="75">
        <v>11600.47</v>
      </c>
      <c r="S403" s="75">
        <v>11402.02</v>
      </c>
      <c r="T403" s="75">
        <v>120288.439999999</v>
      </c>
      <c r="U403" s="75">
        <v>159455.10999999999</v>
      </c>
      <c r="AV403" s="38"/>
      <c r="AW403" s="38"/>
    </row>
    <row r="404" spans="2:49" x14ac:dyDescent="0.2">
      <c r="B404" s="81">
        <v>98424</v>
      </c>
      <c r="C404" s="62" t="s">
        <v>10</v>
      </c>
      <c r="D404" s="46">
        <v>265</v>
      </c>
      <c r="E404" s="46">
        <v>227</v>
      </c>
      <c r="F404" s="46">
        <v>231</v>
      </c>
      <c r="H404" s="73">
        <v>98424</v>
      </c>
      <c r="I404" s="73" t="s">
        <v>345</v>
      </c>
      <c r="J404" s="75">
        <v>5556.65</v>
      </c>
      <c r="K404" s="75">
        <v>6801.01</v>
      </c>
      <c r="L404" s="75">
        <v>57380.01</v>
      </c>
      <c r="M404" s="75">
        <v>88617.88</v>
      </c>
      <c r="N404" s="75">
        <v>3409.02</v>
      </c>
      <c r="O404" s="75">
        <v>5147.6000000000004</v>
      </c>
      <c r="P404" s="75">
        <v>63140.09</v>
      </c>
      <c r="Q404" s="75">
        <v>76663.03</v>
      </c>
      <c r="R404" s="75">
        <v>3411.78</v>
      </c>
      <c r="S404" s="75">
        <v>3151.56</v>
      </c>
      <c r="T404" s="75">
        <v>65669.33</v>
      </c>
      <c r="U404" s="75">
        <v>78871.3299999999</v>
      </c>
      <c r="AV404" s="38"/>
      <c r="AW404" s="38"/>
    </row>
    <row r="405" spans="2:49" x14ac:dyDescent="0.2">
      <c r="B405" s="56">
        <v>98430</v>
      </c>
      <c r="C405" s="62" t="s">
        <v>345</v>
      </c>
      <c r="D405" s="46"/>
      <c r="E405" s="71">
        <v>28</v>
      </c>
      <c r="F405" s="46">
        <v>32</v>
      </c>
      <c r="H405" s="73">
        <v>98424</v>
      </c>
      <c r="I405" s="73" t="s">
        <v>10</v>
      </c>
      <c r="J405" s="75">
        <v>11927.81</v>
      </c>
      <c r="K405" s="75">
        <v>11061.87</v>
      </c>
      <c r="L405" s="75">
        <v>64543.519999999902</v>
      </c>
      <c r="M405" s="75">
        <v>100989.96</v>
      </c>
      <c r="N405" s="75">
        <v>7596.34</v>
      </c>
      <c r="O405" s="75">
        <v>9265.07</v>
      </c>
      <c r="P405" s="75">
        <v>64289.83</v>
      </c>
      <c r="Q405" s="75">
        <v>89658.319999999905</v>
      </c>
      <c r="R405" s="75">
        <v>5890.6</v>
      </c>
      <c r="S405" s="75">
        <v>5304.06</v>
      </c>
      <c r="T405" s="75">
        <v>65756.349999999904</v>
      </c>
      <c r="U405" s="75">
        <v>85176.07</v>
      </c>
      <c r="AV405" s="38"/>
      <c r="AW405" s="38"/>
    </row>
    <row r="406" spans="2:49" x14ac:dyDescent="0.2">
      <c r="B406" s="81">
        <v>98433</v>
      </c>
      <c r="C406" s="62" t="s">
        <v>345</v>
      </c>
      <c r="D406" s="46">
        <v>448</v>
      </c>
      <c r="E406" s="46">
        <v>415</v>
      </c>
      <c r="F406" s="46">
        <v>378</v>
      </c>
      <c r="H406" s="73">
        <v>98430</v>
      </c>
      <c r="I406" s="73" t="s">
        <v>345</v>
      </c>
      <c r="J406" s="75"/>
      <c r="K406" s="75"/>
      <c r="L406" s="75"/>
      <c r="M406" s="75"/>
      <c r="N406" s="75"/>
      <c r="O406" s="75"/>
      <c r="P406" s="75"/>
      <c r="Q406" s="75">
        <v>27710.86</v>
      </c>
      <c r="R406" s="75"/>
      <c r="S406" s="75"/>
      <c r="T406" s="75"/>
      <c r="U406" s="75">
        <v>36774.199999999997</v>
      </c>
      <c r="AV406" s="38"/>
      <c r="AW406" s="38"/>
    </row>
    <row r="407" spans="2:49" x14ac:dyDescent="0.2">
      <c r="B407" s="56">
        <v>98433</v>
      </c>
      <c r="C407" s="62" t="s">
        <v>10</v>
      </c>
      <c r="D407" s="46">
        <v>589</v>
      </c>
      <c r="E407" s="46">
        <v>364</v>
      </c>
      <c r="F407" s="46">
        <v>362</v>
      </c>
      <c r="H407" s="73">
        <v>98433</v>
      </c>
      <c r="I407" s="73" t="s">
        <v>345</v>
      </c>
      <c r="J407" s="75">
        <v>1225.3800000000001</v>
      </c>
      <c r="K407" s="75">
        <v>353.33</v>
      </c>
      <c r="L407" s="75">
        <v>377.48</v>
      </c>
      <c r="M407" s="75">
        <v>262097.739999999</v>
      </c>
      <c r="N407" s="75">
        <v>3182.55</v>
      </c>
      <c r="O407" s="75">
        <v>1225.3800000000001</v>
      </c>
      <c r="P407" s="75">
        <v>339.07</v>
      </c>
      <c r="Q407" s="75">
        <v>867501.04999999702</v>
      </c>
      <c r="R407" s="75">
        <v>1745.32</v>
      </c>
      <c r="S407" s="75">
        <v>2455.11</v>
      </c>
      <c r="T407" s="75">
        <v>493.97</v>
      </c>
      <c r="U407" s="75">
        <v>116324.219999999</v>
      </c>
      <c r="AV407" s="38"/>
      <c r="AW407" s="38"/>
    </row>
    <row r="408" spans="2:49" x14ac:dyDescent="0.2">
      <c r="B408" s="81">
        <v>98438</v>
      </c>
      <c r="C408" s="62" t="s">
        <v>345</v>
      </c>
      <c r="D408" s="46">
        <v>38</v>
      </c>
      <c r="E408" s="46">
        <v>37</v>
      </c>
      <c r="F408" s="46">
        <v>38</v>
      </c>
      <c r="H408" s="73">
        <v>98433</v>
      </c>
      <c r="I408" s="73" t="s">
        <v>10</v>
      </c>
      <c r="J408" s="75">
        <v>10629.48</v>
      </c>
      <c r="K408" s="75">
        <v>113.97</v>
      </c>
      <c r="L408" s="75">
        <v>396.77</v>
      </c>
      <c r="M408" s="75">
        <v>32405.79</v>
      </c>
      <c r="N408" s="75">
        <v>12235.01</v>
      </c>
      <c r="O408" s="75">
        <v>4414.09</v>
      </c>
      <c r="P408" s="75">
        <v>510.74</v>
      </c>
      <c r="Q408" s="75">
        <v>23549.35</v>
      </c>
      <c r="R408" s="75">
        <v>6389.51</v>
      </c>
      <c r="S408" s="75">
        <v>11367.99</v>
      </c>
      <c r="T408" s="75">
        <v>510.74</v>
      </c>
      <c r="U408" s="75">
        <v>22637.23</v>
      </c>
      <c r="AV408" s="38"/>
      <c r="AW408" s="38"/>
    </row>
    <row r="409" spans="2:49" x14ac:dyDescent="0.2">
      <c r="B409" s="81">
        <v>98439</v>
      </c>
      <c r="C409" s="62" t="s">
        <v>345</v>
      </c>
      <c r="D409" s="46">
        <v>26</v>
      </c>
      <c r="E409" s="46">
        <v>18</v>
      </c>
      <c r="F409" s="46">
        <v>18</v>
      </c>
      <c r="H409" s="73">
        <v>98438</v>
      </c>
      <c r="I409" s="73" t="s">
        <v>345</v>
      </c>
      <c r="J409" s="75"/>
      <c r="K409" s="75"/>
      <c r="L409" s="75"/>
      <c r="M409" s="75">
        <v>84179.679999999906</v>
      </c>
      <c r="N409" s="75">
        <v>19592.490000000002</v>
      </c>
      <c r="O409" s="75"/>
      <c r="P409" s="75"/>
      <c r="Q409" s="75">
        <v>27646.45</v>
      </c>
      <c r="R409" s="75">
        <v>7857.75</v>
      </c>
      <c r="S409" s="75">
        <v>8389.06</v>
      </c>
      <c r="T409" s="75"/>
      <c r="U409" s="75">
        <v>76029.73</v>
      </c>
      <c r="AV409" s="38"/>
      <c r="AW409" s="38"/>
    </row>
    <row r="410" spans="2:49" x14ac:dyDescent="0.2">
      <c r="B410" s="56">
        <v>98439</v>
      </c>
      <c r="C410" s="62" t="s">
        <v>10</v>
      </c>
      <c r="D410" s="46">
        <v>519</v>
      </c>
      <c r="E410" s="46">
        <v>509</v>
      </c>
      <c r="F410" s="46">
        <v>518</v>
      </c>
      <c r="H410" s="73">
        <v>98439</v>
      </c>
      <c r="I410" s="73" t="s">
        <v>345</v>
      </c>
      <c r="J410" s="75">
        <v>353.95</v>
      </c>
      <c r="K410" s="75">
        <v>244.17</v>
      </c>
      <c r="L410" s="75">
        <v>36110.559999999998</v>
      </c>
      <c r="M410" s="75">
        <v>45488.21</v>
      </c>
      <c r="N410" s="75">
        <v>7549.56</v>
      </c>
      <c r="O410" s="75">
        <v>212.95</v>
      </c>
      <c r="P410" s="75">
        <v>34910.639999999999</v>
      </c>
      <c r="Q410" s="75">
        <v>50759.73</v>
      </c>
      <c r="R410" s="75">
        <v>6904.74</v>
      </c>
      <c r="S410" s="75">
        <v>425.53</v>
      </c>
      <c r="T410" s="75">
        <v>35123.25</v>
      </c>
      <c r="U410" s="75">
        <v>50077.49</v>
      </c>
      <c r="AV410" s="38"/>
      <c r="AW410" s="38"/>
    </row>
    <row r="411" spans="2:49" x14ac:dyDescent="0.2">
      <c r="B411" s="81">
        <v>98443</v>
      </c>
      <c r="C411" s="62" t="s">
        <v>345</v>
      </c>
      <c r="D411" s="46">
        <v>2</v>
      </c>
      <c r="E411" s="46"/>
      <c r="F411" s="46">
        <v>3</v>
      </c>
      <c r="H411" s="73">
        <v>98439</v>
      </c>
      <c r="I411" s="73" t="s">
        <v>10</v>
      </c>
      <c r="J411" s="75">
        <v>33964.39</v>
      </c>
      <c r="K411" s="75">
        <v>41975.58</v>
      </c>
      <c r="L411" s="75">
        <v>182988.739999999</v>
      </c>
      <c r="M411" s="75">
        <v>289149.08</v>
      </c>
      <c r="N411" s="75">
        <v>22738.6</v>
      </c>
      <c r="O411" s="75">
        <v>27968.89</v>
      </c>
      <c r="P411" s="75">
        <v>185813.26</v>
      </c>
      <c r="Q411" s="75">
        <v>268284.71999999997</v>
      </c>
      <c r="R411" s="75">
        <v>23124.86</v>
      </c>
      <c r="S411" s="75">
        <v>19271.89</v>
      </c>
      <c r="T411" s="75">
        <v>189009.68999999901</v>
      </c>
      <c r="U411" s="75">
        <v>266940.65000000002</v>
      </c>
      <c r="AV411" s="38"/>
      <c r="AW411" s="38"/>
    </row>
    <row r="412" spans="2:49" x14ac:dyDescent="0.2">
      <c r="B412" s="56">
        <v>98443</v>
      </c>
      <c r="C412" s="62" t="s">
        <v>10</v>
      </c>
      <c r="D412" s="46">
        <v>66</v>
      </c>
      <c r="E412" s="46">
        <v>49</v>
      </c>
      <c r="F412" s="46">
        <v>61</v>
      </c>
      <c r="H412" s="73">
        <v>98443</v>
      </c>
      <c r="I412" s="73" t="s">
        <v>345</v>
      </c>
      <c r="J412" s="75"/>
      <c r="K412" s="75"/>
      <c r="L412" s="75"/>
      <c r="M412" s="75">
        <v>268.87</v>
      </c>
      <c r="N412" s="75"/>
      <c r="O412" s="75"/>
      <c r="P412" s="75"/>
      <c r="Q412" s="75"/>
      <c r="R412" s="75"/>
      <c r="S412" s="75"/>
      <c r="T412" s="75"/>
      <c r="U412" s="75">
        <v>227.96</v>
      </c>
      <c r="AV412" s="38"/>
      <c r="AW412" s="38"/>
    </row>
    <row r="413" spans="2:49" x14ac:dyDescent="0.2">
      <c r="B413" s="81">
        <v>98444</v>
      </c>
      <c r="C413" s="62" t="s">
        <v>345</v>
      </c>
      <c r="D413" s="46">
        <v>94</v>
      </c>
      <c r="E413" s="46">
        <v>85</v>
      </c>
      <c r="F413" s="46">
        <v>104</v>
      </c>
      <c r="H413" s="73">
        <v>98443</v>
      </c>
      <c r="I413" s="73" t="s">
        <v>10</v>
      </c>
      <c r="J413" s="75">
        <v>1737.08</v>
      </c>
      <c r="K413" s="75">
        <v>1540.78</v>
      </c>
      <c r="L413" s="75">
        <v>5619.96</v>
      </c>
      <c r="M413" s="75">
        <v>13175.68</v>
      </c>
      <c r="N413" s="75">
        <v>1600.78</v>
      </c>
      <c r="O413" s="75">
        <v>1293.28</v>
      </c>
      <c r="P413" s="75">
        <v>4875.4799999999996</v>
      </c>
      <c r="Q413" s="75">
        <v>9683.5999999999894</v>
      </c>
      <c r="R413" s="75">
        <v>1084.5999999999999</v>
      </c>
      <c r="S413" s="75">
        <v>1010.74</v>
      </c>
      <c r="T413" s="75">
        <v>5583.69</v>
      </c>
      <c r="U413" s="75">
        <v>9247.9599999999991</v>
      </c>
      <c r="AV413" s="38"/>
      <c r="AW413" s="38"/>
    </row>
    <row r="414" spans="2:49" x14ac:dyDescent="0.2">
      <c r="B414" s="56">
        <v>98444</v>
      </c>
      <c r="C414" s="62" t="s">
        <v>10</v>
      </c>
      <c r="D414" s="46">
        <v>768</v>
      </c>
      <c r="E414" s="46">
        <v>761</v>
      </c>
      <c r="F414" s="46">
        <v>795</v>
      </c>
      <c r="H414" s="73">
        <v>98444</v>
      </c>
      <c r="I414" s="73" t="s">
        <v>345</v>
      </c>
      <c r="J414" s="75">
        <v>7533.25</v>
      </c>
      <c r="K414" s="75">
        <v>3911.98</v>
      </c>
      <c r="L414" s="75">
        <v>27212.68</v>
      </c>
      <c r="M414" s="75">
        <v>57792.0799999999</v>
      </c>
      <c r="N414" s="75">
        <v>4805.68</v>
      </c>
      <c r="O414" s="75">
        <v>3091.08</v>
      </c>
      <c r="P414" s="75">
        <v>27765.179999999898</v>
      </c>
      <c r="Q414" s="75">
        <v>51700.29</v>
      </c>
      <c r="R414" s="75">
        <v>5512.6</v>
      </c>
      <c r="S414" s="75">
        <v>2468.69</v>
      </c>
      <c r="T414" s="75">
        <v>28602.22</v>
      </c>
      <c r="U414" s="75">
        <v>49792.74</v>
      </c>
      <c r="AV414" s="38"/>
      <c r="AW414" s="38"/>
    </row>
    <row r="415" spans="2:49" x14ac:dyDescent="0.2">
      <c r="B415" s="81">
        <v>98445</v>
      </c>
      <c r="C415" s="62" t="s">
        <v>345</v>
      </c>
      <c r="D415" s="46">
        <v>30</v>
      </c>
      <c r="E415" s="46">
        <v>30</v>
      </c>
      <c r="F415" s="46">
        <v>35</v>
      </c>
      <c r="H415" s="73">
        <v>98444</v>
      </c>
      <c r="I415" s="73" t="s">
        <v>10</v>
      </c>
      <c r="J415" s="75">
        <v>25536.83</v>
      </c>
      <c r="K415" s="75">
        <v>25307.82</v>
      </c>
      <c r="L415" s="75">
        <v>118476.719999999</v>
      </c>
      <c r="M415" s="75">
        <v>195541.019999999</v>
      </c>
      <c r="N415" s="75">
        <v>14471.04</v>
      </c>
      <c r="O415" s="75">
        <v>19868.09</v>
      </c>
      <c r="P415" s="75">
        <v>128338.829999999</v>
      </c>
      <c r="Q415" s="75">
        <v>182964.90999999901</v>
      </c>
      <c r="R415" s="75">
        <v>11117.97</v>
      </c>
      <c r="S415" s="75">
        <v>11588.38</v>
      </c>
      <c r="T415" s="75">
        <v>127155.44</v>
      </c>
      <c r="U415" s="75">
        <v>172853.78</v>
      </c>
    </row>
    <row r="416" spans="2:49" x14ac:dyDescent="0.2">
      <c r="B416" s="56">
        <v>98445</v>
      </c>
      <c r="C416" s="62" t="s">
        <v>10</v>
      </c>
      <c r="D416" s="46">
        <v>1020</v>
      </c>
      <c r="E416" s="46">
        <v>1019</v>
      </c>
      <c r="F416" s="46">
        <v>997</v>
      </c>
      <c r="H416" s="73">
        <v>98445</v>
      </c>
      <c r="I416" s="73" t="s">
        <v>345</v>
      </c>
      <c r="J416" s="75">
        <v>859.06</v>
      </c>
      <c r="K416" s="75">
        <v>183.48</v>
      </c>
      <c r="L416" s="75">
        <v>1267.76</v>
      </c>
      <c r="M416" s="75">
        <v>5217.6000000000004</v>
      </c>
      <c r="N416" s="75">
        <v>306.69</v>
      </c>
      <c r="O416" s="75">
        <v>859.06</v>
      </c>
      <c r="P416" s="75">
        <v>1451.24</v>
      </c>
      <c r="Q416" s="75">
        <v>4580.76</v>
      </c>
      <c r="R416" s="75">
        <v>613.44000000000005</v>
      </c>
      <c r="S416" s="75">
        <v>295.17</v>
      </c>
      <c r="T416" s="75">
        <v>1721.22</v>
      </c>
      <c r="U416" s="75">
        <v>6037.09</v>
      </c>
    </row>
    <row r="417" spans="2:21" x14ac:dyDescent="0.2">
      <c r="B417" s="81">
        <v>98446</v>
      </c>
      <c r="C417" s="62" t="s">
        <v>345</v>
      </c>
      <c r="D417" s="46">
        <v>14</v>
      </c>
      <c r="E417" s="46">
        <v>10</v>
      </c>
      <c r="F417" s="46">
        <v>10</v>
      </c>
      <c r="H417" s="73">
        <v>98445</v>
      </c>
      <c r="I417" s="73" t="s">
        <v>10</v>
      </c>
      <c r="J417" s="75">
        <v>36331.19</v>
      </c>
      <c r="K417" s="75">
        <v>36524.35</v>
      </c>
      <c r="L417" s="75">
        <v>164078.32999999999</v>
      </c>
      <c r="M417" s="75">
        <v>278208.69</v>
      </c>
      <c r="N417" s="75">
        <v>23115.32</v>
      </c>
      <c r="O417" s="75">
        <v>29372.66</v>
      </c>
      <c r="P417" s="75">
        <v>171597.72999999899</v>
      </c>
      <c r="Q417" s="75">
        <v>257575.829999999</v>
      </c>
      <c r="R417" s="75">
        <v>17970.59</v>
      </c>
      <c r="S417" s="75">
        <v>16920.27</v>
      </c>
      <c r="T417" s="75">
        <v>175694.25</v>
      </c>
      <c r="U417" s="75">
        <v>243927.5</v>
      </c>
    </row>
    <row r="418" spans="2:21" x14ac:dyDescent="0.2">
      <c r="B418" s="56">
        <v>98446</v>
      </c>
      <c r="C418" s="62" t="s">
        <v>10</v>
      </c>
      <c r="D418" s="46">
        <v>376</v>
      </c>
      <c r="E418" s="46">
        <v>372</v>
      </c>
      <c r="F418" s="46">
        <v>376</v>
      </c>
      <c r="H418" s="73">
        <v>98446</v>
      </c>
      <c r="I418" s="73" t="s">
        <v>345</v>
      </c>
      <c r="J418" s="75">
        <v>169.85</v>
      </c>
      <c r="K418" s="75">
        <v>74.11</v>
      </c>
      <c r="L418" s="75">
        <v>197.87</v>
      </c>
      <c r="M418" s="75">
        <v>3373.2</v>
      </c>
      <c r="N418" s="75">
        <v>163.18</v>
      </c>
      <c r="O418" s="75">
        <v>116.75</v>
      </c>
      <c r="P418" s="75">
        <v>271.98</v>
      </c>
      <c r="Q418" s="75">
        <v>1887.99999999999</v>
      </c>
      <c r="R418" s="75">
        <v>788.41</v>
      </c>
      <c r="S418" s="75">
        <v>81.760000000000005</v>
      </c>
      <c r="T418" s="75">
        <v>360.13</v>
      </c>
      <c r="U418" s="75">
        <v>5653.15</v>
      </c>
    </row>
    <row r="419" spans="2:21" x14ac:dyDescent="0.2">
      <c r="B419" s="81">
        <v>98465</v>
      </c>
      <c r="C419" s="62" t="s">
        <v>345</v>
      </c>
      <c r="D419" s="46">
        <v>3</v>
      </c>
      <c r="E419" s="46">
        <v>2</v>
      </c>
      <c r="F419" s="71">
        <v>2</v>
      </c>
      <c r="H419" s="73">
        <v>98446</v>
      </c>
      <c r="I419" s="73" t="s">
        <v>10</v>
      </c>
      <c r="J419" s="75">
        <v>21530.75</v>
      </c>
      <c r="K419" s="75">
        <v>20106.060000000001</v>
      </c>
      <c r="L419" s="75">
        <v>75027.259999999995</v>
      </c>
      <c r="M419" s="75">
        <v>142949.649999999</v>
      </c>
      <c r="N419" s="75">
        <v>17623.72</v>
      </c>
      <c r="O419" s="75">
        <v>18115.16</v>
      </c>
      <c r="P419" s="75">
        <v>85897.54</v>
      </c>
      <c r="Q419" s="75">
        <v>148171.91999999899</v>
      </c>
      <c r="R419" s="75">
        <v>17470.04</v>
      </c>
      <c r="S419" s="75">
        <v>13210.16</v>
      </c>
      <c r="T419" s="75">
        <v>85135.39</v>
      </c>
      <c r="U419" s="75">
        <v>141902.35</v>
      </c>
    </row>
    <row r="420" spans="2:21" x14ac:dyDescent="0.2">
      <c r="B420" s="81">
        <v>98465</v>
      </c>
      <c r="C420" s="62" t="s">
        <v>10</v>
      </c>
      <c r="D420" s="46">
        <v>119</v>
      </c>
      <c r="E420" s="46">
        <v>114</v>
      </c>
      <c r="F420" s="46">
        <v>130</v>
      </c>
      <c r="H420" s="73">
        <v>98465</v>
      </c>
      <c r="I420" s="73" t="s">
        <v>345</v>
      </c>
      <c r="J420" s="75">
        <v>71.86</v>
      </c>
      <c r="K420" s="75">
        <v>64.06</v>
      </c>
      <c r="L420" s="75">
        <v>137.63</v>
      </c>
      <c r="M420" s="75">
        <v>364.6</v>
      </c>
      <c r="N420" s="75"/>
      <c r="O420" s="75">
        <v>46.11</v>
      </c>
      <c r="P420" s="75">
        <v>273.55</v>
      </c>
      <c r="Q420" s="75">
        <v>357.55</v>
      </c>
      <c r="R420" s="75">
        <v>37.89</v>
      </c>
      <c r="S420" s="75"/>
      <c r="T420" s="75">
        <v>319.66000000000003</v>
      </c>
      <c r="U420" s="75">
        <v>394.28</v>
      </c>
    </row>
    <row r="421" spans="2:21" x14ac:dyDescent="0.2">
      <c r="B421" s="56">
        <v>98466</v>
      </c>
      <c r="C421" s="62" t="s">
        <v>345</v>
      </c>
      <c r="D421" s="46">
        <v>27</v>
      </c>
      <c r="E421" s="46">
        <v>29</v>
      </c>
      <c r="F421" s="46">
        <v>37</v>
      </c>
      <c r="H421" s="73">
        <v>98465</v>
      </c>
      <c r="I421" s="73" t="s">
        <v>10</v>
      </c>
      <c r="J421" s="75">
        <v>4419.32</v>
      </c>
      <c r="K421" s="75">
        <v>4627.59</v>
      </c>
      <c r="L421" s="75">
        <v>26028.58</v>
      </c>
      <c r="M421" s="75">
        <v>40072.879999999903</v>
      </c>
      <c r="N421" s="75">
        <v>1572.74</v>
      </c>
      <c r="O421" s="75">
        <v>3163.98</v>
      </c>
      <c r="P421" s="75">
        <v>27316.22</v>
      </c>
      <c r="Q421" s="75">
        <v>35886.74</v>
      </c>
      <c r="R421" s="75">
        <v>2606.89</v>
      </c>
      <c r="S421" s="75">
        <v>1214.7</v>
      </c>
      <c r="T421" s="75">
        <v>26656.59</v>
      </c>
      <c r="U421" s="75">
        <v>34815.449999999997</v>
      </c>
    </row>
    <row r="422" spans="2:21" x14ac:dyDescent="0.2">
      <c r="B422" s="81">
        <v>98466</v>
      </c>
      <c r="C422" s="62" t="s">
        <v>10</v>
      </c>
      <c r="D422" s="46">
        <v>610</v>
      </c>
      <c r="E422" s="46">
        <v>611</v>
      </c>
      <c r="F422" s="46">
        <v>593</v>
      </c>
      <c r="H422" s="73">
        <v>98466</v>
      </c>
      <c r="I422" s="73" t="s">
        <v>345</v>
      </c>
      <c r="J422" s="75">
        <v>761.44</v>
      </c>
      <c r="K422" s="75">
        <v>741.25</v>
      </c>
      <c r="L422" s="75">
        <v>3575.78</v>
      </c>
      <c r="M422" s="75">
        <v>8338.9500000000007</v>
      </c>
      <c r="N422" s="75">
        <v>1534.6</v>
      </c>
      <c r="O422" s="75">
        <v>568.12</v>
      </c>
      <c r="P422" s="75">
        <v>3878.3099999999899</v>
      </c>
      <c r="Q422" s="75">
        <v>8281.2000000000007</v>
      </c>
      <c r="R422" s="75">
        <v>637.80999999999995</v>
      </c>
      <c r="S422" s="75">
        <v>1128.98</v>
      </c>
      <c r="T422" s="75">
        <v>3895.73</v>
      </c>
      <c r="U422" s="75">
        <v>10160.67</v>
      </c>
    </row>
    <row r="423" spans="2:21" x14ac:dyDescent="0.2">
      <c r="B423" s="56">
        <v>98467</v>
      </c>
      <c r="C423" s="62" t="s">
        <v>345</v>
      </c>
      <c r="D423" s="46">
        <v>3</v>
      </c>
      <c r="E423" s="46">
        <v>4</v>
      </c>
      <c r="F423" s="46">
        <v>4</v>
      </c>
      <c r="H423" s="73">
        <v>98466</v>
      </c>
      <c r="I423" s="73" t="s">
        <v>10</v>
      </c>
      <c r="J423" s="75">
        <v>19811.009999999998</v>
      </c>
      <c r="K423" s="75">
        <v>21349.77</v>
      </c>
      <c r="L423" s="75">
        <v>89354.539999999906</v>
      </c>
      <c r="M423" s="75">
        <v>159000.399999999</v>
      </c>
      <c r="N423" s="75">
        <v>14730.58</v>
      </c>
      <c r="O423" s="75">
        <v>14664.46</v>
      </c>
      <c r="P423" s="75">
        <v>93018.059999999896</v>
      </c>
      <c r="Q423" s="75">
        <v>140491.829999999</v>
      </c>
      <c r="R423" s="75">
        <v>9041.02</v>
      </c>
      <c r="S423" s="75">
        <v>10768.52</v>
      </c>
      <c r="T423" s="75">
        <v>91612.84</v>
      </c>
      <c r="U423" s="75">
        <v>127971.079999999</v>
      </c>
    </row>
    <row r="424" spans="2:21" x14ac:dyDescent="0.2">
      <c r="B424" s="81">
        <v>98467</v>
      </c>
      <c r="C424" s="62" t="s">
        <v>10</v>
      </c>
      <c r="D424" s="46">
        <v>246</v>
      </c>
      <c r="E424" s="46">
        <v>262</v>
      </c>
      <c r="F424" s="46">
        <v>256</v>
      </c>
      <c r="H424" s="73">
        <v>98467</v>
      </c>
      <c r="I424" s="73" t="s">
        <v>345</v>
      </c>
      <c r="J424" s="75"/>
      <c r="K424" s="75"/>
      <c r="L424" s="75">
        <v>3637.38</v>
      </c>
      <c r="M424" s="75">
        <v>3762.34</v>
      </c>
      <c r="N424" s="75">
        <v>37.15</v>
      </c>
      <c r="O424" s="75"/>
      <c r="P424" s="75"/>
      <c r="Q424" s="75">
        <v>18161.18</v>
      </c>
      <c r="R424" s="75">
        <v>18124.03</v>
      </c>
      <c r="S424" s="75">
        <v>37.15</v>
      </c>
      <c r="T424" s="75"/>
      <c r="U424" s="75">
        <v>19117.98</v>
      </c>
    </row>
    <row r="425" spans="2:21" x14ac:dyDescent="0.2">
      <c r="B425" s="56">
        <v>98492</v>
      </c>
      <c r="C425" s="62" t="s">
        <v>345</v>
      </c>
      <c r="D425" s="46">
        <v>2</v>
      </c>
      <c r="E425" s="46">
        <v>2</v>
      </c>
      <c r="F425" s="46">
        <v>2</v>
      </c>
      <c r="H425" s="73">
        <v>98467</v>
      </c>
      <c r="I425" s="73" t="s">
        <v>10</v>
      </c>
      <c r="J425" s="75">
        <v>10479.65</v>
      </c>
      <c r="K425" s="75">
        <v>11023.32</v>
      </c>
      <c r="L425" s="75">
        <v>48506.84</v>
      </c>
      <c r="M425" s="75">
        <v>83858.61</v>
      </c>
      <c r="N425" s="75">
        <v>9079.9599999999991</v>
      </c>
      <c r="O425" s="75">
        <v>7943.68</v>
      </c>
      <c r="P425" s="75">
        <v>50913.64</v>
      </c>
      <c r="Q425" s="75">
        <v>77395.709999999905</v>
      </c>
      <c r="R425" s="75">
        <v>4616.1499999999996</v>
      </c>
      <c r="S425" s="75">
        <v>7393.92</v>
      </c>
      <c r="T425" s="75">
        <v>48465.88</v>
      </c>
      <c r="U425" s="75">
        <v>68244.469999999899</v>
      </c>
    </row>
    <row r="426" spans="2:21" x14ac:dyDescent="0.2">
      <c r="B426" s="81">
        <v>98497</v>
      </c>
      <c r="C426" s="62" t="s">
        <v>345</v>
      </c>
      <c r="D426" s="46">
        <v>1</v>
      </c>
      <c r="E426" s="46">
        <v>1</v>
      </c>
      <c r="F426" s="46">
        <v>1</v>
      </c>
      <c r="H426" s="73">
        <v>98492</v>
      </c>
      <c r="I426" s="73" t="s">
        <v>345</v>
      </c>
      <c r="J426" s="75"/>
      <c r="K426" s="75"/>
      <c r="L426" s="75"/>
      <c r="M426" s="75">
        <v>299.33</v>
      </c>
      <c r="N426" s="75"/>
      <c r="O426" s="75"/>
      <c r="P426" s="75"/>
      <c r="Q426" s="75">
        <v>314.79000000000002</v>
      </c>
      <c r="R426" s="75"/>
      <c r="S426" s="75"/>
      <c r="T426" s="75"/>
      <c r="U426" s="75">
        <v>373.58</v>
      </c>
    </row>
    <row r="427" spans="2:21" x14ac:dyDescent="0.2">
      <c r="B427" s="81">
        <v>98498</v>
      </c>
      <c r="C427" s="62" t="s">
        <v>345</v>
      </c>
      <c r="D427" s="71">
        <v>74</v>
      </c>
      <c r="E427" s="46">
        <v>55</v>
      </c>
      <c r="F427" s="46">
        <v>83</v>
      </c>
      <c r="H427" s="73">
        <v>98497</v>
      </c>
      <c r="I427" s="73" t="s">
        <v>345</v>
      </c>
      <c r="J427" s="75">
        <v>11.9</v>
      </c>
      <c r="K427" s="75">
        <v>11.61</v>
      </c>
      <c r="L427" s="75">
        <v>70.8</v>
      </c>
      <c r="M427" s="75">
        <v>107.38</v>
      </c>
      <c r="N427" s="75">
        <v>13.07</v>
      </c>
      <c r="O427" s="75">
        <v>11.9</v>
      </c>
      <c r="P427" s="75">
        <v>82.41</v>
      </c>
      <c r="Q427" s="75">
        <v>120.88</v>
      </c>
      <c r="R427" s="75">
        <v>13.5</v>
      </c>
      <c r="S427" s="75">
        <v>13.07</v>
      </c>
      <c r="T427" s="75">
        <v>94.31</v>
      </c>
      <c r="U427" s="75">
        <v>135.01999999999899</v>
      </c>
    </row>
    <row r="428" spans="2:21" x14ac:dyDescent="0.2">
      <c r="B428" s="81">
        <v>98498</v>
      </c>
      <c r="C428" s="62" t="s">
        <v>10</v>
      </c>
      <c r="D428" s="46">
        <v>1854</v>
      </c>
      <c r="E428" s="46">
        <v>1798</v>
      </c>
      <c r="F428" s="46">
        <v>1887</v>
      </c>
      <c r="H428" s="73">
        <v>98498</v>
      </c>
      <c r="I428" s="73" t="s">
        <v>345</v>
      </c>
      <c r="J428" s="75">
        <v>7199.03</v>
      </c>
      <c r="K428" s="75">
        <v>7304.44</v>
      </c>
      <c r="L428" s="75">
        <v>29555.8999999999</v>
      </c>
      <c r="M428" s="75">
        <v>58001.22</v>
      </c>
      <c r="N428" s="75">
        <v>5787.62</v>
      </c>
      <c r="O428" s="75">
        <v>5324.68</v>
      </c>
      <c r="P428" s="75">
        <v>27502.66</v>
      </c>
      <c r="Q428" s="75">
        <v>46278.41</v>
      </c>
      <c r="R428" s="75">
        <v>3952.03</v>
      </c>
      <c r="S428" s="75">
        <v>5019.84</v>
      </c>
      <c r="T428" s="75">
        <v>30721.22</v>
      </c>
      <c r="U428" s="75">
        <v>77328</v>
      </c>
    </row>
    <row r="429" spans="2:21" x14ac:dyDescent="0.2">
      <c r="B429" s="56">
        <v>98499</v>
      </c>
      <c r="C429" s="62" t="s">
        <v>345</v>
      </c>
      <c r="D429" s="46">
        <v>105</v>
      </c>
      <c r="E429" s="46">
        <v>90</v>
      </c>
      <c r="F429" s="46">
        <v>96</v>
      </c>
      <c r="H429" s="73">
        <v>98498</v>
      </c>
      <c r="I429" s="73" t="s">
        <v>10</v>
      </c>
      <c r="J429" s="75">
        <v>141743.45000000001</v>
      </c>
      <c r="K429" s="75">
        <v>127008.24</v>
      </c>
      <c r="L429" s="75">
        <v>590347.6</v>
      </c>
      <c r="M429" s="75">
        <v>1022555.12999999</v>
      </c>
      <c r="N429" s="75">
        <v>101223.9</v>
      </c>
      <c r="O429" s="75">
        <v>104317.79</v>
      </c>
      <c r="P429" s="75">
        <v>621296.31999999902</v>
      </c>
      <c r="Q429" s="75">
        <v>968912.26</v>
      </c>
      <c r="R429" s="75">
        <v>88639.11</v>
      </c>
      <c r="S429" s="75">
        <v>78964.7</v>
      </c>
      <c r="T429" s="75">
        <v>605658.1</v>
      </c>
      <c r="U429" s="75">
        <v>933452.23999999894</v>
      </c>
    </row>
    <row r="430" spans="2:21" x14ac:dyDescent="0.2">
      <c r="B430" s="81">
        <v>98499</v>
      </c>
      <c r="C430" s="62" t="s">
        <v>10</v>
      </c>
      <c r="D430" s="46">
        <v>703</v>
      </c>
      <c r="E430" s="46">
        <v>667</v>
      </c>
      <c r="F430" s="46">
        <v>651</v>
      </c>
      <c r="H430" s="73">
        <v>98499</v>
      </c>
      <c r="I430" s="73" t="s">
        <v>345</v>
      </c>
      <c r="J430" s="75">
        <v>7487.99</v>
      </c>
      <c r="K430" s="75">
        <v>8663.66</v>
      </c>
      <c r="L430" s="75">
        <v>42557.34</v>
      </c>
      <c r="M430" s="75">
        <v>92854.91</v>
      </c>
      <c r="N430" s="75">
        <v>9471.2000000000007</v>
      </c>
      <c r="O430" s="75">
        <v>4914.3</v>
      </c>
      <c r="P430" s="75">
        <v>43225.909999999902</v>
      </c>
      <c r="Q430" s="75">
        <v>62831.62</v>
      </c>
      <c r="R430" s="75">
        <v>3725.85</v>
      </c>
      <c r="S430" s="75">
        <v>4641.87</v>
      </c>
      <c r="T430" s="75">
        <v>43605.429999999898</v>
      </c>
      <c r="U430" s="75">
        <v>58841.889999999898</v>
      </c>
    </row>
    <row r="431" spans="2:21" x14ac:dyDescent="0.2">
      <c r="B431" s="56">
        <v>98501</v>
      </c>
      <c r="C431" s="62" t="s">
        <v>345</v>
      </c>
      <c r="D431" s="46">
        <v>481</v>
      </c>
      <c r="E431" s="46">
        <v>359</v>
      </c>
      <c r="F431" s="46">
        <v>434</v>
      </c>
      <c r="H431" s="73">
        <v>98499</v>
      </c>
      <c r="I431" s="73" t="s">
        <v>10</v>
      </c>
      <c r="J431" s="75">
        <v>34135.57</v>
      </c>
      <c r="K431" s="75">
        <v>33358.800000000003</v>
      </c>
      <c r="L431" s="75">
        <v>181539.78</v>
      </c>
      <c r="M431" s="75">
        <v>292097.27999999898</v>
      </c>
      <c r="N431" s="75">
        <v>25816.76</v>
      </c>
      <c r="O431" s="75">
        <v>26247.16</v>
      </c>
      <c r="P431" s="75">
        <v>193985.73</v>
      </c>
      <c r="Q431" s="75">
        <v>274157.13</v>
      </c>
      <c r="R431" s="75">
        <v>17649.62</v>
      </c>
      <c r="S431" s="75">
        <v>17893.7</v>
      </c>
      <c r="T431" s="75">
        <v>197790.9</v>
      </c>
      <c r="U431" s="75">
        <v>261011.56999999899</v>
      </c>
    </row>
    <row r="432" spans="2:21" x14ac:dyDescent="0.2">
      <c r="B432" s="81">
        <v>98501</v>
      </c>
      <c r="C432" s="62" t="s">
        <v>10</v>
      </c>
      <c r="D432" s="46">
        <v>3578</v>
      </c>
      <c r="E432" s="46">
        <v>3536</v>
      </c>
      <c r="F432" s="46">
        <v>3661</v>
      </c>
      <c r="H432" s="73">
        <v>98501</v>
      </c>
      <c r="I432" s="73" t="s">
        <v>345</v>
      </c>
      <c r="J432" s="75">
        <v>52603.17</v>
      </c>
      <c r="K432" s="75">
        <v>31461.47</v>
      </c>
      <c r="L432" s="75">
        <v>139931.26999999999</v>
      </c>
      <c r="M432" s="75">
        <v>711584.17</v>
      </c>
      <c r="N432" s="75">
        <v>46366.6</v>
      </c>
      <c r="O432" s="75">
        <v>39683.199999999997</v>
      </c>
      <c r="P432" s="75">
        <v>133609.35</v>
      </c>
      <c r="Q432" s="75">
        <v>486753.38</v>
      </c>
      <c r="R432" s="75">
        <v>47352.11</v>
      </c>
      <c r="S432" s="75">
        <v>35549.370000000003</v>
      </c>
      <c r="T432" s="75">
        <v>142375.79999999999</v>
      </c>
      <c r="U432" s="75">
        <v>469529.67</v>
      </c>
    </row>
    <row r="433" spans="2:21" x14ac:dyDescent="0.2">
      <c r="B433" s="56">
        <v>98502</v>
      </c>
      <c r="C433" s="62" t="s">
        <v>345</v>
      </c>
      <c r="D433" s="46">
        <v>256</v>
      </c>
      <c r="E433" s="46">
        <v>240</v>
      </c>
      <c r="F433" s="46">
        <v>238</v>
      </c>
      <c r="H433" s="73">
        <v>98501</v>
      </c>
      <c r="I433" s="73" t="s">
        <v>10</v>
      </c>
      <c r="J433" s="75">
        <v>197805.09</v>
      </c>
      <c r="K433" s="75">
        <v>166843.85999999999</v>
      </c>
      <c r="L433" s="75">
        <v>729154.46999999904</v>
      </c>
      <c r="M433" s="75">
        <v>1422399.86</v>
      </c>
      <c r="N433" s="75">
        <v>164599.88</v>
      </c>
      <c r="O433" s="75">
        <v>149824.64000000001</v>
      </c>
      <c r="P433" s="75">
        <v>770357.50999999896</v>
      </c>
      <c r="Q433" s="75">
        <v>1393601.25999999</v>
      </c>
      <c r="R433" s="75">
        <v>164070.73000000001</v>
      </c>
      <c r="S433" s="75">
        <v>123798.72</v>
      </c>
      <c r="T433" s="75">
        <v>777465.21999999904</v>
      </c>
      <c r="U433" s="75">
        <v>1394904.01</v>
      </c>
    </row>
    <row r="434" spans="2:21" x14ac:dyDescent="0.2">
      <c r="B434" s="81">
        <v>98502</v>
      </c>
      <c r="C434" s="62" t="s">
        <v>10</v>
      </c>
      <c r="D434" s="46">
        <v>2510</v>
      </c>
      <c r="E434" s="46">
        <v>2439</v>
      </c>
      <c r="F434" s="46">
        <v>2627</v>
      </c>
      <c r="H434" s="73">
        <v>98502</v>
      </c>
      <c r="I434" s="73" t="s">
        <v>345</v>
      </c>
      <c r="J434" s="75">
        <v>21787.72</v>
      </c>
      <c r="K434" s="75">
        <v>20873.240000000002</v>
      </c>
      <c r="L434" s="75">
        <v>119506.08</v>
      </c>
      <c r="M434" s="75">
        <v>262998.36999999901</v>
      </c>
      <c r="N434" s="75">
        <v>13646.11</v>
      </c>
      <c r="O434" s="75">
        <v>11696.67</v>
      </c>
      <c r="P434" s="75">
        <v>120573.289999999</v>
      </c>
      <c r="Q434" s="75">
        <v>210290.12</v>
      </c>
      <c r="R434" s="75">
        <v>11593.88</v>
      </c>
      <c r="S434" s="75">
        <v>9841.61</v>
      </c>
      <c r="T434" s="75">
        <v>120977.879999999</v>
      </c>
      <c r="U434" s="75">
        <v>234085.829999999</v>
      </c>
    </row>
    <row r="435" spans="2:21" x14ac:dyDescent="0.2">
      <c r="B435" s="56">
        <v>98503</v>
      </c>
      <c r="C435" s="62" t="s">
        <v>345</v>
      </c>
      <c r="D435" s="46">
        <v>225</v>
      </c>
      <c r="E435" s="46">
        <v>177</v>
      </c>
      <c r="F435" s="46">
        <v>237</v>
      </c>
      <c r="H435" s="73">
        <v>98502</v>
      </c>
      <c r="I435" s="73" t="s">
        <v>10</v>
      </c>
      <c r="J435" s="75">
        <v>148596.92000000001</v>
      </c>
      <c r="K435" s="75">
        <v>145764.79</v>
      </c>
      <c r="L435" s="75">
        <v>594836.36</v>
      </c>
      <c r="M435" s="75">
        <v>1123792.8600000001</v>
      </c>
      <c r="N435" s="75">
        <v>139911.13</v>
      </c>
      <c r="O435" s="75">
        <v>114087.24</v>
      </c>
      <c r="P435" s="75">
        <v>640167.58999999904</v>
      </c>
      <c r="Q435" s="75">
        <v>1101623.3499999901</v>
      </c>
      <c r="R435" s="75">
        <v>122467.21</v>
      </c>
      <c r="S435" s="75">
        <v>109423.88</v>
      </c>
      <c r="T435" s="75">
        <v>625804.06000000006</v>
      </c>
      <c r="U435" s="75">
        <v>1094375.42</v>
      </c>
    </row>
    <row r="436" spans="2:21" x14ac:dyDescent="0.2">
      <c r="B436" s="81">
        <v>98503</v>
      </c>
      <c r="C436" s="62" t="s">
        <v>10</v>
      </c>
      <c r="D436" s="46">
        <v>3323</v>
      </c>
      <c r="E436" s="46">
        <v>3316</v>
      </c>
      <c r="F436" s="46">
        <v>3414</v>
      </c>
      <c r="H436" s="73">
        <v>98503</v>
      </c>
      <c r="I436" s="73" t="s">
        <v>345</v>
      </c>
      <c r="J436" s="75">
        <v>7885.91</v>
      </c>
      <c r="K436" s="75">
        <v>4152.6899999999996</v>
      </c>
      <c r="L436" s="75">
        <v>41380.11</v>
      </c>
      <c r="M436" s="75">
        <v>140389.88</v>
      </c>
      <c r="N436" s="75">
        <v>10537.07</v>
      </c>
      <c r="O436" s="75">
        <v>5292.95</v>
      </c>
      <c r="P436" s="75">
        <v>45006.74</v>
      </c>
      <c r="Q436" s="75">
        <v>97900.239999999903</v>
      </c>
      <c r="R436" s="75">
        <v>6764.85</v>
      </c>
      <c r="S436" s="75">
        <v>3999.71</v>
      </c>
      <c r="T436" s="75">
        <v>44952.5799999999</v>
      </c>
      <c r="U436" s="75">
        <v>130093</v>
      </c>
    </row>
    <row r="437" spans="2:21" x14ac:dyDescent="0.2">
      <c r="B437" s="56">
        <v>98506</v>
      </c>
      <c r="C437" s="62" t="s">
        <v>345</v>
      </c>
      <c r="D437" s="46">
        <v>150</v>
      </c>
      <c r="E437" s="46">
        <v>138</v>
      </c>
      <c r="F437" s="46">
        <v>162</v>
      </c>
      <c r="H437" s="73">
        <v>98503</v>
      </c>
      <c r="I437" s="73" t="s">
        <v>10</v>
      </c>
      <c r="J437" s="75">
        <v>210343.11</v>
      </c>
      <c r="K437" s="75">
        <v>175898.82</v>
      </c>
      <c r="L437" s="75">
        <v>816090.46999999904</v>
      </c>
      <c r="M437" s="75">
        <v>1504520.51</v>
      </c>
      <c r="N437" s="75">
        <v>167180.44</v>
      </c>
      <c r="O437" s="75">
        <v>157219.82999999999</v>
      </c>
      <c r="P437" s="75">
        <v>854895.31999999902</v>
      </c>
      <c r="Q437" s="75">
        <v>1495879.6799999999</v>
      </c>
      <c r="R437" s="75">
        <v>178086.86</v>
      </c>
      <c r="S437" s="75">
        <v>124469.59</v>
      </c>
      <c r="T437" s="75">
        <v>869518.38999999897</v>
      </c>
      <c r="U437" s="75">
        <v>1481139.72</v>
      </c>
    </row>
    <row r="438" spans="2:21" x14ac:dyDescent="0.2">
      <c r="B438" s="81">
        <v>98506</v>
      </c>
      <c r="C438" s="62" t="s">
        <v>10</v>
      </c>
      <c r="D438" s="46">
        <v>1332</v>
      </c>
      <c r="E438" s="46">
        <v>1358</v>
      </c>
      <c r="F438" s="46">
        <v>1362</v>
      </c>
      <c r="H438" s="73">
        <v>98506</v>
      </c>
      <c r="I438" s="73" t="s">
        <v>345</v>
      </c>
      <c r="J438" s="75">
        <v>7601.55</v>
      </c>
      <c r="K438" s="75">
        <v>14405.91</v>
      </c>
      <c r="L438" s="75">
        <v>52838.15</v>
      </c>
      <c r="M438" s="75">
        <v>126380.32</v>
      </c>
      <c r="N438" s="75">
        <v>5926.36</v>
      </c>
      <c r="O438" s="75">
        <v>4495.04</v>
      </c>
      <c r="P438" s="75">
        <v>50447.789999999899</v>
      </c>
      <c r="Q438" s="75">
        <v>91279.56</v>
      </c>
      <c r="R438" s="75">
        <v>7359.13</v>
      </c>
      <c r="S438" s="75">
        <v>5271.93</v>
      </c>
      <c r="T438" s="75">
        <v>52130.89</v>
      </c>
      <c r="U438" s="75">
        <v>101965.17</v>
      </c>
    </row>
    <row r="439" spans="2:21" x14ac:dyDescent="0.2">
      <c r="B439" s="56">
        <v>98512</v>
      </c>
      <c r="C439" s="62" t="s">
        <v>345</v>
      </c>
      <c r="D439" s="46">
        <v>232</v>
      </c>
      <c r="E439" s="46">
        <v>209</v>
      </c>
      <c r="F439" s="46">
        <v>211</v>
      </c>
      <c r="H439" s="73">
        <v>98506</v>
      </c>
      <c r="I439" s="73" t="s">
        <v>10</v>
      </c>
      <c r="J439" s="75">
        <v>92087.16</v>
      </c>
      <c r="K439" s="75">
        <v>73184.850000000006</v>
      </c>
      <c r="L439" s="75">
        <v>329801.63</v>
      </c>
      <c r="M439" s="75">
        <v>612541.68999999994</v>
      </c>
      <c r="N439" s="75">
        <v>63597.599999999999</v>
      </c>
      <c r="O439" s="75">
        <v>66765.56</v>
      </c>
      <c r="P439" s="75">
        <v>346371.72</v>
      </c>
      <c r="Q439" s="75">
        <v>590064.29</v>
      </c>
      <c r="R439" s="75">
        <v>62536.97</v>
      </c>
      <c r="S439" s="75">
        <v>48478.04</v>
      </c>
      <c r="T439" s="75">
        <v>330131.30999999901</v>
      </c>
      <c r="U439" s="75">
        <v>560774.22</v>
      </c>
    </row>
    <row r="440" spans="2:21" x14ac:dyDescent="0.2">
      <c r="B440" s="81">
        <v>98512</v>
      </c>
      <c r="C440" s="62" t="s">
        <v>10</v>
      </c>
      <c r="D440" s="46">
        <v>2058</v>
      </c>
      <c r="E440" s="46">
        <v>2015</v>
      </c>
      <c r="F440" s="46">
        <v>2058</v>
      </c>
      <c r="H440" s="73">
        <v>98512</v>
      </c>
      <c r="I440" s="73" t="s">
        <v>345</v>
      </c>
      <c r="J440" s="75">
        <v>49773.09</v>
      </c>
      <c r="K440" s="75">
        <v>100072.85</v>
      </c>
      <c r="L440" s="75">
        <v>343872.90999999898</v>
      </c>
      <c r="M440" s="75">
        <v>627054.11</v>
      </c>
      <c r="N440" s="75">
        <v>57834.97</v>
      </c>
      <c r="O440" s="75">
        <v>42216.05</v>
      </c>
      <c r="P440" s="75">
        <v>393185.56999999902</v>
      </c>
      <c r="Q440" s="75">
        <v>644534.05000000005</v>
      </c>
      <c r="R440" s="75">
        <v>59492.19</v>
      </c>
      <c r="S440" s="75">
        <v>50393.09</v>
      </c>
      <c r="T440" s="75">
        <v>403958.3</v>
      </c>
      <c r="U440" s="75">
        <v>555665.38</v>
      </c>
    </row>
    <row r="441" spans="2:21" x14ac:dyDescent="0.2">
      <c r="B441" s="56">
        <v>98513</v>
      </c>
      <c r="C441" s="62" t="s">
        <v>345</v>
      </c>
      <c r="D441" s="46">
        <v>166</v>
      </c>
      <c r="E441" s="46">
        <v>149</v>
      </c>
      <c r="F441" s="46">
        <v>120</v>
      </c>
      <c r="H441" s="73">
        <v>98512</v>
      </c>
      <c r="I441" s="73" t="s">
        <v>10</v>
      </c>
      <c r="J441" s="75">
        <v>162087.32999999999</v>
      </c>
      <c r="K441" s="75">
        <v>132318.56</v>
      </c>
      <c r="L441" s="75">
        <v>612569.13</v>
      </c>
      <c r="M441" s="75">
        <v>1126979.26999999</v>
      </c>
      <c r="N441" s="75">
        <v>129816.2</v>
      </c>
      <c r="O441" s="75">
        <v>127723.17</v>
      </c>
      <c r="P441" s="75">
        <v>647122.80000000005</v>
      </c>
      <c r="Q441" s="75">
        <v>1132134.03999999</v>
      </c>
      <c r="R441" s="75">
        <v>145458.35</v>
      </c>
      <c r="S441" s="75">
        <v>99219.86</v>
      </c>
      <c r="T441" s="75">
        <v>647559.13</v>
      </c>
      <c r="U441" s="75">
        <v>1097437.1499999899</v>
      </c>
    </row>
    <row r="442" spans="2:21" x14ac:dyDescent="0.2">
      <c r="B442" s="81">
        <v>98513</v>
      </c>
      <c r="C442" s="62" t="s">
        <v>10</v>
      </c>
      <c r="D442" s="46">
        <v>2239</v>
      </c>
      <c r="E442" s="46">
        <v>2270</v>
      </c>
      <c r="F442" s="46">
        <v>2361</v>
      </c>
      <c r="H442" s="73">
        <v>98513</v>
      </c>
      <c r="I442" s="73" t="s">
        <v>345</v>
      </c>
      <c r="J442" s="75">
        <v>5993.96</v>
      </c>
      <c r="K442" s="75">
        <v>9840.23</v>
      </c>
      <c r="L442" s="75">
        <v>41025.299999999901</v>
      </c>
      <c r="M442" s="75">
        <v>125906.829999999</v>
      </c>
      <c r="N442" s="75">
        <v>3904.25</v>
      </c>
      <c r="O442" s="75">
        <v>2428.27</v>
      </c>
      <c r="P442" s="75">
        <v>45228.27</v>
      </c>
      <c r="Q442" s="75">
        <v>147846.299999999</v>
      </c>
      <c r="R442" s="75">
        <v>3394.92</v>
      </c>
      <c r="S442" s="75">
        <v>3348.32</v>
      </c>
      <c r="T442" s="75">
        <v>41768.239999999998</v>
      </c>
      <c r="U442" s="75">
        <v>93604.129999999903</v>
      </c>
    </row>
    <row r="443" spans="2:21" x14ac:dyDescent="0.2">
      <c r="B443" s="56">
        <v>98516</v>
      </c>
      <c r="C443" s="62" t="s">
        <v>345</v>
      </c>
      <c r="D443" s="46">
        <v>294</v>
      </c>
      <c r="E443" s="46">
        <v>276</v>
      </c>
      <c r="F443" s="46">
        <v>208</v>
      </c>
      <c r="H443" s="73">
        <v>98513</v>
      </c>
      <c r="I443" s="73" t="s">
        <v>10</v>
      </c>
      <c r="J443" s="75">
        <v>139141.29</v>
      </c>
      <c r="K443" s="75">
        <v>133523.85999999999</v>
      </c>
      <c r="L443" s="75">
        <v>590568.06000000006</v>
      </c>
      <c r="M443" s="75">
        <v>1091855.8599999901</v>
      </c>
      <c r="N443" s="75">
        <v>116924.23</v>
      </c>
      <c r="O443" s="75">
        <v>103956.4</v>
      </c>
      <c r="P443" s="75">
        <v>619670.229999998</v>
      </c>
      <c r="Q443" s="75">
        <v>1087209.3700000001</v>
      </c>
      <c r="R443" s="75">
        <v>127797.12</v>
      </c>
      <c r="S443" s="75">
        <v>82116.19</v>
      </c>
      <c r="T443" s="75">
        <v>609519.51999999897</v>
      </c>
      <c r="U443" s="75">
        <v>1076004.49</v>
      </c>
    </row>
    <row r="444" spans="2:21" x14ac:dyDescent="0.2">
      <c r="B444" s="81">
        <v>98516</v>
      </c>
      <c r="C444" s="62" t="s">
        <v>10</v>
      </c>
      <c r="D444" s="46">
        <v>1856</v>
      </c>
      <c r="E444" s="46">
        <v>1889</v>
      </c>
      <c r="F444" s="46">
        <v>1850</v>
      </c>
      <c r="H444" s="73">
        <v>98516</v>
      </c>
      <c r="I444" s="73" t="s">
        <v>345</v>
      </c>
      <c r="J444" s="75">
        <v>184270.16</v>
      </c>
      <c r="K444" s="75">
        <v>43708.07</v>
      </c>
      <c r="L444" s="75">
        <v>468886.07999999903</v>
      </c>
      <c r="M444" s="75">
        <v>879229.76</v>
      </c>
      <c r="N444" s="75">
        <v>115973.71</v>
      </c>
      <c r="O444" s="75">
        <v>178494.8</v>
      </c>
      <c r="P444" s="75">
        <v>503077.2</v>
      </c>
      <c r="Q444" s="75">
        <v>972497.59</v>
      </c>
      <c r="R444" s="75">
        <v>80401.86</v>
      </c>
      <c r="S444" s="75">
        <v>109497.13</v>
      </c>
      <c r="T444" s="75">
        <v>667889.51</v>
      </c>
      <c r="U444" s="75">
        <v>1046676.82</v>
      </c>
    </row>
    <row r="445" spans="2:21" x14ac:dyDescent="0.2">
      <c r="B445" s="56">
        <v>98530</v>
      </c>
      <c r="C445" s="62" t="s">
        <v>345</v>
      </c>
      <c r="D445" s="46">
        <v>2</v>
      </c>
      <c r="E445" s="46">
        <v>2</v>
      </c>
      <c r="F445" s="46"/>
      <c r="H445" s="73">
        <v>98516</v>
      </c>
      <c r="I445" s="73" t="s">
        <v>10</v>
      </c>
      <c r="J445" s="75">
        <v>110202.96</v>
      </c>
      <c r="K445" s="75">
        <v>98019.93</v>
      </c>
      <c r="L445" s="75">
        <v>441908.11999999901</v>
      </c>
      <c r="M445" s="75">
        <v>803754.46999999904</v>
      </c>
      <c r="N445" s="75">
        <v>83136.75</v>
      </c>
      <c r="O445" s="75">
        <v>83853.320000000007</v>
      </c>
      <c r="P445" s="75">
        <v>445203.76999999897</v>
      </c>
      <c r="Q445" s="75">
        <v>796416.14000000095</v>
      </c>
      <c r="R445" s="75">
        <v>106409.69</v>
      </c>
      <c r="S445" s="75">
        <v>63114.400000000001</v>
      </c>
      <c r="T445" s="75">
        <v>430070.67</v>
      </c>
      <c r="U445" s="75">
        <v>775333.19</v>
      </c>
    </row>
    <row r="446" spans="2:21" x14ac:dyDescent="0.2">
      <c r="B446" s="81">
        <v>98530</v>
      </c>
      <c r="C446" s="62" t="s">
        <v>10</v>
      </c>
      <c r="D446" s="46">
        <v>64</v>
      </c>
      <c r="E446" s="46">
        <v>46</v>
      </c>
      <c r="F446" s="46">
        <v>64</v>
      </c>
      <c r="H446" s="73">
        <v>98530</v>
      </c>
      <c r="I446" s="73" t="s">
        <v>345</v>
      </c>
      <c r="J446" s="75">
        <v>17.489999999999998</v>
      </c>
      <c r="K446" s="75">
        <v>17.5</v>
      </c>
      <c r="L446" s="75">
        <v>2543.0299999999902</v>
      </c>
      <c r="M446" s="75">
        <v>2815.85</v>
      </c>
      <c r="N446" s="75">
        <v>237.83</v>
      </c>
      <c r="O446" s="75">
        <v>17.489999999999998</v>
      </c>
      <c r="P446" s="75">
        <v>2560.5300000000002</v>
      </c>
      <c r="Q446" s="75">
        <v>2833.34</v>
      </c>
      <c r="R446" s="75"/>
      <c r="S446" s="75"/>
      <c r="T446" s="75"/>
      <c r="U446" s="75"/>
    </row>
    <row r="447" spans="2:21" x14ac:dyDescent="0.2">
      <c r="B447" s="56">
        <v>98531</v>
      </c>
      <c r="C447" s="62" t="s">
        <v>345</v>
      </c>
      <c r="D447" s="46">
        <v>56</v>
      </c>
      <c r="E447" s="46">
        <v>47</v>
      </c>
      <c r="F447" s="46">
        <v>51</v>
      </c>
      <c r="H447" s="73">
        <v>98530</v>
      </c>
      <c r="I447" s="73" t="s">
        <v>10</v>
      </c>
      <c r="J447" s="75"/>
      <c r="K447" s="75">
        <v>9483.6299999999992</v>
      </c>
      <c r="L447" s="75">
        <v>32716.6499999999</v>
      </c>
      <c r="M447" s="75">
        <v>58169.679999999898</v>
      </c>
      <c r="N447" s="75">
        <v>12316.49</v>
      </c>
      <c r="O447" s="75"/>
      <c r="P447" s="75">
        <v>38985.729999999901</v>
      </c>
      <c r="Q447" s="75">
        <v>51520.01</v>
      </c>
      <c r="R447" s="75">
        <v>77.430000000000007</v>
      </c>
      <c r="S447" s="75">
        <v>10589.67</v>
      </c>
      <c r="T447" s="75">
        <v>37274.89</v>
      </c>
      <c r="U447" s="75">
        <v>59220.62</v>
      </c>
    </row>
    <row r="448" spans="2:21" x14ac:dyDescent="0.2">
      <c r="B448" s="81">
        <v>98531</v>
      </c>
      <c r="C448" s="62" t="s">
        <v>10</v>
      </c>
      <c r="D448" s="46">
        <v>517</v>
      </c>
      <c r="E448" s="46">
        <v>516</v>
      </c>
      <c r="F448" s="46">
        <v>537</v>
      </c>
      <c r="H448" s="73">
        <v>98531</v>
      </c>
      <c r="I448" s="73" t="s">
        <v>345</v>
      </c>
      <c r="J448" s="75">
        <v>4206.8500000000004</v>
      </c>
      <c r="K448" s="75">
        <v>3635.41</v>
      </c>
      <c r="L448" s="75">
        <v>29018.749999999902</v>
      </c>
      <c r="M448" s="75">
        <v>50135.78</v>
      </c>
      <c r="N448" s="75">
        <v>2405.0300000000002</v>
      </c>
      <c r="O448" s="75">
        <v>2621.08</v>
      </c>
      <c r="P448" s="75">
        <v>25818.889999999901</v>
      </c>
      <c r="Q448" s="75">
        <v>34192.370000000003</v>
      </c>
      <c r="R448" s="75">
        <v>891.6</v>
      </c>
      <c r="S448" s="75">
        <v>815.89</v>
      </c>
      <c r="T448" s="75">
        <v>17641.2399999999</v>
      </c>
      <c r="U448" s="75">
        <v>31893.74</v>
      </c>
    </row>
    <row r="449" spans="2:21" x14ac:dyDescent="0.2">
      <c r="B449" s="56">
        <v>98532</v>
      </c>
      <c r="C449" s="62" t="s">
        <v>345</v>
      </c>
      <c r="D449" s="46">
        <v>19</v>
      </c>
      <c r="E449" s="46">
        <v>30</v>
      </c>
      <c r="F449" s="46">
        <v>20</v>
      </c>
      <c r="H449" s="73">
        <v>98531</v>
      </c>
      <c r="I449" s="73" t="s">
        <v>10</v>
      </c>
      <c r="J449" s="75">
        <v>26273.57</v>
      </c>
      <c r="K449" s="75">
        <v>27471.78</v>
      </c>
      <c r="L449" s="75">
        <v>129417.33</v>
      </c>
      <c r="M449" s="75">
        <v>221508.94999999899</v>
      </c>
      <c r="N449" s="75">
        <v>26313.040000000001</v>
      </c>
      <c r="O449" s="75">
        <v>19947.53</v>
      </c>
      <c r="P449" s="75">
        <v>141090.53</v>
      </c>
      <c r="Q449" s="75">
        <v>209285.46</v>
      </c>
      <c r="R449" s="75">
        <v>13305.63</v>
      </c>
      <c r="S449" s="75">
        <v>21065.33</v>
      </c>
      <c r="T449" s="75">
        <v>143723.06</v>
      </c>
      <c r="U449" s="75">
        <v>207163.45</v>
      </c>
    </row>
    <row r="450" spans="2:21" x14ac:dyDescent="0.2">
      <c r="B450" s="81">
        <v>98532</v>
      </c>
      <c r="C450" s="62" t="s">
        <v>10</v>
      </c>
      <c r="D450" s="46">
        <v>193</v>
      </c>
      <c r="E450" s="46">
        <v>173</v>
      </c>
      <c r="F450" s="46">
        <v>176</v>
      </c>
      <c r="H450" s="73">
        <v>98532</v>
      </c>
      <c r="I450" s="73" t="s">
        <v>345</v>
      </c>
      <c r="J450" s="75">
        <v>1670.37</v>
      </c>
      <c r="K450" s="75">
        <v>1479.34</v>
      </c>
      <c r="L450" s="75">
        <v>3219.97</v>
      </c>
      <c r="M450" s="75">
        <v>15553.879999999899</v>
      </c>
      <c r="N450" s="75">
        <v>1379.3</v>
      </c>
      <c r="O450" s="75">
        <v>1627.42</v>
      </c>
      <c r="P450" s="75">
        <v>4582.93</v>
      </c>
      <c r="Q450" s="75">
        <v>11921.6899999999</v>
      </c>
      <c r="R450" s="75">
        <v>1215.8599999999999</v>
      </c>
      <c r="S450" s="75">
        <v>1307.0999999999999</v>
      </c>
      <c r="T450" s="75">
        <v>6058.4</v>
      </c>
      <c r="U450" s="75">
        <v>10864.86</v>
      </c>
    </row>
    <row r="451" spans="2:21" x14ac:dyDescent="0.2">
      <c r="B451" s="56">
        <v>98558</v>
      </c>
      <c r="C451" s="62" t="s">
        <v>345</v>
      </c>
      <c r="D451" s="46">
        <v>1</v>
      </c>
      <c r="E451" s="46">
        <v>1</v>
      </c>
      <c r="F451" s="46">
        <v>1</v>
      </c>
      <c r="H451" s="73">
        <v>98532</v>
      </c>
      <c r="I451" s="73" t="s">
        <v>10</v>
      </c>
      <c r="J451" s="75">
        <v>8726.92</v>
      </c>
      <c r="K451" s="75">
        <v>6425.89</v>
      </c>
      <c r="L451" s="75">
        <v>35948.089999999902</v>
      </c>
      <c r="M451" s="75">
        <v>59537.34</v>
      </c>
      <c r="N451" s="75">
        <v>5903.74</v>
      </c>
      <c r="O451" s="75">
        <v>7244.3</v>
      </c>
      <c r="P451" s="75">
        <v>38844.789999999899</v>
      </c>
      <c r="Q451" s="75">
        <v>56488.14</v>
      </c>
      <c r="R451" s="75">
        <v>3163.29</v>
      </c>
      <c r="S451" s="75">
        <v>4805.01</v>
      </c>
      <c r="T451" s="75">
        <v>40754.109999999899</v>
      </c>
      <c r="U451" s="75">
        <v>52511.69</v>
      </c>
    </row>
    <row r="452" spans="2:21" x14ac:dyDescent="0.2">
      <c r="B452" s="81">
        <v>98558</v>
      </c>
      <c r="C452" s="62" t="s">
        <v>10</v>
      </c>
      <c r="D452" s="46">
        <v>14</v>
      </c>
      <c r="E452" s="46">
        <v>13</v>
      </c>
      <c r="F452" s="46">
        <v>12</v>
      </c>
      <c r="H452" s="73">
        <v>98558</v>
      </c>
      <c r="I452" s="73" t="s">
        <v>345</v>
      </c>
      <c r="J452" s="75">
        <v>59.1</v>
      </c>
      <c r="K452" s="75">
        <v>59.17</v>
      </c>
      <c r="L452" s="75">
        <v>6714.08</v>
      </c>
      <c r="M452" s="75">
        <v>6891.45</v>
      </c>
      <c r="N452" s="75">
        <v>59.1</v>
      </c>
      <c r="O452" s="75">
        <v>59.1</v>
      </c>
      <c r="P452" s="75">
        <v>6773.25</v>
      </c>
      <c r="Q452" s="75">
        <v>6950.55</v>
      </c>
      <c r="R452" s="75">
        <v>59.1</v>
      </c>
      <c r="S452" s="75">
        <v>59.1</v>
      </c>
      <c r="T452" s="75">
        <v>6832.35</v>
      </c>
      <c r="U452" s="75">
        <v>7009.65</v>
      </c>
    </row>
    <row r="453" spans="2:21" x14ac:dyDescent="0.2">
      <c r="B453" s="56">
        <v>98568</v>
      </c>
      <c r="C453" s="62" t="s">
        <v>345</v>
      </c>
      <c r="D453" s="46">
        <v>1</v>
      </c>
      <c r="E453" s="46"/>
      <c r="F453" s="46"/>
      <c r="H453" s="73">
        <v>98558</v>
      </c>
      <c r="I453" s="73" t="s">
        <v>10</v>
      </c>
      <c r="J453" s="75">
        <v>1610.46</v>
      </c>
      <c r="K453" s="75">
        <v>1770.81</v>
      </c>
      <c r="L453" s="75">
        <v>5202.7700000000004</v>
      </c>
      <c r="M453" s="75">
        <v>9612.73</v>
      </c>
      <c r="N453" s="75"/>
      <c r="O453" s="75">
        <v>880.46</v>
      </c>
      <c r="P453" s="75">
        <v>5619.41</v>
      </c>
      <c r="Q453" s="75">
        <v>7540.48</v>
      </c>
      <c r="R453" s="75">
        <v>767.37</v>
      </c>
      <c r="S453" s="75"/>
      <c r="T453" s="75">
        <v>5572.74</v>
      </c>
      <c r="U453" s="75">
        <v>7194.25</v>
      </c>
    </row>
    <row r="454" spans="2:21" x14ac:dyDescent="0.2">
      <c r="B454" s="81">
        <v>98568</v>
      </c>
      <c r="C454" s="62" t="s">
        <v>10</v>
      </c>
      <c r="D454" s="46">
        <v>2</v>
      </c>
      <c r="E454" s="46">
        <v>1</v>
      </c>
      <c r="F454" s="46">
        <v>1</v>
      </c>
      <c r="H454" s="73">
        <v>98568</v>
      </c>
      <c r="I454" s="73" t="s">
        <v>345</v>
      </c>
      <c r="J454" s="75"/>
      <c r="K454" s="75">
        <v>139.47</v>
      </c>
      <c r="L454" s="75">
        <v>650.03</v>
      </c>
      <c r="M454" s="75">
        <v>908.349999999999</v>
      </c>
      <c r="N454" s="75"/>
      <c r="O454" s="75"/>
      <c r="P454" s="75"/>
      <c r="Q454" s="75"/>
      <c r="R454" s="75"/>
      <c r="S454" s="75"/>
      <c r="T454" s="75"/>
      <c r="U454" s="75"/>
    </row>
    <row r="455" spans="2:21" x14ac:dyDescent="0.2">
      <c r="B455" s="56">
        <v>98576</v>
      </c>
      <c r="C455" s="62" t="s">
        <v>345</v>
      </c>
      <c r="D455" s="46">
        <v>43</v>
      </c>
      <c r="E455" s="46">
        <v>39</v>
      </c>
      <c r="F455" s="71">
        <v>45</v>
      </c>
      <c r="H455" s="73">
        <v>98568</v>
      </c>
      <c r="I455" s="73" t="s">
        <v>10</v>
      </c>
      <c r="J455" s="75"/>
      <c r="K455" s="75"/>
      <c r="L455" s="75"/>
      <c r="M455" s="75">
        <v>474.719999999999</v>
      </c>
      <c r="N455" s="75">
        <v>94.26</v>
      </c>
      <c r="O455" s="75"/>
      <c r="P455" s="75"/>
      <c r="Q455" s="75">
        <v>94.26</v>
      </c>
      <c r="R455" s="75"/>
      <c r="S455" s="75"/>
      <c r="T455" s="75"/>
      <c r="U455" s="75">
        <v>147.47</v>
      </c>
    </row>
    <row r="456" spans="2:21" x14ac:dyDescent="0.2">
      <c r="B456" s="81">
        <v>98576</v>
      </c>
      <c r="C456" s="62" t="s">
        <v>10</v>
      </c>
      <c r="D456" s="46">
        <v>458</v>
      </c>
      <c r="E456" s="46">
        <v>418</v>
      </c>
      <c r="F456" s="46">
        <v>456</v>
      </c>
      <c r="H456" s="73">
        <v>98576</v>
      </c>
      <c r="I456" s="73" t="s">
        <v>345</v>
      </c>
      <c r="J456" s="75">
        <v>2990.48</v>
      </c>
      <c r="K456" s="75">
        <v>573.49</v>
      </c>
      <c r="L456" s="75">
        <v>2359.2399999999998</v>
      </c>
      <c r="M456" s="75">
        <v>9802.4500000000007</v>
      </c>
      <c r="N456" s="75">
        <v>1630.51</v>
      </c>
      <c r="O456" s="75">
        <v>1365.72</v>
      </c>
      <c r="P456" s="75">
        <v>2413.6799999999998</v>
      </c>
      <c r="Q456" s="75">
        <v>8773.3799999999992</v>
      </c>
      <c r="R456" s="75">
        <v>968.32</v>
      </c>
      <c r="S456" s="75">
        <v>646.52</v>
      </c>
      <c r="T456" s="75">
        <v>2334.94</v>
      </c>
      <c r="U456" s="75">
        <v>25436.34</v>
      </c>
    </row>
    <row r="457" spans="2:21" x14ac:dyDescent="0.2">
      <c r="B457" s="56">
        <v>98579</v>
      </c>
      <c r="C457" s="62" t="s">
        <v>345</v>
      </c>
      <c r="D457" s="46">
        <v>72</v>
      </c>
      <c r="E457" s="46">
        <v>85</v>
      </c>
      <c r="F457" s="46">
        <v>101</v>
      </c>
      <c r="H457" s="73">
        <v>98576</v>
      </c>
      <c r="I457" s="73" t="s">
        <v>10</v>
      </c>
      <c r="J457" s="75">
        <v>42244.93</v>
      </c>
      <c r="K457" s="75">
        <v>23741.61</v>
      </c>
      <c r="L457" s="75">
        <v>207804.59999999899</v>
      </c>
      <c r="M457" s="75">
        <v>329465.02999999898</v>
      </c>
      <c r="N457" s="75">
        <v>28059.599999999999</v>
      </c>
      <c r="O457" s="75">
        <v>29950.05</v>
      </c>
      <c r="P457" s="75">
        <v>213851.75999999899</v>
      </c>
      <c r="Q457" s="75">
        <v>320926.49999999901</v>
      </c>
      <c r="R457" s="75">
        <v>26049.17</v>
      </c>
      <c r="S457" s="75">
        <v>19358.36</v>
      </c>
      <c r="T457" s="75">
        <v>231586.82</v>
      </c>
      <c r="U457" s="75">
        <v>332852.41999999899</v>
      </c>
    </row>
    <row r="458" spans="2:21" x14ac:dyDescent="0.2">
      <c r="B458" s="81">
        <v>98579</v>
      </c>
      <c r="C458" s="62" t="s">
        <v>10</v>
      </c>
      <c r="D458" s="46">
        <v>789</v>
      </c>
      <c r="E458" s="46">
        <v>758</v>
      </c>
      <c r="F458" s="46">
        <v>763</v>
      </c>
      <c r="H458" s="73">
        <v>98579</v>
      </c>
      <c r="I458" s="73" t="s">
        <v>345</v>
      </c>
      <c r="J458" s="75">
        <v>3395.84</v>
      </c>
      <c r="K458" s="75">
        <v>12860.1</v>
      </c>
      <c r="L458" s="75">
        <v>78496.169999999896</v>
      </c>
      <c r="M458" s="75">
        <v>103755.219999999</v>
      </c>
      <c r="N458" s="75">
        <v>7558.49</v>
      </c>
      <c r="O458" s="75">
        <v>3015.43</v>
      </c>
      <c r="P458" s="75">
        <v>83899.51</v>
      </c>
      <c r="Q458" s="75">
        <v>100315.889999999</v>
      </c>
      <c r="R458" s="75">
        <v>2476.1799999999998</v>
      </c>
      <c r="S458" s="75">
        <v>7151.75</v>
      </c>
      <c r="T458" s="75">
        <v>84923.359999999899</v>
      </c>
      <c r="U458" s="75">
        <v>110788.549999999</v>
      </c>
    </row>
    <row r="459" spans="2:21" x14ac:dyDescent="0.2">
      <c r="B459" s="56">
        <v>98580</v>
      </c>
      <c r="C459" s="62" t="s">
        <v>345</v>
      </c>
      <c r="D459" s="46">
        <v>47</v>
      </c>
      <c r="E459" s="46">
        <v>44</v>
      </c>
      <c r="F459" s="46">
        <v>42</v>
      </c>
      <c r="H459" s="73">
        <v>98579</v>
      </c>
      <c r="I459" s="73" t="s">
        <v>10</v>
      </c>
      <c r="J459" s="75">
        <v>75004.47</v>
      </c>
      <c r="K459" s="75">
        <v>88609.55</v>
      </c>
      <c r="L459" s="75">
        <v>370858.18999999901</v>
      </c>
      <c r="M459" s="75">
        <v>633277.45999999903</v>
      </c>
      <c r="N459" s="75">
        <v>59928.63</v>
      </c>
      <c r="O459" s="75">
        <v>57787.23</v>
      </c>
      <c r="P459" s="75">
        <v>406081.47999999899</v>
      </c>
      <c r="Q459" s="75">
        <v>610102.01</v>
      </c>
      <c r="R459" s="75">
        <v>53851.66</v>
      </c>
      <c r="S459" s="75">
        <v>47642.83</v>
      </c>
      <c r="T459" s="75">
        <v>425907.53999999899</v>
      </c>
      <c r="U459" s="75">
        <v>650919.91</v>
      </c>
    </row>
    <row r="460" spans="2:21" x14ac:dyDescent="0.2">
      <c r="B460" s="81">
        <v>98580</v>
      </c>
      <c r="C460" s="62" t="s">
        <v>10</v>
      </c>
      <c r="D460" s="46">
        <v>412</v>
      </c>
      <c r="E460" s="46">
        <v>383</v>
      </c>
      <c r="F460" s="46">
        <v>384</v>
      </c>
      <c r="H460" s="73">
        <v>98580</v>
      </c>
      <c r="I460" s="73" t="s">
        <v>345</v>
      </c>
      <c r="J460" s="75">
        <v>2084.06</v>
      </c>
      <c r="K460" s="75">
        <v>6648.22</v>
      </c>
      <c r="L460" s="75">
        <v>54523.49</v>
      </c>
      <c r="M460" s="75">
        <v>75544.06</v>
      </c>
      <c r="N460" s="75">
        <v>3304.23</v>
      </c>
      <c r="O460" s="75">
        <v>3904.91</v>
      </c>
      <c r="P460" s="75">
        <v>59061.249999999898</v>
      </c>
      <c r="Q460" s="75">
        <v>74525.209999999905</v>
      </c>
      <c r="R460" s="75">
        <v>5039.6099999999997</v>
      </c>
      <c r="S460" s="75">
        <v>3220.71</v>
      </c>
      <c r="T460" s="75">
        <v>61196.55</v>
      </c>
      <c r="U460" s="75">
        <v>77262.350000000006</v>
      </c>
    </row>
    <row r="461" spans="2:21" x14ac:dyDescent="0.2">
      <c r="B461" s="56">
        <v>98589</v>
      </c>
      <c r="C461" s="62" t="s">
        <v>345</v>
      </c>
      <c r="D461" s="46">
        <v>52</v>
      </c>
      <c r="E461" s="46">
        <v>57</v>
      </c>
      <c r="F461" s="46">
        <v>68</v>
      </c>
      <c r="H461" s="73">
        <v>98580</v>
      </c>
      <c r="I461" s="73" t="s">
        <v>10</v>
      </c>
      <c r="J461" s="75">
        <v>42466.63</v>
      </c>
      <c r="K461" s="75">
        <v>43996.37</v>
      </c>
      <c r="L461" s="75">
        <v>210215.15</v>
      </c>
      <c r="M461" s="75">
        <v>350354.43</v>
      </c>
      <c r="N461" s="75">
        <v>17995.599999999999</v>
      </c>
      <c r="O461" s="75">
        <v>32024.06</v>
      </c>
      <c r="P461" s="75">
        <v>241860.89</v>
      </c>
      <c r="Q461" s="75">
        <v>338438.68</v>
      </c>
      <c r="R461" s="75">
        <v>29209.48</v>
      </c>
      <c r="S461" s="75">
        <v>13973.2</v>
      </c>
      <c r="T461" s="75">
        <v>241801.71</v>
      </c>
      <c r="U461" s="75">
        <v>330712.95</v>
      </c>
    </row>
    <row r="462" spans="2:21" x14ac:dyDescent="0.2">
      <c r="B462" s="81">
        <v>98589</v>
      </c>
      <c r="C462" s="62" t="s">
        <v>10</v>
      </c>
      <c r="D462" s="46">
        <v>515</v>
      </c>
      <c r="E462" s="46">
        <v>535</v>
      </c>
      <c r="F462" s="46">
        <v>488</v>
      </c>
      <c r="H462" s="73">
        <v>98589</v>
      </c>
      <c r="I462" s="73" t="s">
        <v>345</v>
      </c>
      <c r="J462" s="75">
        <v>32696.19</v>
      </c>
      <c r="K462" s="75">
        <v>2583.1799999999998</v>
      </c>
      <c r="L462" s="75">
        <v>106120.77</v>
      </c>
      <c r="M462" s="75">
        <v>147029.15999999901</v>
      </c>
      <c r="N462" s="75">
        <v>2557.36</v>
      </c>
      <c r="O462" s="75">
        <v>25514.959999999999</v>
      </c>
      <c r="P462" s="75">
        <v>108193.58</v>
      </c>
      <c r="Q462" s="75">
        <v>154928.389999999</v>
      </c>
      <c r="R462" s="75">
        <v>14801.15</v>
      </c>
      <c r="S462" s="75">
        <v>1612.63</v>
      </c>
      <c r="T462" s="75">
        <v>122185.76</v>
      </c>
      <c r="U462" s="75">
        <v>157802.5</v>
      </c>
    </row>
    <row r="463" spans="2:21" x14ac:dyDescent="0.2">
      <c r="B463" s="56">
        <v>98591</v>
      </c>
      <c r="C463" s="62" t="s">
        <v>345</v>
      </c>
      <c r="D463" s="46">
        <v>1</v>
      </c>
      <c r="E463" s="46"/>
      <c r="F463" s="46"/>
      <c r="H463" s="73">
        <v>98589</v>
      </c>
      <c r="I463" s="73" t="s">
        <v>10</v>
      </c>
      <c r="J463" s="75">
        <v>93043.37</v>
      </c>
      <c r="K463" s="75">
        <v>40259.67</v>
      </c>
      <c r="L463" s="75">
        <v>200247.88</v>
      </c>
      <c r="M463" s="75">
        <v>394948.86999999901</v>
      </c>
      <c r="N463" s="75">
        <v>41424.51</v>
      </c>
      <c r="O463" s="75">
        <v>64663.87</v>
      </c>
      <c r="P463" s="75">
        <v>196461.929999999</v>
      </c>
      <c r="Q463" s="75">
        <v>382579.73</v>
      </c>
      <c r="R463" s="75">
        <v>51767.63</v>
      </c>
      <c r="S463" s="75">
        <v>28705.21</v>
      </c>
      <c r="T463" s="75">
        <v>228694.44999999899</v>
      </c>
      <c r="U463" s="75">
        <v>366271.44</v>
      </c>
    </row>
    <row r="464" spans="2:21" x14ac:dyDescent="0.2">
      <c r="B464" s="81">
        <v>98591</v>
      </c>
      <c r="C464" s="62" t="s">
        <v>10</v>
      </c>
      <c r="D464" s="46">
        <v>16</v>
      </c>
      <c r="E464" s="46">
        <v>15</v>
      </c>
      <c r="F464" s="46">
        <v>15</v>
      </c>
      <c r="H464" s="73">
        <v>98591</v>
      </c>
      <c r="I464" s="73" t="s">
        <v>345</v>
      </c>
      <c r="J464" s="75">
        <v>651.04</v>
      </c>
      <c r="K464" s="75"/>
      <c r="L464" s="75"/>
      <c r="M464" s="75">
        <v>933.02</v>
      </c>
      <c r="N464" s="75"/>
      <c r="O464" s="75"/>
      <c r="P464" s="75"/>
      <c r="Q464" s="75"/>
      <c r="R464" s="75"/>
      <c r="S464" s="75"/>
      <c r="T464" s="75"/>
      <c r="U464" s="75"/>
    </row>
    <row r="465" spans="2:21" x14ac:dyDescent="0.2">
      <c r="B465" s="81">
        <v>98596</v>
      </c>
      <c r="C465" s="62" t="s">
        <v>345</v>
      </c>
      <c r="D465" s="46">
        <v>3</v>
      </c>
      <c r="E465" s="46">
        <v>3</v>
      </c>
      <c r="F465" s="46">
        <v>4</v>
      </c>
      <c r="H465" s="73">
        <v>98591</v>
      </c>
      <c r="I465" s="73" t="s">
        <v>10</v>
      </c>
      <c r="J465" s="75">
        <v>604.83000000000004</v>
      </c>
      <c r="K465" s="75">
        <v>610.70000000000005</v>
      </c>
      <c r="L465" s="75">
        <v>1784.26</v>
      </c>
      <c r="M465" s="75">
        <v>3828.56</v>
      </c>
      <c r="N465" s="75">
        <v>631.61</v>
      </c>
      <c r="O465" s="75">
        <v>590.11</v>
      </c>
      <c r="P465" s="75">
        <v>2380.2199999999998</v>
      </c>
      <c r="Q465" s="75">
        <v>4086.78</v>
      </c>
      <c r="R465" s="75">
        <v>385.26</v>
      </c>
      <c r="S465" s="75">
        <v>520.71</v>
      </c>
      <c r="T465" s="75">
        <v>2605.67</v>
      </c>
      <c r="U465" s="75">
        <v>3836.15</v>
      </c>
    </row>
    <row r="466" spans="2:21" x14ac:dyDescent="0.2">
      <c r="B466" s="56">
        <v>98596</v>
      </c>
      <c r="C466" s="62" t="s">
        <v>10</v>
      </c>
      <c r="D466" s="46">
        <v>21</v>
      </c>
      <c r="E466" s="46">
        <v>20</v>
      </c>
      <c r="F466" s="46">
        <v>19</v>
      </c>
      <c r="H466" s="73">
        <v>98596</v>
      </c>
      <c r="I466" s="73" t="s">
        <v>345</v>
      </c>
      <c r="J466" s="75"/>
      <c r="K466" s="75">
        <v>242.34</v>
      </c>
      <c r="L466" s="75">
        <v>388.63</v>
      </c>
      <c r="M466" s="75">
        <v>941.51</v>
      </c>
      <c r="N466" s="75">
        <v>58.08</v>
      </c>
      <c r="O466" s="75"/>
      <c r="P466" s="75">
        <v>630.97</v>
      </c>
      <c r="Q466" s="75">
        <v>1355.37</v>
      </c>
      <c r="R466" s="75">
        <v>573.47</v>
      </c>
      <c r="S466" s="75"/>
      <c r="T466" s="75"/>
      <c r="U466" s="75">
        <v>1489.34</v>
      </c>
    </row>
    <row r="467" spans="2:21" x14ac:dyDescent="0.2">
      <c r="B467" s="81">
        <v>98597</v>
      </c>
      <c r="C467" s="62" t="s">
        <v>345</v>
      </c>
      <c r="D467" s="46">
        <v>248</v>
      </c>
      <c r="E467" s="46">
        <v>201</v>
      </c>
      <c r="F467" s="46">
        <v>253</v>
      </c>
      <c r="H467" s="73">
        <v>98596</v>
      </c>
      <c r="I467" s="73" t="s">
        <v>10</v>
      </c>
      <c r="J467" s="75">
        <v>1026.29</v>
      </c>
      <c r="K467" s="75">
        <v>655.34</v>
      </c>
      <c r="L467" s="75">
        <v>6698.94</v>
      </c>
      <c r="M467" s="75">
        <v>9149.4199999999892</v>
      </c>
      <c r="N467" s="75">
        <v>504.14</v>
      </c>
      <c r="O467" s="75">
        <v>769.28</v>
      </c>
      <c r="P467" s="75">
        <v>7084.6399999999903</v>
      </c>
      <c r="Q467" s="75">
        <v>8963.57</v>
      </c>
      <c r="R467" s="75">
        <v>489.76</v>
      </c>
      <c r="S467" s="75">
        <v>491.85</v>
      </c>
      <c r="T467" s="75">
        <v>7853.92</v>
      </c>
      <c r="U467" s="75">
        <v>9189.2399999999907</v>
      </c>
    </row>
    <row r="468" spans="2:21" x14ac:dyDescent="0.2">
      <c r="B468" s="56">
        <v>98597</v>
      </c>
      <c r="C468" s="62" t="s">
        <v>10</v>
      </c>
      <c r="D468" s="46">
        <v>2209</v>
      </c>
      <c r="E468" s="46">
        <v>2130</v>
      </c>
      <c r="F468" s="46">
        <v>2282</v>
      </c>
      <c r="H468" s="73">
        <v>98597</v>
      </c>
      <c r="I468" s="73" t="s">
        <v>345</v>
      </c>
      <c r="J468" s="75">
        <v>9991.61</v>
      </c>
      <c r="K468" s="75">
        <v>9451.5300000000007</v>
      </c>
      <c r="L468" s="75">
        <v>56185.919999999998</v>
      </c>
      <c r="M468" s="75">
        <v>144920.65999999901</v>
      </c>
      <c r="N468" s="75">
        <v>8343.52</v>
      </c>
      <c r="O468" s="75">
        <v>7391.33</v>
      </c>
      <c r="P468" s="75">
        <v>52476.74</v>
      </c>
      <c r="Q468" s="75">
        <v>105744.46</v>
      </c>
      <c r="R468" s="75">
        <v>8979.9699999999993</v>
      </c>
      <c r="S468" s="75">
        <v>5994.75</v>
      </c>
      <c r="T468" s="75">
        <v>53989.059999999903</v>
      </c>
      <c r="U468" s="75">
        <v>135463.18</v>
      </c>
    </row>
    <row r="469" spans="2:21" x14ac:dyDescent="0.2">
      <c r="B469" s="81">
        <v>98922</v>
      </c>
      <c r="C469" s="62" t="s">
        <v>345</v>
      </c>
      <c r="D469" s="46">
        <v>234</v>
      </c>
      <c r="E469" s="46">
        <v>194</v>
      </c>
      <c r="F469" s="46">
        <v>266</v>
      </c>
      <c r="H469" s="73">
        <v>98597</v>
      </c>
      <c r="I469" s="73" t="s">
        <v>10</v>
      </c>
      <c r="J469" s="75">
        <v>155221.95000000001</v>
      </c>
      <c r="K469" s="75">
        <v>149809.20000000001</v>
      </c>
      <c r="L469" s="75">
        <v>745290.97</v>
      </c>
      <c r="M469" s="75">
        <v>1303672.57</v>
      </c>
      <c r="N469" s="75">
        <v>129020.02</v>
      </c>
      <c r="O469" s="75">
        <v>121335.58</v>
      </c>
      <c r="P469" s="75">
        <v>793966.13</v>
      </c>
      <c r="Q469" s="75">
        <v>1307121.6200000001</v>
      </c>
      <c r="R469" s="75">
        <v>130895.52</v>
      </c>
      <c r="S469" s="75">
        <v>97098.41</v>
      </c>
      <c r="T469" s="75">
        <v>807113.34</v>
      </c>
      <c r="U469" s="75">
        <v>1330152.3700000001</v>
      </c>
    </row>
    <row r="470" spans="2:21" x14ac:dyDescent="0.2">
      <c r="B470" s="56">
        <v>98922</v>
      </c>
      <c r="C470" s="62" t="s">
        <v>10</v>
      </c>
      <c r="D470" s="46">
        <v>835</v>
      </c>
      <c r="E470" s="46">
        <v>732</v>
      </c>
      <c r="F470" s="46">
        <v>744</v>
      </c>
      <c r="H470" s="73">
        <v>98922</v>
      </c>
      <c r="I470" s="73" t="s">
        <v>345</v>
      </c>
      <c r="J470" s="75">
        <v>7518.21</v>
      </c>
      <c r="K470" s="75">
        <v>2970.4</v>
      </c>
      <c r="L470" s="75">
        <v>14708.72</v>
      </c>
      <c r="M470" s="75">
        <v>118682.98</v>
      </c>
      <c r="N470" s="75">
        <v>27423.07</v>
      </c>
      <c r="O470" s="75">
        <v>4531.53</v>
      </c>
      <c r="P470" s="75">
        <v>12914.76</v>
      </c>
      <c r="Q470" s="75">
        <v>92442.82</v>
      </c>
      <c r="R470" s="75">
        <v>5571.52</v>
      </c>
      <c r="S470" s="75">
        <v>1731.6</v>
      </c>
      <c r="T470" s="75">
        <v>13942.78</v>
      </c>
      <c r="U470" s="75">
        <v>160730.61999999901</v>
      </c>
    </row>
    <row r="471" spans="2:21" x14ac:dyDescent="0.2">
      <c r="B471" s="81">
        <v>98925</v>
      </c>
      <c r="C471" s="62" t="s">
        <v>345</v>
      </c>
      <c r="D471" s="46">
        <v>7</v>
      </c>
      <c r="E471" s="46">
        <v>10</v>
      </c>
      <c r="F471" s="46">
        <v>11</v>
      </c>
      <c r="H471" s="73">
        <v>98922</v>
      </c>
      <c r="I471" s="73" t="s">
        <v>10</v>
      </c>
      <c r="J471" s="75">
        <v>68876.13</v>
      </c>
      <c r="K471" s="75">
        <v>41550.01</v>
      </c>
      <c r="L471" s="75">
        <v>210061.02</v>
      </c>
      <c r="M471" s="75">
        <v>411327.59</v>
      </c>
      <c r="N471" s="75">
        <v>39871.64</v>
      </c>
      <c r="O471" s="75">
        <v>49200.959999999999</v>
      </c>
      <c r="P471" s="75">
        <v>213037.86</v>
      </c>
      <c r="Q471" s="75">
        <v>386720.64</v>
      </c>
      <c r="R471" s="75">
        <v>36521.86</v>
      </c>
      <c r="S471" s="75">
        <v>27121.32</v>
      </c>
      <c r="T471" s="75">
        <v>227540.03999999899</v>
      </c>
      <c r="U471" s="75">
        <v>372003.81999999902</v>
      </c>
    </row>
    <row r="472" spans="2:21" x14ac:dyDescent="0.2">
      <c r="B472" s="56">
        <v>98925</v>
      </c>
      <c r="C472" s="62" t="s">
        <v>10</v>
      </c>
      <c r="D472" s="46">
        <v>72</v>
      </c>
      <c r="E472" s="46">
        <v>74</v>
      </c>
      <c r="F472" s="46">
        <v>79</v>
      </c>
      <c r="H472" s="73">
        <v>98925</v>
      </c>
      <c r="I472" s="73" t="s">
        <v>345</v>
      </c>
      <c r="J472" s="75">
        <v>96.55</v>
      </c>
      <c r="K472" s="75">
        <v>145.26</v>
      </c>
      <c r="L472" s="75">
        <v>5333.57</v>
      </c>
      <c r="M472" s="75">
        <v>6047.59</v>
      </c>
      <c r="N472" s="75">
        <v>163.47999999999999</v>
      </c>
      <c r="O472" s="75">
        <v>71.72</v>
      </c>
      <c r="P472" s="75">
        <v>556.80999999999995</v>
      </c>
      <c r="Q472" s="75">
        <v>6212.1399999999903</v>
      </c>
      <c r="R472" s="75">
        <v>5132.6400000000003</v>
      </c>
      <c r="S472" s="75"/>
      <c r="T472" s="75">
        <v>374.35</v>
      </c>
      <c r="U472" s="75">
        <v>6852.75</v>
      </c>
    </row>
    <row r="473" spans="2:21" x14ac:dyDescent="0.2">
      <c r="B473" s="81">
        <v>98926</v>
      </c>
      <c r="C473" s="62" t="s">
        <v>345</v>
      </c>
      <c r="D473" s="46">
        <v>98</v>
      </c>
      <c r="E473" s="46">
        <v>89</v>
      </c>
      <c r="F473" s="46">
        <v>101</v>
      </c>
      <c r="H473" s="73">
        <v>98925</v>
      </c>
      <c r="I473" s="73" t="s">
        <v>10</v>
      </c>
      <c r="J473" s="75">
        <v>6698.35</v>
      </c>
      <c r="K473" s="75">
        <v>7495.7</v>
      </c>
      <c r="L473" s="75">
        <v>51244.15</v>
      </c>
      <c r="M473" s="75">
        <v>72363.609999999899</v>
      </c>
      <c r="N473" s="75">
        <v>3500.63</v>
      </c>
      <c r="O473" s="75">
        <v>4686.3999999999996</v>
      </c>
      <c r="P473" s="75">
        <v>55728.0799999999</v>
      </c>
      <c r="Q473" s="75">
        <v>70574.479999999894</v>
      </c>
      <c r="R473" s="75">
        <v>4708.79</v>
      </c>
      <c r="S473" s="75">
        <v>2842.41</v>
      </c>
      <c r="T473" s="75">
        <v>57413.159999999902</v>
      </c>
      <c r="U473" s="75">
        <v>70857.549999999901</v>
      </c>
    </row>
    <row r="474" spans="2:21" x14ac:dyDescent="0.2">
      <c r="B474" s="56">
        <v>98926</v>
      </c>
      <c r="C474" s="62" t="s">
        <v>10</v>
      </c>
      <c r="D474" s="46">
        <v>321</v>
      </c>
      <c r="E474" s="46">
        <v>359</v>
      </c>
      <c r="F474" s="46">
        <v>328</v>
      </c>
      <c r="H474" s="73">
        <v>98926</v>
      </c>
      <c r="I474" s="73" t="s">
        <v>345</v>
      </c>
      <c r="J474" s="75">
        <v>5241.8</v>
      </c>
      <c r="K474" s="75">
        <v>8283.2099999999991</v>
      </c>
      <c r="L474" s="75">
        <v>45755.75</v>
      </c>
      <c r="M474" s="75">
        <v>73366.349999999904</v>
      </c>
      <c r="N474" s="75">
        <v>7356.75</v>
      </c>
      <c r="O474" s="75">
        <v>3716.1</v>
      </c>
      <c r="P474" s="75">
        <v>49392.779999999897</v>
      </c>
      <c r="Q474" s="75">
        <v>91364.47</v>
      </c>
      <c r="R474" s="75">
        <v>14296.24</v>
      </c>
      <c r="S474" s="75">
        <v>5795.41</v>
      </c>
      <c r="T474" s="75">
        <v>47403.78</v>
      </c>
      <c r="U474" s="75">
        <v>94201.039999999906</v>
      </c>
    </row>
    <row r="475" spans="2:21" x14ac:dyDescent="0.2">
      <c r="B475" s="81">
        <v>98934</v>
      </c>
      <c r="C475" s="62" t="s">
        <v>345</v>
      </c>
      <c r="D475" s="46">
        <v>25</v>
      </c>
      <c r="E475" s="46">
        <v>22</v>
      </c>
      <c r="F475" s="46">
        <v>27</v>
      </c>
      <c r="H475" s="73">
        <v>98926</v>
      </c>
      <c r="I475" s="73" t="s">
        <v>10</v>
      </c>
      <c r="J475" s="75">
        <v>35803.56</v>
      </c>
      <c r="K475" s="75">
        <v>24625.85</v>
      </c>
      <c r="L475" s="75">
        <v>196081.329999999</v>
      </c>
      <c r="M475" s="75">
        <v>296596.28999999998</v>
      </c>
      <c r="N475" s="75">
        <v>25342.36</v>
      </c>
      <c r="O475" s="75">
        <v>27716.74</v>
      </c>
      <c r="P475" s="75">
        <v>195602.679999999</v>
      </c>
      <c r="Q475" s="75">
        <v>296071.13</v>
      </c>
      <c r="R475" s="75">
        <v>25277.06</v>
      </c>
      <c r="S475" s="75">
        <v>19077.2</v>
      </c>
      <c r="T475" s="75">
        <v>201556.859999999</v>
      </c>
      <c r="U475" s="75">
        <v>288318.02</v>
      </c>
    </row>
    <row r="476" spans="2:21" x14ac:dyDescent="0.2">
      <c r="B476" s="56">
        <v>98934</v>
      </c>
      <c r="C476" s="62" t="s">
        <v>10</v>
      </c>
      <c r="D476" s="46">
        <v>98</v>
      </c>
      <c r="E476" s="46">
        <v>96</v>
      </c>
      <c r="F476" s="46">
        <v>110</v>
      </c>
      <c r="H476" s="73">
        <v>98934</v>
      </c>
      <c r="I476" s="73" t="s">
        <v>345</v>
      </c>
      <c r="J476" s="75">
        <v>62.12</v>
      </c>
      <c r="K476" s="75">
        <v>15.41</v>
      </c>
      <c r="L476" s="75">
        <v>2416.1699999999901</v>
      </c>
      <c r="M476" s="75">
        <v>11385.7</v>
      </c>
      <c r="N476" s="75">
        <v>15.38</v>
      </c>
      <c r="O476" s="75">
        <v>15.38</v>
      </c>
      <c r="P476" s="75">
        <v>2431.58</v>
      </c>
      <c r="Q476" s="75">
        <v>10017.26</v>
      </c>
      <c r="R476" s="75">
        <v>3623.32</v>
      </c>
      <c r="S476" s="75">
        <v>15.38</v>
      </c>
      <c r="T476" s="75">
        <v>2446.96</v>
      </c>
      <c r="U476" s="75">
        <v>13697.789999999901</v>
      </c>
    </row>
    <row r="477" spans="2:21" x14ac:dyDescent="0.2">
      <c r="B477" s="81">
        <v>98940</v>
      </c>
      <c r="C477" s="62" t="s">
        <v>345</v>
      </c>
      <c r="D477" s="46">
        <v>43</v>
      </c>
      <c r="E477" s="46">
        <v>24</v>
      </c>
      <c r="F477" s="46">
        <v>39</v>
      </c>
      <c r="H477" s="73">
        <v>98934</v>
      </c>
      <c r="I477" s="73" t="s">
        <v>10</v>
      </c>
      <c r="J477" s="75">
        <v>6375.41</v>
      </c>
      <c r="K477" s="75">
        <v>6791.59</v>
      </c>
      <c r="L477" s="75">
        <v>27034.720000000001</v>
      </c>
      <c r="M477" s="75">
        <v>50293.13</v>
      </c>
      <c r="N477" s="75">
        <v>3481</v>
      </c>
      <c r="O477" s="75">
        <v>4864.54</v>
      </c>
      <c r="P477" s="75">
        <v>28401.78</v>
      </c>
      <c r="Q477" s="75">
        <v>44079.95</v>
      </c>
      <c r="R477" s="75">
        <v>3973.34</v>
      </c>
      <c r="S477" s="75">
        <v>2907.05</v>
      </c>
      <c r="T477" s="75">
        <v>29259.94</v>
      </c>
      <c r="U477" s="75">
        <v>45919.44</v>
      </c>
    </row>
    <row r="478" spans="2:21" x14ac:dyDescent="0.2">
      <c r="B478" s="56">
        <v>98940</v>
      </c>
      <c r="C478" s="62" t="s">
        <v>10</v>
      </c>
      <c r="D478" s="46">
        <v>224</v>
      </c>
      <c r="E478" s="46">
        <v>200</v>
      </c>
      <c r="F478" s="46">
        <v>219</v>
      </c>
      <c r="H478" s="73">
        <v>98940</v>
      </c>
      <c r="I478" s="73" t="s">
        <v>345</v>
      </c>
      <c r="J478" s="75">
        <v>2355.27</v>
      </c>
      <c r="K478" s="75">
        <v>529.22</v>
      </c>
      <c r="L478" s="75">
        <v>2336.5</v>
      </c>
      <c r="M478" s="75">
        <v>8933.84</v>
      </c>
      <c r="N478" s="75">
        <v>690.41</v>
      </c>
      <c r="O478" s="75">
        <v>1196.6600000000001</v>
      </c>
      <c r="P478" s="75">
        <v>2112.4499999999998</v>
      </c>
      <c r="Q478" s="75">
        <v>6438.48</v>
      </c>
      <c r="R478" s="75">
        <v>200.87</v>
      </c>
      <c r="S478" s="75">
        <v>57.53</v>
      </c>
      <c r="T478" s="75">
        <v>2582.85</v>
      </c>
      <c r="U478" s="75">
        <v>6106.44</v>
      </c>
    </row>
    <row r="479" spans="2:21" x14ac:dyDescent="0.2">
      <c r="B479" s="81">
        <v>98941</v>
      </c>
      <c r="C479" s="62" t="s">
        <v>345</v>
      </c>
      <c r="D479" s="46">
        <v>38</v>
      </c>
      <c r="E479" s="46">
        <v>23</v>
      </c>
      <c r="F479" s="46">
        <v>30</v>
      </c>
      <c r="H479" s="73">
        <v>98940</v>
      </c>
      <c r="I479" s="73" t="s">
        <v>10</v>
      </c>
      <c r="J479" s="75">
        <v>7944.84</v>
      </c>
      <c r="K479" s="75">
        <v>8402.65</v>
      </c>
      <c r="L479" s="75">
        <v>13827.389999999899</v>
      </c>
      <c r="M479" s="75">
        <v>50190.8</v>
      </c>
      <c r="N479" s="75">
        <v>5379.29</v>
      </c>
      <c r="O479" s="75">
        <v>4704.8599999999997</v>
      </c>
      <c r="P479" s="75">
        <v>15459.47</v>
      </c>
      <c r="Q479" s="75">
        <v>43197.83</v>
      </c>
      <c r="R479" s="75">
        <v>6618.87</v>
      </c>
      <c r="S479" s="75">
        <v>3938.27</v>
      </c>
      <c r="T479" s="75">
        <v>16419.169999999998</v>
      </c>
      <c r="U479" s="75">
        <v>45568.32</v>
      </c>
    </row>
    <row r="480" spans="2:21" x14ac:dyDescent="0.2">
      <c r="B480" s="56">
        <v>98941</v>
      </c>
      <c r="C480" s="62" t="s">
        <v>10</v>
      </c>
      <c r="D480" s="46">
        <v>166</v>
      </c>
      <c r="E480" s="46">
        <v>162</v>
      </c>
      <c r="F480" s="46">
        <v>177</v>
      </c>
      <c r="H480" s="73">
        <v>98941</v>
      </c>
      <c r="I480" s="73" t="s">
        <v>345</v>
      </c>
      <c r="J480" s="75">
        <v>1920.92</v>
      </c>
      <c r="K480" s="75">
        <v>933.53</v>
      </c>
      <c r="L480" s="75">
        <v>5757.3799999999901</v>
      </c>
      <c r="M480" s="75">
        <v>14316.129999999899</v>
      </c>
      <c r="N480" s="75">
        <v>1563.91</v>
      </c>
      <c r="O480" s="75">
        <v>1510.01</v>
      </c>
      <c r="P480" s="75">
        <v>4020.5499999999902</v>
      </c>
      <c r="Q480" s="75">
        <v>10632.71</v>
      </c>
      <c r="R480" s="75">
        <v>853.05</v>
      </c>
      <c r="S480" s="75">
        <v>490.46</v>
      </c>
      <c r="T480" s="75">
        <v>4161.4399999999996</v>
      </c>
      <c r="U480" s="75">
        <v>8662.75</v>
      </c>
    </row>
    <row r="481" spans="2:21" x14ac:dyDescent="0.2">
      <c r="B481" s="81">
        <v>98943</v>
      </c>
      <c r="C481" s="62" t="s">
        <v>345</v>
      </c>
      <c r="D481" s="46">
        <v>6</v>
      </c>
      <c r="E481" s="46">
        <v>6</v>
      </c>
      <c r="F481" s="46">
        <v>10</v>
      </c>
      <c r="H481" s="73">
        <v>98941</v>
      </c>
      <c r="I481" s="73" t="s">
        <v>10</v>
      </c>
      <c r="J481" s="75">
        <v>9209.86</v>
      </c>
      <c r="K481" s="75">
        <v>8013.25</v>
      </c>
      <c r="L481" s="75">
        <v>46398.41</v>
      </c>
      <c r="M481" s="75">
        <v>76901.819999999905</v>
      </c>
      <c r="N481" s="75">
        <v>5854.9</v>
      </c>
      <c r="O481" s="75">
        <v>6186.98</v>
      </c>
      <c r="P481" s="75">
        <v>48508.489999999903</v>
      </c>
      <c r="Q481" s="75">
        <v>76877.17</v>
      </c>
      <c r="R481" s="75">
        <v>9001.77</v>
      </c>
      <c r="S481" s="75">
        <v>4418.97</v>
      </c>
      <c r="T481" s="75">
        <v>37857.14</v>
      </c>
      <c r="U481" s="75">
        <v>67341.859999999899</v>
      </c>
    </row>
    <row r="482" spans="2:21" x14ac:dyDescent="0.2">
      <c r="B482" s="56">
        <v>98943</v>
      </c>
      <c r="C482" s="62" t="s">
        <v>10</v>
      </c>
      <c r="D482" s="46">
        <v>71</v>
      </c>
      <c r="E482" s="46">
        <v>63</v>
      </c>
      <c r="F482" s="46">
        <v>81</v>
      </c>
      <c r="H482" s="73">
        <v>98943</v>
      </c>
      <c r="I482" s="73" t="s">
        <v>345</v>
      </c>
      <c r="J482" s="75">
        <v>11450.57</v>
      </c>
      <c r="K482" s="75">
        <v>13340.56</v>
      </c>
      <c r="L482" s="75">
        <v>245326.43999999901</v>
      </c>
      <c r="M482" s="75">
        <v>279550.59999999998</v>
      </c>
      <c r="N482" s="75">
        <v>9370.41</v>
      </c>
      <c r="O482" s="75">
        <v>11257.49</v>
      </c>
      <c r="P482" s="75">
        <v>249933.46</v>
      </c>
      <c r="Q482" s="75">
        <v>283357.28999999998</v>
      </c>
      <c r="R482" s="75">
        <v>12469.36</v>
      </c>
      <c r="S482" s="75">
        <v>9165.3799999999992</v>
      </c>
      <c r="T482" s="75">
        <v>261183.75</v>
      </c>
      <c r="U482" s="75">
        <v>294329.05</v>
      </c>
    </row>
    <row r="483" spans="2:21" x14ac:dyDescent="0.2">
      <c r="B483" s="81">
        <v>98946</v>
      </c>
      <c r="C483" s="62" t="s">
        <v>345</v>
      </c>
      <c r="D483" s="46">
        <v>21</v>
      </c>
      <c r="E483" s="46">
        <v>16</v>
      </c>
      <c r="F483" s="46">
        <v>19</v>
      </c>
      <c r="H483" s="73">
        <v>98943</v>
      </c>
      <c r="I483" s="73" t="s">
        <v>10</v>
      </c>
      <c r="J483" s="75">
        <v>5092</v>
      </c>
      <c r="K483" s="75">
        <v>4677.0200000000004</v>
      </c>
      <c r="L483" s="75">
        <v>23794.82</v>
      </c>
      <c r="M483" s="75">
        <v>39470.720000000001</v>
      </c>
      <c r="N483" s="75">
        <v>2848.33</v>
      </c>
      <c r="O483" s="75">
        <v>4395.04</v>
      </c>
      <c r="P483" s="75">
        <v>24742.549999999901</v>
      </c>
      <c r="Q483" s="75">
        <v>37996.3299999999</v>
      </c>
      <c r="R483" s="75">
        <v>3227.43</v>
      </c>
      <c r="S483" s="75">
        <v>2740.06</v>
      </c>
      <c r="T483" s="75">
        <v>27613.78</v>
      </c>
      <c r="U483" s="75">
        <v>42418.82</v>
      </c>
    </row>
    <row r="484" spans="2:21" x14ac:dyDescent="0.2">
      <c r="B484" s="56">
        <v>98946</v>
      </c>
      <c r="C484" s="62" t="s">
        <v>10</v>
      </c>
      <c r="D484" s="46">
        <v>41</v>
      </c>
      <c r="E484" s="46">
        <v>35</v>
      </c>
      <c r="F484" s="46">
        <v>35</v>
      </c>
      <c r="H484" s="73">
        <v>98946</v>
      </c>
      <c r="I484" s="73" t="s">
        <v>345</v>
      </c>
      <c r="J484" s="75">
        <v>18531.400000000001</v>
      </c>
      <c r="K484" s="75">
        <v>429.44</v>
      </c>
      <c r="L484" s="75">
        <v>27908.6</v>
      </c>
      <c r="M484" s="75">
        <v>61681.61</v>
      </c>
      <c r="N484" s="75">
        <v>10286.049999999999</v>
      </c>
      <c r="O484" s="75">
        <v>17207.79</v>
      </c>
      <c r="P484" s="75">
        <v>25950.79</v>
      </c>
      <c r="Q484" s="75">
        <v>62170.91</v>
      </c>
      <c r="R484" s="75">
        <v>5737.99</v>
      </c>
      <c r="S484" s="75">
        <v>10283</v>
      </c>
      <c r="T484" s="75">
        <v>43141.63</v>
      </c>
      <c r="U484" s="75">
        <v>69460.769999999902</v>
      </c>
    </row>
    <row r="485" spans="2:21" x14ac:dyDescent="0.2">
      <c r="B485" s="85"/>
      <c r="C485" s="54" t="s">
        <v>345</v>
      </c>
      <c r="D485" s="129">
        <v>115</v>
      </c>
      <c r="E485" s="129">
        <v>111</v>
      </c>
      <c r="F485" s="129">
        <v>70</v>
      </c>
      <c r="H485" s="73">
        <v>98946</v>
      </c>
      <c r="I485" s="73" t="s">
        <v>10</v>
      </c>
      <c r="J485" s="75">
        <v>3531.11</v>
      </c>
      <c r="K485" s="75">
        <v>3676.67</v>
      </c>
      <c r="L485" s="75">
        <v>9657.7900000000009</v>
      </c>
      <c r="M485" s="75">
        <v>21649.89</v>
      </c>
      <c r="N485" s="75">
        <v>2873.29</v>
      </c>
      <c r="O485" s="75">
        <v>3085.87</v>
      </c>
      <c r="P485" s="75">
        <v>11461.32</v>
      </c>
      <c r="Q485" s="75">
        <v>23058.3999999999</v>
      </c>
      <c r="R485" s="75">
        <v>3832.85</v>
      </c>
      <c r="S485" s="75">
        <v>2345.87</v>
      </c>
      <c r="T485" s="75">
        <v>12342.44</v>
      </c>
      <c r="U485" s="75">
        <v>23961.6899999999</v>
      </c>
    </row>
    <row r="486" spans="2:21" ht="16" thickBot="1" x14ac:dyDescent="0.25">
      <c r="B486" s="98"/>
      <c r="C486" s="48" t="s">
        <v>10</v>
      </c>
      <c r="D486" s="78">
        <v>594</v>
      </c>
      <c r="E486" s="78">
        <v>498</v>
      </c>
      <c r="F486" s="78">
        <v>248</v>
      </c>
      <c r="H486" s="106"/>
      <c r="I486" s="106" t="s">
        <v>345</v>
      </c>
      <c r="J486" s="131">
        <v>21979.33</v>
      </c>
      <c r="K486" s="131">
        <v>11981.81</v>
      </c>
      <c r="L486" s="131">
        <v>33480.43</v>
      </c>
      <c r="M486" s="131">
        <v>128984.129999999</v>
      </c>
      <c r="N486" s="131">
        <v>12098.13</v>
      </c>
      <c r="O486" s="131">
        <v>20296.07</v>
      </c>
      <c r="P486" s="131">
        <v>34274.639999999999</v>
      </c>
      <c r="Q486" s="131">
        <v>87565.069999999905</v>
      </c>
      <c r="R486" s="131">
        <v>7966.37</v>
      </c>
      <c r="S486" s="131">
        <v>7581</v>
      </c>
      <c r="T486" s="131">
        <v>42011.71</v>
      </c>
      <c r="U486" s="131">
        <v>73255.679999999906</v>
      </c>
    </row>
    <row r="487" spans="2:21" ht="16" thickBot="1" x14ac:dyDescent="0.25">
      <c r="B487" s="190"/>
      <c r="C487" s="182"/>
      <c r="D487" s="183">
        <f>SUMIF($C$16:$C$486,$C$17,D16:D486)</f>
        <v>223567</v>
      </c>
      <c r="E487" s="183">
        <f t="shared" ref="E487:F487" si="4">SUMIF($C$16:$C$486,$C$17,E16:E486)</f>
        <v>218168</v>
      </c>
      <c r="F487" s="183">
        <f t="shared" si="4"/>
        <v>225970</v>
      </c>
      <c r="H487" s="17"/>
      <c r="I487" s="17" t="s">
        <v>10</v>
      </c>
      <c r="J487" s="133">
        <v>16848.7</v>
      </c>
      <c r="K487" s="133">
        <v>10054.92</v>
      </c>
      <c r="L487" s="133">
        <v>41074.57</v>
      </c>
      <c r="M487" s="133">
        <v>98123.76</v>
      </c>
      <c r="N487" s="133">
        <v>11710.61</v>
      </c>
      <c r="O487" s="133">
        <v>6742.42</v>
      </c>
      <c r="P487" s="133">
        <v>35546.769999999902</v>
      </c>
      <c r="Q487" s="133">
        <v>78476.03</v>
      </c>
      <c r="R487" s="133">
        <v>3911.81</v>
      </c>
      <c r="S487" s="133">
        <v>4893.1000000000004</v>
      </c>
      <c r="T487" s="133">
        <v>27765.869999999901</v>
      </c>
      <c r="U487" s="133">
        <v>42878.819999999898</v>
      </c>
    </row>
    <row r="488" spans="2:21" ht="16" thickBot="1" x14ac:dyDescent="0.25">
      <c r="B488" s="38"/>
      <c r="C488" s="39"/>
      <c r="H488" s="184"/>
      <c r="I488" s="185"/>
      <c r="J488" s="191">
        <f>SUMIF($I$17:$I$487,$I$18,J17:J487)</f>
        <v>12750328.809999999</v>
      </c>
      <c r="K488" s="191">
        <f t="shared" ref="K488:U488" si="5">SUMIF($I$17:$I$487,$I$18,K17:K487)</f>
        <v>11506450.370000007</v>
      </c>
      <c r="L488" s="191">
        <f t="shared" si="5"/>
        <v>56672319.919999972</v>
      </c>
      <c r="M488" s="191">
        <f t="shared" si="5"/>
        <v>98586079.59999986</v>
      </c>
      <c r="N488" s="191">
        <f>SUMIF($I$17:$I$487,$I$18,N17:N487)</f>
        <v>9894756.4700000044</v>
      </c>
      <c r="O488" s="191">
        <f t="shared" si="5"/>
        <v>9674177.6600000095</v>
      </c>
      <c r="P488" s="191">
        <f t="shared" si="5"/>
        <v>59848550.619999893</v>
      </c>
      <c r="Q488" s="191">
        <f t="shared" si="5"/>
        <v>95757250.539999858</v>
      </c>
      <c r="R488" s="191">
        <f t="shared" si="5"/>
        <v>9720216.0899999943</v>
      </c>
      <c r="S488" s="191">
        <f t="shared" si="5"/>
        <v>7600010.6499999976</v>
      </c>
      <c r="T488" s="191">
        <f t="shared" si="5"/>
        <v>61267422.949999914</v>
      </c>
      <c r="U488" s="191">
        <f t="shared" si="5"/>
        <v>96010321.989999801</v>
      </c>
    </row>
    <row r="489" spans="2:21" x14ac:dyDescent="0.2">
      <c r="B489" s="41"/>
      <c r="C489" s="39"/>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2022-10-28T07:00:00+00:00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1af0c028-e016-4365-948e-cc2e26d65303" ContentTypeId="0x0101006E56B4D1795A2E4DB2F0B01679ED314A" PreviousValue="false"/>
</file>

<file path=customXml/item4.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A0CD7A-3930-4D8F-B4A5-93A4A5D90368}">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1D3B7C64-392A-4C72-B8D0-56C979E68541}">
  <ds:schemaRefs>
    <ds:schemaRef ds:uri="http://schemas.microsoft.com/sharepoint/v3/contenttype/forms"/>
  </ds:schemaRefs>
</ds:datastoreItem>
</file>

<file path=customXml/itemProps3.xml><?xml version="1.0" encoding="utf-8"?>
<ds:datastoreItem xmlns:ds="http://schemas.openxmlformats.org/officeDocument/2006/customXml" ds:itemID="{C362FDF4-ABBE-42F2-9418-34BFB659CB32}">
  <ds:schemaRefs>
    <ds:schemaRef ds:uri="Microsoft.SharePoint.Taxonomy.ContentTypeSync"/>
  </ds:schemaRefs>
</ds:datastoreItem>
</file>

<file path=customXml/itemProps4.xml><?xml version="1.0" encoding="utf-8"?>
<ds:datastoreItem xmlns:ds="http://schemas.openxmlformats.org/officeDocument/2006/customXml" ds:itemID="{180C5B0B-BEAD-4933-90D2-60CA6B73D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2022</vt:lpstr>
      <vt:lpstr>2. Disconnections 2022</vt:lpstr>
      <vt:lpstr>3. Fees 2022</vt:lpstr>
      <vt:lpstr>4. Payment Arrangements 2022</vt:lpstr>
      <vt:lpstr>5. Medical Certificates 2022</vt:lpstr>
      <vt:lpstr>6. Deposits 2022</vt:lpstr>
      <vt:lpstr>7. Bill Assistance 2022</vt:lpstr>
      <vt:lpstr>8. Past Due Balances 2022</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Microsoft Office User</cp:lastModifiedBy>
  <dcterms:created xsi:type="dcterms:W3CDTF">2021-01-22T20:26:41Z</dcterms:created>
  <dcterms:modified xsi:type="dcterms:W3CDTF">2023-06-09T00:50:10Z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IsEFSEC">
    <vt:bool>false</vt:bool>
  </property>
</Properties>
</file>