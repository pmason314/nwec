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14"/>
  <workbookPr/>
  <mc:AlternateContent xmlns:mc="http://schemas.openxmlformats.org/markup-compatibility/2006">
    <mc:Choice Requires="x15">
      <x15ac:absPath xmlns:x15ac="http://schemas.microsoft.com/office/spreadsheetml/2010/11/ac" url="/Users/CharleeThompson/Desktop/200281 (COVID)/2022 Data/PSE/"/>
    </mc:Choice>
  </mc:AlternateContent>
  <xr:revisionPtr revIDLastSave="0" documentId="13_ncr:1_{BB59BF00-7FB1-A649-9485-C42E98C67F66}" xr6:coauthVersionLast="47" xr6:coauthVersionMax="47" xr10:uidLastSave="{00000000-0000-0000-0000-000000000000}"/>
  <bookViews>
    <workbookView xWindow="28800" yWindow="480" windowWidth="38400" windowHeight="21120" tabRatio="859" firstSheet="1" activeTab="7" xr2:uid="{00000000-000D-0000-FFFF-FFFF00000000}"/>
  </bookViews>
  <sheets>
    <sheet name="1. General 2022" sheetId="7" r:id="rId1"/>
    <sheet name="2. Disconnections 2022" sheetId="6" r:id="rId2"/>
    <sheet name="3. Fees 2022" sheetId="5" r:id="rId3"/>
    <sheet name="4. Payment Arrangements 2022" sheetId="1" r:id="rId4"/>
    <sheet name="5. Medical Certificates 2022" sheetId="3" r:id="rId5"/>
    <sheet name="6. Deposits 2022" sheetId="8" r:id="rId6"/>
    <sheet name="7. Bill Assistance 2022" sheetId="4" r:id="rId7"/>
    <sheet name="8. Past Due Balances 2022" sheetId="9" r:id="rId8"/>
  </sheets>
  <definedNames>
    <definedName name="_xlnm._FilterDatabase" localSheetId="3" hidden="1">'4. Payment Arrangements 2022'!$S$10:$W$315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K228" i="9" l="1"/>
  <c r="BL228" i="9"/>
  <c r="BJ228" i="9"/>
  <c r="BD388" i="9"/>
  <c r="BE388" i="9"/>
  <c r="BF388" i="9"/>
  <c r="AY388" i="9"/>
  <c r="AZ388" i="9"/>
  <c r="AX388" i="9"/>
  <c r="Z238" i="9"/>
  <c r="AA238" i="9"/>
  <c r="AB238" i="9"/>
  <c r="AC238" i="9"/>
  <c r="AD238" i="9"/>
  <c r="AE238" i="9"/>
  <c r="AF238" i="9"/>
  <c r="AG238" i="9"/>
  <c r="AH238" i="9"/>
  <c r="AI238" i="9"/>
  <c r="AJ238" i="9"/>
  <c r="Y238" i="9"/>
  <c r="R487" i="9"/>
  <c r="K487" i="9"/>
  <c r="L487" i="9"/>
  <c r="M487" i="9"/>
  <c r="N487" i="9"/>
  <c r="O487" i="9"/>
  <c r="P487" i="9"/>
  <c r="Q487" i="9"/>
  <c r="S487" i="9"/>
  <c r="T487" i="9"/>
  <c r="U487" i="9"/>
  <c r="J487" i="9"/>
  <c r="E486" i="9"/>
  <c r="F486" i="9"/>
  <c r="D486" i="9"/>
  <c r="D222" i="4" l="1"/>
  <c r="E222" i="4"/>
  <c r="C222" i="4"/>
  <c r="D400" i="1"/>
  <c r="E400" i="1"/>
  <c r="C400" i="1"/>
  <c r="O440" i="6"/>
  <c r="P440" i="6"/>
  <c r="Q440" i="6"/>
  <c r="D59" i="6"/>
  <c r="E59" i="6"/>
  <c r="C59" i="6"/>
</calcChain>
</file>

<file path=xl/sharedStrings.xml><?xml version="1.0" encoding="utf-8"?>
<sst xmlns="http://schemas.openxmlformats.org/spreadsheetml/2006/main" count="9303" uniqueCount="357">
  <si>
    <t>Data Comments/Notes</t>
  </si>
  <si>
    <r>
      <rPr>
        <b/>
        <sz val="10"/>
        <color theme="1"/>
        <rFont val="Calibri"/>
        <family val="2"/>
        <scheme val="minor"/>
      </rPr>
      <t>TEMPLATE ADJUSTMENT:</t>
    </r>
    <r>
      <rPr>
        <sz val="10"/>
        <color theme="1"/>
        <rFont val="Calibri"/>
        <family val="2"/>
        <scheme val="minor"/>
      </rPr>
      <t xml:space="preserve">  Zip-code and customer class vary by question and as such have been added to the template for each sub-part.</t>
    </r>
  </si>
  <si>
    <r>
      <rPr>
        <b/>
        <sz val="10"/>
        <color theme="1"/>
        <rFont val="Calibri"/>
        <family val="2"/>
        <scheme val="minor"/>
      </rPr>
      <t xml:space="preserve">TEMPLATE ADJUSTMENT: </t>
    </r>
    <r>
      <rPr>
        <sz val="10"/>
        <color theme="1"/>
        <rFont val="Calibri"/>
        <family val="2"/>
        <scheme val="minor"/>
      </rPr>
      <t xml:space="preserve"> Due to the size of data, color and borders have been added to help the user differentiate between question sub-parts.</t>
    </r>
  </si>
  <si>
    <t>For all items, the data includes all payment arrangements (as PSE did not develop/adopt what the commission considers "long-term" payment arrangements until August of 2020 in response to the pandemic).</t>
  </si>
  <si>
    <t>For item d), PSE does not "renegotiate" payment arrangements.  Rather PSE will end the current arrangement and start a new arrangement with modified dates per the customer's need.  As such, PSE is defining "renegotiate" as customers who defaulted on a payment arrangement and entered into a new payment arrangement within 30 days of the prior defaulted plan.</t>
  </si>
  <si>
    <t>A "blank" zip-code represents a data discrepancy/quality issue between PSE's source system and PSE's data reporting system.  It does NOT indicate a customer without a zip-code or an unknown zip-code.</t>
  </si>
  <si>
    <t>Medical emergency payment arrangements have been excluded from this data as they are addressed in item #5</t>
  </si>
  <si>
    <t>Item a) Number of customers by customer class taking service at the beginning of each month with existing long term payment agreements</t>
  </si>
  <si>
    <t>Zip Code</t>
  </si>
  <si>
    <t>Customer Class</t>
  </si>
  <si>
    <t>Residential</t>
  </si>
  <si>
    <t>Item b) Number of customers by customer class completing long-term payment agreements</t>
  </si>
  <si>
    <t>Item c) Number of customers by customer class enrolling in new long-term payment agreements</t>
  </si>
  <si>
    <t>Item d) Number of customers by customer class renegotiating long-term payment agreements</t>
  </si>
  <si>
    <t>Item a) Number of customers taking service at the beginning of each month under existing medical payment arrangements</t>
  </si>
  <si>
    <t>Item b) Number of customers completing medical payment arrangements each month</t>
  </si>
  <si>
    <t>Item c) Number of customers enrolling in new medical payment arrangements each month</t>
  </si>
  <si>
    <t>Item d) Number of customers renegotiating medical payment arrangements each month</t>
  </si>
  <si>
    <t>For item a), data reflects medical emergency payment arrangements that were open and not deactivated on the first day of each month.</t>
  </si>
  <si>
    <t>PSE has seen a drop in enrollment in medical emergency payment arrangements, likely due to the disconnection moratorium.</t>
  </si>
  <si>
    <t>For item b), this includes data ONLY for customers who paid off their medical emergency payment arrangement in full.  The numbers do not include defaulted plans.</t>
  </si>
  <si>
    <t>For item d), PSE does not "renegotiate" medical emergency payment arrangements; rather PSE will end the current medical emergency payment arrangement and start a new one.  Having more than one medical emergency payment arrangement within 120 days would indicate a "renegotiation."</t>
  </si>
  <si>
    <t>For item d), the data below indicates the number of customers who had 2 medical emergency payment arrangements within 120 days of each other (indicating PSE closed the original plan and opened a new one with adjusted dates).</t>
  </si>
  <si>
    <t>Energy assistance is only available to residential customers; the numbers reflected below are ALL residential.</t>
  </si>
  <si>
    <t>Item a) Number of premises receiving bill assistance or enrolled in any other assistance program</t>
  </si>
  <si>
    <t>Item a) Number of customers by customer class assessed late payment fees</t>
  </si>
  <si>
    <t>Not applicable as PSE suspended assessing late fees in early March in response to the COVID-19 pandemic.</t>
  </si>
  <si>
    <t>Item a) Aggregate amount of charged late payment fees</t>
  </si>
  <si>
    <t>Item a) Number of customers by customer class assessed disconnection fees</t>
  </si>
  <si>
    <t>Item a) Aggregate amount of charged disconnection fees</t>
  </si>
  <si>
    <t>Not applicable as PSE suspended disconnections and assessing applicable disconnection fees in early March in response to the COVID-19 pandemic.</t>
  </si>
  <si>
    <t>Item a) Number of customers by customer class assessed reconnection fees</t>
  </si>
  <si>
    <t>Item a) Aggregate amount of charged reconnection fees</t>
  </si>
  <si>
    <t>Not applicable as PSE suspended disconnections and assessing applicable reconnection fees in early March in response to the COVID-19 pandemic.</t>
  </si>
  <si>
    <t>For item d), this represents any customer who reached PSE's disconnect queue during the moratorium, i.e. this is any customer who was ELIGIBLE for disconnect.  It does NOT mean they all would have actually been disconnected.  For reference, in 2019, PSE disconnected approximately 8.7% of customers who reached our disconnect queue and were eligible for disconnection.  Another 46.5% of customers who were eligible for disconnection cancelled out.  Meaning they either paid  their bill in full, made a partial payment, or took some type of action to stop disconnection (e.g. calling PSE's customer care center to report an energy assistance appointment, medical emergency payment arrangement, etc.).  Another 44.8% of disconnection eligible customers expired out (meaning they took no action to stop disconnection, but PSE was unable to disconnect them in the required timeframe).</t>
  </si>
  <si>
    <t>Item a) Number of disconnections by customer class per month</t>
  </si>
  <si>
    <t>Fuel Type</t>
  </si>
  <si>
    <t>Unit of Measure for Load Columns</t>
  </si>
  <si>
    <t>Number of customers</t>
  </si>
  <si>
    <t>Retail Load</t>
  </si>
  <si>
    <r>
      <rPr>
        <b/>
        <sz val="10"/>
        <color theme="1"/>
        <rFont val="Calibri"/>
        <family val="2"/>
        <scheme val="minor"/>
      </rPr>
      <t xml:space="preserve">TEMPLATE ADJUSTMENT: </t>
    </r>
    <r>
      <rPr>
        <sz val="10"/>
        <color theme="1"/>
        <rFont val="Calibri"/>
        <family val="2"/>
        <scheme val="minor"/>
      </rPr>
      <t xml:space="preserve"> The original template provided did not include columns for month.  PSE has added data by month (as per the original term sheet request) as customer counts and load change.</t>
    </r>
  </si>
  <si>
    <r>
      <rPr>
        <b/>
        <sz val="10"/>
        <color theme="1"/>
        <rFont val="Calibri"/>
        <family val="2"/>
        <scheme val="minor"/>
      </rPr>
      <t xml:space="preserve">TEMPLATE ADJUSTMENT:  </t>
    </r>
    <r>
      <rPr>
        <sz val="10"/>
        <color theme="1"/>
        <rFont val="Calibri"/>
        <family val="2"/>
        <scheme val="minor"/>
      </rPr>
      <t>The original template provided did not include a column to differentiate fuel type.  PSE added a fuel type column, as the unit of measure for load is different based on the fuel type.</t>
    </r>
  </si>
  <si>
    <r>
      <rPr>
        <b/>
        <sz val="10"/>
        <color theme="1"/>
        <rFont val="Calibri"/>
        <family val="2"/>
        <scheme val="minor"/>
      </rPr>
      <t xml:space="preserve">TEMPLATE ADJUSTMENT:  </t>
    </r>
    <r>
      <rPr>
        <sz val="10"/>
        <color theme="1"/>
        <rFont val="Calibri"/>
        <family val="2"/>
        <scheme val="minor"/>
      </rPr>
      <t>Due to the size of the data requested, color and borders have been added to help the user differentiate between question sub-parts.</t>
    </r>
  </si>
  <si>
    <t>For electric customers, "Commercial/Industrial" includes commercial, industrial, and transportation customers.</t>
  </si>
  <si>
    <t>For gas customers, "Commercial/Industrial" includes commercial firm, commercial interruptible, transportation, industrial interruptible, and industrial firm.</t>
  </si>
  <si>
    <t>Dual fuel customers will show up once under the electric count and once under the gas count for applicable zip-codes (you can NOT sum the rows for each month, as you will double count dual fuel customers.)</t>
  </si>
  <si>
    <t>For item a), data excludes deposits which were waived at a later date.</t>
  </si>
  <si>
    <t xml:space="preserve">For item b), PSE does not increase deposits.  This data only includes customers who were assessed new deposits.  </t>
  </si>
  <si>
    <t>For item b), this excludes customers who may have had their deposit reversed at a later date (meaning they may have provided documentation after having a deposit assessed in order to have their deposit reversed).</t>
  </si>
  <si>
    <t>For item b), this also includes customers who were assessed a deposit but did not pay or partially paid their deposit.  This is any customer who was assessed a deposit.</t>
  </si>
  <si>
    <t>For item c), PSE interpreted this question as deposits which could have been assessed if not for the COVID-19 pandemic response.</t>
  </si>
  <si>
    <t>For item d), this includes customers whose deposits that were returned in full at the end of their deposit term and/or move-out date, as well as deposits that were initially assessed and then waived at a later date and subsequently reversed in full as a result (e.g. the customer was assessed a deposit and later provided a letter of credit from a prior utility).</t>
  </si>
  <si>
    <t>Item a) Number of customers by customer class with required deposits at the beginning of each month</t>
  </si>
  <si>
    <t>Item b) Number of customers by customer class required to submit new or increased deposits each month</t>
  </si>
  <si>
    <t>Not applicable as PSE suspended assessing security deposits in mid-June 2020 in response to the COVID-19 pandemic.</t>
  </si>
  <si>
    <t>Item c) Number of customers by customer class whose deposits were reduced in part or foregone each month</t>
  </si>
  <si>
    <t>Item d) Number of customers by customer class whose deposits were returned in full each month</t>
  </si>
  <si>
    <t>Item f) Total revenue to the company from the collection process</t>
  </si>
  <si>
    <t>Item f) Total amount of bad debt referred for collection</t>
  </si>
  <si>
    <t>Item f) Number of customer accounts referred to collection agencies</t>
  </si>
  <si>
    <t>Please see item d) to the left as it provides PSE's answer for d and e.</t>
  </si>
  <si>
    <t>Item e) The amount of past-due balances written-off and classified as Bad debt, if different than item d</t>
  </si>
  <si>
    <t>Item d) Amount of past due balances classified as uncollectible</t>
  </si>
  <si>
    <t>31 - 60 Days</t>
  </si>
  <si>
    <t>61 - 90 Days</t>
  </si>
  <si>
    <t>91+ Days</t>
  </si>
  <si>
    <t>Total Arrearages</t>
  </si>
  <si>
    <t>Item c) Amount of Past-due Balances for Known Low-income Households and Number of Days Past-due</t>
  </si>
  <si>
    <t>Item b) Past-due balances by customer class and number of days past-due</t>
  </si>
  <si>
    <t>Item a) Number of customers by customer class with past-due balances (arrearages)</t>
  </si>
  <si>
    <r>
      <rPr>
        <b/>
        <sz val="10"/>
        <color theme="1"/>
        <rFont val="Calibri"/>
        <family val="2"/>
        <scheme val="minor"/>
      </rPr>
      <t xml:space="preserve">TEMPLATE ADJUSTMENT: </t>
    </r>
    <r>
      <rPr>
        <sz val="10"/>
        <color theme="1"/>
        <rFont val="Calibri"/>
        <family val="2"/>
        <scheme val="minor"/>
      </rPr>
      <t xml:space="preserve"> Zip-code and customer class vary by question and as such have been added to the template for each sub-part.</t>
    </r>
  </si>
  <si>
    <t>For item a), the data represents the number of commercial/industrial and residential consumption customers with past due balances greater than $0.00.</t>
  </si>
  <si>
    <t>For item a), a select few customers have past due balances with portions of their balance that belong to both a residential contract and a commercial/industrial contract.  Therefore summing the rows for a grand total would double count these customers (averages roughly 25 customers per month).</t>
  </si>
  <si>
    <t>For item b) and c), PSE has provided past due balances by overdue timeframe bucket (as PSE is unable to provide what is exactly 30, 60, and 90 days past due).  Instead PSE has provided what is past due between 31 and 60 days, 61 and 90 days, 91 days or older, and total past due balances.</t>
  </si>
  <si>
    <t>For items b) and c), customers must have past due balances &gt; $0.00 by applicable timeframe bucket.</t>
  </si>
  <si>
    <t>For item c) "known low-income" is defined as customers who have received energy assistance in the last two years (between September 2018 to present).</t>
  </si>
  <si>
    <t>For item d/e) PSE has provided one answer to both questions.</t>
  </si>
  <si>
    <t>For item d/e) PSE is unable to provide the requested data by zip-code/customer class (please see detailed comments beginning in column BU for additional details).</t>
  </si>
  <si>
    <t xml:space="preserve">For item f) the response regarding "Total revenue to the company from the collection process" displays ONLY revenue received directly from collection agencies.  It does NOT account for any collection agency revenue paid directly to PSE.  Customers can pay PSE directly at any point in the collection process. </t>
  </si>
  <si>
    <t xml:space="preserve"> </t>
  </si>
  <si>
    <t>The data above represents a roll forward of PSE's accumulated provision for uncollectible accounts (APUA) GL accounts.  Each month, Accounting estimates what the APUA balance should be based on outstanding A/R, sales, and historical write-off data.  The entry PSE books is a debit to bad debt expense and a credit to APUA – this represents PSE's best estimate of the amount of current A/R that will be written off in the future.  This cannot be pulled at the customer account level, and therefore, PSE is unable to provide this data by customer class and/or zip-code. 
Write offs occur on through systematic processes.  When a customer account is written off, A/R is reduced (credited) and APUA is reduced (debited).  Collections can occur after a customer account has been written off.  That previous entry is reversed, then cash is increased (debited) and the A/R account is once again reduced (credited).  PSE's Accounting Team can only summarize the dollars through accounting doc type activity flowing in and out of the APUA accounts, the Accounting Team does not have visibility into which accounts were written off.
Per the COVID-19 petition commission order, PSE will defer excess bad debt expense for both electric and gas to 186 accounts on a quarterly basis. In March 2021, approximately $2.4 million in bad debt expense was deferred.  In June 2021, approximately $2.8 million in bad debt expense was deferred.</t>
  </si>
  <si>
    <t>New data note, added as of the October 2021 quarterly submission:  For items c) and d) the numbers reported will be significantly lower than prior submitted months.  PSE raised the dollar threshold for collections activities and used third party income data to remove all customers estimated to be below 200% FPL from the initial collections activities (to allow additional time to seek energy assistance and/or engage in a long-term payment arrangement).  In doing so, the number of customers reaching the collection stages of final notice and/or those who would have hit the disconnection queue if not for the moratorium has been lowered.</t>
  </si>
  <si>
    <r>
      <t xml:space="preserve">Item c) Number of customers by customer class receiving disconnection notices*
</t>
    </r>
    <r>
      <rPr>
        <i/>
        <sz val="10"/>
        <color theme="1"/>
        <rFont val="Calibri"/>
        <family val="2"/>
        <scheme val="minor"/>
      </rPr>
      <t>*Please note, PSE's 30 day notice to customers went out with their October billing statement.</t>
    </r>
  </si>
  <si>
    <r>
      <t xml:space="preserve">Item d) Number of customers by customer class who absent the disconnection moratorium would have been disconnected
</t>
    </r>
    <r>
      <rPr>
        <i/>
        <sz val="10"/>
        <color theme="1"/>
        <rFont val="Calibri"/>
        <family val="2"/>
        <scheme val="minor"/>
      </rPr>
      <t>*Please note, PSE's 30 day notice to customers went out with their October billing statement.</t>
    </r>
  </si>
  <si>
    <t xml:space="preserve">For item c), the numbers provided indicate any customer by month who received a final notice letter and/or reached PSE's disconnect queue.  </t>
  </si>
  <si>
    <t>Supplemental COVID Assistance credits included in December 2021 number (these credits were automatically distributed to estimated qualified customer outstanding balances.</t>
  </si>
  <si>
    <t>General 2022</t>
  </si>
  <si>
    <t>Disconnections 2022</t>
  </si>
  <si>
    <t>Fees 2022</t>
  </si>
  <si>
    <t>Medical Certificates 2022</t>
  </si>
  <si>
    <t>Payment Arrangements 2022</t>
  </si>
  <si>
    <t>Bill Assistance 2022</t>
  </si>
  <si>
    <t>Deposits 2022</t>
  </si>
  <si>
    <t>Past Due Balances 2022</t>
  </si>
  <si>
    <t>Enrollment in medical payment arrangements has declined extensively since the beginning of the pandemic.  No customers completed medical payment arrangements during the months of April, May, or June of 2022.</t>
  </si>
  <si>
    <t>Enrollment in medical payment arrangements has declined extensively since the beginning of the pandemic.  No customers renegotiated medical payment arrangements during the months of April, May, or June of 2022.</t>
  </si>
  <si>
    <t xml:space="preserve">This data represents customers who received any type of energy assistance payment by month and zip-code.  Energy assistance payments include AMI Opt-Out PSE Help (2020, 2021, and 2022), CACAP (2020 only), CACAP2 (started in April of 2021 through end of March 2022), LIHEAP pledges, Non-cap agency pledges, PSE Help pledges, Salvation Army pledges, and Supplemental COVID Assistance (December 2021 automatic customer credits)). </t>
  </si>
  <si>
    <t>Commercial/Industrial</t>
  </si>
  <si>
    <t>Electric</t>
  </si>
  <si>
    <t>US/98001</t>
  </si>
  <si>
    <t>Billed kWh</t>
  </si>
  <si>
    <t>US/98002</t>
  </si>
  <si>
    <t>US/98003</t>
  </si>
  <si>
    <t>US/98004</t>
  </si>
  <si>
    <t>US/98005</t>
  </si>
  <si>
    <t>US/98006</t>
  </si>
  <si>
    <t>US/98007</t>
  </si>
  <si>
    <t>US/98008</t>
  </si>
  <si>
    <t>US/98010</t>
  </si>
  <si>
    <t>US/98011</t>
  </si>
  <si>
    <t>US/98013</t>
  </si>
  <si>
    <t>US/98014</t>
  </si>
  <si>
    <t>US/98019</t>
  </si>
  <si>
    <t>US/98022</t>
  </si>
  <si>
    <t>US/98023</t>
  </si>
  <si>
    <t>US/98024</t>
  </si>
  <si>
    <t>US/98027</t>
  </si>
  <si>
    <t>US/98028</t>
  </si>
  <si>
    <t>US/98029</t>
  </si>
  <si>
    <t>US/98030</t>
  </si>
  <si>
    <t>US/98031</t>
  </si>
  <si>
    <t>US/98032</t>
  </si>
  <si>
    <t>US/98033</t>
  </si>
  <si>
    <t>US/98034</t>
  </si>
  <si>
    <t>US/98038</t>
  </si>
  <si>
    <t>US/98039</t>
  </si>
  <si>
    <t>US/98040</t>
  </si>
  <si>
    <t>US/98042</t>
  </si>
  <si>
    <t>US/98045</t>
  </si>
  <si>
    <t>US/98047</t>
  </si>
  <si>
    <t>US/98050</t>
  </si>
  <si>
    <t>US/98051</t>
  </si>
  <si>
    <t>US/98052</t>
  </si>
  <si>
    <t>US/98053</t>
  </si>
  <si>
    <t>US/98055</t>
  </si>
  <si>
    <t>US/98056</t>
  </si>
  <si>
    <t>US/98057</t>
  </si>
  <si>
    <t>US/98058</t>
  </si>
  <si>
    <t>US/98059</t>
  </si>
  <si>
    <t>US/98065</t>
  </si>
  <si>
    <t>US/98068</t>
  </si>
  <si>
    <t>US/98070</t>
  </si>
  <si>
    <t>US/98072</t>
  </si>
  <si>
    <t>US/98074</t>
  </si>
  <si>
    <t>US/98075</t>
  </si>
  <si>
    <t>US/98077</t>
  </si>
  <si>
    <t>US/98092</t>
  </si>
  <si>
    <t>US/98110</t>
  </si>
  <si>
    <t>US/98148</t>
  </si>
  <si>
    <t>US/98155</t>
  </si>
  <si>
    <t>US/98158</t>
  </si>
  <si>
    <t>US/98166</t>
  </si>
  <si>
    <t>US/98168</t>
  </si>
  <si>
    <t>US/98178</t>
  </si>
  <si>
    <t>US/98188</t>
  </si>
  <si>
    <t>US/98198</t>
  </si>
  <si>
    <t>US/98220</t>
  </si>
  <si>
    <t>US/98221</t>
  </si>
  <si>
    <t>US/98224</t>
  </si>
  <si>
    <t>US/98225</t>
  </si>
  <si>
    <t>US/98226</t>
  </si>
  <si>
    <t>US/98229</t>
  </si>
  <si>
    <t>US/98230</t>
  </si>
  <si>
    <t>US/98232</t>
  </si>
  <si>
    <t>US/98233</t>
  </si>
  <si>
    <t>US/98235</t>
  </si>
  <si>
    <t>US/98236</t>
  </si>
  <si>
    <t>US/98237</t>
  </si>
  <si>
    <t>US/98238</t>
  </si>
  <si>
    <t>US/98239</t>
  </si>
  <si>
    <t>US/98240</t>
  </si>
  <si>
    <t>US/98244</t>
  </si>
  <si>
    <t>US/98247</t>
  </si>
  <si>
    <t>US/98248</t>
  </si>
  <si>
    <t>US/98249</t>
  </si>
  <si>
    <t>US/98253</t>
  </si>
  <si>
    <t>US/98255</t>
  </si>
  <si>
    <t>US/98257</t>
  </si>
  <si>
    <t>US/98260</t>
  </si>
  <si>
    <t>US/98262</t>
  </si>
  <si>
    <t>US/98263</t>
  </si>
  <si>
    <t>US/98264</t>
  </si>
  <si>
    <t>US/98266</t>
  </si>
  <si>
    <t>US/98267</t>
  </si>
  <si>
    <t>US/98272</t>
  </si>
  <si>
    <t>US/98273</t>
  </si>
  <si>
    <t>US/98274</t>
  </si>
  <si>
    <t>US/98276</t>
  </si>
  <si>
    <t>US/98277</t>
  </si>
  <si>
    <t>US/98278</t>
  </si>
  <si>
    <t>US/98281</t>
  </si>
  <si>
    <t>US/98283</t>
  </si>
  <si>
    <t>US/98284</t>
  </si>
  <si>
    <t>US/98288</t>
  </si>
  <si>
    <t>US/98292</t>
  </si>
  <si>
    <t>US/98295</t>
  </si>
  <si>
    <t>US/98310</t>
  </si>
  <si>
    <t>US/98311</t>
  </si>
  <si>
    <t>US/98312</t>
  </si>
  <si>
    <t>US/98314</t>
  </si>
  <si>
    <t>US/98321</t>
  </si>
  <si>
    <t>US/98322</t>
  </si>
  <si>
    <t>US/98323</t>
  </si>
  <si>
    <t>US/98327</t>
  </si>
  <si>
    <t>US/98328</t>
  </si>
  <si>
    <t>US/98329</t>
  </si>
  <si>
    <t>US/98332</t>
  </si>
  <si>
    <t>US/98337</t>
  </si>
  <si>
    <t>US/98338</t>
  </si>
  <si>
    <t>US/98340</t>
  </si>
  <si>
    <t>US/98342</t>
  </si>
  <si>
    <t>US/98344</t>
  </si>
  <si>
    <t>US/98345</t>
  </si>
  <si>
    <t>US/98346</t>
  </si>
  <si>
    <t>US/98352</t>
  </si>
  <si>
    <t>US/98353</t>
  </si>
  <si>
    <t>US/98354</t>
  </si>
  <si>
    <t>US/98359</t>
  </si>
  <si>
    <t>US/98360</t>
  </si>
  <si>
    <t>US/98364</t>
  </si>
  <si>
    <t>US/98366</t>
  </si>
  <si>
    <t>US/98367</t>
  </si>
  <si>
    <t>US/98370</t>
  </si>
  <si>
    <t>US/98371</t>
  </si>
  <si>
    <t>US/98372</t>
  </si>
  <si>
    <t>US/98373</t>
  </si>
  <si>
    <t>US/98374</t>
  </si>
  <si>
    <t>US/98375</t>
  </si>
  <si>
    <t>US/98380</t>
  </si>
  <si>
    <t>US/98383</t>
  </si>
  <si>
    <t>US/98385</t>
  </si>
  <si>
    <t>US/98387</t>
  </si>
  <si>
    <t>US/98388</t>
  </si>
  <si>
    <t>US/98390</t>
  </si>
  <si>
    <t>US/98391</t>
  </si>
  <si>
    <t>US/98392</t>
  </si>
  <si>
    <t>US/98393</t>
  </si>
  <si>
    <t>US/98396</t>
  </si>
  <si>
    <t>US/98424</t>
  </si>
  <si>
    <t>US/98430</t>
  </si>
  <si>
    <t>US/98433</t>
  </si>
  <si>
    <t>US/98439</t>
  </si>
  <si>
    <t>US/98445</t>
  </si>
  <si>
    <t>US/98446</t>
  </si>
  <si>
    <t>US/98492</t>
  </si>
  <si>
    <t>US/98497</t>
  </si>
  <si>
    <t>US/98498</t>
  </si>
  <si>
    <t>US/98499</t>
  </si>
  <si>
    <t>US/98501</t>
  </si>
  <si>
    <t>US/98502</t>
  </si>
  <si>
    <t>US/98503</t>
  </si>
  <si>
    <t>US/98505</t>
  </si>
  <si>
    <t>US/98506</t>
  </si>
  <si>
    <t>US/98512</t>
  </si>
  <si>
    <t>US/98513</t>
  </si>
  <si>
    <t>US/98516</t>
  </si>
  <si>
    <t>US/98530</t>
  </si>
  <si>
    <t>US/98531</t>
  </si>
  <si>
    <t>US/98558</t>
  </si>
  <si>
    <t>US/98568</t>
  </si>
  <si>
    <t>US/98576</t>
  </si>
  <si>
    <t>US/98579</t>
  </si>
  <si>
    <t>US/98580</t>
  </si>
  <si>
    <t>US/98589</t>
  </si>
  <si>
    <t>US/98597</t>
  </si>
  <si>
    <t>US/98922</t>
  </si>
  <si>
    <t>US/98925</t>
  </si>
  <si>
    <t>US/98926</t>
  </si>
  <si>
    <t>US/98934</t>
  </si>
  <si>
    <t>US/98940</t>
  </si>
  <si>
    <t>US/98941</t>
  </si>
  <si>
    <t>US/98943</t>
  </si>
  <si>
    <t>US/98946</t>
  </si>
  <si>
    <t>Gas</t>
  </si>
  <si>
    <t>Billed Therms</t>
  </si>
  <si>
    <t>US/98012</t>
  </si>
  <si>
    <t>US/98020</t>
  </si>
  <si>
    <t>US/98021</t>
  </si>
  <si>
    <t>US/98026</t>
  </si>
  <si>
    <t>US/98036</t>
  </si>
  <si>
    <t>US/98037</t>
  </si>
  <si>
    <t>US/98043</t>
  </si>
  <si>
    <t>US/98087</t>
  </si>
  <si>
    <t>US/98101</t>
  </si>
  <si>
    <t>US/98102</t>
  </si>
  <si>
    <t>US/98103</t>
  </si>
  <si>
    <t>US/98104</t>
  </si>
  <si>
    <t>US/98105</t>
  </si>
  <si>
    <t>US/98106</t>
  </si>
  <si>
    <t>US/98107</t>
  </si>
  <si>
    <t>US/98108</t>
  </si>
  <si>
    <t>US/98109</t>
  </si>
  <si>
    <t>US/98112</t>
  </si>
  <si>
    <t>US/98115</t>
  </si>
  <si>
    <t>US/98116</t>
  </si>
  <si>
    <t>US/98117</t>
  </si>
  <si>
    <t>US/98118</t>
  </si>
  <si>
    <t>US/98119</t>
  </si>
  <si>
    <t>US/98121</t>
  </si>
  <si>
    <t>US/98122</t>
  </si>
  <si>
    <t>US/98125</t>
  </si>
  <si>
    <t>US/98126</t>
  </si>
  <si>
    <t>US/98133</t>
  </si>
  <si>
    <t>US/98134</t>
  </si>
  <si>
    <t>US/98136</t>
  </si>
  <si>
    <t>US/98144</t>
  </si>
  <si>
    <t>US/98146</t>
  </si>
  <si>
    <t>US/98154</t>
  </si>
  <si>
    <t>US/98164</t>
  </si>
  <si>
    <t>US/98177</t>
  </si>
  <si>
    <t>US/98181</t>
  </si>
  <si>
    <t>US/98191</t>
  </si>
  <si>
    <t>US/98195</t>
  </si>
  <si>
    <t>US/98199</t>
  </si>
  <si>
    <t>US/98201</t>
  </si>
  <si>
    <t>US/98203</t>
  </si>
  <si>
    <t>US/98204</t>
  </si>
  <si>
    <t>US/98208</t>
  </si>
  <si>
    <t>US/98223</t>
  </si>
  <si>
    <t>US/98251</t>
  </si>
  <si>
    <t>US/98252</t>
  </si>
  <si>
    <t>US/98258</t>
  </si>
  <si>
    <t>US/98270</t>
  </si>
  <si>
    <t>US/98271</t>
  </si>
  <si>
    <t>US/98275</t>
  </si>
  <si>
    <t>US/98290</t>
  </si>
  <si>
    <t>US/98294</t>
  </si>
  <si>
    <t>US/98296</t>
  </si>
  <si>
    <t>US/98335</t>
  </si>
  <si>
    <t>US/98402</t>
  </si>
  <si>
    <t>US/98403</t>
  </si>
  <si>
    <t>US/98404</t>
  </si>
  <si>
    <t>US/98405</t>
  </si>
  <si>
    <t>US/98406</t>
  </si>
  <si>
    <t>US/98407</t>
  </si>
  <si>
    <t>US/98408</t>
  </si>
  <si>
    <t>US/98409</t>
  </si>
  <si>
    <t>US/98411</t>
  </si>
  <si>
    <t>US/98416</t>
  </si>
  <si>
    <t>US/98418</t>
  </si>
  <si>
    <t>US/98421</t>
  </si>
  <si>
    <t>US/98422</t>
  </si>
  <si>
    <t>US/98438</t>
  </si>
  <si>
    <t>US/98443</t>
  </si>
  <si>
    <t>US/98444</t>
  </si>
  <si>
    <t>US/98447</t>
  </si>
  <si>
    <t>US/98465</t>
  </si>
  <si>
    <t>US/98466</t>
  </si>
  <si>
    <t>US/98467</t>
  </si>
  <si>
    <t>US/98532</t>
  </si>
  <si>
    <t>US/98591</t>
  </si>
  <si>
    <t>US/98596</t>
  </si>
  <si>
    <t>Commercial / Industrial</t>
  </si>
  <si>
    <r>
      <t xml:space="preserve">Item b) Avg. duration of disconnection by customer class
</t>
    </r>
    <r>
      <rPr>
        <i/>
        <sz val="10"/>
        <color theme="1"/>
        <rFont val="Calibri"/>
        <family val="2"/>
        <scheme val="minor"/>
      </rPr>
      <t>* Please note, only customers reconnected at the time of the report preparation are included in the averages</t>
    </r>
  </si>
  <si>
    <t>Lighting</t>
  </si>
  <si>
    <t>#/#</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</si>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</sst>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
    <numFmt numFmtId="166" formatCode="_(* #,##0_);_(* \(#,##0\);_(* &quot;-&quot;??_);_(@_)"/>
    <numFmt numFmtId="168" formatCode="_(&quot;$&quot;* #,##0_);_(&quot;$&quot;* \(#,##0\);_(&quot;$&quot;* &quot;-&quot;??_);_(@_)"/>
  </numFmts>
  <fonts count="9" x14ac:knownFonts="1">
    <font>
      <sz val="11"/>
      <color theme="1"/>
      <name val="Calibri"/>
      <family val="2"/>
      <scheme val="minor"/>
    </font>
    <font>
      <sz val="11"/>
      <color theme="1"/>
      <name val="Calibri"/>
      <family val="2"/>
      <scheme val="minor"/>
    </font>
    <font>
      <b/>
      <sz val="10"/>
      <color theme="0"/>
      <name val="Calibri"/>
      <family val="2"/>
      <scheme val="minor"/>
    </font>
    <font>
      <sz val="10"/>
      <color theme="1"/>
      <name val="Calibri"/>
      <family val="2"/>
      <scheme val="minor"/>
    </font>
    <font>
      <b/>
      <sz val="10"/>
      <color theme="1"/>
      <name val="Calibri"/>
      <family val="2"/>
      <scheme val="minor"/>
    </font>
    <font>
      <sz val="10"/>
      <name val="Calibri"/>
      <family val="2"/>
      <scheme val="minor"/>
    </font>
    <font>
      <i/>
      <sz val="10"/>
      <color theme="1"/>
      <name val="Calibri"/>
      <family val="2"/>
      <scheme val="minor"/>
    </font>
    <font>
      <b/>
      <sz val="11"/>
      <color theme="1"/>
      <name val="Calibri"/>
      <family val="2"/>
      <scheme val="minor"/>
    </font>
    <font>
      <b/>
      <sz val="10"/>
      <name val="Calibri"/>
      <family val="2"/>
      <scheme val="minor"/>
    </font>
  </fonts>
  <fills count="9">
    <fill>
      <patternFill patternType="none"/>
    </fill>
    <fill>
      <patternFill patternType="gray125"/>
    </fill>
    <fill>
      <patternFill patternType="solid">
        <fgColor rgb="FF009999"/>
        <bgColor indexed="64"/>
      </patternFill>
    </fill>
    <fill>
      <patternFill patternType="solid">
        <fgColor theme="0"/>
        <bgColor indexed="64"/>
      </patternFill>
    </fill>
    <fill>
      <patternFill patternType="solid">
        <fgColor theme="2"/>
        <bgColor indexed="64"/>
      </patternFill>
    </fill>
    <fill>
      <patternFill patternType="solid">
        <fgColor theme="0" tint="-0.14999847407452621"/>
        <bgColor indexed="64"/>
      </patternFill>
    </fill>
    <fill>
      <patternFill patternType="lightUp">
        <fgColor rgb="FF92D050"/>
        <bgColor theme="0"/>
      </patternFill>
    </fill>
    <fill>
      <patternFill patternType="lightUp">
        <fgColor rgb="FF92D050"/>
      </patternFill>
    </fill>
    <fill>
      <patternFill patternType="solid">
        <fgColor theme="7" tint="0.79998168889431442"/>
        <bgColor indexed="64"/>
      </patternFill>
    </fill>
  </fills>
  <borders count="19">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medium">
        <color indexed="64"/>
      </right>
      <top style="medium">
        <color indexed="64"/>
      </top>
      <bottom/>
      <diagonal/>
    </border>
    <border>
      <left/>
      <right style="medium">
        <color auto="1"/>
      </right>
      <top/>
      <bottom/>
      <diagonal/>
    </border>
    <border>
      <left style="medium">
        <color auto="1"/>
      </left>
      <right/>
      <top/>
      <bottom/>
      <diagonal/>
    </border>
    <border>
      <left style="medium">
        <color auto="1"/>
      </left>
      <right style="medium">
        <color auto="1"/>
      </right>
      <top style="medium">
        <color auto="1"/>
      </top>
      <bottom style="medium">
        <color auto="1"/>
      </bottom>
      <diagonal/>
    </border>
    <border>
      <left/>
      <right/>
      <top style="medium">
        <color auto="1"/>
      </top>
      <bottom/>
      <diagonal/>
    </border>
    <border>
      <left style="medium">
        <color indexed="64"/>
      </left>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auto="1"/>
      </left>
      <right style="medium">
        <color auto="1"/>
      </right>
      <top style="medium">
        <color auto="1"/>
      </top>
      <bottom/>
      <diagonal/>
    </border>
    <border>
      <left style="medium">
        <color indexed="64"/>
      </left>
      <right style="medium">
        <color indexed="64"/>
      </right>
      <top style="medium">
        <color indexed="64"/>
      </top>
      <bottom style="dashed">
        <color indexed="64"/>
      </bottom>
      <diagonal/>
    </border>
    <border>
      <left style="medium">
        <color indexed="64"/>
      </left>
      <right style="medium">
        <color indexed="64"/>
      </right>
      <top style="dashed">
        <color indexed="64"/>
      </top>
      <bottom style="dashed">
        <color indexed="64"/>
      </bottom>
      <diagonal/>
    </border>
    <border>
      <left style="medium">
        <color indexed="64"/>
      </left>
      <right style="medium">
        <color indexed="64"/>
      </right>
      <top style="dashed">
        <color indexed="64"/>
      </top>
      <bottom style="medium">
        <color indexed="64"/>
      </bottom>
      <diagonal/>
    </border>
    <border>
      <left style="medium">
        <color indexed="64"/>
      </left>
      <right style="medium">
        <color indexed="64"/>
      </right>
      <top style="dashed">
        <color indexed="64"/>
      </top>
      <bottom/>
      <diagonal/>
    </border>
    <border>
      <left style="medium">
        <color indexed="64"/>
      </left>
      <right style="medium">
        <color indexed="64"/>
      </right>
      <top/>
      <bottom style="dashed">
        <color indexed="64"/>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176">
    <xf numFmtId="0" fontId="0" fillId="0" borderId="0" xfId="0"/>
    <xf numFmtId="0" fontId="3" fillId="3" borderId="4" xfId="0" applyFont="1" applyFill="1" applyBorder="1"/>
    <xf numFmtId="0" fontId="3" fillId="3" borderId="0" xfId="0" applyFont="1" applyFill="1" applyAlignment="1">
      <alignment vertical="center"/>
    </xf>
    <xf numFmtId="0" fontId="3" fillId="3" borderId="0" xfId="0" applyFont="1" applyFill="1"/>
    <xf numFmtId="0" fontId="3" fillId="4" borderId="0" xfId="0" applyFont="1" applyFill="1"/>
    <xf numFmtId="0" fontId="3" fillId="3" borderId="5" xfId="0" applyFont="1" applyFill="1" applyBorder="1"/>
    <xf numFmtId="0" fontId="3" fillId="3" borderId="6" xfId="0" applyFont="1" applyFill="1" applyBorder="1"/>
    <xf numFmtId="0" fontId="4" fillId="5" borderId="7" xfId="0" applyFont="1" applyFill="1" applyBorder="1" applyAlignment="1">
      <alignment horizontal="center" vertical="center"/>
    </xf>
    <xf numFmtId="0" fontId="0" fillId="3" borderId="0" xfId="0" applyFill="1"/>
    <xf numFmtId="0" fontId="0" fillId="4" borderId="0" xfId="0" applyFill="1"/>
    <xf numFmtId="0" fontId="4" fillId="5" borderId="7" xfId="0" applyFont="1" applyFill="1" applyBorder="1" applyAlignment="1">
      <alignment horizontal="center" vertical="center" wrapText="1"/>
    </xf>
    <xf numFmtId="0" fontId="4" fillId="5" borderId="13" xfId="0" applyFont="1" applyFill="1" applyBorder="1" applyAlignment="1">
      <alignment horizontal="center" vertical="center"/>
    </xf>
    <xf numFmtId="17" fontId="4" fillId="5" borderId="13" xfId="0" applyNumberFormat="1" applyFont="1" applyFill="1" applyBorder="1" applyAlignment="1">
      <alignment horizontal="center" vertical="center"/>
    </xf>
    <xf numFmtId="0" fontId="3" fillId="5" borderId="14" xfId="0" applyFont="1" applyFill="1" applyBorder="1"/>
    <xf numFmtId="0" fontId="3" fillId="0" borderId="14" xfId="0" applyFont="1" applyBorder="1"/>
    <xf numFmtId="0" fontId="3" fillId="5" borderId="15" xfId="0" applyFont="1" applyFill="1" applyBorder="1"/>
    <xf numFmtId="0" fontId="3" fillId="0" borderId="15" xfId="0" applyFont="1" applyBorder="1"/>
    <xf numFmtId="0" fontId="3" fillId="5" borderId="16" xfId="0" applyFont="1" applyFill="1" applyBorder="1"/>
    <xf numFmtId="0" fontId="4" fillId="5" borderId="13" xfId="0" applyFont="1" applyFill="1" applyBorder="1" applyAlignment="1">
      <alignment horizontal="center"/>
    </xf>
    <xf numFmtId="0" fontId="4" fillId="5" borderId="7" xfId="0" applyFont="1" applyFill="1" applyBorder="1" applyAlignment="1">
      <alignment horizontal="center"/>
    </xf>
    <xf numFmtId="0" fontId="5" fillId="3" borderId="8" xfId="0" applyFont="1" applyFill="1" applyBorder="1" applyAlignment="1">
      <alignment vertical="center" wrapText="1"/>
    </xf>
    <xf numFmtId="0" fontId="3" fillId="3" borderId="9" xfId="0" applyFont="1" applyFill="1" applyBorder="1" applyAlignment="1">
      <alignment vertical="center"/>
    </xf>
    <xf numFmtId="0" fontId="5" fillId="3" borderId="0" xfId="0" applyFont="1" applyFill="1" applyAlignment="1">
      <alignment vertical="center" wrapText="1"/>
    </xf>
    <xf numFmtId="0" fontId="5" fillId="3" borderId="6" xfId="0" applyFont="1" applyFill="1" applyBorder="1" applyAlignment="1">
      <alignment vertical="center"/>
    </xf>
    <xf numFmtId="0" fontId="3" fillId="3" borderId="0" xfId="0" applyFont="1" applyFill="1" applyAlignment="1">
      <alignment vertical="top" wrapText="1"/>
    </xf>
    <xf numFmtId="0" fontId="3" fillId="3" borderId="6" xfId="0" applyFont="1" applyFill="1" applyBorder="1" applyAlignment="1">
      <alignment vertical="top"/>
    </xf>
    <xf numFmtId="0" fontId="3" fillId="3" borderId="0" xfId="0" applyFont="1" applyFill="1" applyAlignment="1">
      <alignment wrapText="1"/>
    </xf>
    <xf numFmtId="0" fontId="2" fillId="4" borderId="6" xfId="0" applyFont="1" applyFill="1" applyBorder="1" applyAlignment="1">
      <alignment vertical="center"/>
    </xf>
    <xf numFmtId="0" fontId="2" fillId="3" borderId="0" xfId="0" applyFont="1" applyFill="1" applyAlignment="1">
      <alignment vertical="center"/>
    </xf>
    <xf numFmtId="0" fontId="3" fillId="3" borderId="6" xfId="0" applyFont="1" applyFill="1" applyBorder="1" applyAlignment="1">
      <alignment vertical="center"/>
    </xf>
    <xf numFmtId="0" fontId="3" fillId="4" borderId="0" xfId="0" applyFont="1" applyFill="1" applyAlignment="1">
      <alignment vertical="center"/>
    </xf>
    <xf numFmtId="0" fontId="4" fillId="4" borderId="6" xfId="0" applyFont="1" applyFill="1" applyBorder="1" applyAlignment="1">
      <alignment vertical="center"/>
    </xf>
    <xf numFmtId="0" fontId="2" fillId="4" borderId="0" xfId="0" applyFont="1" applyFill="1" applyAlignment="1">
      <alignment vertical="center"/>
    </xf>
    <xf numFmtId="0" fontId="5" fillId="0" borderId="15" xfId="0" applyFont="1" applyBorder="1"/>
    <xf numFmtId="0" fontId="4" fillId="5" borderId="7" xfId="0" applyFont="1" applyFill="1" applyBorder="1" applyAlignment="1">
      <alignment horizontal="center" vertical="top"/>
    </xf>
    <xf numFmtId="0" fontId="5" fillId="0" borderId="14" xfId="0" applyFont="1" applyBorder="1" applyAlignment="1">
      <alignment vertical="center"/>
    </xf>
    <xf numFmtId="0" fontId="5" fillId="0" borderId="15" xfId="0" applyFont="1" applyBorder="1" applyAlignment="1">
      <alignment vertical="center"/>
    </xf>
    <xf numFmtId="0" fontId="5" fillId="5" borderId="14" xfId="0" quotePrefix="1" applyFont="1" applyFill="1" applyBorder="1" applyAlignment="1">
      <alignment horizontal="left" vertical="top"/>
    </xf>
    <xf numFmtId="0" fontId="5" fillId="5" borderId="15" xfId="0" quotePrefix="1" applyFont="1" applyFill="1" applyBorder="1" applyAlignment="1">
      <alignment horizontal="left" vertical="top"/>
    </xf>
    <xf numFmtId="0" fontId="5" fillId="3" borderId="8" xfId="0" quotePrefix="1" applyFont="1" applyFill="1" applyBorder="1" applyAlignment="1">
      <alignment horizontal="left" vertical="top"/>
    </xf>
    <xf numFmtId="0" fontId="5" fillId="3" borderId="0" xfId="0" quotePrefix="1" applyFont="1" applyFill="1" applyAlignment="1">
      <alignment vertical="top"/>
    </xf>
    <xf numFmtId="0" fontId="5" fillId="3" borderId="0" xfId="0" quotePrefix="1" applyFont="1" applyFill="1" applyAlignment="1">
      <alignment horizontal="left" vertical="top"/>
    </xf>
    <xf numFmtId="41" fontId="5" fillId="3" borderId="0" xfId="1" applyNumberFormat="1" applyFont="1" applyFill="1" applyBorder="1"/>
    <xf numFmtId="0" fontId="5" fillId="3" borderId="0" xfId="0" applyFont="1" applyFill="1"/>
    <xf numFmtId="0" fontId="4" fillId="3" borderId="0" xfId="0" applyFont="1" applyFill="1"/>
    <xf numFmtId="0" fontId="5" fillId="3" borderId="8" xfId="0" applyFont="1" applyFill="1" applyBorder="1" applyAlignment="1">
      <alignment vertical="center"/>
    </xf>
    <xf numFmtId="0" fontId="5" fillId="3" borderId="0" xfId="0" applyFont="1" applyFill="1" applyAlignment="1">
      <alignment vertical="center"/>
    </xf>
    <xf numFmtId="3" fontId="5" fillId="0" borderId="14" xfId="0" applyNumberFormat="1" applyFont="1" applyBorder="1" applyAlignment="1">
      <alignment vertical="center"/>
    </xf>
    <xf numFmtId="3" fontId="5" fillId="0" borderId="15" xfId="0" applyNumberFormat="1" applyFont="1" applyBorder="1" applyAlignment="1">
      <alignment vertical="center"/>
    </xf>
    <xf numFmtId="3" fontId="5" fillId="0" borderId="16" xfId="0" applyNumberFormat="1" applyFont="1" applyBorder="1" applyAlignment="1">
      <alignment vertical="center"/>
    </xf>
    <xf numFmtId="0" fontId="5" fillId="5" borderId="16" xfId="0" quotePrefix="1" applyFont="1" applyFill="1" applyBorder="1" applyAlignment="1">
      <alignment horizontal="left" vertical="top"/>
    </xf>
    <xf numFmtId="0" fontId="5" fillId="0" borderId="14" xfId="0" applyFont="1" applyBorder="1"/>
    <xf numFmtId="3" fontId="3" fillId="3" borderId="0" xfId="0" applyNumberFormat="1" applyFont="1" applyFill="1"/>
    <xf numFmtId="0" fontId="3" fillId="3" borderId="0" xfId="0" quotePrefix="1" applyFont="1" applyFill="1" applyAlignment="1">
      <alignment horizontal="left" vertical="top"/>
    </xf>
    <xf numFmtId="0" fontId="3" fillId="3" borderId="0" xfId="0" quotePrefix="1" applyFont="1" applyFill="1" applyAlignment="1">
      <alignment vertical="top"/>
    </xf>
    <xf numFmtId="0" fontId="3" fillId="3" borderId="15" xfId="0" applyFont="1" applyFill="1" applyBorder="1"/>
    <xf numFmtId="0" fontId="3" fillId="3" borderId="16" xfId="0" applyFont="1" applyFill="1" applyBorder="1"/>
    <xf numFmtId="0" fontId="5" fillId="5" borderId="17" xfId="0" quotePrefix="1" applyFont="1" applyFill="1" applyBorder="1" applyAlignment="1">
      <alignment horizontal="left" vertical="top"/>
    </xf>
    <xf numFmtId="0" fontId="5" fillId="0" borderId="17" xfId="0" applyFont="1" applyBorder="1" applyAlignment="1">
      <alignment vertical="center"/>
    </xf>
    <xf numFmtId="0" fontId="5" fillId="5" borderId="15" xfId="0" applyFont="1" applyFill="1" applyBorder="1" applyAlignment="1">
      <alignment horizontal="right"/>
    </xf>
    <xf numFmtId="0" fontId="5" fillId="5" borderId="14" xfId="0" quotePrefix="1" applyFont="1" applyFill="1" applyBorder="1" applyAlignment="1">
      <alignment horizontal="right"/>
    </xf>
    <xf numFmtId="0" fontId="5" fillId="5" borderId="15" xfId="0" quotePrefix="1" applyFont="1" applyFill="1" applyBorder="1" applyAlignment="1">
      <alignment horizontal="right"/>
    </xf>
    <xf numFmtId="0" fontId="5" fillId="5" borderId="14" xfId="0" quotePrefix="1" applyFont="1" applyFill="1" applyBorder="1" applyAlignment="1">
      <alignment horizontal="right" vertical="center"/>
    </xf>
    <xf numFmtId="0" fontId="5" fillId="5" borderId="15" xfId="0" applyFont="1" applyFill="1" applyBorder="1" applyAlignment="1">
      <alignment horizontal="right" vertical="center"/>
    </xf>
    <xf numFmtId="0" fontId="5" fillId="5" borderId="15" xfId="0" quotePrefix="1" applyFont="1" applyFill="1" applyBorder="1" applyAlignment="1">
      <alignment horizontal="right" vertical="center"/>
    </xf>
    <xf numFmtId="44" fontId="5" fillId="3" borderId="0" xfId="2" applyFont="1" applyFill="1" applyBorder="1"/>
    <xf numFmtId="44" fontId="5" fillId="3" borderId="0" xfId="2" applyFont="1" applyFill="1" applyBorder="1" applyAlignment="1">
      <alignment vertical="center"/>
    </xf>
    <xf numFmtId="0" fontId="5" fillId="3" borderId="0" xfId="0" quotePrefix="1" applyFont="1" applyFill="1" applyAlignment="1">
      <alignment horizontal="right" vertical="center"/>
    </xf>
    <xf numFmtId="0" fontId="5" fillId="3" borderId="0" xfId="0" applyFont="1" applyFill="1" applyAlignment="1">
      <alignment horizontal="right" vertical="center"/>
    </xf>
    <xf numFmtId="0" fontId="5" fillId="5" borderId="17" xfId="0" applyFont="1" applyFill="1" applyBorder="1" applyAlignment="1">
      <alignment horizontal="right"/>
    </xf>
    <xf numFmtId="0" fontId="5" fillId="3" borderId="0" xfId="0" applyFont="1" applyFill="1" applyAlignment="1">
      <alignment horizontal="right"/>
    </xf>
    <xf numFmtId="0" fontId="5" fillId="3" borderId="0" xfId="0" quotePrefix="1" applyFont="1" applyFill="1" applyAlignment="1">
      <alignment horizontal="right"/>
    </xf>
    <xf numFmtId="3" fontId="3" fillId="0" borderId="14" xfId="0" applyNumberFormat="1" applyFont="1" applyBorder="1"/>
    <xf numFmtId="3" fontId="3" fillId="0" borderId="15" xfId="0" applyNumberFormat="1" applyFont="1" applyBorder="1"/>
    <xf numFmtId="3" fontId="5" fillId="0" borderId="15" xfId="0" applyNumberFormat="1" applyFont="1" applyBorder="1"/>
    <xf numFmtId="0" fontId="5" fillId="5" borderId="14" xfId="0" applyFont="1" applyFill="1" applyBorder="1"/>
    <xf numFmtId="0" fontId="5" fillId="5" borderId="15" xfId="0" applyFont="1" applyFill="1" applyBorder="1"/>
    <xf numFmtId="0" fontId="5" fillId="5" borderId="16" xfId="0" applyFont="1" applyFill="1" applyBorder="1"/>
    <xf numFmtId="42" fontId="5" fillId="0" borderId="14" xfId="2" applyNumberFormat="1" applyFont="1" applyBorder="1"/>
    <xf numFmtId="42" fontId="5" fillId="0" borderId="15" xfId="2" applyNumberFormat="1" applyFont="1" applyBorder="1"/>
    <xf numFmtId="42" fontId="5" fillId="0" borderId="16" xfId="2" applyNumberFormat="1" applyFont="1" applyBorder="1"/>
    <xf numFmtId="17" fontId="4" fillId="5" borderId="7" xfId="0" applyNumberFormat="1" applyFont="1" applyFill="1" applyBorder="1" applyAlignment="1">
      <alignment horizontal="center" vertical="center"/>
    </xf>
    <xf numFmtId="0" fontId="5" fillId="3" borderId="15" xfId="0" applyFont="1" applyFill="1" applyBorder="1" applyAlignment="1">
      <alignment vertical="center"/>
    </xf>
    <xf numFmtId="0" fontId="5" fillId="3" borderId="16" xfId="0" applyFont="1" applyFill="1" applyBorder="1" applyAlignment="1">
      <alignment vertical="center"/>
    </xf>
    <xf numFmtId="0" fontId="5" fillId="3" borderId="8" xfId="0" quotePrefix="1" applyFont="1" applyFill="1" applyBorder="1" applyAlignment="1">
      <alignment horizontal="right" vertical="center"/>
    </xf>
    <xf numFmtId="0" fontId="5" fillId="5" borderId="14" xfId="0" quotePrefix="1" applyFont="1" applyFill="1" applyBorder="1" applyAlignment="1">
      <alignment horizontal="right" vertical="top"/>
    </xf>
    <xf numFmtId="0" fontId="5" fillId="5" borderId="15" xfId="0" quotePrefix="1" applyFont="1" applyFill="1" applyBorder="1" applyAlignment="1">
      <alignment horizontal="right" vertical="top"/>
    </xf>
    <xf numFmtId="0" fontId="5" fillId="3" borderId="15" xfId="0" applyFont="1" applyFill="1" applyBorder="1"/>
    <xf numFmtId="0" fontId="3" fillId="5" borderId="15" xfId="0" applyFont="1" applyFill="1" applyBorder="1" applyAlignment="1">
      <alignment horizontal="right"/>
    </xf>
    <xf numFmtId="0" fontId="3" fillId="5" borderId="16" xfId="0" applyFont="1" applyFill="1" applyBorder="1" applyAlignment="1">
      <alignment horizontal="right"/>
    </xf>
    <xf numFmtId="0" fontId="5" fillId="3" borderId="14" xfId="0" applyFont="1" applyFill="1" applyBorder="1" applyAlignment="1">
      <alignment vertical="center"/>
    </xf>
    <xf numFmtId="0" fontId="5" fillId="5" borderId="17" xfId="0" quotePrefix="1" applyFont="1" applyFill="1" applyBorder="1" applyAlignment="1">
      <alignment horizontal="right" vertical="top"/>
    </xf>
    <xf numFmtId="0" fontId="5" fillId="0" borderId="17" xfId="0" applyFont="1" applyBorder="1"/>
    <xf numFmtId="0" fontId="3" fillId="3" borderId="0" xfId="0" applyFont="1" applyFill="1" applyAlignment="1">
      <alignment horizontal="left"/>
    </xf>
    <xf numFmtId="3" fontId="5" fillId="3" borderId="8" xfId="0" applyNumberFormat="1" applyFont="1" applyFill="1" applyBorder="1" applyAlignment="1">
      <alignment vertical="center"/>
    </xf>
    <xf numFmtId="3" fontId="5" fillId="3" borderId="0" xfId="0" applyNumberFormat="1" applyFont="1" applyFill="1" applyAlignment="1">
      <alignment vertical="center"/>
    </xf>
    <xf numFmtId="0" fontId="5" fillId="5" borderId="18" xfId="0" quotePrefix="1" applyFont="1" applyFill="1" applyBorder="1" applyAlignment="1">
      <alignment horizontal="right" vertical="top"/>
    </xf>
    <xf numFmtId="0" fontId="5" fillId="5" borderId="18" xfId="0" quotePrefix="1" applyFont="1" applyFill="1" applyBorder="1" applyAlignment="1">
      <alignment horizontal="left" vertical="top"/>
    </xf>
    <xf numFmtId="0" fontId="5" fillId="0" borderId="18" xfId="0" applyFont="1" applyBorder="1"/>
    <xf numFmtId="0" fontId="5" fillId="0" borderId="18" xfId="0" applyFont="1" applyBorder="1" applyAlignment="1">
      <alignment vertical="center"/>
    </xf>
    <xf numFmtId="0" fontId="5" fillId="5" borderId="14" xfId="0" quotePrefix="1" applyFont="1" applyFill="1" applyBorder="1" applyAlignment="1">
      <alignment vertical="top"/>
    </xf>
    <xf numFmtId="0" fontId="5" fillId="5" borderId="15" xfId="0" quotePrefix="1" applyFont="1" applyFill="1" applyBorder="1" applyAlignment="1">
      <alignment vertical="top"/>
    </xf>
    <xf numFmtId="0" fontId="3" fillId="0" borderId="14" xfId="0" applyFont="1" applyBorder="1" applyAlignment="1">
      <alignment vertical="center" wrapText="1"/>
    </xf>
    <xf numFmtId="0" fontId="3" fillId="0" borderId="16" xfId="0" applyFont="1" applyBorder="1" applyAlignment="1">
      <alignment vertical="center" wrapText="1"/>
    </xf>
    <xf numFmtId="0" fontId="5" fillId="5" borderId="16" xfId="0" quotePrefix="1" applyFont="1" applyFill="1" applyBorder="1" applyAlignment="1">
      <alignment vertical="top"/>
    </xf>
    <xf numFmtId="0" fontId="3" fillId="5" borderId="14" xfId="0" applyFont="1" applyFill="1" applyBorder="1" applyAlignment="1">
      <alignment vertical="center" wrapText="1"/>
    </xf>
    <xf numFmtId="0" fontId="3" fillId="5" borderId="16" xfId="0" applyFont="1" applyFill="1" applyBorder="1" applyAlignment="1">
      <alignment vertical="center" wrapText="1"/>
    </xf>
    <xf numFmtId="164" fontId="5" fillId="0" borderId="14" xfId="0" applyNumberFormat="1" applyFont="1" applyBorder="1" applyAlignment="1">
      <alignment vertical="center"/>
    </xf>
    <xf numFmtId="164" fontId="5" fillId="0" borderId="15" xfId="0" applyNumberFormat="1" applyFont="1" applyBorder="1" applyAlignment="1">
      <alignment vertical="center"/>
    </xf>
    <xf numFmtId="0" fontId="5" fillId="5" borderId="16" xfId="0" quotePrefix="1" applyFont="1" applyFill="1" applyBorder="1" applyAlignment="1">
      <alignment horizontal="right" vertical="top"/>
    </xf>
    <xf numFmtId="0" fontId="5" fillId="0" borderId="16" xfId="0" applyFont="1" applyBorder="1" applyAlignment="1">
      <alignment vertical="center"/>
    </xf>
    <xf numFmtId="0" fontId="5" fillId="3" borderId="16" xfId="0" applyFont="1" applyFill="1" applyBorder="1"/>
    <xf numFmtId="164" fontId="5" fillId="0" borderId="16" xfId="0" applyNumberFormat="1" applyFont="1" applyBorder="1" applyAlignment="1">
      <alignment vertical="center"/>
    </xf>
    <xf numFmtId="0" fontId="5" fillId="5" borderId="16" xfId="0" applyFont="1" applyFill="1" applyBorder="1" applyAlignment="1">
      <alignment horizontal="right"/>
    </xf>
    <xf numFmtId="42" fontId="5" fillId="0" borderId="7" xfId="2" applyNumberFormat="1" applyFont="1" applyFill="1" applyBorder="1" applyAlignment="1">
      <alignment vertical="top"/>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17" fontId="4" fillId="5" borderId="1" xfId="0" applyNumberFormat="1" applyFont="1" applyFill="1" applyBorder="1" applyAlignment="1">
      <alignment horizontal="center" vertical="center" wrapText="1"/>
    </xf>
    <xf numFmtId="0" fontId="4" fillId="5" borderId="3" xfId="0" applyFont="1" applyFill="1" applyBorder="1" applyAlignment="1">
      <alignment horizontal="center" vertical="center" wrapText="1"/>
    </xf>
    <xf numFmtId="0" fontId="2" fillId="2" borderId="1" xfId="0" applyFont="1" applyFill="1" applyBorder="1" applyAlignment="1">
      <alignment horizontal="left" vertical="center"/>
    </xf>
    <xf numFmtId="0" fontId="2" fillId="2" borderId="2" xfId="0" applyFont="1" applyFill="1" applyBorder="1" applyAlignment="1">
      <alignment horizontal="left" vertical="center"/>
    </xf>
    <xf numFmtId="0" fontId="2" fillId="2" borderId="3" xfId="0" applyFont="1" applyFill="1" applyBorder="1" applyAlignment="1">
      <alignment horizontal="left" vertical="center"/>
    </xf>
    <xf numFmtId="0" fontId="4" fillId="5" borderId="1" xfId="0" applyFont="1" applyFill="1" applyBorder="1" applyAlignment="1">
      <alignment horizontal="left" vertical="center" wrapText="1"/>
    </xf>
    <xf numFmtId="0" fontId="4" fillId="5" borderId="2" xfId="0" applyFont="1" applyFill="1" applyBorder="1" applyAlignment="1">
      <alignment horizontal="left" vertical="center" wrapText="1"/>
    </xf>
    <xf numFmtId="0" fontId="4" fillId="5" borderId="3" xfId="0" applyFont="1" applyFill="1" applyBorder="1" applyAlignment="1">
      <alignment horizontal="left" vertical="center" wrapText="1"/>
    </xf>
    <xf numFmtId="0" fontId="2" fillId="2" borderId="7" xfId="0" applyFont="1" applyFill="1" applyBorder="1" applyAlignment="1">
      <alignment horizontal="center" vertical="center"/>
    </xf>
    <xf numFmtId="0" fontId="3" fillId="7" borderId="9" xfId="0" applyFont="1" applyFill="1" applyBorder="1" applyAlignment="1">
      <alignment horizontal="center" vertical="center" wrapText="1"/>
    </xf>
    <xf numFmtId="0" fontId="3" fillId="7" borderId="8" xfId="0" applyFont="1" applyFill="1" applyBorder="1" applyAlignment="1">
      <alignment horizontal="center" vertical="center" wrapText="1"/>
    </xf>
    <xf numFmtId="0" fontId="3" fillId="7" borderId="4" xfId="0" applyFont="1" applyFill="1" applyBorder="1" applyAlignment="1">
      <alignment horizontal="center" vertical="center" wrapText="1"/>
    </xf>
    <xf numFmtId="0" fontId="3" fillId="7" borderId="10" xfId="0" applyFont="1" applyFill="1" applyBorder="1" applyAlignment="1">
      <alignment horizontal="center" vertical="center" wrapText="1"/>
    </xf>
    <xf numFmtId="0" fontId="3" fillId="7" borderId="12" xfId="0" applyFont="1" applyFill="1" applyBorder="1" applyAlignment="1">
      <alignment horizontal="center" vertical="center" wrapText="1"/>
    </xf>
    <xf numFmtId="0" fontId="3" fillId="7" borderId="11" xfId="0" applyFont="1" applyFill="1" applyBorder="1" applyAlignment="1">
      <alignment horizontal="center" vertical="center" wrapText="1"/>
    </xf>
    <xf numFmtId="0" fontId="4" fillId="5" borderId="7" xfId="0" applyFont="1" applyFill="1" applyBorder="1" applyAlignment="1">
      <alignment horizontal="left" vertical="center" wrapText="1"/>
    </xf>
    <xf numFmtId="0" fontId="2" fillId="2" borderId="7" xfId="0" applyFont="1" applyFill="1" applyBorder="1" applyAlignment="1">
      <alignment vertical="center"/>
    </xf>
    <xf numFmtId="0" fontId="3" fillId="6" borderId="9" xfId="0" applyFont="1" applyFill="1" applyBorder="1" applyAlignment="1">
      <alignment horizontal="center" vertical="center" wrapText="1"/>
    </xf>
    <xf numFmtId="0" fontId="3" fillId="6" borderId="8"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3" fillId="6" borderId="6" xfId="0" applyFont="1" applyFill="1" applyBorder="1" applyAlignment="1">
      <alignment horizontal="center" vertical="center" wrapText="1"/>
    </xf>
    <xf numFmtId="0" fontId="3" fillId="6" borderId="0" xfId="0" applyFont="1" applyFill="1" applyAlignment="1">
      <alignment horizontal="center" vertical="center" wrapText="1"/>
    </xf>
    <xf numFmtId="0" fontId="3" fillId="6" borderId="5" xfId="0" applyFont="1" applyFill="1" applyBorder="1" applyAlignment="1">
      <alignment horizontal="center" vertical="center" wrapText="1"/>
    </xf>
    <xf numFmtId="0" fontId="3" fillId="6" borderId="10"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3" fillId="6" borderId="11" xfId="0" applyFont="1" applyFill="1" applyBorder="1" applyAlignment="1">
      <alignment horizontal="center" vertical="center" wrapText="1"/>
    </xf>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xf>
    <xf numFmtId="0" fontId="4" fillId="5" borderId="1" xfId="0" applyFont="1" applyFill="1" applyBorder="1" applyAlignment="1">
      <alignment horizontal="left" vertical="center"/>
    </xf>
    <xf numFmtId="0" fontId="4" fillId="5" borderId="2" xfId="0" applyFont="1" applyFill="1" applyBorder="1" applyAlignment="1">
      <alignment horizontal="left" vertical="center"/>
    </xf>
    <xf numFmtId="0" fontId="4" fillId="5" borderId="3" xfId="0" applyFont="1" applyFill="1" applyBorder="1" applyAlignment="1">
      <alignment horizontal="left" vertical="center"/>
    </xf>
    <xf numFmtId="0" fontId="4" fillId="5" borderId="7" xfId="0" applyFont="1" applyFill="1" applyBorder="1" applyAlignment="1">
      <alignment horizontal="center" vertical="center"/>
    </xf>
    <xf numFmtId="17" fontId="4" fillId="5" borderId="7" xfId="0" applyNumberFormat="1" applyFont="1" applyFill="1" applyBorder="1" applyAlignment="1">
      <alignment horizontal="center" vertical="center"/>
    </xf>
    <xf numFmtId="0" fontId="0" fillId="0" borderId="0" xfId="0" applyAlignment="1">
      <alignment horizontal="center" vertical="center" wrapText="1"/>
    </xf>
    <xf numFmtId="0" fontId="3" fillId="7" borderId="6" xfId="0" applyFont="1" applyFill="1" applyBorder="1" applyAlignment="1">
      <alignment horizontal="left" vertical="top" wrapText="1"/>
    </xf>
    <xf numFmtId="0" fontId="3" fillId="7" borderId="0" xfId="0" applyFont="1" applyFill="1" applyAlignment="1">
      <alignment horizontal="left" vertical="top" wrapText="1"/>
    </xf>
    <xf numFmtId="0" fontId="3" fillId="7" borderId="5" xfId="0" applyFont="1" applyFill="1" applyBorder="1" applyAlignment="1">
      <alignment horizontal="left" vertical="top" wrapText="1"/>
    </xf>
    <xf numFmtId="0" fontId="3" fillId="7" borderId="10" xfId="0" applyFont="1" applyFill="1" applyBorder="1" applyAlignment="1">
      <alignment horizontal="left" vertical="top" wrapText="1"/>
    </xf>
    <xf numFmtId="0" fontId="3" fillId="7" borderId="12" xfId="0" applyFont="1" applyFill="1" applyBorder="1" applyAlignment="1">
      <alignment horizontal="left" vertical="top" wrapText="1"/>
    </xf>
    <xf numFmtId="0" fontId="3" fillId="7" borderId="11" xfId="0" applyFont="1" applyFill="1" applyBorder="1" applyAlignment="1">
      <alignment horizontal="left" vertical="top" wrapText="1"/>
    </xf>
    <xf numFmtId="0" fontId="7" fillId="8" borderId="1" xfId="0" applyFont="1" applyFill="1" applyBorder="1"/>
    <xf numFmtId="0" fontId="7" fillId="8" borderId="2" xfId="0" applyFont="1" applyFill="1" applyBorder="1"/>
    <xf numFmtId="166" fontId="8" fillId="3" borderId="0" xfId="1" applyNumberFormat="1" applyFont="1" applyFill="1" applyAlignment="1">
      <alignment vertical="center"/>
    </xf>
    <xf numFmtId="166" fontId="7" fillId="8" borderId="2" xfId="1" applyNumberFormat="1" applyFont="1" applyFill="1" applyBorder="1"/>
    <xf numFmtId="0" fontId="4" fillId="8" borderId="1" xfId="0" applyFont="1" applyFill="1" applyBorder="1" applyAlignment="1">
      <alignment horizontal="left"/>
    </xf>
    <xf numFmtId="0" fontId="4" fillId="8" borderId="2" xfId="0" applyFont="1" applyFill="1" applyBorder="1"/>
    <xf numFmtId="166" fontId="4" fillId="8" borderId="2" xfId="1" applyNumberFormat="1" applyFont="1" applyFill="1" applyBorder="1"/>
    <xf numFmtId="0" fontId="8" fillId="8" borderId="1" xfId="0" quotePrefix="1" applyFont="1" applyFill="1" applyBorder="1" applyAlignment="1">
      <alignment vertical="top"/>
    </xf>
    <xf numFmtId="0" fontId="8" fillId="8" borderId="2" xfId="0" quotePrefix="1" applyFont="1" applyFill="1" applyBorder="1" applyAlignment="1">
      <alignment horizontal="left" vertical="top"/>
    </xf>
    <xf numFmtId="166" fontId="8" fillId="8" borderId="2" xfId="1" applyNumberFormat="1" applyFont="1" applyFill="1" applyBorder="1" applyAlignment="1">
      <alignment vertical="center"/>
    </xf>
    <xf numFmtId="168" fontId="7" fillId="8" borderId="2" xfId="2" applyNumberFormat="1" applyFont="1" applyFill="1" applyBorder="1"/>
    <xf numFmtId="42" fontId="7" fillId="8" borderId="2" xfId="0" applyNumberFormat="1" applyFont="1" applyFill="1" applyBorder="1"/>
    <xf numFmtId="0" fontId="5" fillId="5" borderId="17" xfId="0" applyFont="1" applyFill="1" applyBorder="1"/>
    <xf numFmtId="42" fontId="5" fillId="0" borderId="17" xfId="2" applyNumberFormat="1" applyFont="1" applyBorder="1"/>
    <xf numFmtId="0" fontId="8" fillId="8" borderId="2" xfId="0" quotePrefix="1" applyFont="1" applyFill="1" applyBorder="1" applyAlignment="1">
      <alignment vertical="top"/>
    </xf>
    <xf numFmtId="0" fontId="8" fillId="8" borderId="1" xfId="0" applyFont="1" applyFill="1" applyBorder="1"/>
    <xf numFmtId="0" fontId="8" fillId="8" borderId="2" xfId="0" applyFont="1" applyFill="1" applyBorder="1"/>
    <xf numFmtId="168" fontId="8" fillId="8" borderId="2" xfId="2" applyNumberFormat="1" applyFont="1" applyFill="1" applyBorder="1"/>
  </cellXfs>
  <cellStyles count="3">
    <cellStyle name="Comma" xfId="1" builtinId="3"/>
    <cellStyle name="Currency" xfId="2" builtinId="4"/>
    <cellStyle name="Normal" xfId="0" builtinId="0"/>
  </cellStyles>
  <dxfs count="0"/>
  <tableStyles count="0" defaultTableStyle="TableStyleMedium2" defaultPivotStyle="PivotStyleLight16"/>
  <colors>
    <mruColors>
      <color rgb="FF00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76"/>
  <sheetViews>
    <sheetView topLeftCell="D1" zoomScaleNormal="100" workbookViewId="0">
      <selection sqref="A1:O1"/>
    </sheetView>
  </sheetViews>
  <sheetFormatPr baseColWidth="10" defaultColWidth="9.1640625" defaultRowHeight="15" x14ac:dyDescent="0.2"/>
  <cols>
    <col min="1" max="2" width="12.83203125" style="8" customWidth="1"/>
    <col min="3" max="3" width="20.1640625" style="8" customWidth="1"/>
    <col min="4" max="4" width="14.5" style="8" customWidth="1"/>
    <col min="5" max="10" width="12.83203125" style="8" customWidth="1"/>
    <col min="11" max="16384" width="9.1640625" style="8"/>
  </cols>
  <sheetData>
    <row r="1" spans="1:15" ht="16" thickBot="1" x14ac:dyDescent="0.25">
      <c r="A1" s="120" t="s">
        <v>0</v>
      </c>
      <c r="B1" s="121"/>
      <c r="C1" s="121"/>
      <c r="D1" s="121"/>
      <c r="E1" s="121"/>
      <c r="F1" s="121"/>
      <c r="G1" s="121"/>
      <c r="H1" s="121"/>
      <c r="I1" s="121"/>
      <c r="J1" s="121"/>
      <c r="K1" s="121"/>
      <c r="L1" s="121"/>
      <c r="M1" s="121"/>
      <c r="N1" s="121"/>
      <c r="O1" s="122"/>
    </row>
    <row r="2" spans="1:15" x14ac:dyDescent="0.2">
      <c r="A2" s="5">
        <v>1</v>
      </c>
      <c r="B2" s="3" t="s">
        <v>40</v>
      </c>
      <c r="C2" s="3"/>
      <c r="D2" s="3"/>
      <c r="E2" s="3"/>
      <c r="F2" s="3"/>
      <c r="G2" s="3"/>
      <c r="H2" s="3"/>
      <c r="I2" s="3"/>
      <c r="J2" s="3"/>
      <c r="K2" s="3"/>
      <c r="L2" s="3"/>
      <c r="M2" s="3"/>
      <c r="N2" s="3"/>
      <c r="O2" s="3"/>
    </row>
    <row r="3" spans="1:15" x14ac:dyDescent="0.2">
      <c r="A3" s="5">
        <v>2</v>
      </c>
      <c r="B3" s="3" t="s">
        <v>41</v>
      </c>
      <c r="C3" s="3"/>
      <c r="D3" s="3"/>
      <c r="E3" s="3"/>
      <c r="F3" s="3"/>
      <c r="G3" s="3"/>
      <c r="H3" s="3"/>
      <c r="I3" s="3"/>
      <c r="J3" s="3"/>
      <c r="K3" s="3"/>
      <c r="L3" s="3"/>
      <c r="M3" s="3"/>
      <c r="N3" s="3"/>
      <c r="O3" s="3"/>
    </row>
    <row r="4" spans="1:15" x14ac:dyDescent="0.2">
      <c r="A4" s="5">
        <v>3</v>
      </c>
      <c r="B4" s="2" t="s">
        <v>42</v>
      </c>
      <c r="C4" s="3"/>
      <c r="D4" s="3"/>
      <c r="E4" s="3"/>
      <c r="F4" s="3"/>
      <c r="G4" s="3"/>
      <c r="H4" s="3"/>
      <c r="I4" s="3"/>
      <c r="J4" s="3"/>
      <c r="K4" s="3"/>
      <c r="L4" s="3"/>
      <c r="M4" s="3"/>
      <c r="N4" s="3"/>
      <c r="O4" s="3"/>
    </row>
    <row r="5" spans="1:15" x14ac:dyDescent="0.2">
      <c r="A5" s="5">
        <v>4</v>
      </c>
      <c r="B5" s="2" t="s">
        <v>43</v>
      </c>
      <c r="C5" s="2"/>
      <c r="D5" s="2"/>
      <c r="E5" s="3"/>
      <c r="F5" s="2"/>
      <c r="G5" s="3"/>
      <c r="H5" s="3"/>
      <c r="I5" s="3"/>
      <c r="J5" s="3"/>
      <c r="K5" s="3"/>
      <c r="L5" s="3"/>
      <c r="M5" s="3"/>
      <c r="N5" s="3"/>
      <c r="O5" s="3"/>
    </row>
    <row r="6" spans="1:15" x14ac:dyDescent="0.2">
      <c r="A6" s="5">
        <v>5</v>
      </c>
      <c r="B6" s="2" t="s">
        <v>44</v>
      </c>
      <c r="C6" s="2"/>
      <c r="D6" s="2"/>
      <c r="E6" s="3"/>
      <c r="F6" s="2"/>
      <c r="G6" s="3"/>
      <c r="H6" s="3"/>
      <c r="I6" s="3"/>
      <c r="J6" s="3"/>
      <c r="K6" s="3"/>
      <c r="L6" s="3"/>
      <c r="M6" s="3"/>
      <c r="N6" s="3"/>
      <c r="O6" s="3"/>
    </row>
    <row r="7" spans="1:15" x14ac:dyDescent="0.2">
      <c r="A7" s="5">
        <v>6</v>
      </c>
      <c r="B7" s="2" t="s">
        <v>45</v>
      </c>
      <c r="C7" s="2"/>
      <c r="D7" s="2"/>
      <c r="E7" s="3"/>
      <c r="F7" s="2"/>
      <c r="G7" s="3"/>
      <c r="H7" s="3"/>
      <c r="I7" s="3"/>
      <c r="J7" s="3"/>
      <c r="K7" s="3"/>
      <c r="L7" s="3"/>
      <c r="M7" s="3"/>
      <c r="N7" s="3"/>
      <c r="O7" s="3"/>
    </row>
    <row r="8" spans="1:15" ht="16" thickBot="1" x14ac:dyDescent="0.25"/>
    <row r="9" spans="1:15" ht="30" customHeight="1" thickBot="1" x14ac:dyDescent="0.25">
      <c r="A9" s="115" t="s">
        <v>86</v>
      </c>
      <c r="B9" s="116"/>
      <c r="C9" s="116"/>
      <c r="D9" s="117"/>
      <c r="E9" s="118">
        <v>44681</v>
      </c>
      <c r="F9" s="119"/>
      <c r="G9" s="118">
        <v>44712</v>
      </c>
      <c r="H9" s="119"/>
      <c r="I9" s="118">
        <v>44742</v>
      </c>
      <c r="J9" s="119"/>
    </row>
    <row r="10" spans="1:15" ht="31" thickBot="1" x14ac:dyDescent="0.25">
      <c r="A10" s="10" t="s">
        <v>8</v>
      </c>
      <c r="B10" s="10" t="s">
        <v>36</v>
      </c>
      <c r="C10" s="10" t="s">
        <v>9</v>
      </c>
      <c r="D10" s="10" t="s">
        <v>37</v>
      </c>
      <c r="E10" s="10" t="s">
        <v>38</v>
      </c>
      <c r="F10" s="10" t="s">
        <v>39</v>
      </c>
      <c r="G10" s="10" t="s">
        <v>38</v>
      </c>
      <c r="H10" s="10" t="s">
        <v>39</v>
      </c>
      <c r="I10" s="10" t="s">
        <v>38</v>
      </c>
      <c r="J10" s="10" t="s">
        <v>39</v>
      </c>
    </row>
    <row r="11" spans="1:15" x14ac:dyDescent="0.2">
      <c r="A11" s="100" t="s">
        <v>99</v>
      </c>
      <c r="B11" s="100" t="s">
        <v>98</v>
      </c>
      <c r="C11" s="37" t="s">
        <v>97</v>
      </c>
      <c r="D11" s="37" t="s">
        <v>100</v>
      </c>
      <c r="E11" s="47">
        <v>1997</v>
      </c>
      <c r="F11" s="47">
        <v>39340052.916000001</v>
      </c>
      <c r="G11" s="47">
        <v>2006</v>
      </c>
      <c r="H11" s="47">
        <v>33359721.772</v>
      </c>
      <c r="I11" s="47">
        <v>2007</v>
      </c>
      <c r="J11" s="47">
        <v>37210954.697999999</v>
      </c>
    </row>
    <row r="12" spans="1:15" x14ac:dyDescent="0.2">
      <c r="A12" s="76" t="s">
        <v>99</v>
      </c>
      <c r="B12" s="76" t="s">
        <v>98</v>
      </c>
      <c r="C12" s="38" t="s">
        <v>10</v>
      </c>
      <c r="D12" s="38" t="s">
        <v>100</v>
      </c>
      <c r="E12" s="48">
        <v>12706</v>
      </c>
      <c r="F12" s="48">
        <v>12157709.407</v>
      </c>
      <c r="G12" s="48">
        <v>12696</v>
      </c>
      <c r="H12" s="48">
        <v>11233076.327</v>
      </c>
      <c r="I12" s="48">
        <v>12699</v>
      </c>
      <c r="J12" s="48">
        <v>10001710.932</v>
      </c>
    </row>
    <row r="13" spans="1:15" x14ac:dyDescent="0.2">
      <c r="A13" s="76" t="s">
        <v>99</v>
      </c>
      <c r="B13" s="101" t="s">
        <v>273</v>
      </c>
      <c r="C13" s="38" t="s">
        <v>97</v>
      </c>
      <c r="D13" s="38" t="s">
        <v>274</v>
      </c>
      <c r="E13" s="48">
        <v>964</v>
      </c>
      <c r="F13" s="48">
        <v>1441552.253</v>
      </c>
      <c r="G13" s="48">
        <v>970</v>
      </c>
      <c r="H13" s="48">
        <v>1174305.52</v>
      </c>
      <c r="I13" s="48">
        <v>970</v>
      </c>
      <c r="J13" s="48">
        <v>920148.07799999998</v>
      </c>
    </row>
    <row r="14" spans="1:15" x14ac:dyDescent="0.2">
      <c r="A14" s="76" t="s">
        <v>99</v>
      </c>
      <c r="B14" s="76" t="s">
        <v>273</v>
      </c>
      <c r="C14" s="38" t="s">
        <v>10</v>
      </c>
      <c r="D14" s="38" t="s">
        <v>274</v>
      </c>
      <c r="E14" s="48">
        <v>8388</v>
      </c>
      <c r="F14" s="48">
        <v>638788.478</v>
      </c>
      <c r="G14" s="48">
        <v>8384</v>
      </c>
      <c r="H14" s="48">
        <v>546826.26199999999</v>
      </c>
      <c r="I14" s="48">
        <v>8382</v>
      </c>
      <c r="J14" s="48">
        <v>315471.89600000001</v>
      </c>
    </row>
    <row r="15" spans="1:15" x14ac:dyDescent="0.2">
      <c r="A15" s="101" t="s">
        <v>101</v>
      </c>
      <c r="B15" s="101" t="s">
        <v>98</v>
      </c>
      <c r="C15" s="38" t="s">
        <v>97</v>
      </c>
      <c r="D15" s="38" t="s">
        <v>100</v>
      </c>
      <c r="E15" s="48">
        <v>2160</v>
      </c>
      <c r="F15" s="48">
        <v>12775271.578</v>
      </c>
      <c r="G15" s="48">
        <v>2160</v>
      </c>
      <c r="H15" s="48">
        <v>13394494.233000001</v>
      </c>
      <c r="I15" s="48">
        <v>2161</v>
      </c>
      <c r="J15" s="48">
        <v>15673679.089</v>
      </c>
    </row>
    <row r="16" spans="1:15" x14ac:dyDescent="0.2">
      <c r="A16" s="76" t="s">
        <v>101</v>
      </c>
      <c r="B16" s="76" t="s">
        <v>98</v>
      </c>
      <c r="C16" s="38" t="s">
        <v>10</v>
      </c>
      <c r="D16" s="38" t="s">
        <v>100</v>
      </c>
      <c r="E16" s="48">
        <v>14202</v>
      </c>
      <c r="F16" s="48">
        <v>12188232.358999999</v>
      </c>
      <c r="G16" s="48">
        <v>14201</v>
      </c>
      <c r="H16" s="48">
        <v>11305060.811000001</v>
      </c>
      <c r="I16" s="48">
        <v>14206</v>
      </c>
      <c r="J16" s="48">
        <v>8908680.7709999997</v>
      </c>
    </row>
    <row r="17" spans="1:10" x14ac:dyDescent="0.2">
      <c r="A17" s="76" t="s">
        <v>101</v>
      </c>
      <c r="B17" s="101" t="s">
        <v>273</v>
      </c>
      <c r="C17" s="38" t="s">
        <v>97</v>
      </c>
      <c r="D17" s="38" t="s">
        <v>274</v>
      </c>
      <c r="E17" s="48">
        <v>996</v>
      </c>
      <c r="F17" s="48">
        <v>422457.45799999998</v>
      </c>
      <c r="G17" s="48">
        <v>994</v>
      </c>
      <c r="H17" s="48">
        <v>383103.05599999998</v>
      </c>
      <c r="I17" s="48">
        <v>996</v>
      </c>
      <c r="J17" s="48">
        <v>313984.59799999994</v>
      </c>
    </row>
    <row r="18" spans="1:10" x14ac:dyDescent="0.2">
      <c r="A18" s="76" t="s">
        <v>101</v>
      </c>
      <c r="B18" s="76" t="s">
        <v>273</v>
      </c>
      <c r="C18" s="38" t="s">
        <v>10</v>
      </c>
      <c r="D18" s="38" t="s">
        <v>274</v>
      </c>
      <c r="E18" s="48">
        <v>5422</v>
      </c>
      <c r="F18" s="48">
        <v>325753.08100000001</v>
      </c>
      <c r="G18" s="48">
        <v>5419</v>
      </c>
      <c r="H18" s="48">
        <v>301098.80900000001</v>
      </c>
      <c r="I18" s="48">
        <v>5421</v>
      </c>
      <c r="J18" s="48">
        <v>158000.30100000001</v>
      </c>
    </row>
    <row r="19" spans="1:10" x14ac:dyDescent="0.2">
      <c r="A19" s="101" t="s">
        <v>102</v>
      </c>
      <c r="B19" s="101" t="s">
        <v>98</v>
      </c>
      <c r="C19" s="38" t="s">
        <v>97</v>
      </c>
      <c r="D19" s="38" t="s">
        <v>100</v>
      </c>
      <c r="E19" s="48">
        <v>3042</v>
      </c>
      <c r="F19" s="48">
        <v>13717374.928000001</v>
      </c>
      <c r="G19" s="48">
        <v>3049</v>
      </c>
      <c r="H19" s="48">
        <v>16504162.139</v>
      </c>
      <c r="I19" s="48">
        <v>3036</v>
      </c>
      <c r="J19" s="48">
        <v>15148365.317</v>
      </c>
    </row>
    <row r="20" spans="1:10" x14ac:dyDescent="0.2">
      <c r="A20" s="76" t="s">
        <v>102</v>
      </c>
      <c r="B20" s="76" t="s">
        <v>98</v>
      </c>
      <c r="C20" s="38" t="s">
        <v>10</v>
      </c>
      <c r="D20" s="38" t="s">
        <v>100</v>
      </c>
      <c r="E20" s="48">
        <v>19696</v>
      </c>
      <c r="F20" s="48">
        <v>16685245.243000001</v>
      </c>
      <c r="G20" s="48">
        <v>19682</v>
      </c>
      <c r="H20" s="48">
        <v>15512924.661</v>
      </c>
      <c r="I20" s="48">
        <v>19705</v>
      </c>
      <c r="J20" s="48">
        <v>12918440.386</v>
      </c>
    </row>
    <row r="21" spans="1:10" x14ac:dyDescent="0.2">
      <c r="A21" s="76" t="s">
        <v>102</v>
      </c>
      <c r="B21" s="101" t="s">
        <v>273</v>
      </c>
      <c r="C21" s="38" t="s">
        <v>97</v>
      </c>
      <c r="D21" s="38" t="s">
        <v>274</v>
      </c>
      <c r="E21" s="48">
        <v>929</v>
      </c>
      <c r="F21" s="48">
        <v>464624.25299999997</v>
      </c>
      <c r="G21" s="48">
        <v>927</v>
      </c>
      <c r="H21" s="48">
        <v>422076.31199999998</v>
      </c>
      <c r="I21" s="48">
        <v>927</v>
      </c>
      <c r="J21" s="48">
        <v>334667.29799999995</v>
      </c>
    </row>
    <row r="22" spans="1:10" x14ac:dyDescent="0.2">
      <c r="A22" s="76" t="s">
        <v>102</v>
      </c>
      <c r="B22" s="76" t="s">
        <v>273</v>
      </c>
      <c r="C22" s="38" t="s">
        <v>10</v>
      </c>
      <c r="D22" s="38" t="s">
        <v>274</v>
      </c>
      <c r="E22" s="48">
        <v>6951</v>
      </c>
      <c r="F22" s="48">
        <v>545961.402</v>
      </c>
      <c r="G22" s="48">
        <v>6943</v>
      </c>
      <c r="H22" s="48">
        <v>441295.63799999998</v>
      </c>
      <c r="I22" s="48">
        <v>6953</v>
      </c>
      <c r="J22" s="48">
        <v>248146.70600000001</v>
      </c>
    </row>
    <row r="23" spans="1:10" x14ac:dyDescent="0.2">
      <c r="A23" s="101" t="s">
        <v>103</v>
      </c>
      <c r="B23" s="101" t="s">
        <v>98</v>
      </c>
      <c r="C23" s="38" t="s">
        <v>97</v>
      </c>
      <c r="D23" s="38" t="s">
        <v>100</v>
      </c>
      <c r="E23" s="48">
        <v>2190</v>
      </c>
      <c r="F23" s="48">
        <v>44085509.202999994</v>
      </c>
      <c r="G23" s="48">
        <v>2193</v>
      </c>
      <c r="H23" s="48">
        <v>33900395.314999998</v>
      </c>
      <c r="I23" s="48">
        <v>2185</v>
      </c>
      <c r="J23" s="48">
        <v>40913496.375999995</v>
      </c>
    </row>
    <row r="24" spans="1:10" x14ac:dyDescent="0.2">
      <c r="A24" s="76" t="s">
        <v>103</v>
      </c>
      <c r="B24" s="76" t="s">
        <v>98</v>
      </c>
      <c r="C24" s="38" t="s">
        <v>10</v>
      </c>
      <c r="D24" s="38" t="s">
        <v>100</v>
      </c>
      <c r="E24" s="48">
        <v>19052</v>
      </c>
      <c r="F24" s="48">
        <v>14151918.700999999</v>
      </c>
      <c r="G24" s="48">
        <v>19032</v>
      </c>
      <c r="H24" s="48">
        <v>12213224.243000001</v>
      </c>
      <c r="I24" s="48">
        <v>19035</v>
      </c>
      <c r="J24" s="48">
        <v>11853074.123</v>
      </c>
    </row>
    <row r="25" spans="1:10" x14ac:dyDescent="0.2">
      <c r="A25" s="76" t="s">
        <v>103</v>
      </c>
      <c r="B25" s="101" t="s">
        <v>273</v>
      </c>
      <c r="C25" s="38" t="s">
        <v>97</v>
      </c>
      <c r="D25" s="38" t="s">
        <v>274</v>
      </c>
      <c r="E25" s="48">
        <v>589</v>
      </c>
      <c r="F25" s="48">
        <v>804754.18799999997</v>
      </c>
      <c r="G25" s="48">
        <v>591</v>
      </c>
      <c r="H25" s="48">
        <v>621907.78500000003</v>
      </c>
      <c r="I25" s="48">
        <v>590</v>
      </c>
      <c r="J25" s="48">
        <v>413009.125</v>
      </c>
    </row>
    <row r="26" spans="1:10" x14ac:dyDescent="0.2">
      <c r="A26" s="76" t="s">
        <v>103</v>
      </c>
      <c r="B26" s="76" t="s">
        <v>273</v>
      </c>
      <c r="C26" s="38" t="s">
        <v>10</v>
      </c>
      <c r="D26" s="38" t="s">
        <v>274</v>
      </c>
      <c r="E26" s="48">
        <v>6126</v>
      </c>
      <c r="F26" s="48">
        <v>687242.88100000005</v>
      </c>
      <c r="G26" s="48">
        <v>6125</v>
      </c>
      <c r="H26" s="48">
        <v>482628.34399999998</v>
      </c>
      <c r="I26" s="48">
        <v>6126</v>
      </c>
      <c r="J26" s="48">
        <v>304015.658</v>
      </c>
    </row>
    <row r="27" spans="1:10" x14ac:dyDescent="0.2">
      <c r="A27" s="101" t="s">
        <v>104</v>
      </c>
      <c r="B27" s="101" t="s">
        <v>98</v>
      </c>
      <c r="C27" s="38" t="s">
        <v>97</v>
      </c>
      <c r="D27" s="38" t="s">
        <v>100</v>
      </c>
      <c r="E27" s="48">
        <v>1936</v>
      </c>
      <c r="F27" s="48">
        <v>20781839.311999999</v>
      </c>
      <c r="G27" s="48">
        <v>1935</v>
      </c>
      <c r="H27" s="48">
        <v>16393851.052999999</v>
      </c>
      <c r="I27" s="48">
        <v>1934</v>
      </c>
      <c r="J27" s="48">
        <v>17260093.596999999</v>
      </c>
    </row>
    <row r="28" spans="1:10" x14ac:dyDescent="0.2">
      <c r="A28" s="76" t="s">
        <v>104</v>
      </c>
      <c r="B28" s="76" t="s">
        <v>98</v>
      </c>
      <c r="C28" s="38" t="s">
        <v>10</v>
      </c>
      <c r="D28" s="38" t="s">
        <v>100</v>
      </c>
      <c r="E28" s="48">
        <v>8991</v>
      </c>
      <c r="F28" s="48">
        <v>7217359.5360000003</v>
      </c>
      <c r="G28" s="48">
        <v>8991</v>
      </c>
      <c r="H28" s="48">
        <v>6246201.7949999999</v>
      </c>
      <c r="I28" s="48">
        <v>8986</v>
      </c>
      <c r="J28" s="48">
        <v>5442434.25</v>
      </c>
    </row>
    <row r="29" spans="1:10" x14ac:dyDescent="0.2">
      <c r="A29" s="76" t="s">
        <v>104</v>
      </c>
      <c r="B29" s="101" t="s">
        <v>273</v>
      </c>
      <c r="C29" s="38" t="s">
        <v>97</v>
      </c>
      <c r="D29" s="38" t="s">
        <v>274</v>
      </c>
      <c r="E29" s="48">
        <v>786</v>
      </c>
      <c r="F29" s="48">
        <v>489950.96500000003</v>
      </c>
      <c r="G29" s="48">
        <v>786</v>
      </c>
      <c r="H29" s="48">
        <v>387615.67699999997</v>
      </c>
      <c r="I29" s="48">
        <v>784</v>
      </c>
      <c r="J29" s="48">
        <v>307244.71299999999</v>
      </c>
    </row>
    <row r="30" spans="1:10" x14ac:dyDescent="0.2">
      <c r="A30" s="76" t="s">
        <v>104</v>
      </c>
      <c r="B30" s="76" t="s">
        <v>273</v>
      </c>
      <c r="C30" s="38" t="s">
        <v>10</v>
      </c>
      <c r="D30" s="38" t="s">
        <v>274</v>
      </c>
      <c r="E30" s="48">
        <v>4324</v>
      </c>
      <c r="F30" s="48">
        <v>400378.46399999998</v>
      </c>
      <c r="G30" s="48">
        <v>4316</v>
      </c>
      <c r="H30" s="48">
        <v>319046.84700000001</v>
      </c>
      <c r="I30" s="48">
        <v>4316</v>
      </c>
      <c r="J30" s="48">
        <v>169075.416</v>
      </c>
    </row>
    <row r="31" spans="1:10" x14ac:dyDescent="0.2">
      <c r="A31" s="101" t="s">
        <v>105</v>
      </c>
      <c r="B31" s="101" t="s">
        <v>98</v>
      </c>
      <c r="C31" s="38" t="s">
        <v>97</v>
      </c>
      <c r="D31" s="38" t="s">
        <v>100</v>
      </c>
      <c r="E31" s="48">
        <v>1324</v>
      </c>
      <c r="F31" s="48">
        <v>8587051.4979999997</v>
      </c>
      <c r="G31" s="48">
        <v>1315</v>
      </c>
      <c r="H31" s="48">
        <v>5936950.6440000003</v>
      </c>
      <c r="I31" s="48">
        <v>1321</v>
      </c>
      <c r="J31" s="48">
        <v>8609508.8680000007</v>
      </c>
    </row>
    <row r="32" spans="1:10" x14ac:dyDescent="0.2">
      <c r="A32" s="76" t="s">
        <v>105</v>
      </c>
      <c r="B32" s="76" t="s">
        <v>98</v>
      </c>
      <c r="C32" s="38" t="s">
        <v>10</v>
      </c>
      <c r="D32" s="38" t="s">
        <v>100</v>
      </c>
      <c r="E32" s="48">
        <v>14743</v>
      </c>
      <c r="F32" s="48">
        <v>12147242.594000001</v>
      </c>
      <c r="G32" s="48">
        <v>14737</v>
      </c>
      <c r="H32" s="48">
        <v>10610166.809</v>
      </c>
      <c r="I32" s="48">
        <v>14738</v>
      </c>
      <c r="J32" s="48">
        <v>10073858.822000001</v>
      </c>
    </row>
    <row r="33" spans="1:10" x14ac:dyDescent="0.2">
      <c r="A33" s="76" t="s">
        <v>105</v>
      </c>
      <c r="B33" s="101" t="s">
        <v>273</v>
      </c>
      <c r="C33" s="38" t="s">
        <v>97</v>
      </c>
      <c r="D33" s="38" t="s">
        <v>274</v>
      </c>
      <c r="E33" s="48">
        <v>236</v>
      </c>
      <c r="F33" s="48">
        <v>120445.784</v>
      </c>
      <c r="G33" s="48">
        <v>236</v>
      </c>
      <c r="H33" s="48">
        <v>90842.04800000001</v>
      </c>
      <c r="I33" s="48">
        <v>236</v>
      </c>
      <c r="J33" s="48">
        <v>62623.741999999998</v>
      </c>
    </row>
    <row r="34" spans="1:10" x14ac:dyDescent="0.2">
      <c r="A34" s="76" t="s">
        <v>105</v>
      </c>
      <c r="B34" s="76" t="s">
        <v>273</v>
      </c>
      <c r="C34" s="38" t="s">
        <v>10</v>
      </c>
      <c r="D34" s="38" t="s">
        <v>274</v>
      </c>
      <c r="E34" s="48">
        <v>12017</v>
      </c>
      <c r="F34" s="48">
        <v>1224751.3729999999</v>
      </c>
      <c r="G34" s="48">
        <v>12011</v>
      </c>
      <c r="H34" s="48">
        <v>808382.34</v>
      </c>
      <c r="I34" s="48">
        <v>12017</v>
      </c>
      <c r="J34" s="48">
        <v>468641.46299999999</v>
      </c>
    </row>
    <row r="35" spans="1:10" x14ac:dyDescent="0.2">
      <c r="A35" s="101" t="s">
        <v>106</v>
      </c>
      <c r="B35" s="101" t="s">
        <v>98</v>
      </c>
      <c r="C35" s="38" t="s">
        <v>97</v>
      </c>
      <c r="D35" s="38" t="s">
        <v>100</v>
      </c>
      <c r="E35" s="48">
        <v>1252</v>
      </c>
      <c r="F35" s="48">
        <v>8133941.9689999996</v>
      </c>
      <c r="G35" s="48">
        <v>1255</v>
      </c>
      <c r="H35" s="48">
        <v>8143282.5159999998</v>
      </c>
      <c r="I35" s="48">
        <v>1256</v>
      </c>
      <c r="J35" s="48">
        <v>10351215.43</v>
      </c>
    </row>
    <row r="36" spans="1:10" x14ac:dyDescent="0.2">
      <c r="A36" s="76" t="s">
        <v>106</v>
      </c>
      <c r="B36" s="76" t="s">
        <v>98</v>
      </c>
      <c r="C36" s="38" t="s">
        <v>10</v>
      </c>
      <c r="D36" s="38" t="s">
        <v>100</v>
      </c>
      <c r="E36" s="48">
        <v>12340</v>
      </c>
      <c r="F36" s="48">
        <v>9300153.5240000002</v>
      </c>
      <c r="G36" s="48">
        <v>12332</v>
      </c>
      <c r="H36" s="48">
        <v>7662219.2620000001</v>
      </c>
      <c r="I36" s="48">
        <v>12347</v>
      </c>
      <c r="J36" s="48">
        <v>6616319.3940000003</v>
      </c>
    </row>
    <row r="37" spans="1:10" x14ac:dyDescent="0.2">
      <c r="A37" s="76" t="s">
        <v>106</v>
      </c>
      <c r="B37" s="101" t="s">
        <v>273</v>
      </c>
      <c r="C37" s="38" t="s">
        <v>97</v>
      </c>
      <c r="D37" s="38" t="s">
        <v>274</v>
      </c>
      <c r="E37" s="48">
        <v>394</v>
      </c>
      <c r="F37" s="48">
        <v>303273.89299999998</v>
      </c>
      <c r="G37" s="48">
        <v>393</v>
      </c>
      <c r="H37" s="48">
        <v>227528.35499999998</v>
      </c>
      <c r="I37" s="48">
        <v>395</v>
      </c>
      <c r="J37" s="48">
        <v>154639.15299999999</v>
      </c>
    </row>
    <row r="38" spans="1:10" x14ac:dyDescent="0.2">
      <c r="A38" s="76" t="s">
        <v>106</v>
      </c>
      <c r="B38" s="76" t="s">
        <v>273</v>
      </c>
      <c r="C38" s="38" t="s">
        <v>10</v>
      </c>
      <c r="D38" s="38" t="s">
        <v>274</v>
      </c>
      <c r="E38" s="48">
        <v>3876</v>
      </c>
      <c r="F38" s="48">
        <v>314352.47100000002</v>
      </c>
      <c r="G38" s="48">
        <v>3878</v>
      </c>
      <c r="H38" s="48">
        <v>209361.84</v>
      </c>
      <c r="I38" s="48">
        <v>3880</v>
      </c>
      <c r="J38" s="48">
        <v>121183.59699999999</v>
      </c>
    </row>
    <row r="39" spans="1:10" x14ac:dyDescent="0.2">
      <c r="A39" s="101" t="s">
        <v>107</v>
      </c>
      <c r="B39" s="101" t="s">
        <v>98</v>
      </c>
      <c r="C39" s="38" t="s">
        <v>97</v>
      </c>
      <c r="D39" s="38" t="s">
        <v>100</v>
      </c>
      <c r="E39" s="48">
        <v>641</v>
      </c>
      <c r="F39" s="48">
        <v>7984012.4890000001</v>
      </c>
      <c r="G39" s="48">
        <v>643</v>
      </c>
      <c r="H39" s="48">
        <v>5505047.932</v>
      </c>
      <c r="I39" s="48">
        <v>645</v>
      </c>
      <c r="J39" s="48">
        <v>5761825.0590000004</v>
      </c>
    </row>
    <row r="40" spans="1:10" x14ac:dyDescent="0.2">
      <c r="A40" s="76" t="s">
        <v>107</v>
      </c>
      <c r="B40" s="76" t="s">
        <v>98</v>
      </c>
      <c r="C40" s="38" t="s">
        <v>10</v>
      </c>
      <c r="D40" s="38" t="s">
        <v>100</v>
      </c>
      <c r="E40" s="48">
        <v>9571</v>
      </c>
      <c r="F40" s="48">
        <v>7530233.6100000003</v>
      </c>
      <c r="G40" s="48">
        <v>9564</v>
      </c>
      <c r="H40" s="48">
        <v>6395435.0630000001</v>
      </c>
      <c r="I40" s="48">
        <v>9560</v>
      </c>
      <c r="J40" s="48">
        <v>5928155.0870000003</v>
      </c>
    </row>
    <row r="41" spans="1:10" x14ac:dyDescent="0.2">
      <c r="A41" s="76" t="s">
        <v>107</v>
      </c>
      <c r="B41" s="101" t="s">
        <v>273</v>
      </c>
      <c r="C41" s="38" t="s">
        <v>97</v>
      </c>
      <c r="D41" s="38" t="s">
        <v>274</v>
      </c>
      <c r="E41" s="48">
        <v>169</v>
      </c>
      <c r="F41" s="48">
        <v>104128.845</v>
      </c>
      <c r="G41" s="48">
        <v>167</v>
      </c>
      <c r="H41" s="48">
        <v>63639.606</v>
      </c>
      <c r="I41" s="48">
        <v>166</v>
      </c>
      <c r="J41" s="48">
        <v>50931.103999999999</v>
      </c>
    </row>
    <row r="42" spans="1:10" x14ac:dyDescent="0.2">
      <c r="A42" s="76" t="s">
        <v>107</v>
      </c>
      <c r="B42" s="76" t="s">
        <v>273</v>
      </c>
      <c r="C42" s="38" t="s">
        <v>10</v>
      </c>
      <c r="D42" s="38" t="s">
        <v>274</v>
      </c>
      <c r="E42" s="48">
        <v>7724</v>
      </c>
      <c r="F42" s="48">
        <v>665167.45200000005</v>
      </c>
      <c r="G42" s="48">
        <v>7718</v>
      </c>
      <c r="H42" s="48">
        <v>435091.06400000001</v>
      </c>
      <c r="I42" s="48">
        <v>7716</v>
      </c>
      <c r="J42" s="48">
        <v>255614.98</v>
      </c>
    </row>
    <row r="43" spans="1:10" x14ac:dyDescent="0.2">
      <c r="A43" s="101" t="s">
        <v>108</v>
      </c>
      <c r="B43" s="101" t="s">
        <v>98</v>
      </c>
      <c r="C43" s="38" t="s">
        <v>97</v>
      </c>
      <c r="D43" s="38" t="s">
        <v>100</v>
      </c>
      <c r="E43" s="48">
        <v>393</v>
      </c>
      <c r="F43" s="48">
        <v>641076.69400000002</v>
      </c>
      <c r="G43" s="48">
        <v>389</v>
      </c>
      <c r="H43" s="48">
        <v>554384.55300000007</v>
      </c>
      <c r="I43" s="48">
        <v>403</v>
      </c>
      <c r="J43" s="48">
        <v>648241.52599999995</v>
      </c>
    </row>
    <row r="44" spans="1:10" x14ac:dyDescent="0.2">
      <c r="A44" s="76" t="s">
        <v>108</v>
      </c>
      <c r="B44" s="76" t="s">
        <v>98</v>
      </c>
      <c r="C44" s="38" t="s">
        <v>10</v>
      </c>
      <c r="D44" s="38" t="s">
        <v>100</v>
      </c>
      <c r="E44" s="48">
        <v>3114</v>
      </c>
      <c r="F44" s="48">
        <v>3153405.4849999999</v>
      </c>
      <c r="G44" s="48">
        <v>3139</v>
      </c>
      <c r="H44" s="48">
        <v>2979334.5159999998</v>
      </c>
      <c r="I44" s="48">
        <v>3169</v>
      </c>
      <c r="J44" s="48">
        <v>2404548.9380000001</v>
      </c>
    </row>
    <row r="45" spans="1:10" x14ac:dyDescent="0.2">
      <c r="A45" s="76" t="s">
        <v>108</v>
      </c>
      <c r="B45" s="101" t="s">
        <v>273</v>
      </c>
      <c r="C45" s="38" t="s">
        <v>97</v>
      </c>
      <c r="D45" s="38" t="s">
        <v>274</v>
      </c>
      <c r="E45" s="48">
        <v>59</v>
      </c>
      <c r="F45" s="48">
        <v>10939.390000000001</v>
      </c>
      <c r="G45" s="48">
        <v>59</v>
      </c>
      <c r="H45" s="48">
        <v>14726.013999999999</v>
      </c>
      <c r="I45" s="48">
        <v>59</v>
      </c>
      <c r="J45" s="48">
        <v>7183.45</v>
      </c>
    </row>
    <row r="46" spans="1:10" x14ac:dyDescent="0.2">
      <c r="A46" s="76" t="s">
        <v>108</v>
      </c>
      <c r="B46" s="76" t="s">
        <v>273</v>
      </c>
      <c r="C46" s="38" t="s">
        <v>10</v>
      </c>
      <c r="D46" s="38" t="s">
        <v>274</v>
      </c>
      <c r="E46" s="48">
        <v>2253</v>
      </c>
      <c r="F46" s="48">
        <v>186491.12599999999</v>
      </c>
      <c r="G46" s="48">
        <v>2268</v>
      </c>
      <c r="H46" s="48">
        <v>164385.41099999999</v>
      </c>
      <c r="I46" s="48">
        <v>2279</v>
      </c>
      <c r="J46" s="48">
        <v>103349.007</v>
      </c>
    </row>
    <row r="47" spans="1:10" x14ac:dyDescent="0.2">
      <c r="A47" s="101" t="s">
        <v>109</v>
      </c>
      <c r="B47" s="101" t="s">
        <v>98</v>
      </c>
      <c r="C47" s="38" t="s">
        <v>97</v>
      </c>
      <c r="D47" s="38" t="s">
        <v>100</v>
      </c>
      <c r="E47" s="48">
        <v>1245</v>
      </c>
      <c r="F47" s="48">
        <v>13229263.078</v>
      </c>
      <c r="G47" s="48">
        <v>1243</v>
      </c>
      <c r="H47" s="48">
        <v>14305809.104</v>
      </c>
      <c r="I47" s="48">
        <v>1240</v>
      </c>
      <c r="J47" s="48">
        <v>13404211.634</v>
      </c>
    </row>
    <row r="48" spans="1:10" x14ac:dyDescent="0.2">
      <c r="A48" s="76" t="s">
        <v>109</v>
      </c>
      <c r="B48" s="76" t="s">
        <v>98</v>
      </c>
      <c r="C48" s="38" t="s">
        <v>10</v>
      </c>
      <c r="D48" s="38" t="s">
        <v>100</v>
      </c>
      <c r="E48" s="48">
        <v>11870</v>
      </c>
      <c r="F48" s="48">
        <v>8385964.6799999997</v>
      </c>
      <c r="G48" s="48">
        <v>11872</v>
      </c>
      <c r="H48" s="48">
        <v>7716520.5369999995</v>
      </c>
      <c r="I48" s="48">
        <v>11877</v>
      </c>
      <c r="J48" s="48">
        <v>7058413.8689999999</v>
      </c>
    </row>
    <row r="49" spans="1:10" x14ac:dyDescent="0.2">
      <c r="A49" s="76" t="s">
        <v>109</v>
      </c>
      <c r="B49" s="101" t="s">
        <v>273</v>
      </c>
      <c r="C49" s="38" t="s">
        <v>97</v>
      </c>
      <c r="D49" s="38" t="s">
        <v>274</v>
      </c>
      <c r="E49" s="48">
        <v>374</v>
      </c>
      <c r="F49" s="48">
        <v>188793.07200000001</v>
      </c>
      <c r="G49" s="48">
        <v>373</v>
      </c>
      <c r="H49" s="48">
        <v>196653.75599999999</v>
      </c>
      <c r="I49" s="48">
        <v>371</v>
      </c>
      <c r="J49" s="48">
        <v>91353.335999999996</v>
      </c>
    </row>
    <row r="50" spans="1:10" x14ac:dyDescent="0.2">
      <c r="A50" s="76" t="s">
        <v>109</v>
      </c>
      <c r="B50" s="76" t="s">
        <v>273</v>
      </c>
      <c r="C50" s="38" t="s">
        <v>10</v>
      </c>
      <c r="D50" s="38" t="s">
        <v>274</v>
      </c>
      <c r="E50" s="48">
        <v>6367</v>
      </c>
      <c r="F50" s="48">
        <v>457562.76299999998</v>
      </c>
      <c r="G50" s="48">
        <v>6364</v>
      </c>
      <c r="H50" s="48">
        <v>379822.16499999998</v>
      </c>
      <c r="I50" s="48">
        <v>6366</v>
      </c>
      <c r="J50" s="48">
        <v>224795.44699999999</v>
      </c>
    </row>
    <row r="51" spans="1:10" x14ac:dyDescent="0.2">
      <c r="A51" s="101" t="s">
        <v>275</v>
      </c>
      <c r="B51" s="101" t="s">
        <v>273</v>
      </c>
      <c r="C51" s="38" t="s">
        <v>97</v>
      </c>
      <c r="D51" s="38" t="s">
        <v>274</v>
      </c>
      <c r="E51" s="48">
        <v>519</v>
      </c>
      <c r="F51" s="48">
        <v>218817.40399999998</v>
      </c>
      <c r="G51" s="48">
        <v>518</v>
      </c>
      <c r="H51" s="48">
        <v>188912.625</v>
      </c>
      <c r="I51" s="48">
        <v>516</v>
      </c>
      <c r="J51" s="48">
        <v>124962.87699999999</v>
      </c>
    </row>
    <row r="52" spans="1:10" x14ac:dyDescent="0.2">
      <c r="A52" s="76" t="s">
        <v>275</v>
      </c>
      <c r="B52" s="76" t="s">
        <v>273</v>
      </c>
      <c r="C52" s="38" t="s">
        <v>10</v>
      </c>
      <c r="D52" s="38" t="s">
        <v>274</v>
      </c>
      <c r="E52" s="48">
        <v>18218</v>
      </c>
      <c r="F52" s="48">
        <v>1465986.537</v>
      </c>
      <c r="G52" s="48">
        <v>18234</v>
      </c>
      <c r="H52" s="48">
        <v>1099867.4669999999</v>
      </c>
      <c r="I52" s="48">
        <v>18224</v>
      </c>
      <c r="J52" s="48">
        <v>654305.49100000004</v>
      </c>
    </row>
    <row r="53" spans="1:10" x14ac:dyDescent="0.2">
      <c r="A53" s="101" t="s">
        <v>110</v>
      </c>
      <c r="B53" s="101" t="s">
        <v>98</v>
      </c>
      <c r="C53" s="38" t="s">
        <v>97</v>
      </c>
      <c r="D53" s="38" t="s">
        <v>100</v>
      </c>
      <c r="E53" s="48">
        <v>7</v>
      </c>
      <c r="F53" s="48">
        <v>6888.5</v>
      </c>
      <c r="G53" s="48">
        <v>7</v>
      </c>
      <c r="H53" s="48">
        <v>5385</v>
      </c>
      <c r="I53" s="48">
        <v>7</v>
      </c>
      <c r="J53" s="48">
        <v>5089</v>
      </c>
    </row>
    <row r="54" spans="1:10" x14ac:dyDescent="0.2">
      <c r="A54" s="76" t="s">
        <v>110</v>
      </c>
      <c r="B54" s="76" t="s">
        <v>98</v>
      </c>
      <c r="C54" s="38" t="s">
        <v>10</v>
      </c>
      <c r="D54" s="38" t="s">
        <v>100</v>
      </c>
      <c r="E54" s="48">
        <v>1</v>
      </c>
      <c r="F54" s="48">
        <v>1079</v>
      </c>
      <c r="G54" s="48">
        <v>1</v>
      </c>
      <c r="H54" s="48">
        <v>757</v>
      </c>
      <c r="I54" s="48">
        <v>1</v>
      </c>
      <c r="J54" s="48">
        <v>1408</v>
      </c>
    </row>
    <row r="55" spans="1:10" x14ac:dyDescent="0.2">
      <c r="A55" s="101" t="s">
        <v>111</v>
      </c>
      <c r="B55" s="101" t="s">
        <v>98</v>
      </c>
      <c r="C55" s="38" t="s">
        <v>97</v>
      </c>
      <c r="D55" s="38" t="s">
        <v>100</v>
      </c>
      <c r="E55" s="48">
        <v>414</v>
      </c>
      <c r="F55" s="48">
        <v>1579010.442</v>
      </c>
      <c r="G55" s="48">
        <v>420</v>
      </c>
      <c r="H55" s="48">
        <v>1560393.3659999999</v>
      </c>
      <c r="I55" s="48">
        <v>420</v>
      </c>
      <c r="J55" s="48">
        <v>1387715.2659999998</v>
      </c>
    </row>
    <row r="56" spans="1:10" x14ac:dyDescent="0.2">
      <c r="A56" s="76" t="s">
        <v>111</v>
      </c>
      <c r="B56" s="76" t="s">
        <v>98</v>
      </c>
      <c r="C56" s="38" t="s">
        <v>10</v>
      </c>
      <c r="D56" s="38" t="s">
        <v>100</v>
      </c>
      <c r="E56" s="48">
        <v>2703</v>
      </c>
      <c r="F56" s="48">
        <v>3723884.355</v>
      </c>
      <c r="G56" s="48">
        <v>2703</v>
      </c>
      <c r="H56" s="48">
        <v>3635108.7480000001</v>
      </c>
      <c r="I56" s="48">
        <v>2701</v>
      </c>
      <c r="J56" s="48">
        <v>2803788.352</v>
      </c>
    </row>
    <row r="57" spans="1:10" x14ac:dyDescent="0.2">
      <c r="A57" s="76" t="s">
        <v>111</v>
      </c>
      <c r="B57" s="101" t="s">
        <v>273</v>
      </c>
      <c r="C57" s="38" t="s">
        <v>97</v>
      </c>
      <c r="D57" s="38" t="s">
        <v>274</v>
      </c>
      <c r="E57" s="48">
        <v>22</v>
      </c>
      <c r="F57" s="48">
        <v>4693.1660000000002</v>
      </c>
      <c r="G57" s="48">
        <v>22</v>
      </c>
      <c r="H57" s="48">
        <v>4162.884</v>
      </c>
      <c r="I57" s="48">
        <v>22</v>
      </c>
      <c r="J57" s="48">
        <v>3028.2339999999999</v>
      </c>
    </row>
    <row r="58" spans="1:10" x14ac:dyDescent="0.2">
      <c r="A58" s="76" t="s">
        <v>111</v>
      </c>
      <c r="B58" s="76" t="s">
        <v>273</v>
      </c>
      <c r="C58" s="38" t="s">
        <v>10</v>
      </c>
      <c r="D58" s="38" t="s">
        <v>274</v>
      </c>
      <c r="E58" s="48">
        <v>1005</v>
      </c>
      <c r="F58" s="48">
        <v>90912.409</v>
      </c>
      <c r="G58" s="48">
        <v>1006</v>
      </c>
      <c r="H58" s="48">
        <v>83800.414000000004</v>
      </c>
      <c r="I58" s="48">
        <v>1008</v>
      </c>
      <c r="J58" s="48">
        <v>52670.324000000001</v>
      </c>
    </row>
    <row r="59" spans="1:10" x14ac:dyDescent="0.2">
      <c r="A59" s="101" t="s">
        <v>112</v>
      </c>
      <c r="B59" s="101" t="s">
        <v>98</v>
      </c>
      <c r="C59" s="38" t="s">
        <v>97</v>
      </c>
      <c r="D59" s="38" t="s">
        <v>100</v>
      </c>
      <c r="E59" s="48">
        <v>587</v>
      </c>
      <c r="F59" s="48">
        <v>2134950.7570000002</v>
      </c>
      <c r="G59" s="48">
        <v>583</v>
      </c>
      <c r="H59" s="48">
        <v>1440490.757</v>
      </c>
      <c r="I59" s="48">
        <v>590</v>
      </c>
      <c r="J59" s="48">
        <v>1650281.4110000001</v>
      </c>
    </row>
    <row r="60" spans="1:10" x14ac:dyDescent="0.2">
      <c r="A60" s="76" t="s">
        <v>112</v>
      </c>
      <c r="B60" s="76" t="s">
        <v>98</v>
      </c>
      <c r="C60" s="38" t="s">
        <v>10</v>
      </c>
      <c r="D60" s="38" t="s">
        <v>100</v>
      </c>
      <c r="E60" s="48">
        <v>4582</v>
      </c>
      <c r="F60" s="48">
        <v>5626957.6500000004</v>
      </c>
      <c r="G60" s="48">
        <v>4596</v>
      </c>
      <c r="H60" s="48">
        <v>4928629.9890000001</v>
      </c>
      <c r="I60" s="48">
        <v>4592</v>
      </c>
      <c r="J60" s="48">
        <v>3986427.5</v>
      </c>
    </row>
    <row r="61" spans="1:10" x14ac:dyDescent="0.2">
      <c r="A61" s="76" t="s">
        <v>112</v>
      </c>
      <c r="B61" s="101" t="s">
        <v>273</v>
      </c>
      <c r="C61" s="38" t="s">
        <v>97</v>
      </c>
      <c r="D61" s="38" t="s">
        <v>274</v>
      </c>
      <c r="E61" s="48">
        <v>108</v>
      </c>
      <c r="F61" s="48">
        <v>25655.897000000004</v>
      </c>
      <c r="G61" s="48">
        <v>105</v>
      </c>
      <c r="H61" s="48">
        <v>20530.716</v>
      </c>
      <c r="I61" s="48">
        <v>106</v>
      </c>
      <c r="J61" s="48">
        <v>9807.9169999999995</v>
      </c>
    </row>
    <row r="62" spans="1:10" x14ac:dyDescent="0.2">
      <c r="A62" s="76" t="s">
        <v>112</v>
      </c>
      <c r="B62" s="76" t="s">
        <v>273</v>
      </c>
      <c r="C62" s="38" t="s">
        <v>10</v>
      </c>
      <c r="D62" s="38" t="s">
        <v>274</v>
      </c>
      <c r="E62" s="48">
        <v>2511</v>
      </c>
      <c r="F62" s="48">
        <v>205013.014</v>
      </c>
      <c r="G62" s="48">
        <v>2517</v>
      </c>
      <c r="H62" s="48">
        <v>169547.201</v>
      </c>
      <c r="I62" s="48">
        <v>2518</v>
      </c>
      <c r="J62" s="48">
        <v>94242.289000000004</v>
      </c>
    </row>
    <row r="63" spans="1:10" x14ac:dyDescent="0.2">
      <c r="A63" s="101" t="s">
        <v>276</v>
      </c>
      <c r="B63" s="101" t="s">
        <v>273</v>
      </c>
      <c r="C63" s="38" t="s">
        <v>97</v>
      </c>
      <c r="D63" s="38" t="s">
        <v>274</v>
      </c>
      <c r="E63" s="48">
        <v>306</v>
      </c>
      <c r="F63" s="48">
        <v>149787.818</v>
      </c>
      <c r="G63" s="48">
        <v>305</v>
      </c>
      <c r="H63" s="48">
        <v>114797.709</v>
      </c>
      <c r="I63" s="48">
        <v>304</v>
      </c>
      <c r="J63" s="48">
        <v>93737.419000000009</v>
      </c>
    </row>
    <row r="64" spans="1:10" x14ac:dyDescent="0.2">
      <c r="A64" s="76" t="s">
        <v>276</v>
      </c>
      <c r="B64" s="76" t="s">
        <v>273</v>
      </c>
      <c r="C64" s="38" t="s">
        <v>10</v>
      </c>
      <c r="D64" s="38" t="s">
        <v>274</v>
      </c>
      <c r="E64" s="48">
        <v>5470</v>
      </c>
      <c r="F64" s="48">
        <v>475523.80800000002</v>
      </c>
      <c r="G64" s="48">
        <v>5473</v>
      </c>
      <c r="H64" s="48">
        <v>348959.24900000001</v>
      </c>
      <c r="I64" s="48">
        <v>5477</v>
      </c>
      <c r="J64" s="48">
        <v>213735.20499999999</v>
      </c>
    </row>
    <row r="65" spans="1:10" x14ac:dyDescent="0.2">
      <c r="A65" s="101" t="s">
        <v>277</v>
      </c>
      <c r="B65" s="101" t="s">
        <v>273</v>
      </c>
      <c r="C65" s="38" t="s">
        <v>97</v>
      </c>
      <c r="D65" s="38" t="s">
        <v>274</v>
      </c>
      <c r="E65" s="48">
        <v>358</v>
      </c>
      <c r="F65" s="48">
        <v>446650.11499999999</v>
      </c>
      <c r="G65" s="48">
        <v>356</v>
      </c>
      <c r="H65" s="48">
        <v>306397.96600000001</v>
      </c>
      <c r="I65" s="48">
        <v>358</v>
      </c>
      <c r="J65" s="48">
        <v>159658.05900000001</v>
      </c>
    </row>
    <row r="66" spans="1:10" x14ac:dyDescent="0.2">
      <c r="A66" s="76" t="s">
        <v>277</v>
      </c>
      <c r="B66" s="76" t="s">
        <v>273</v>
      </c>
      <c r="C66" s="38" t="s">
        <v>10</v>
      </c>
      <c r="D66" s="38" t="s">
        <v>274</v>
      </c>
      <c r="E66" s="48">
        <v>8897</v>
      </c>
      <c r="F66" s="48">
        <v>675617.93599999999</v>
      </c>
      <c r="G66" s="48">
        <v>8918</v>
      </c>
      <c r="H66" s="48">
        <v>514629.08799999999</v>
      </c>
      <c r="I66" s="48">
        <v>8923</v>
      </c>
      <c r="J66" s="48">
        <v>315133.62199999997</v>
      </c>
    </row>
    <row r="67" spans="1:10" x14ac:dyDescent="0.2">
      <c r="A67" s="101" t="s">
        <v>113</v>
      </c>
      <c r="B67" s="101" t="s">
        <v>98</v>
      </c>
      <c r="C67" s="38" t="s">
        <v>97</v>
      </c>
      <c r="D67" s="38" t="s">
        <v>100</v>
      </c>
      <c r="E67" s="48">
        <v>1597</v>
      </c>
      <c r="F67" s="48">
        <v>5504147.017</v>
      </c>
      <c r="G67" s="48">
        <v>1601</v>
      </c>
      <c r="H67" s="48">
        <v>4891067.7770000007</v>
      </c>
      <c r="I67" s="48">
        <v>1594</v>
      </c>
      <c r="J67" s="48">
        <v>7012890.4960000003</v>
      </c>
    </row>
    <row r="68" spans="1:10" x14ac:dyDescent="0.2">
      <c r="A68" s="76" t="s">
        <v>113</v>
      </c>
      <c r="B68" s="76" t="s">
        <v>98</v>
      </c>
      <c r="C68" s="38" t="s">
        <v>10</v>
      </c>
      <c r="D68" s="38" t="s">
        <v>100</v>
      </c>
      <c r="E68" s="48">
        <v>9878</v>
      </c>
      <c r="F68" s="48">
        <v>12097336.873</v>
      </c>
      <c r="G68" s="48">
        <v>9892</v>
      </c>
      <c r="H68" s="48">
        <v>10651454.841</v>
      </c>
      <c r="I68" s="48">
        <v>9891</v>
      </c>
      <c r="J68" s="48">
        <v>9642698.466</v>
      </c>
    </row>
    <row r="69" spans="1:10" x14ac:dyDescent="0.2">
      <c r="A69" s="101" t="s">
        <v>114</v>
      </c>
      <c r="B69" s="101" t="s">
        <v>98</v>
      </c>
      <c r="C69" s="38" t="s">
        <v>97</v>
      </c>
      <c r="D69" s="38" t="s">
        <v>100</v>
      </c>
      <c r="E69" s="48">
        <v>963</v>
      </c>
      <c r="F69" s="48">
        <v>3305000.3760000002</v>
      </c>
      <c r="G69" s="48">
        <v>972</v>
      </c>
      <c r="H69" s="48">
        <v>6910727.2199999997</v>
      </c>
      <c r="I69" s="48">
        <v>973</v>
      </c>
      <c r="J69" s="48">
        <v>3480671.7059999998</v>
      </c>
    </row>
    <row r="70" spans="1:10" x14ac:dyDescent="0.2">
      <c r="A70" s="76" t="s">
        <v>114</v>
      </c>
      <c r="B70" s="76" t="s">
        <v>98</v>
      </c>
      <c r="C70" s="38" t="s">
        <v>10</v>
      </c>
      <c r="D70" s="38" t="s">
        <v>100</v>
      </c>
      <c r="E70" s="48">
        <v>18100</v>
      </c>
      <c r="F70" s="48">
        <v>15278970.503</v>
      </c>
      <c r="G70" s="48">
        <v>18104</v>
      </c>
      <c r="H70" s="48">
        <v>14211796.028999999</v>
      </c>
      <c r="I70" s="48">
        <v>18110</v>
      </c>
      <c r="J70" s="48">
        <v>11779920.948000001</v>
      </c>
    </row>
    <row r="71" spans="1:10" x14ac:dyDescent="0.2">
      <c r="A71" s="76" t="s">
        <v>114</v>
      </c>
      <c r="B71" s="101" t="s">
        <v>273</v>
      </c>
      <c r="C71" s="38" t="s">
        <v>97</v>
      </c>
      <c r="D71" s="38" t="s">
        <v>274</v>
      </c>
      <c r="E71" s="48">
        <v>195</v>
      </c>
      <c r="F71" s="48">
        <v>105065.607</v>
      </c>
      <c r="G71" s="48">
        <v>196</v>
      </c>
      <c r="H71" s="48">
        <v>123883.876</v>
      </c>
      <c r="I71" s="48">
        <v>196</v>
      </c>
      <c r="J71" s="48">
        <v>70799.152000000002</v>
      </c>
    </row>
    <row r="72" spans="1:10" x14ac:dyDescent="0.2">
      <c r="A72" s="76" t="s">
        <v>114</v>
      </c>
      <c r="B72" s="76" t="s">
        <v>273</v>
      </c>
      <c r="C72" s="38" t="s">
        <v>10</v>
      </c>
      <c r="D72" s="38" t="s">
        <v>274</v>
      </c>
      <c r="E72" s="48">
        <v>11783</v>
      </c>
      <c r="F72" s="48">
        <v>1005926.081</v>
      </c>
      <c r="G72" s="48">
        <v>11785</v>
      </c>
      <c r="H72" s="48">
        <v>758100.77599999995</v>
      </c>
      <c r="I72" s="48">
        <v>11789</v>
      </c>
      <c r="J72" s="48">
        <v>411289.52600000001</v>
      </c>
    </row>
    <row r="73" spans="1:10" x14ac:dyDescent="0.2">
      <c r="A73" s="101" t="s">
        <v>115</v>
      </c>
      <c r="B73" s="101" t="s">
        <v>98</v>
      </c>
      <c r="C73" s="38" t="s">
        <v>97</v>
      </c>
      <c r="D73" s="38" t="s">
        <v>100</v>
      </c>
      <c r="E73" s="48">
        <v>318</v>
      </c>
      <c r="F73" s="48">
        <v>792281.14</v>
      </c>
      <c r="G73" s="48">
        <v>319</v>
      </c>
      <c r="H73" s="48">
        <v>604046.01300000004</v>
      </c>
      <c r="I73" s="48">
        <v>322</v>
      </c>
      <c r="J73" s="48">
        <v>557108.23400000005</v>
      </c>
    </row>
    <row r="74" spans="1:10" x14ac:dyDescent="0.2">
      <c r="A74" s="76" t="s">
        <v>115</v>
      </c>
      <c r="B74" s="76" t="s">
        <v>98</v>
      </c>
      <c r="C74" s="38" t="s">
        <v>10</v>
      </c>
      <c r="D74" s="38" t="s">
        <v>100</v>
      </c>
      <c r="E74" s="48">
        <v>2001</v>
      </c>
      <c r="F74" s="48">
        <v>2868516.8760000002</v>
      </c>
      <c r="G74" s="48">
        <v>2003</v>
      </c>
      <c r="H74" s="48">
        <v>2767951.3790000002</v>
      </c>
      <c r="I74" s="48">
        <v>2000</v>
      </c>
      <c r="J74" s="48">
        <v>2199683.2579999999</v>
      </c>
    </row>
    <row r="75" spans="1:10" x14ac:dyDescent="0.2">
      <c r="A75" s="76" t="s">
        <v>115</v>
      </c>
      <c r="B75" s="101" t="s">
        <v>273</v>
      </c>
      <c r="C75" s="38" t="s">
        <v>97</v>
      </c>
      <c r="D75" s="38" t="s">
        <v>274</v>
      </c>
      <c r="E75" s="48">
        <v>48</v>
      </c>
      <c r="F75" s="48">
        <v>14779.215</v>
      </c>
      <c r="G75" s="48">
        <v>48</v>
      </c>
      <c r="H75" s="48">
        <v>8544.3970000000008</v>
      </c>
      <c r="I75" s="48">
        <v>48</v>
      </c>
      <c r="J75" s="48">
        <v>7744.7370000000001</v>
      </c>
    </row>
    <row r="76" spans="1:10" x14ac:dyDescent="0.2">
      <c r="A76" s="76" t="s">
        <v>115</v>
      </c>
      <c r="B76" s="76" t="s">
        <v>273</v>
      </c>
      <c r="C76" s="38" t="s">
        <v>10</v>
      </c>
      <c r="D76" s="38" t="s">
        <v>274</v>
      </c>
      <c r="E76" s="48">
        <v>956</v>
      </c>
      <c r="F76" s="48">
        <v>90897.328999999998</v>
      </c>
      <c r="G76" s="48">
        <v>957</v>
      </c>
      <c r="H76" s="48">
        <v>89546.668000000005</v>
      </c>
      <c r="I76" s="48">
        <v>957</v>
      </c>
      <c r="J76" s="48">
        <v>56042.182999999997</v>
      </c>
    </row>
    <row r="77" spans="1:10" x14ac:dyDescent="0.2">
      <c r="A77" s="101" t="s">
        <v>278</v>
      </c>
      <c r="B77" s="101" t="s">
        <v>273</v>
      </c>
      <c r="C77" s="38" t="s">
        <v>97</v>
      </c>
      <c r="D77" s="38" t="s">
        <v>274</v>
      </c>
      <c r="E77" s="48">
        <v>279</v>
      </c>
      <c r="F77" s="48">
        <v>184674.45300000001</v>
      </c>
      <c r="G77" s="48">
        <v>276</v>
      </c>
      <c r="H77" s="48">
        <v>151788.76499999998</v>
      </c>
      <c r="I77" s="48">
        <v>276</v>
      </c>
      <c r="J77" s="48">
        <v>131005.50499999999</v>
      </c>
    </row>
    <row r="78" spans="1:10" x14ac:dyDescent="0.2">
      <c r="A78" s="76" t="s">
        <v>278</v>
      </c>
      <c r="B78" s="76" t="s">
        <v>273</v>
      </c>
      <c r="C78" s="38" t="s">
        <v>10</v>
      </c>
      <c r="D78" s="38" t="s">
        <v>274</v>
      </c>
      <c r="E78" s="48">
        <v>9055</v>
      </c>
      <c r="F78" s="48">
        <v>761944.67599999998</v>
      </c>
      <c r="G78" s="48">
        <v>9059</v>
      </c>
      <c r="H78" s="48">
        <v>537956.07900000003</v>
      </c>
      <c r="I78" s="48">
        <v>9065</v>
      </c>
      <c r="J78" s="48">
        <v>323033.45799999998</v>
      </c>
    </row>
    <row r="79" spans="1:10" x14ac:dyDescent="0.2">
      <c r="A79" s="101" t="s">
        <v>116</v>
      </c>
      <c r="B79" s="101" t="s">
        <v>98</v>
      </c>
      <c r="C79" s="38" t="s">
        <v>97</v>
      </c>
      <c r="D79" s="38" t="s">
        <v>100</v>
      </c>
      <c r="E79" s="48">
        <v>2016</v>
      </c>
      <c r="F79" s="48">
        <v>11059322.418</v>
      </c>
      <c r="G79" s="48">
        <v>2022</v>
      </c>
      <c r="H79" s="48">
        <v>12964083.517000001</v>
      </c>
      <c r="I79" s="48">
        <v>2014</v>
      </c>
      <c r="J79" s="48">
        <v>11154202.393999999</v>
      </c>
    </row>
    <row r="80" spans="1:10" x14ac:dyDescent="0.2">
      <c r="A80" s="76" t="s">
        <v>116</v>
      </c>
      <c r="B80" s="76" t="s">
        <v>98</v>
      </c>
      <c r="C80" s="38" t="s">
        <v>10</v>
      </c>
      <c r="D80" s="38" t="s">
        <v>100</v>
      </c>
      <c r="E80" s="48">
        <v>12066</v>
      </c>
      <c r="F80" s="48">
        <v>11663832.965</v>
      </c>
      <c r="G80" s="48">
        <v>12065</v>
      </c>
      <c r="H80" s="48">
        <v>10697015.613</v>
      </c>
      <c r="I80" s="48">
        <v>12059</v>
      </c>
      <c r="J80" s="48">
        <v>9842577.4480000008</v>
      </c>
    </row>
    <row r="81" spans="1:10" x14ac:dyDescent="0.2">
      <c r="A81" s="76" t="s">
        <v>116</v>
      </c>
      <c r="B81" s="101" t="s">
        <v>273</v>
      </c>
      <c r="C81" s="38" t="s">
        <v>97</v>
      </c>
      <c r="D81" s="38" t="s">
        <v>274</v>
      </c>
      <c r="E81" s="48">
        <v>531</v>
      </c>
      <c r="F81" s="48">
        <v>374069.91599999997</v>
      </c>
      <c r="G81" s="48">
        <v>531</v>
      </c>
      <c r="H81" s="48">
        <v>349179.86099999998</v>
      </c>
      <c r="I81" s="48">
        <v>531</v>
      </c>
      <c r="J81" s="48">
        <v>316972.47200000001</v>
      </c>
    </row>
    <row r="82" spans="1:10" x14ac:dyDescent="0.2">
      <c r="A82" s="76" t="s">
        <v>116</v>
      </c>
      <c r="B82" s="76" t="s">
        <v>273</v>
      </c>
      <c r="C82" s="38" t="s">
        <v>10</v>
      </c>
      <c r="D82" s="38" t="s">
        <v>274</v>
      </c>
      <c r="E82" s="48">
        <v>6401</v>
      </c>
      <c r="F82" s="48">
        <v>592393.86399999994</v>
      </c>
      <c r="G82" s="48">
        <v>6402</v>
      </c>
      <c r="H82" s="48">
        <v>539241.21900000004</v>
      </c>
      <c r="I82" s="48">
        <v>6403</v>
      </c>
      <c r="J82" s="48">
        <v>374309.90899999999</v>
      </c>
    </row>
    <row r="83" spans="1:10" x14ac:dyDescent="0.2">
      <c r="A83" s="101" t="s">
        <v>117</v>
      </c>
      <c r="B83" s="101" t="s">
        <v>98</v>
      </c>
      <c r="C83" s="38" t="s">
        <v>97</v>
      </c>
      <c r="D83" s="38" t="s">
        <v>100</v>
      </c>
      <c r="E83" s="48">
        <v>732</v>
      </c>
      <c r="F83" s="48">
        <v>2504410.9380000001</v>
      </c>
      <c r="G83" s="48">
        <v>732</v>
      </c>
      <c r="H83" s="48">
        <v>2384378.65</v>
      </c>
      <c r="I83" s="48">
        <v>732</v>
      </c>
      <c r="J83" s="48">
        <v>2318355.6880000001</v>
      </c>
    </row>
    <row r="84" spans="1:10" x14ac:dyDescent="0.2">
      <c r="A84" s="76" t="s">
        <v>117</v>
      </c>
      <c r="B84" s="76" t="s">
        <v>98</v>
      </c>
      <c r="C84" s="38" t="s">
        <v>10</v>
      </c>
      <c r="D84" s="38" t="s">
        <v>100</v>
      </c>
      <c r="E84" s="48">
        <v>9512</v>
      </c>
      <c r="F84" s="48">
        <v>7668777.4730000002</v>
      </c>
      <c r="G84" s="48">
        <v>9521</v>
      </c>
      <c r="H84" s="48">
        <v>6984877.0559999999</v>
      </c>
      <c r="I84" s="48">
        <v>9527</v>
      </c>
      <c r="J84" s="48">
        <v>6403107.2209999999</v>
      </c>
    </row>
    <row r="85" spans="1:10" x14ac:dyDescent="0.2">
      <c r="A85" s="76" t="s">
        <v>117</v>
      </c>
      <c r="B85" s="101" t="s">
        <v>273</v>
      </c>
      <c r="C85" s="38" t="s">
        <v>97</v>
      </c>
      <c r="D85" s="38" t="s">
        <v>274</v>
      </c>
      <c r="E85" s="48">
        <v>203</v>
      </c>
      <c r="F85" s="48">
        <v>98178.856000000014</v>
      </c>
      <c r="G85" s="48">
        <v>202</v>
      </c>
      <c r="H85" s="48">
        <v>80224.899000000019</v>
      </c>
      <c r="I85" s="48">
        <v>202</v>
      </c>
      <c r="J85" s="48">
        <v>70004.631999999998</v>
      </c>
    </row>
    <row r="86" spans="1:10" x14ac:dyDescent="0.2">
      <c r="A86" s="76" t="s">
        <v>117</v>
      </c>
      <c r="B86" s="76" t="s">
        <v>273</v>
      </c>
      <c r="C86" s="38" t="s">
        <v>10</v>
      </c>
      <c r="D86" s="38" t="s">
        <v>274</v>
      </c>
      <c r="E86" s="48">
        <v>6017</v>
      </c>
      <c r="F86" s="48">
        <v>458071.016</v>
      </c>
      <c r="G86" s="48">
        <v>6030</v>
      </c>
      <c r="H86" s="48">
        <v>374446.429</v>
      </c>
      <c r="I86" s="48">
        <v>6030</v>
      </c>
      <c r="J86" s="48">
        <v>226360.89300000001</v>
      </c>
    </row>
    <row r="87" spans="1:10" x14ac:dyDescent="0.2">
      <c r="A87" s="101" t="s">
        <v>118</v>
      </c>
      <c r="B87" s="101" t="s">
        <v>98</v>
      </c>
      <c r="C87" s="38" t="s">
        <v>97</v>
      </c>
      <c r="D87" s="38" t="s">
        <v>100</v>
      </c>
      <c r="E87" s="48">
        <v>1116</v>
      </c>
      <c r="F87" s="48">
        <v>6512295.4610000001</v>
      </c>
      <c r="G87" s="48">
        <v>1126</v>
      </c>
      <c r="H87" s="48">
        <v>7938589.5049999999</v>
      </c>
      <c r="I87" s="48">
        <v>1123</v>
      </c>
      <c r="J87" s="48">
        <v>7140210.4000000004</v>
      </c>
    </row>
    <row r="88" spans="1:10" x14ac:dyDescent="0.2">
      <c r="A88" s="76" t="s">
        <v>118</v>
      </c>
      <c r="B88" s="76" t="s">
        <v>98</v>
      </c>
      <c r="C88" s="38" t="s">
        <v>10</v>
      </c>
      <c r="D88" s="38" t="s">
        <v>100</v>
      </c>
      <c r="E88" s="48">
        <v>12084</v>
      </c>
      <c r="F88" s="48">
        <v>8832006.9839999992</v>
      </c>
      <c r="G88" s="48">
        <v>12099</v>
      </c>
      <c r="H88" s="48">
        <v>8175806.9119999995</v>
      </c>
      <c r="I88" s="48">
        <v>12139</v>
      </c>
      <c r="J88" s="48">
        <v>7730092.949</v>
      </c>
    </row>
    <row r="89" spans="1:10" x14ac:dyDescent="0.2">
      <c r="A89" s="76" t="s">
        <v>118</v>
      </c>
      <c r="B89" s="101" t="s">
        <v>273</v>
      </c>
      <c r="C89" s="38" t="s">
        <v>97</v>
      </c>
      <c r="D89" s="38" t="s">
        <v>274</v>
      </c>
      <c r="E89" s="48">
        <v>208</v>
      </c>
      <c r="F89" s="48">
        <v>88384.192999999999</v>
      </c>
      <c r="G89" s="48">
        <v>208</v>
      </c>
      <c r="H89" s="48">
        <v>141203.06200000001</v>
      </c>
      <c r="I89" s="48">
        <v>208</v>
      </c>
      <c r="J89" s="48">
        <v>84980.946999999986</v>
      </c>
    </row>
    <row r="90" spans="1:10" x14ac:dyDescent="0.2">
      <c r="A90" s="76" t="s">
        <v>118</v>
      </c>
      <c r="B90" s="76" t="s">
        <v>273</v>
      </c>
      <c r="C90" s="38" t="s">
        <v>10</v>
      </c>
      <c r="D90" s="38" t="s">
        <v>274</v>
      </c>
      <c r="E90" s="48">
        <v>8646</v>
      </c>
      <c r="F90" s="48">
        <v>698223.16899999999</v>
      </c>
      <c r="G90" s="48">
        <v>8651</v>
      </c>
      <c r="H90" s="48">
        <v>633989.74699999997</v>
      </c>
      <c r="I90" s="48">
        <v>8659</v>
      </c>
      <c r="J90" s="48">
        <v>427632.098</v>
      </c>
    </row>
    <row r="91" spans="1:10" x14ac:dyDescent="0.2">
      <c r="A91" s="101" t="s">
        <v>119</v>
      </c>
      <c r="B91" s="101" t="s">
        <v>98</v>
      </c>
      <c r="C91" s="38" t="s">
        <v>97</v>
      </c>
      <c r="D91" s="38" t="s">
        <v>100</v>
      </c>
      <c r="E91" s="48">
        <v>1150</v>
      </c>
      <c r="F91" s="48">
        <v>5014938.0060000001</v>
      </c>
      <c r="G91" s="48">
        <v>1143</v>
      </c>
      <c r="H91" s="48">
        <v>4385620.7779999999</v>
      </c>
      <c r="I91" s="48">
        <v>1144</v>
      </c>
      <c r="J91" s="48">
        <v>4827771.4009999996</v>
      </c>
    </row>
    <row r="92" spans="1:10" x14ac:dyDescent="0.2">
      <c r="A92" s="76" t="s">
        <v>119</v>
      </c>
      <c r="B92" s="76" t="s">
        <v>98</v>
      </c>
      <c r="C92" s="38" t="s">
        <v>10</v>
      </c>
      <c r="D92" s="38" t="s">
        <v>100</v>
      </c>
      <c r="E92" s="48">
        <v>13254</v>
      </c>
      <c r="F92" s="48">
        <v>11084118.348999999</v>
      </c>
      <c r="G92" s="48">
        <v>13248</v>
      </c>
      <c r="H92" s="48">
        <v>9497443.0700000003</v>
      </c>
      <c r="I92" s="48">
        <v>13259</v>
      </c>
      <c r="J92" s="48">
        <v>8714779.2980000004</v>
      </c>
    </row>
    <row r="93" spans="1:10" x14ac:dyDescent="0.2">
      <c r="A93" s="76" t="s">
        <v>119</v>
      </c>
      <c r="B93" s="101" t="s">
        <v>273</v>
      </c>
      <c r="C93" s="38" t="s">
        <v>97</v>
      </c>
      <c r="D93" s="38" t="s">
        <v>274</v>
      </c>
      <c r="E93" s="48">
        <v>361</v>
      </c>
      <c r="F93" s="48">
        <v>163287.88999999998</v>
      </c>
      <c r="G93" s="48">
        <v>359</v>
      </c>
      <c r="H93" s="48">
        <v>134906.34700000001</v>
      </c>
      <c r="I93" s="48">
        <v>359</v>
      </c>
      <c r="J93" s="48">
        <v>120165.458</v>
      </c>
    </row>
    <row r="94" spans="1:10" x14ac:dyDescent="0.2">
      <c r="A94" s="76" t="s">
        <v>119</v>
      </c>
      <c r="B94" s="76" t="s">
        <v>273</v>
      </c>
      <c r="C94" s="38" t="s">
        <v>10</v>
      </c>
      <c r="D94" s="38" t="s">
        <v>274</v>
      </c>
      <c r="E94" s="48">
        <v>6496</v>
      </c>
      <c r="F94" s="48">
        <v>517188.19099999999</v>
      </c>
      <c r="G94" s="48">
        <v>6497</v>
      </c>
      <c r="H94" s="48">
        <v>371160.56900000002</v>
      </c>
      <c r="I94" s="48">
        <v>6503</v>
      </c>
      <c r="J94" s="48">
        <v>234625.74</v>
      </c>
    </row>
    <row r="95" spans="1:10" x14ac:dyDescent="0.2">
      <c r="A95" s="101" t="s">
        <v>120</v>
      </c>
      <c r="B95" s="101" t="s">
        <v>98</v>
      </c>
      <c r="C95" s="38" t="s">
        <v>97</v>
      </c>
      <c r="D95" s="38" t="s">
        <v>100</v>
      </c>
      <c r="E95" s="48">
        <v>1158</v>
      </c>
      <c r="F95" s="48">
        <v>5706442.2919999994</v>
      </c>
      <c r="G95" s="48">
        <v>1155</v>
      </c>
      <c r="H95" s="48">
        <v>5338279.2390000001</v>
      </c>
      <c r="I95" s="48">
        <v>1140</v>
      </c>
      <c r="J95" s="48">
        <v>5318082.375</v>
      </c>
    </row>
    <row r="96" spans="1:10" x14ac:dyDescent="0.2">
      <c r="A96" s="76" t="s">
        <v>120</v>
      </c>
      <c r="B96" s="76" t="s">
        <v>98</v>
      </c>
      <c r="C96" s="38" t="s">
        <v>10</v>
      </c>
      <c r="D96" s="38" t="s">
        <v>100</v>
      </c>
      <c r="E96" s="48">
        <v>14681</v>
      </c>
      <c r="F96" s="48">
        <v>12301352.202</v>
      </c>
      <c r="G96" s="48">
        <v>14680</v>
      </c>
      <c r="H96" s="48">
        <v>10755281.566</v>
      </c>
      <c r="I96" s="48">
        <v>14703</v>
      </c>
      <c r="J96" s="48">
        <v>10166535.248</v>
      </c>
    </row>
    <row r="97" spans="1:10" x14ac:dyDescent="0.2">
      <c r="A97" s="76" t="s">
        <v>120</v>
      </c>
      <c r="B97" s="101" t="s">
        <v>273</v>
      </c>
      <c r="C97" s="38" t="s">
        <v>97</v>
      </c>
      <c r="D97" s="38" t="s">
        <v>274</v>
      </c>
      <c r="E97" s="48">
        <v>393</v>
      </c>
      <c r="F97" s="48">
        <v>150718.47200000001</v>
      </c>
      <c r="G97" s="48">
        <v>393</v>
      </c>
      <c r="H97" s="48">
        <v>118256.132</v>
      </c>
      <c r="I97" s="48">
        <v>392</v>
      </c>
      <c r="J97" s="48">
        <v>88896.288</v>
      </c>
    </row>
    <row r="98" spans="1:10" x14ac:dyDescent="0.2">
      <c r="A98" s="76" t="s">
        <v>120</v>
      </c>
      <c r="B98" s="76" t="s">
        <v>273</v>
      </c>
      <c r="C98" s="38" t="s">
        <v>10</v>
      </c>
      <c r="D98" s="38" t="s">
        <v>274</v>
      </c>
      <c r="E98" s="48">
        <v>8973</v>
      </c>
      <c r="F98" s="48">
        <v>702515.9</v>
      </c>
      <c r="G98" s="48">
        <v>8982</v>
      </c>
      <c r="H98" s="48">
        <v>454806.18</v>
      </c>
      <c r="I98" s="48">
        <v>8998</v>
      </c>
      <c r="J98" s="48">
        <v>281010.33100000001</v>
      </c>
    </row>
    <row r="99" spans="1:10" x14ac:dyDescent="0.2">
      <c r="A99" s="101" t="s">
        <v>121</v>
      </c>
      <c r="B99" s="101" t="s">
        <v>98</v>
      </c>
      <c r="C99" s="38" t="s">
        <v>97</v>
      </c>
      <c r="D99" s="38" t="s">
        <v>100</v>
      </c>
      <c r="E99" s="48">
        <v>4505</v>
      </c>
      <c r="F99" s="48">
        <v>56431853.751999997</v>
      </c>
      <c r="G99" s="48">
        <v>4493</v>
      </c>
      <c r="H99" s="48">
        <v>66443598.107000001</v>
      </c>
      <c r="I99" s="48">
        <v>4493</v>
      </c>
      <c r="J99" s="48">
        <v>49964300.922999993</v>
      </c>
    </row>
    <row r="100" spans="1:10" x14ac:dyDescent="0.2">
      <c r="A100" s="76" t="s">
        <v>121</v>
      </c>
      <c r="B100" s="76" t="s">
        <v>98</v>
      </c>
      <c r="C100" s="38" t="s">
        <v>10</v>
      </c>
      <c r="D100" s="38" t="s">
        <v>100</v>
      </c>
      <c r="E100" s="48">
        <v>15759</v>
      </c>
      <c r="F100" s="48">
        <v>11657227.333000001</v>
      </c>
      <c r="G100" s="48">
        <v>15756</v>
      </c>
      <c r="H100" s="48">
        <v>10312028.748</v>
      </c>
      <c r="I100" s="48">
        <v>15760</v>
      </c>
      <c r="J100" s="48">
        <v>8941438.4260000009</v>
      </c>
    </row>
    <row r="101" spans="1:10" x14ac:dyDescent="0.2">
      <c r="A101" s="76" t="s">
        <v>121</v>
      </c>
      <c r="B101" s="101" t="s">
        <v>273</v>
      </c>
      <c r="C101" s="38" t="s">
        <v>97</v>
      </c>
      <c r="D101" s="38" t="s">
        <v>274</v>
      </c>
      <c r="E101" s="48">
        <v>2369</v>
      </c>
      <c r="F101" s="48">
        <v>1975443.2580000004</v>
      </c>
      <c r="G101" s="48">
        <v>2370</v>
      </c>
      <c r="H101" s="48">
        <v>1861963.8959999999</v>
      </c>
      <c r="I101" s="48">
        <v>2362</v>
      </c>
      <c r="J101" s="48">
        <v>1105277.5530000001</v>
      </c>
    </row>
    <row r="102" spans="1:10" x14ac:dyDescent="0.2">
      <c r="A102" s="76" t="s">
        <v>121</v>
      </c>
      <c r="B102" s="76" t="s">
        <v>273</v>
      </c>
      <c r="C102" s="38" t="s">
        <v>10</v>
      </c>
      <c r="D102" s="38" t="s">
        <v>274</v>
      </c>
      <c r="E102" s="48">
        <v>4821</v>
      </c>
      <c r="F102" s="48">
        <v>327173.891</v>
      </c>
      <c r="G102" s="48">
        <v>4818</v>
      </c>
      <c r="H102" s="48">
        <v>246919.68700000001</v>
      </c>
      <c r="I102" s="48">
        <v>4817</v>
      </c>
      <c r="J102" s="48">
        <v>138786.82399999999</v>
      </c>
    </row>
    <row r="103" spans="1:10" x14ac:dyDescent="0.2">
      <c r="A103" s="101" t="s">
        <v>122</v>
      </c>
      <c r="B103" s="101" t="s">
        <v>98</v>
      </c>
      <c r="C103" s="38" t="s">
        <v>97</v>
      </c>
      <c r="D103" s="38" t="s">
        <v>100</v>
      </c>
      <c r="E103" s="48">
        <v>2167</v>
      </c>
      <c r="F103" s="48">
        <v>12003545.695</v>
      </c>
      <c r="G103" s="48">
        <v>2160</v>
      </c>
      <c r="H103" s="48">
        <v>12362459.839</v>
      </c>
      <c r="I103" s="48">
        <v>2173</v>
      </c>
      <c r="J103" s="48">
        <v>10588612.530999999</v>
      </c>
    </row>
    <row r="104" spans="1:10" x14ac:dyDescent="0.2">
      <c r="A104" s="76" t="s">
        <v>122</v>
      </c>
      <c r="B104" s="76" t="s">
        <v>98</v>
      </c>
      <c r="C104" s="38" t="s">
        <v>10</v>
      </c>
      <c r="D104" s="38" t="s">
        <v>100</v>
      </c>
      <c r="E104" s="48">
        <v>18205</v>
      </c>
      <c r="F104" s="48">
        <v>13466065.98</v>
      </c>
      <c r="G104" s="48">
        <v>18193</v>
      </c>
      <c r="H104" s="48">
        <v>11867219.833000001</v>
      </c>
      <c r="I104" s="48">
        <v>18197</v>
      </c>
      <c r="J104" s="48">
        <v>10977310.854</v>
      </c>
    </row>
    <row r="105" spans="1:10" x14ac:dyDescent="0.2">
      <c r="A105" s="76" t="s">
        <v>122</v>
      </c>
      <c r="B105" s="101" t="s">
        <v>273</v>
      </c>
      <c r="C105" s="38" t="s">
        <v>97</v>
      </c>
      <c r="D105" s="38" t="s">
        <v>274</v>
      </c>
      <c r="E105" s="48">
        <v>669</v>
      </c>
      <c r="F105" s="48">
        <v>265675.37900000002</v>
      </c>
      <c r="G105" s="48">
        <v>667</v>
      </c>
      <c r="H105" s="48">
        <v>218407.402</v>
      </c>
      <c r="I105" s="48">
        <v>670</v>
      </c>
      <c r="J105" s="48">
        <v>144813.72899999999</v>
      </c>
    </row>
    <row r="106" spans="1:10" x14ac:dyDescent="0.2">
      <c r="A106" s="76" t="s">
        <v>122</v>
      </c>
      <c r="B106" s="76" t="s">
        <v>273</v>
      </c>
      <c r="C106" s="38" t="s">
        <v>10</v>
      </c>
      <c r="D106" s="38" t="s">
        <v>274</v>
      </c>
      <c r="E106" s="48">
        <v>11353</v>
      </c>
      <c r="F106" s="48">
        <v>918504.79599999997</v>
      </c>
      <c r="G106" s="48">
        <v>11357</v>
      </c>
      <c r="H106" s="48">
        <v>685003.20299999998</v>
      </c>
      <c r="I106" s="48">
        <v>11352</v>
      </c>
      <c r="J106" s="48">
        <v>411379.80499999999</v>
      </c>
    </row>
    <row r="107" spans="1:10" x14ac:dyDescent="0.2">
      <c r="A107" s="101" t="s">
        <v>123</v>
      </c>
      <c r="B107" s="101" t="s">
        <v>98</v>
      </c>
      <c r="C107" s="38" t="s">
        <v>97</v>
      </c>
      <c r="D107" s="38" t="s">
        <v>100</v>
      </c>
      <c r="E107" s="48">
        <v>1775</v>
      </c>
      <c r="F107" s="48">
        <v>11456084.535</v>
      </c>
      <c r="G107" s="48">
        <v>1780</v>
      </c>
      <c r="H107" s="48">
        <v>17688441.206999999</v>
      </c>
      <c r="I107" s="48">
        <v>1780</v>
      </c>
      <c r="J107" s="48">
        <v>11905633.429</v>
      </c>
    </row>
    <row r="108" spans="1:10" x14ac:dyDescent="0.2">
      <c r="A108" s="76" t="s">
        <v>123</v>
      </c>
      <c r="B108" s="76" t="s">
        <v>98</v>
      </c>
      <c r="C108" s="38" t="s">
        <v>10</v>
      </c>
      <c r="D108" s="38" t="s">
        <v>100</v>
      </c>
      <c r="E108" s="48">
        <v>23188</v>
      </c>
      <c r="F108" s="48">
        <v>16568333.370999999</v>
      </c>
      <c r="G108" s="48">
        <v>23190</v>
      </c>
      <c r="H108" s="48">
        <v>15829240.682</v>
      </c>
      <c r="I108" s="48">
        <v>23191</v>
      </c>
      <c r="J108" s="48">
        <v>13282835.024</v>
      </c>
    </row>
    <row r="109" spans="1:10" x14ac:dyDescent="0.2">
      <c r="A109" s="76" t="s">
        <v>123</v>
      </c>
      <c r="B109" s="101" t="s">
        <v>273</v>
      </c>
      <c r="C109" s="38" t="s">
        <v>97</v>
      </c>
      <c r="D109" s="38" t="s">
        <v>274</v>
      </c>
      <c r="E109" s="48">
        <v>672</v>
      </c>
      <c r="F109" s="48">
        <v>361661.08100000001</v>
      </c>
      <c r="G109" s="48">
        <v>675</v>
      </c>
      <c r="H109" s="48">
        <v>319158.60000000003</v>
      </c>
      <c r="I109" s="48">
        <v>675</v>
      </c>
      <c r="J109" s="48">
        <v>233070.57699999996</v>
      </c>
    </row>
    <row r="110" spans="1:10" x14ac:dyDescent="0.2">
      <c r="A110" s="76" t="s">
        <v>123</v>
      </c>
      <c r="B110" s="76" t="s">
        <v>273</v>
      </c>
      <c r="C110" s="38" t="s">
        <v>10</v>
      </c>
      <c r="D110" s="38" t="s">
        <v>274</v>
      </c>
      <c r="E110" s="48">
        <v>12166</v>
      </c>
      <c r="F110" s="48">
        <v>930926.61600000004</v>
      </c>
      <c r="G110" s="48">
        <v>12166</v>
      </c>
      <c r="H110" s="48">
        <v>774639.74600000004</v>
      </c>
      <c r="I110" s="48">
        <v>12165</v>
      </c>
      <c r="J110" s="48">
        <v>427923.68800000002</v>
      </c>
    </row>
    <row r="111" spans="1:10" x14ac:dyDescent="0.2">
      <c r="A111" s="101" t="s">
        <v>279</v>
      </c>
      <c r="B111" s="101" t="s">
        <v>273</v>
      </c>
      <c r="C111" s="38" t="s">
        <v>97</v>
      </c>
      <c r="D111" s="38" t="s">
        <v>274</v>
      </c>
      <c r="E111" s="48">
        <v>823</v>
      </c>
      <c r="F111" s="48">
        <v>412159.24899999995</v>
      </c>
      <c r="G111" s="48">
        <v>822</v>
      </c>
      <c r="H111" s="48">
        <v>301059.01699999999</v>
      </c>
      <c r="I111" s="48">
        <v>819</v>
      </c>
      <c r="J111" s="48">
        <v>163411.36299999998</v>
      </c>
    </row>
    <row r="112" spans="1:10" x14ac:dyDescent="0.2">
      <c r="A112" s="76" t="s">
        <v>279</v>
      </c>
      <c r="B112" s="76" t="s">
        <v>273</v>
      </c>
      <c r="C112" s="38" t="s">
        <v>10</v>
      </c>
      <c r="D112" s="38" t="s">
        <v>274</v>
      </c>
      <c r="E112" s="48">
        <v>8494</v>
      </c>
      <c r="F112" s="48">
        <v>625986.45299999998</v>
      </c>
      <c r="G112" s="48">
        <v>8492</v>
      </c>
      <c r="H112" s="48">
        <v>454671.88400000002</v>
      </c>
      <c r="I112" s="48">
        <v>8490</v>
      </c>
      <c r="J112" s="48">
        <v>279914.92599999998</v>
      </c>
    </row>
    <row r="113" spans="1:10" x14ac:dyDescent="0.2">
      <c r="A113" s="101" t="s">
        <v>280</v>
      </c>
      <c r="B113" s="101" t="s">
        <v>273</v>
      </c>
      <c r="C113" s="38" t="s">
        <v>97</v>
      </c>
      <c r="D113" s="38" t="s">
        <v>274</v>
      </c>
      <c r="E113" s="48">
        <v>446</v>
      </c>
      <c r="F113" s="48">
        <v>212678.18699999998</v>
      </c>
      <c r="G113" s="48">
        <v>446</v>
      </c>
      <c r="H113" s="48">
        <v>163972.64000000001</v>
      </c>
      <c r="I113" s="48">
        <v>445</v>
      </c>
      <c r="J113" s="48">
        <v>111824.789</v>
      </c>
    </row>
    <row r="114" spans="1:10" x14ac:dyDescent="0.2">
      <c r="A114" s="76" t="s">
        <v>280</v>
      </c>
      <c r="B114" s="76" t="s">
        <v>273</v>
      </c>
      <c r="C114" s="38" t="s">
        <v>10</v>
      </c>
      <c r="D114" s="38" t="s">
        <v>274</v>
      </c>
      <c r="E114" s="48">
        <v>6001</v>
      </c>
      <c r="F114" s="48">
        <v>474518.94</v>
      </c>
      <c r="G114" s="48">
        <v>5999</v>
      </c>
      <c r="H114" s="48">
        <v>347884.35600000003</v>
      </c>
      <c r="I114" s="48">
        <v>5996</v>
      </c>
      <c r="J114" s="48">
        <v>202628.296</v>
      </c>
    </row>
    <row r="115" spans="1:10" x14ac:dyDescent="0.2">
      <c r="A115" s="101" t="s">
        <v>124</v>
      </c>
      <c r="B115" s="101" t="s">
        <v>98</v>
      </c>
      <c r="C115" s="38" t="s">
        <v>97</v>
      </c>
      <c r="D115" s="38" t="s">
        <v>100</v>
      </c>
      <c r="E115" s="48">
        <v>1372</v>
      </c>
      <c r="F115" s="48">
        <v>7126456.682</v>
      </c>
      <c r="G115" s="48">
        <v>1370</v>
      </c>
      <c r="H115" s="48">
        <v>6493706.8130000001</v>
      </c>
      <c r="I115" s="48">
        <v>1363</v>
      </c>
      <c r="J115" s="48">
        <v>6621171.2240000004</v>
      </c>
    </row>
    <row r="116" spans="1:10" x14ac:dyDescent="0.2">
      <c r="A116" s="76" t="s">
        <v>124</v>
      </c>
      <c r="B116" s="76" t="s">
        <v>98</v>
      </c>
      <c r="C116" s="38" t="s">
        <v>10</v>
      </c>
      <c r="D116" s="38" t="s">
        <v>100</v>
      </c>
      <c r="E116" s="48">
        <v>13173</v>
      </c>
      <c r="F116" s="48">
        <v>13649038.584000001</v>
      </c>
      <c r="G116" s="48">
        <v>13177</v>
      </c>
      <c r="H116" s="48">
        <v>12678844.501</v>
      </c>
      <c r="I116" s="48">
        <v>13183</v>
      </c>
      <c r="J116" s="48">
        <v>11111888.702</v>
      </c>
    </row>
    <row r="117" spans="1:10" x14ac:dyDescent="0.2">
      <c r="A117" s="76" t="s">
        <v>124</v>
      </c>
      <c r="B117" s="101" t="s">
        <v>273</v>
      </c>
      <c r="C117" s="38" t="s">
        <v>97</v>
      </c>
      <c r="D117" s="38" t="s">
        <v>274</v>
      </c>
      <c r="E117" s="48">
        <v>273</v>
      </c>
      <c r="F117" s="48">
        <v>88022.214999999982</v>
      </c>
      <c r="G117" s="48">
        <v>274</v>
      </c>
      <c r="H117" s="48">
        <v>77274.453999999998</v>
      </c>
      <c r="I117" s="48">
        <v>273</v>
      </c>
      <c r="J117" s="48">
        <v>59414.182000000001</v>
      </c>
    </row>
    <row r="118" spans="1:10" x14ac:dyDescent="0.2">
      <c r="A118" s="76" t="s">
        <v>124</v>
      </c>
      <c r="B118" s="76" t="s">
        <v>273</v>
      </c>
      <c r="C118" s="38" t="s">
        <v>10</v>
      </c>
      <c r="D118" s="38" t="s">
        <v>274</v>
      </c>
      <c r="E118" s="48">
        <v>8906</v>
      </c>
      <c r="F118" s="48">
        <v>764599.13699999999</v>
      </c>
      <c r="G118" s="48">
        <v>8911</v>
      </c>
      <c r="H118" s="48">
        <v>710622.63199999998</v>
      </c>
      <c r="I118" s="48">
        <v>8916</v>
      </c>
      <c r="J118" s="48">
        <v>442421.739</v>
      </c>
    </row>
    <row r="119" spans="1:10" x14ac:dyDescent="0.2">
      <c r="A119" s="101" t="s">
        <v>125</v>
      </c>
      <c r="B119" s="101" t="s">
        <v>98</v>
      </c>
      <c r="C119" s="38" t="s">
        <v>97</v>
      </c>
      <c r="D119" s="38" t="s">
        <v>100</v>
      </c>
      <c r="E119" s="48">
        <v>118</v>
      </c>
      <c r="F119" s="48">
        <v>646088.603</v>
      </c>
      <c r="G119" s="48">
        <v>115</v>
      </c>
      <c r="H119" s="48">
        <v>1097849.2549999999</v>
      </c>
      <c r="I119" s="48">
        <v>115</v>
      </c>
      <c r="J119" s="48">
        <v>590202.78099999996</v>
      </c>
    </row>
    <row r="120" spans="1:10" x14ac:dyDescent="0.2">
      <c r="A120" s="76" t="s">
        <v>125</v>
      </c>
      <c r="B120" s="76" t="s">
        <v>98</v>
      </c>
      <c r="C120" s="38" t="s">
        <v>10</v>
      </c>
      <c r="D120" s="38" t="s">
        <v>100</v>
      </c>
      <c r="E120" s="48">
        <v>1129</v>
      </c>
      <c r="F120" s="48">
        <v>1714820.436</v>
      </c>
      <c r="G120" s="48">
        <v>1133</v>
      </c>
      <c r="H120" s="48">
        <v>2770984.9270000001</v>
      </c>
      <c r="I120" s="48">
        <v>1133</v>
      </c>
      <c r="J120" s="48">
        <v>1885597.351</v>
      </c>
    </row>
    <row r="121" spans="1:10" x14ac:dyDescent="0.2">
      <c r="A121" s="76" t="s">
        <v>125</v>
      </c>
      <c r="B121" s="101" t="s">
        <v>273</v>
      </c>
      <c r="C121" s="38" t="s">
        <v>97</v>
      </c>
      <c r="D121" s="38" t="s">
        <v>274</v>
      </c>
      <c r="E121" s="48">
        <v>10</v>
      </c>
      <c r="F121" s="48">
        <v>14006.466</v>
      </c>
      <c r="G121" s="48">
        <v>10</v>
      </c>
      <c r="H121" s="48">
        <v>19624.072</v>
      </c>
      <c r="I121" s="48">
        <v>10</v>
      </c>
      <c r="J121" s="48">
        <v>9491.81</v>
      </c>
    </row>
    <row r="122" spans="1:10" x14ac:dyDescent="0.2">
      <c r="A122" s="76" t="s">
        <v>125</v>
      </c>
      <c r="B122" s="76" t="s">
        <v>273</v>
      </c>
      <c r="C122" s="38" t="s">
        <v>10</v>
      </c>
      <c r="D122" s="38" t="s">
        <v>274</v>
      </c>
      <c r="E122" s="48">
        <v>1109</v>
      </c>
      <c r="F122" s="48">
        <v>167712.39499999999</v>
      </c>
      <c r="G122" s="48">
        <v>1113</v>
      </c>
      <c r="H122" s="48">
        <v>158910.54199999999</v>
      </c>
      <c r="I122" s="48">
        <v>1110</v>
      </c>
      <c r="J122" s="48">
        <v>86464.423999999999</v>
      </c>
    </row>
    <row r="123" spans="1:10" x14ac:dyDescent="0.2">
      <c r="A123" s="101" t="s">
        <v>126</v>
      </c>
      <c r="B123" s="101" t="s">
        <v>98</v>
      </c>
      <c r="C123" s="38" t="s">
        <v>97</v>
      </c>
      <c r="D123" s="38" t="s">
        <v>100</v>
      </c>
      <c r="E123" s="48">
        <v>696</v>
      </c>
      <c r="F123" s="48">
        <v>4295941.3310000002</v>
      </c>
      <c r="G123" s="48">
        <v>700</v>
      </c>
      <c r="H123" s="48">
        <v>4499978.1119999997</v>
      </c>
      <c r="I123" s="48">
        <v>699</v>
      </c>
      <c r="J123" s="48">
        <v>3943123.452</v>
      </c>
    </row>
    <row r="124" spans="1:10" x14ac:dyDescent="0.2">
      <c r="A124" s="76" t="s">
        <v>126</v>
      </c>
      <c r="B124" s="76" t="s">
        <v>98</v>
      </c>
      <c r="C124" s="38" t="s">
        <v>10</v>
      </c>
      <c r="D124" s="38" t="s">
        <v>100</v>
      </c>
      <c r="E124" s="48">
        <v>10015</v>
      </c>
      <c r="F124" s="48">
        <v>9001292.8670000006</v>
      </c>
      <c r="G124" s="48">
        <v>10017</v>
      </c>
      <c r="H124" s="48">
        <v>8701973.102</v>
      </c>
      <c r="I124" s="48">
        <v>10019</v>
      </c>
      <c r="J124" s="48">
        <v>7731405.2570000002</v>
      </c>
    </row>
    <row r="125" spans="1:10" x14ac:dyDescent="0.2">
      <c r="A125" s="76" t="s">
        <v>126</v>
      </c>
      <c r="B125" s="101" t="s">
        <v>273</v>
      </c>
      <c r="C125" s="38" t="s">
        <v>97</v>
      </c>
      <c r="D125" s="38" t="s">
        <v>274</v>
      </c>
      <c r="E125" s="48">
        <v>189</v>
      </c>
      <c r="F125" s="48">
        <v>189902.27</v>
      </c>
      <c r="G125" s="48">
        <v>189</v>
      </c>
      <c r="H125" s="48">
        <v>137036.01</v>
      </c>
      <c r="I125" s="48">
        <v>186</v>
      </c>
      <c r="J125" s="48">
        <v>128650.49399999999</v>
      </c>
    </row>
    <row r="126" spans="1:10" x14ac:dyDescent="0.2">
      <c r="A126" s="76" t="s">
        <v>126</v>
      </c>
      <c r="B126" s="76" t="s">
        <v>273</v>
      </c>
      <c r="C126" s="38" t="s">
        <v>10</v>
      </c>
      <c r="D126" s="38" t="s">
        <v>274</v>
      </c>
      <c r="E126" s="48">
        <v>6965</v>
      </c>
      <c r="F126" s="48">
        <v>779796.77500000002</v>
      </c>
      <c r="G126" s="48">
        <v>6962</v>
      </c>
      <c r="H126" s="48">
        <v>557745.973</v>
      </c>
      <c r="I126" s="48">
        <v>6967</v>
      </c>
      <c r="J126" s="48">
        <v>310292.2</v>
      </c>
    </row>
    <row r="127" spans="1:10" x14ac:dyDescent="0.2">
      <c r="A127" s="101" t="s">
        <v>127</v>
      </c>
      <c r="B127" s="101" t="s">
        <v>98</v>
      </c>
      <c r="C127" s="38" t="s">
        <v>97</v>
      </c>
      <c r="D127" s="38" t="s">
        <v>100</v>
      </c>
      <c r="E127" s="48">
        <v>1235</v>
      </c>
      <c r="F127" s="48">
        <v>7227102.8169999998</v>
      </c>
      <c r="G127" s="48">
        <v>1226</v>
      </c>
      <c r="H127" s="48">
        <v>6796763.7570000002</v>
      </c>
      <c r="I127" s="48">
        <v>1218</v>
      </c>
      <c r="J127" s="48">
        <v>5840630.4019999998</v>
      </c>
    </row>
    <row r="128" spans="1:10" x14ac:dyDescent="0.2">
      <c r="A128" s="76" t="s">
        <v>127</v>
      </c>
      <c r="B128" s="76" t="s">
        <v>98</v>
      </c>
      <c r="C128" s="38" t="s">
        <v>10</v>
      </c>
      <c r="D128" s="38" t="s">
        <v>100</v>
      </c>
      <c r="E128" s="48">
        <v>17485</v>
      </c>
      <c r="F128" s="48">
        <v>17807464.353</v>
      </c>
      <c r="G128" s="48">
        <v>17497</v>
      </c>
      <c r="H128" s="48">
        <v>16444461.612</v>
      </c>
      <c r="I128" s="48">
        <v>17518</v>
      </c>
      <c r="J128" s="48">
        <v>14762770.554</v>
      </c>
    </row>
    <row r="129" spans="1:10" x14ac:dyDescent="0.2">
      <c r="A129" s="76" t="s">
        <v>127</v>
      </c>
      <c r="B129" s="101" t="s">
        <v>273</v>
      </c>
      <c r="C129" s="38" t="s">
        <v>97</v>
      </c>
      <c r="D129" s="38" t="s">
        <v>274</v>
      </c>
      <c r="E129" s="48">
        <v>333</v>
      </c>
      <c r="F129" s="48">
        <v>178848.09499999997</v>
      </c>
      <c r="G129" s="48">
        <v>334</v>
      </c>
      <c r="H129" s="48">
        <v>143053.02600000001</v>
      </c>
      <c r="I129" s="48">
        <v>332</v>
      </c>
      <c r="J129" s="48">
        <v>133350.97899999999</v>
      </c>
    </row>
    <row r="130" spans="1:10" x14ac:dyDescent="0.2">
      <c r="A130" s="76" t="s">
        <v>127</v>
      </c>
      <c r="B130" s="76" t="s">
        <v>273</v>
      </c>
      <c r="C130" s="38" t="s">
        <v>10</v>
      </c>
      <c r="D130" s="38" t="s">
        <v>274</v>
      </c>
      <c r="E130" s="48">
        <v>11854</v>
      </c>
      <c r="F130" s="48">
        <v>1006588.579</v>
      </c>
      <c r="G130" s="48">
        <v>11872</v>
      </c>
      <c r="H130" s="48">
        <v>878509.58499999996</v>
      </c>
      <c r="I130" s="48">
        <v>11894</v>
      </c>
      <c r="J130" s="48">
        <v>574848.09100000001</v>
      </c>
    </row>
    <row r="131" spans="1:10" x14ac:dyDescent="0.2">
      <c r="A131" s="101" t="s">
        <v>281</v>
      </c>
      <c r="B131" s="101" t="s">
        <v>273</v>
      </c>
      <c r="C131" s="38" t="s">
        <v>97</v>
      </c>
      <c r="D131" s="38" t="s">
        <v>274</v>
      </c>
      <c r="E131" s="48">
        <v>265</v>
      </c>
      <c r="F131" s="48">
        <v>135263.64800000002</v>
      </c>
      <c r="G131" s="48">
        <v>268</v>
      </c>
      <c r="H131" s="48">
        <v>89270.039000000004</v>
      </c>
      <c r="I131" s="48">
        <v>267</v>
      </c>
      <c r="J131" s="48">
        <v>71794.516000000018</v>
      </c>
    </row>
    <row r="132" spans="1:10" x14ac:dyDescent="0.2">
      <c r="A132" s="76" t="s">
        <v>281</v>
      </c>
      <c r="B132" s="76" t="s">
        <v>273</v>
      </c>
      <c r="C132" s="38" t="s">
        <v>10</v>
      </c>
      <c r="D132" s="38" t="s">
        <v>274</v>
      </c>
      <c r="E132" s="48">
        <v>3939</v>
      </c>
      <c r="F132" s="48">
        <v>267416.56</v>
      </c>
      <c r="G132" s="48">
        <v>3938</v>
      </c>
      <c r="H132" s="48">
        <v>193550.09</v>
      </c>
      <c r="I132" s="48">
        <v>3931</v>
      </c>
      <c r="J132" s="48">
        <v>116588.51</v>
      </c>
    </row>
    <row r="133" spans="1:10" x14ac:dyDescent="0.2">
      <c r="A133" s="101" t="s">
        <v>128</v>
      </c>
      <c r="B133" s="101" t="s">
        <v>98</v>
      </c>
      <c r="C133" s="38" t="s">
        <v>97</v>
      </c>
      <c r="D133" s="38" t="s">
        <v>100</v>
      </c>
      <c r="E133" s="48">
        <v>541</v>
      </c>
      <c r="F133" s="48">
        <v>1895728.605</v>
      </c>
      <c r="G133" s="48">
        <v>543</v>
      </c>
      <c r="H133" s="48">
        <v>1941901.59</v>
      </c>
      <c r="I133" s="48">
        <v>547</v>
      </c>
      <c r="J133" s="48">
        <v>1741374.007</v>
      </c>
    </row>
    <row r="134" spans="1:10" x14ac:dyDescent="0.2">
      <c r="A134" s="76" t="s">
        <v>128</v>
      </c>
      <c r="B134" s="76" t="s">
        <v>98</v>
      </c>
      <c r="C134" s="38" t="s">
        <v>10</v>
      </c>
      <c r="D134" s="38" t="s">
        <v>100</v>
      </c>
      <c r="E134" s="48">
        <v>4372</v>
      </c>
      <c r="F134" s="48">
        <v>5462920.0729999999</v>
      </c>
      <c r="G134" s="48">
        <v>4375</v>
      </c>
      <c r="H134" s="48">
        <v>4763799.3320000004</v>
      </c>
      <c r="I134" s="48">
        <v>4371</v>
      </c>
      <c r="J134" s="48">
        <v>4011493.9810000001</v>
      </c>
    </row>
    <row r="135" spans="1:10" x14ac:dyDescent="0.2">
      <c r="A135" s="76" t="s">
        <v>128</v>
      </c>
      <c r="B135" s="101" t="s">
        <v>273</v>
      </c>
      <c r="C135" s="38" t="s">
        <v>97</v>
      </c>
      <c r="D135" s="38" t="s">
        <v>274</v>
      </c>
      <c r="E135" s="48">
        <v>273</v>
      </c>
      <c r="F135" s="48">
        <v>110596.632</v>
      </c>
      <c r="G135" s="48">
        <v>273</v>
      </c>
      <c r="H135" s="48">
        <v>78920.523000000001</v>
      </c>
      <c r="I135" s="48">
        <v>276</v>
      </c>
      <c r="J135" s="48">
        <v>54624.438999999998</v>
      </c>
    </row>
    <row r="136" spans="1:10" x14ac:dyDescent="0.2">
      <c r="A136" s="76" t="s">
        <v>128</v>
      </c>
      <c r="B136" s="76" t="s">
        <v>273</v>
      </c>
      <c r="C136" s="38" t="s">
        <v>10</v>
      </c>
      <c r="D136" s="38" t="s">
        <v>274</v>
      </c>
      <c r="E136" s="48">
        <v>3247</v>
      </c>
      <c r="F136" s="48">
        <v>303301.50599999999</v>
      </c>
      <c r="G136" s="48">
        <v>3252</v>
      </c>
      <c r="H136" s="48">
        <v>267198.86300000001</v>
      </c>
      <c r="I136" s="48">
        <v>3265</v>
      </c>
      <c r="J136" s="48">
        <v>175491.035</v>
      </c>
    </row>
    <row r="137" spans="1:10" x14ac:dyDescent="0.2">
      <c r="A137" s="101" t="s">
        <v>129</v>
      </c>
      <c r="B137" s="101" t="s">
        <v>98</v>
      </c>
      <c r="C137" s="38" t="s">
        <v>97</v>
      </c>
      <c r="D137" s="38" t="s">
        <v>100</v>
      </c>
      <c r="E137" s="48">
        <v>386</v>
      </c>
      <c r="F137" s="48">
        <v>1268115.291</v>
      </c>
      <c r="G137" s="48">
        <v>386</v>
      </c>
      <c r="H137" s="48">
        <v>1559511.6359999999</v>
      </c>
      <c r="I137" s="48">
        <v>386</v>
      </c>
      <c r="J137" s="48">
        <v>1479937.713</v>
      </c>
    </row>
    <row r="138" spans="1:10" x14ac:dyDescent="0.2">
      <c r="A138" s="76" t="s">
        <v>129</v>
      </c>
      <c r="B138" s="76" t="s">
        <v>98</v>
      </c>
      <c r="C138" s="38" t="s">
        <v>10</v>
      </c>
      <c r="D138" s="38" t="s">
        <v>100</v>
      </c>
      <c r="E138" s="48">
        <v>2421</v>
      </c>
      <c r="F138" s="48">
        <v>2239147.2370000002</v>
      </c>
      <c r="G138" s="48">
        <v>2416</v>
      </c>
      <c r="H138" s="48">
        <v>1880239.1459999999</v>
      </c>
      <c r="I138" s="48">
        <v>2417</v>
      </c>
      <c r="J138" s="48">
        <v>1692918.321</v>
      </c>
    </row>
    <row r="139" spans="1:10" x14ac:dyDescent="0.2">
      <c r="A139" s="76" t="s">
        <v>129</v>
      </c>
      <c r="B139" s="101" t="s">
        <v>273</v>
      </c>
      <c r="C139" s="38" t="s">
        <v>97</v>
      </c>
      <c r="D139" s="38" t="s">
        <v>274</v>
      </c>
      <c r="E139" s="48">
        <v>137</v>
      </c>
      <c r="F139" s="48">
        <v>38079.341999999997</v>
      </c>
      <c r="G139" s="48">
        <v>136</v>
      </c>
      <c r="H139" s="48">
        <v>40719.103000000003</v>
      </c>
      <c r="I139" s="48">
        <v>135</v>
      </c>
      <c r="J139" s="48">
        <v>16783.498</v>
      </c>
    </row>
    <row r="140" spans="1:10" x14ac:dyDescent="0.2">
      <c r="A140" s="76" t="s">
        <v>129</v>
      </c>
      <c r="B140" s="76" t="s">
        <v>273</v>
      </c>
      <c r="C140" s="38" t="s">
        <v>10</v>
      </c>
      <c r="D140" s="38" t="s">
        <v>274</v>
      </c>
      <c r="E140" s="48">
        <v>1180</v>
      </c>
      <c r="F140" s="48">
        <v>75118.364000000001</v>
      </c>
      <c r="G140" s="48">
        <v>1179</v>
      </c>
      <c r="H140" s="48">
        <v>62087.012000000002</v>
      </c>
      <c r="I140" s="48">
        <v>1179</v>
      </c>
      <c r="J140" s="48">
        <v>35165.184999999998</v>
      </c>
    </row>
    <row r="141" spans="1:10" x14ac:dyDescent="0.2">
      <c r="A141" s="101" t="s">
        <v>130</v>
      </c>
      <c r="B141" s="101" t="s">
        <v>98</v>
      </c>
      <c r="C141" s="38" t="s">
        <v>97</v>
      </c>
      <c r="D141" s="38" t="s">
        <v>100</v>
      </c>
      <c r="E141" s="48">
        <v>74</v>
      </c>
      <c r="F141" s="48">
        <v>295472.66599999997</v>
      </c>
      <c r="G141" s="48">
        <v>74</v>
      </c>
      <c r="H141" s="48">
        <v>278735.16599999997</v>
      </c>
      <c r="I141" s="48">
        <v>74</v>
      </c>
      <c r="J141" s="48">
        <v>287699</v>
      </c>
    </row>
    <row r="142" spans="1:10" x14ac:dyDescent="0.2">
      <c r="A142" s="76" t="s">
        <v>130</v>
      </c>
      <c r="B142" s="76" t="s">
        <v>98</v>
      </c>
      <c r="C142" s="38" t="s">
        <v>10</v>
      </c>
      <c r="D142" s="38" t="s">
        <v>100</v>
      </c>
      <c r="E142" s="48">
        <v>150</v>
      </c>
      <c r="F142" s="48">
        <v>300193.71799999999</v>
      </c>
      <c r="G142" s="48">
        <v>151</v>
      </c>
      <c r="H142" s="48">
        <v>278915.71600000001</v>
      </c>
      <c r="I142" s="48">
        <v>151</v>
      </c>
      <c r="J142" s="48">
        <v>213551</v>
      </c>
    </row>
    <row r="143" spans="1:10" x14ac:dyDescent="0.2">
      <c r="A143" s="101" t="s">
        <v>131</v>
      </c>
      <c r="B143" s="101" t="s">
        <v>98</v>
      </c>
      <c r="C143" s="38" t="s">
        <v>97</v>
      </c>
      <c r="D143" s="38" t="s">
        <v>100</v>
      </c>
      <c r="E143" s="48">
        <v>299</v>
      </c>
      <c r="F143" s="48">
        <v>2127180.798</v>
      </c>
      <c r="G143" s="48">
        <v>299</v>
      </c>
      <c r="H143" s="48">
        <v>1111097.2550000001</v>
      </c>
      <c r="I143" s="48">
        <v>297</v>
      </c>
      <c r="J143" s="48">
        <v>1063695.395</v>
      </c>
    </row>
    <row r="144" spans="1:10" x14ac:dyDescent="0.2">
      <c r="A144" s="76" t="s">
        <v>131</v>
      </c>
      <c r="B144" s="76" t="s">
        <v>98</v>
      </c>
      <c r="C144" s="38" t="s">
        <v>10</v>
      </c>
      <c r="D144" s="38" t="s">
        <v>100</v>
      </c>
      <c r="E144" s="48">
        <v>1425</v>
      </c>
      <c r="F144" s="48">
        <v>2490337.6669999999</v>
      </c>
      <c r="G144" s="48">
        <v>1426</v>
      </c>
      <c r="H144" s="48">
        <v>2300689.5550000002</v>
      </c>
      <c r="I144" s="48">
        <v>1425</v>
      </c>
      <c r="J144" s="48">
        <v>1935023.5220000001</v>
      </c>
    </row>
    <row r="145" spans="1:10" x14ac:dyDescent="0.2">
      <c r="A145" s="76" t="s">
        <v>131</v>
      </c>
      <c r="B145" s="101" t="s">
        <v>273</v>
      </c>
      <c r="C145" s="38" t="s">
        <v>97</v>
      </c>
      <c r="D145" s="38" t="s">
        <v>274</v>
      </c>
      <c r="E145" s="48">
        <v>1</v>
      </c>
      <c r="F145" s="48">
        <v>6352.1480000000001</v>
      </c>
      <c r="G145" s="48">
        <v>1</v>
      </c>
      <c r="H145" s="48">
        <v>6281.6530000000002</v>
      </c>
      <c r="I145" s="48">
        <v>1</v>
      </c>
      <c r="J145" s="48">
        <v>4382.7860000000001</v>
      </c>
    </row>
    <row r="146" spans="1:10" x14ac:dyDescent="0.2">
      <c r="A146" s="76" t="s">
        <v>131</v>
      </c>
      <c r="B146" s="76" t="s">
        <v>273</v>
      </c>
      <c r="C146" s="38" t="s">
        <v>10</v>
      </c>
      <c r="D146" s="38" t="s">
        <v>274</v>
      </c>
      <c r="E146" s="48">
        <v>7</v>
      </c>
      <c r="F146" s="48">
        <v>714.42899999999997</v>
      </c>
      <c r="G146" s="48">
        <v>7</v>
      </c>
      <c r="H146" s="48">
        <v>693.72199999999998</v>
      </c>
      <c r="I146" s="48">
        <v>7</v>
      </c>
      <c r="J146" s="48">
        <v>428.786</v>
      </c>
    </row>
    <row r="147" spans="1:10" x14ac:dyDescent="0.2">
      <c r="A147" s="101" t="s">
        <v>132</v>
      </c>
      <c r="B147" s="101" t="s">
        <v>98</v>
      </c>
      <c r="C147" s="38" t="s">
        <v>97</v>
      </c>
      <c r="D147" s="38" t="s">
        <v>100</v>
      </c>
      <c r="E147" s="48">
        <v>3874</v>
      </c>
      <c r="F147" s="48">
        <v>67509660.85800001</v>
      </c>
      <c r="G147" s="48">
        <v>3873</v>
      </c>
      <c r="H147" s="48">
        <v>59621796.284999996</v>
      </c>
      <c r="I147" s="48">
        <v>3867</v>
      </c>
      <c r="J147" s="48">
        <v>58166186.635000005</v>
      </c>
    </row>
    <row r="148" spans="1:10" x14ac:dyDescent="0.2">
      <c r="A148" s="76" t="s">
        <v>132</v>
      </c>
      <c r="B148" s="76" t="s">
        <v>98</v>
      </c>
      <c r="C148" s="38" t="s">
        <v>10</v>
      </c>
      <c r="D148" s="38" t="s">
        <v>100</v>
      </c>
      <c r="E148" s="48">
        <v>33578</v>
      </c>
      <c r="F148" s="48">
        <v>23518189.920000002</v>
      </c>
      <c r="G148" s="48">
        <v>33573</v>
      </c>
      <c r="H148" s="48">
        <v>20369488.394000001</v>
      </c>
      <c r="I148" s="48">
        <v>33779</v>
      </c>
      <c r="J148" s="48">
        <v>17918312.134</v>
      </c>
    </row>
    <row r="149" spans="1:10" x14ac:dyDescent="0.2">
      <c r="A149" s="76" t="s">
        <v>132</v>
      </c>
      <c r="B149" s="101" t="s">
        <v>273</v>
      </c>
      <c r="C149" s="38" t="s">
        <v>97</v>
      </c>
      <c r="D149" s="38" t="s">
        <v>274</v>
      </c>
      <c r="E149" s="48">
        <v>1576</v>
      </c>
      <c r="F149" s="48">
        <v>1016888.693</v>
      </c>
      <c r="G149" s="48">
        <v>1581</v>
      </c>
      <c r="H149" s="48">
        <v>876746.76799999992</v>
      </c>
      <c r="I149" s="48">
        <v>1579</v>
      </c>
      <c r="J149" s="48">
        <v>493492.73299999995</v>
      </c>
    </row>
    <row r="150" spans="1:10" x14ac:dyDescent="0.2">
      <c r="A150" s="76" t="s">
        <v>132</v>
      </c>
      <c r="B150" s="76" t="s">
        <v>273</v>
      </c>
      <c r="C150" s="38" t="s">
        <v>10</v>
      </c>
      <c r="D150" s="38" t="s">
        <v>274</v>
      </c>
      <c r="E150" s="48">
        <v>14453</v>
      </c>
      <c r="F150" s="48">
        <v>1236057.452</v>
      </c>
      <c r="G150" s="48">
        <v>14452</v>
      </c>
      <c r="H150" s="48">
        <v>926450.97699999996</v>
      </c>
      <c r="I150" s="48">
        <v>14443</v>
      </c>
      <c r="J150" s="48">
        <v>542309.81599999999</v>
      </c>
    </row>
    <row r="151" spans="1:10" x14ac:dyDescent="0.2">
      <c r="A151" s="101" t="s">
        <v>133</v>
      </c>
      <c r="B151" s="101" t="s">
        <v>98</v>
      </c>
      <c r="C151" s="38" t="s">
        <v>97</v>
      </c>
      <c r="D151" s="38" t="s">
        <v>100</v>
      </c>
      <c r="E151" s="48">
        <v>659</v>
      </c>
      <c r="F151" s="48">
        <v>9338004.0700000003</v>
      </c>
      <c r="G151" s="48">
        <v>663</v>
      </c>
      <c r="H151" s="48">
        <v>5692590.483</v>
      </c>
      <c r="I151" s="48">
        <v>662</v>
      </c>
      <c r="J151" s="48">
        <v>18641303.934999999</v>
      </c>
    </row>
    <row r="152" spans="1:10" x14ac:dyDescent="0.2">
      <c r="A152" s="76" t="s">
        <v>133</v>
      </c>
      <c r="B152" s="76" t="s">
        <v>98</v>
      </c>
      <c r="C152" s="38" t="s">
        <v>10</v>
      </c>
      <c r="D152" s="38" t="s">
        <v>100</v>
      </c>
      <c r="E152" s="48">
        <v>7301</v>
      </c>
      <c r="F152" s="48">
        <v>6910855.5549999997</v>
      </c>
      <c r="G152" s="48">
        <v>7298</v>
      </c>
      <c r="H152" s="48">
        <v>6191778.7050000001</v>
      </c>
      <c r="I152" s="48">
        <v>7296</v>
      </c>
      <c r="J152" s="48">
        <v>5798393.2779999999</v>
      </c>
    </row>
    <row r="153" spans="1:10" x14ac:dyDescent="0.2">
      <c r="A153" s="76" t="s">
        <v>133</v>
      </c>
      <c r="B153" s="101" t="s">
        <v>273</v>
      </c>
      <c r="C153" s="38" t="s">
        <v>97</v>
      </c>
      <c r="D153" s="38" t="s">
        <v>274</v>
      </c>
      <c r="E153" s="48">
        <v>141</v>
      </c>
      <c r="F153" s="48">
        <v>57098.101000000002</v>
      </c>
      <c r="G153" s="48">
        <v>141</v>
      </c>
      <c r="H153" s="48">
        <v>90121.454999999987</v>
      </c>
      <c r="I153" s="48">
        <v>140</v>
      </c>
      <c r="J153" s="48">
        <v>82508.88900000001</v>
      </c>
    </row>
    <row r="154" spans="1:10" x14ac:dyDescent="0.2">
      <c r="A154" s="76" t="s">
        <v>133</v>
      </c>
      <c r="B154" s="76" t="s">
        <v>273</v>
      </c>
      <c r="C154" s="38" t="s">
        <v>10</v>
      </c>
      <c r="D154" s="38" t="s">
        <v>274</v>
      </c>
      <c r="E154" s="48">
        <v>6637</v>
      </c>
      <c r="F154" s="48">
        <v>690690.37800000003</v>
      </c>
      <c r="G154" s="48">
        <v>6637</v>
      </c>
      <c r="H154" s="48">
        <v>594444.70499999996</v>
      </c>
      <c r="I154" s="48">
        <v>6636</v>
      </c>
      <c r="J154" s="48">
        <v>374315.43199999997</v>
      </c>
    </row>
    <row r="155" spans="1:10" x14ac:dyDescent="0.2">
      <c r="A155" s="101" t="s">
        <v>134</v>
      </c>
      <c r="B155" s="101" t="s">
        <v>98</v>
      </c>
      <c r="C155" s="38" t="s">
        <v>97</v>
      </c>
      <c r="D155" s="38" t="s">
        <v>100</v>
      </c>
      <c r="E155" s="48">
        <v>825</v>
      </c>
      <c r="F155" s="48">
        <v>9519894.8590000011</v>
      </c>
      <c r="G155" s="48">
        <v>822</v>
      </c>
      <c r="H155" s="48">
        <v>25948654.632000003</v>
      </c>
      <c r="I155" s="48">
        <v>824</v>
      </c>
      <c r="J155" s="48">
        <v>15899500.499</v>
      </c>
    </row>
    <row r="156" spans="1:10" x14ac:dyDescent="0.2">
      <c r="A156" s="76" t="s">
        <v>134</v>
      </c>
      <c r="B156" s="76" t="s">
        <v>98</v>
      </c>
      <c r="C156" s="38" t="s">
        <v>10</v>
      </c>
      <c r="D156" s="38" t="s">
        <v>100</v>
      </c>
      <c r="E156" s="48">
        <v>9768</v>
      </c>
      <c r="F156" s="48">
        <v>7365333.5829999996</v>
      </c>
      <c r="G156" s="48">
        <v>9769</v>
      </c>
      <c r="H156" s="48">
        <v>6368258.8849999998</v>
      </c>
      <c r="I156" s="48">
        <v>9773</v>
      </c>
      <c r="J156" s="48">
        <v>6052325.6370000001</v>
      </c>
    </row>
    <row r="157" spans="1:10" x14ac:dyDescent="0.2">
      <c r="A157" s="76" t="s">
        <v>134</v>
      </c>
      <c r="B157" s="101" t="s">
        <v>273</v>
      </c>
      <c r="C157" s="38" t="s">
        <v>97</v>
      </c>
      <c r="D157" s="38" t="s">
        <v>274</v>
      </c>
      <c r="E157" s="48">
        <v>137</v>
      </c>
      <c r="F157" s="48">
        <v>499520.69499999995</v>
      </c>
      <c r="G157" s="48">
        <v>138</v>
      </c>
      <c r="H157" s="48">
        <v>417620.95600000001</v>
      </c>
      <c r="I157" s="48">
        <v>138</v>
      </c>
      <c r="J157" s="48">
        <v>387841.01899999997</v>
      </c>
    </row>
    <row r="158" spans="1:10" x14ac:dyDescent="0.2">
      <c r="A158" s="76" t="s">
        <v>134</v>
      </c>
      <c r="B158" s="76" t="s">
        <v>273</v>
      </c>
      <c r="C158" s="38" t="s">
        <v>10</v>
      </c>
      <c r="D158" s="38" t="s">
        <v>274</v>
      </c>
      <c r="E158" s="48">
        <v>4735</v>
      </c>
      <c r="F158" s="48">
        <v>338845.95299999998</v>
      </c>
      <c r="G158" s="48">
        <v>4738</v>
      </c>
      <c r="H158" s="48">
        <v>222908.50599999999</v>
      </c>
      <c r="I158" s="48">
        <v>4735</v>
      </c>
      <c r="J158" s="48">
        <v>142692.43299999999</v>
      </c>
    </row>
    <row r="159" spans="1:10" x14ac:dyDescent="0.2">
      <c r="A159" s="101" t="s">
        <v>135</v>
      </c>
      <c r="B159" s="101" t="s">
        <v>98</v>
      </c>
      <c r="C159" s="38" t="s">
        <v>97</v>
      </c>
      <c r="D159" s="38" t="s">
        <v>100</v>
      </c>
      <c r="E159" s="48">
        <v>923</v>
      </c>
      <c r="F159" s="48">
        <v>4676700.8899999997</v>
      </c>
      <c r="G159" s="48">
        <v>923</v>
      </c>
      <c r="H159" s="48">
        <v>4083242.3339999998</v>
      </c>
      <c r="I159" s="48">
        <v>926</v>
      </c>
      <c r="J159" s="48">
        <v>5539364.7769999998</v>
      </c>
    </row>
    <row r="160" spans="1:10" x14ac:dyDescent="0.2">
      <c r="A160" s="76" t="s">
        <v>135</v>
      </c>
      <c r="B160" s="76" t="s">
        <v>98</v>
      </c>
      <c r="C160" s="38" t="s">
        <v>10</v>
      </c>
      <c r="D160" s="38" t="s">
        <v>100</v>
      </c>
      <c r="E160" s="48">
        <v>14564</v>
      </c>
      <c r="F160" s="48">
        <v>10833072.481000001</v>
      </c>
      <c r="G160" s="48">
        <v>14568</v>
      </c>
      <c r="H160" s="48">
        <v>9487794.5969999991</v>
      </c>
      <c r="I160" s="48">
        <v>14555</v>
      </c>
      <c r="J160" s="48">
        <v>9359598.1710000001</v>
      </c>
    </row>
    <row r="161" spans="1:10" x14ac:dyDescent="0.2">
      <c r="A161" s="76" t="s">
        <v>135</v>
      </c>
      <c r="B161" s="101" t="s">
        <v>273</v>
      </c>
      <c r="C161" s="38" t="s">
        <v>97</v>
      </c>
      <c r="D161" s="38" t="s">
        <v>274</v>
      </c>
      <c r="E161" s="48">
        <v>219</v>
      </c>
      <c r="F161" s="48">
        <v>102145.723</v>
      </c>
      <c r="G161" s="48">
        <v>220</v>
      </c>
      <c r="H161" s="48">
        <v>84985.63900000001</v>
      </c>
      <c r="I161" s="48">
        <v>219</v>
      </c>
      <c r="J161" s="48">
        <v>49816.419000000002</v>
      </c>
    </row>
    <row r="162" spans="1:10" x14ac:dyDescent="0.2">
      <c r="A162" s="76" t="s">
        <v>135</v>
      </c>
      <c r="B162" s="76" t="s">
        <v>273</v>
      </c>
      <c r="C162" s="38" t="s">
        <v>10</v>
      </c>
      <c r="D162" s="38" t="s">
        <v>274</v>
      </c>
      <c r="E162" s="48">
        <v>8163</v>
      </c>
      <c r="F162" s="48">
        <v>598102.99899999995</v>
      </c>
      <c r="G162" s="48">
        <v>8163</v>
      </c>
      <c r="H162" s="48">
        <v>373849.04499999998</v>
      </c>
      <c r="I162" s="48">
        <v>8163</v>
      </c>
      <c r="J162" s="48">
        <v>234376.101</v>
      </c>
    </row>
    <row r="163" spans="1:10" x14ac:dyDescent="0.2">
      <c r="A163" s="101" t="s">
        <v>136</v>
      </c>
      <c r="B163" s="101" t="s">
        <v>98</v>
      </c>
      <c r="C163" s="38" t="s">
        <v>97</v>
      </c>
      <c r="D163" s="38" t="s">
        <v>100</v>
      </c>
      <c r="E163" s="48">
        <v>1898</v>
      </c>
      <c r="F163" s="48">
        <v>21044331.666000001</v>
      </c>
      <c r="G163" s="48">
        <v>1889</v>
      </c>
      <c r="H163" s="48">
        <v>23204587.479999997</v>
      </c>
      <c r="I163" s="48">
        <v>1891</v>
      </c>
      <c r="J163" s="48">
        <v>25483511.866</v>
      </c>
    </row>
    <row r="164" spans="1:10" x14ac:dyDescent="0.2">
      <c r="A164" s="76" t="s">
        <v>136</v>
      </c>
      <c r="B164" s="76" t="s">
        <v>98</v>
      </c>
      <c r="C164" s="38" t="s">
        <v>10</v>
      </c>
      <c r="D164" s="38" t="s">
        <v>100</v>
      </c>
      <c r="E164" s="48">
        <v>6188</v>
      </c>
      <c r="F164" s="48">
        <v>3832022.2960000001</v>
      </c>
      <c r="G164" s="48">
        <v>6193</v>
      </c>
      <c r="H164" s="48">
        <v>3216736.44</v>
      </c>
      <c r="I164" s="48">
        <v>6196</v>
      </c>
      <c r="J164" s="48">
        <v>3081518.4720000001</v>
      </c>
    </row>
    <row r="165" spans="1:10" x14ac:dyDescent="0.2">
      <c r="A165" s="76" t="s">
        <v>136</v>
      </c>
      <c r="B165" s="101" t="s">
        <v>273</v>
      </c>
      <c r="C165" s="38" t="s">
        <v>97</v>
      </c>
      <c r="D165" s="38" t="s">
        <v>274</v>
      </c>
      <c r="E165" s="48">
        <v>999</v>
      </c>
      <c r="F165" s="48">
        <v>766185.03899999999</v>
      </c>
      <c r="G165" s="48">
        <v>1001</v>
      </c>
      <c r="H165" s="48">
        <v>796129.12899999996</v>
      </c>
      <c r="I165" s="48">
        <v>998</v>
      </c>
      <c r="J165" s="48">
        <v>486515.74600000004</v>
      </c>
    </row>
    <row r="166" spans="1:10" x14ac:dyDescent="0.2">
      <c r="A166" s="76" t="s">
        <v>136</v>
      </c>
      <c r="B166" s="76" t="s">
        <v>273</v>
      </c>
      <c r="C166" s="38" t="s">
        <v>10</v>
      </c>
      <c r="D166" s="38" t="s">
        <v>274</v>
      </c>
      <c r="E166" s="48">
        <v>1591</v>
      </c>
      <c r="F166" s="48">
        <v>101818.552</v>
      </c>
      <c r="G166" s="48">
        <v>1593</v>
      </c>
      <c r="H166" s="48">
        <v>65043.203000000001</v>
      </c>
      <c r="I166" s="48">
        <v>1596</v>
      </c>
      <c r="J166" s="48">
        <v>41046.156000000003</v>
      </c>
    </row>
    <row r="167" spans="1:10" x14ac:dyDescent="0.2">
      <c r="A167" s="101" t="s">
        <v>137</v>
      </c>
      <c r="B167" s="101" t="s">
        <v>98</v>
      </c>
      <c r="C167" s="38" t="s">
        <v>97</v>
      </c>
      <c r="D167" s="38" t="s">
        <v>100</v>
      </c>
      <c r="E167" s="48">
        <v>948</v>
      </c>
      <c r="F167" s="48">
        <v>4287385.5839999998</v>
      </c>
      <c r="G167" s="48">
        <v>951</v>
      </c>
      <c r="H167" s="48">
        <v>3541267.324</v>
      </c>
      <c r="I167" s="48">
        <v>950</v>
      </c>
      <c r="J167" s="48">
        <v>3564889.18</v>
      </c>
    </row>
    <row r="168" spans="1:10" x14ac:dyDescent="0.2">
      <c r="A168" s="76" t="s">
        <v>137</v>
      </c>
      <c r="B168" s="76" t="s">
        <v>98</v>
      </c>
      <c r="C168" s="38" t="s">
        <v>10</v>
      </c>
      <c r="D168" s="38" t="s">
        <v>100</v>
      </c>
      <c r="E168" s="48">
        <v>16368</v>
      </c>
      <c r="F168" s="48">
        <v>13719046.602</v>
      </c>
      <c r="G168" s="48">
        <v>16369</v>
      </c>
      <c r="H168" s="48">
        <v>12314921.060000001</v>
      </c>
      <c r="I168" s="48">
        <v>16374</v>
      </c>
      <c r="J168" s="48">
        <v>12134032.114</v>
      </c>
    </row>
    <row r="169" spans="1:10" x14ac:dyDescent="0.2">
      <c r="A169" s="76" t="s">
        <v>137</v>
      </c>
      <c r="B169" s="101" t="s">
        <v>273</v>
      </c>
      <c r="C169" s="38" t="s">
        <v>97</v>
      </c>
      <c r="D169" s="38" t="s">
        <v>274</v>
      </c>
      <c r="E169" s="48">
        <v>131</v>
      </c>
      <c r="F169" s="48">
        <v>81942.622999999992</v>
      </c>
      <c r="G169" s="48">
        <v>131</v>
      </c>
      <c r="H169" s="48">
        <v>69334.224999999991</v>
      </c>
      <c r="I169" s="48">
        <v>130</v>
      </c>
      <c r="J169" s="48">
        <v>35330.710000000006</v>
      </c>
    </row>
    <row r="170" spans="1:10" x14ac:dyDescent="0.2">
      <c r="A170" s="76" t="s">
        <v>137</v>
      </c>
      <c r="B170" s="76" t="s">
        <v>273</v>
      </c>
      <c r="C170" s="38" t="s">
        <v>10</v>
      </c>
      <c r="D170" s="38" t="s">
        <v>274</v>
      </c>
      <c r="E170" s="48">
        <v>10521</v>
      </c>
      <c r="F170" s="48">
        <v>845858.25199999998</v>
      </c>
      <c r="G170" s="48">
        <v>10517</v>
      </c>
      <c r="H170" s="48">
        <v>532764.67000000004</v>
      </c>
      <c r="I170" s="48">
        <v>10518</v>
      </c>
      <c r="J170" s="48">
        <v>343776.78700000001</v>
      </c>
    </row>
    <row r="171" spans="1:10" x14ac:dyDescent="0.2">
      <c r="A171" s="101" t="s">
        <v>138</v>
      </c>
      <c r="B171" s="101" t="s">
        <v>98</v>
      </c>
      <c r="C171" s="38" t="s">
        <v>97</v>
      </c>
      <c r="D171" s="38" t="s">
        <v>100</v>
      </c>
      <c r="E171" s="48">
        <v>1030</v>
      </c>
      <c r="F171" s="48">
        <v>3799621.156</v>
      </c>
      <c r="G171" s="48">
        <v>1029</v>
      </c>
      <c r="H171" s="48">
        <v>3930314.557</v>
      </c>
      <c r="I171" s="48">
        <v>1027</v>
      </c>
      <c r="J171" s="48">
        <v>3969637.0180000002</v>
      </c>
    </row>
    <row r="172" spans="1:10" x14ac:dyDescent="0.2">
      <c r="A172" s="76" t="s">
        <v>138</v>
      </c>
      <c r="B172" s="76" t="s">
        <v>98</v>
      </c>
      <c r="C172" s="38" t="s">
        <v>10</v>
      </c>
      <c r="D172" s="38" t="s">
        <v>100</v>
      </c>
      <c r="E172" s="48">
        <v>15350</v>
      </c>
      <c r="F172" s="48">
        <v>12490659.697000001</v>
      </c>
      <c r="G172" s="48">
        <v>15343</v>
      </c>
      <c r="H172" s="48">
        <v>11254493.776000001</v>
      </c>
      <c r="I172" s="48">
        <v>15342</v>
      </c>
      <c r="J172" s="48">
        <v>11435925.573000001</v>
      </c>
    </row>
    <row r="173" spans="1:10" x14ac:dyDescent="0.2">
      <c r="A173" s="76" t="s">
        <v>138</v>
      </c>
      <c r="B173" s="101" t="s">
        <v>273</v>
      </c>
      <c r="C173" s="38" t="s">
        <v>97</v>
      </c>
      <c r="D173" s="38" t="s">
        <v>274</v>
      </c>
      <c r="E173" s="48">
        <v>213</v>
      </c>
      <c r="F173" s="48">
        <v>137009.103</v>
      </c>
      <c r="G173" s="48">
        <v>213</v>
      </c>
      <c r="H173" s="48">
        <v>124676.692</v>
      </c>
      <c r="I173" s="48">
        <v>213</v>
      </c>
      <c r="J173" s="48">
        <v>74963.972000000009</v>
      </c>
    </row>
    <row r="174" spans="1:10" x14ac:dyDescent="0.2">
      <c r="A174" s="76" t="s">
        <v>138</v>
      </c>
      <c r="B174" s="76" t="s">
        <v>273</v>
      </c>
      <c r="C174" s="38" t="s">
        <v>10</v>
      </c>
      <c r="D174" s="38" t="s">
        <v>274</v>
      </c>
      <c r="E174" s="48">
        <v>10458</v>
      </c>
      <c r="F174" s="48">
        <v>866369.17299999995</v>
      </c>
      <c r="G174" s="48">
        <v>10463</v>
      </c>
      <c r="H174" s="48">
        <v>557354.32200000004</v>
      </c>
      <c r="I174" s="48">
        <v>10463</v>
      </c>
      <c r="J174" s="48">
        <v>354621.15299999999</v>
      </c>
    </row>
    <row r="175" spans="1:10" x14ac:dyDescent="0.2">
      <c r="A175" s="101" t="s">
        <v>139</v>
      </c>
      <c r="B175" s="101" t="s">
        <v>98</v>
      </c>
      <c r="C175" s="38" t="s">
        <v>97</v>
      </c>
      <c r="D175" s="38" t="s">
        <v>100</v>
      </c>
      <c r="E175" s="48">
        <v>671</v>
      </c>
      <c r="F175" s="48">
        <v>4936045.0549999997</v>
      </c>
      <c r="G175" s="48">
        <v>673</v>
      </c>
      <c r="H175" s="48">
        <v>3866757.7800000003</v>
      </c>
      <c r="I175" s="48">
        <v>675</v>
      </c>
      <c r="J175" s="48">
        <v>4035401.943</v>
      </c>
    </row>
    <row r="176" spans="1:10" x14ac:dyDescent="0.2">
      <c r="A176" s="76" t="s">
        <v>139</v>
      </c>
      <c r="B176" s="76" t="s">
        <v>98</v>
      </c>
      <c r="C176" s="38" t="s">
        <v>10</v>
      </c>
      <c r="D176" s="38" t="s">
        <v>100</v>
      </c>
      <c r="E176" s="48">
        <v>5633</v>
      </c>
      <c r="F176" s="48">
        <v>5479948.0279999999</v>
      </c>
      <c r="G176" s="48">
        <v>5628</v>
      </c>
      <c r="H176" s="48">
        <v>4736397.3930000002</v>
      </c>
      <c r="I176" s="48">
        <v>5631</v>
      </c>
      <c r="J176" s="48">
        <v>4340474.602</v>
      </c>
    </row>
    <row r="177" spans="1:10" x14ac:dyDescent="0.2">
      <c r="A177" s="76" t="s">
        <v>139</v>
      </c>
      <c r="B177" s="101" t="s">
        <v>273</v>
      </c>
      <c r="C177" s="38" t="s">
        <v>97</v>
      </c>
      <c r="D177" s="38" t="s">
        <v>274</v>
      </c>
      <c r="E177" s="48">
        <v>251</v>
      </c>
      <c r="F177" s="48">
        <v>159964.67200000002</v>
      </c>
      <c r="G177" s="48">
        <v>251</v>
      </c>
      <c r="H177" s="48">
        <v>118375.33799999999</v>
      </c>
      <c r="I177" s="48">
        <v>250</v>
      </c>
      <c r="J177" s="48">
        <v>107932.06499999999</v>
      </c>
    </row>
    <row r="178" spans="1:10" x14ac:dyDescent="0.2">
      <c r="A178" s="76" t="s">
        <v>139</v>
      </c>
      <c r="B178" s="76" t="s">
        <v>273</v>
      </c>
      <c r="C178" s="38" t="s">
        <v>10</v>
      </c>
      <c r="D178" s="38" t="s">
        <v>274</v>
      </c>
      <c r="E178" s="48">
        <v>4342</v>
      </c>
      <c r="F178" s="48">
        <v>389956.44400000002</v>
      </c>
      <c r="G178" s="48">
        <v>4340</v>
      </c>
      <c r="H178" s="48">
        <v>341030.05</v>
      </c>
      <c r="I178" s="48">
        <v>4343</v>
      </c>
      <c r="J178" s="48">
        <v>222833.33499999999</v>
      </c>
    </row>
    <row r="179" spans="1:10" x14ac:dyDescent="0.2">
      <c r="A179" s="101" t="s">
        <v>140</v>
      </c>
      <c r="B179" s="101" t="s">
        <v>98</v>
      </c>
      <c r="C179" s="38" t="s">
        <v>97</v>
      </c>
      <c r="D179" s="38" t="s">
        <v>100</v>
      </c>
      <c r="E179" s="48">
        <v>120</v>
      </c>
      <c r="F179" s="48">
        <v>2204667.162</v>
      </c>
      <c r="G179" s="48">
        <v>120</v>
      </c>
      <c r="H179" s="48">
        <v>941094.38</v>
      </c>
      <c r="I179" s="48">
        <v>122</v>
      </c>
      <c r="J179" s="48">
        <v>995391.95700000005</v>
      </c>
    </row>
    <row r="180" spans="1:10" x14ac:dyDescent="0.2">
      <c r="A180" s="76" t="s">
        <v>140</v>
      </c>
      <c r="B180" s="76" t="s">
        <v>98</v>
      </c>
      <c r="C180" s="38" t="s">
        <v>10</v>
      </c>
      <c r="D180" s="38" t="s">
        <v>100</v>
      </c>
      <c r="E180" s="48">
        <v>864</v>
      </c>
      <c r="F180" s="48">
        <v>813781.87300000002</v>
      </c>
      <c r="G180" s="48">
        <v>864</v>
      </c>
      <c r="H180" s="48">
        <v>1107674.406</v>
      </c>
      <c r="I180" s="48">
        <v>863</v>
      </c>
      <c r="J180" s="48">
        <v>595038.28200000001</v>
      </c>
    </row>
    <row r="181" spans="1:10" x14ac:dyDescent="0.2">
      <c r="A181" s="101" t="s">
        <v>141</v>
      </c>
      <c r="B181" s="101" t="s">
        <v>98</v>
      </c>
      <c r="C181" s="38" t="s">
        <v>97</v>
      </c>
      <c r="D181" s="38" t="s">
        <v>100</v>
      </c>
      <c r="E181" s="48">
        <v>1057</v>
      </c>
      <c r="F181" s="48">
        <v>2141443.9509999999</v>
      </c>
      <c r="G181" s="48">
        <v>1059</v>
      </c>
      <c r="H181" s="48">
        <v>2052954.997</v>
      </c>
      <c r="I181" s="48">
        <v>1052</v>
      </c>
      <c r="J181" s="48">
        <v>1914031.3289999999</v>
      </c>
    </row>
    <row r="182" spans="1:10" x14ac:dyDescent="0.2">
      <c r="A182" s="76" t="s">
        <v>141</v>
      </c>
      <c r="B182" s="76" t="s">
        <v>98</v>
      </c>
      <c r="C182" s="38" t="s">
        <v>10</v>
      </c>
      <c r="D182" s="38" t="s">
        <v>100</v>
      </c>
      <c r="E182" s="48">
        <v>5514</v>
      </c>
      <c r="F182" s="48">
        <v>6409398.3830000004</v>
      </c>
      <c r="G182" s="48">
        <v>5514</v>
      </c>
      <c r="H182" s="48">
        <v>5213214.3099999996</v>
      </c>
      <c r="I182" s="48">
        <v>5516</v>
      </c>
      <c r="J182" s="48">
        <v>4310467.1869999999</v>
      </c>
    </row>
    <row r="183" spans="1:10" x14ac:dyDescent="0.2">
      <c r="A183" s="76" t="s">
        <v>141</v>
      </c>
      <c r="B183" s="101" t="s">
        <v>273</v>
      </c>
      <c r="C183" s="38" t="s">
        <v>97</v>
      </c>
      <c r="D183" s="38" t="s">
        <v>274</v>
      </c>
      <c r="E183" s="48">
        <v>158</v>
      </c>
      <c r="F183" s="48">
        <v>48294.556000000004</v>
      </c>
      <c r="G183" s="48">
        <v>158</v>
      </c>
      <c r="H183" s="48">
        <v>41502.695999999996</v>
      </c>
      <c r="I183" s="48">
        <v>154</v>
      </c>
      <c r="J183" s="48">
        <v>27015.608999999997</v>
      </c>
    </row>
    <row r="184" spans="1:10" x14ac:dyDescent="0.2">
      <c r="A184" s="76" t="s">
        <v>141</v>
      </c>
      <c r="B184" s="76" t="s">
        <v>273</v>
      </c>
      <c r="C184" s="38" t="s">
        <v>10</v>
      </c>
      <c r="D184" s="38" t="s">
        <v>274</v>
      </c>
      <c r="E184" s="48">
        <v>1440</v>
      </c>
      <c r="F184" s="48">
        <v>100963.034</v>
      </c>
      <c r="G184" s="48">
        <v>1443</v>
      </c>
      <c r="H184" s="48">
        <v>72810.3</v>
      </c>
      <c r="I184" s="48">
        <v>1441</v>
      </c>
      <c r="J184" s="48">
        <v>43584.62</v>
      </c>
    </row>
    <row r="185" spans="1:10" x14ac:dyDescent="0.2">
      <c r="A185" s="101" t="s">
        <v>142</v>
      </c>
      <c r="B185" s="101" t="s">
        <v>98</v>
      </c>
      <c r="C185" s="38" t="s">
        <v>97</v>
      </c>
      <c r="D185" s="38" t="s">
        <v>100</v>
      </c>
      <c r="E185" s="48">
        <v>1738</v>
      </c>
      <c r="F185" s="48">
        <v>10025799.528000001</v>
      </c>
      <c r="G185" s="48">
        <v>1737</v>
      </c>
      <c r="H185" s="48">
        <v>8372032.0700000003</v>
      </c>
      <c r="I185" s="48">
        <v>1739</v>
      </c>
      <c r="J185" s="48">
        <v>8409633.9820000008</v>
      </c>
    </row>
    <row r="186" spans="1:10" x14ac:dyDescent="0.2">
      <c r="A186" s="76" t="s">
        <v>142</v>
      </c>
      <c r="B186" s="76" t="s">
        <v>98</v>
      </c>
      <c r="C186" s="38" t="s">
        <v>10</v>
      </c>
      <c r="D186" s="38" t="s">
        <v>100</v>
      </c>
      <c r="E186" s="48">
        <v>8956</v>
      </c>
      <c r="F186" s="48">
        <v>7624931.4380000001</v>
      </c>
      <c r="G186" s="48">
        <v>9029</v>
      </c>
      <c r="H186" s="48">
        <v>7075935.0820000004</v>
      </c>
      <c r="I186" s="48">
        <v>9033</v>
      </c>
      <c r="J186" s="48">
        <v>6621310.6009999998</v>
      </c>
    </row>
    <row r="187" spans="1:10" x14ac:dyDescent="0.2">
      <c r="A187" s="76" t="s">
        <v>142</v>
      </c>
      <c r="B187" s="101" t="s">
        <v>273</v>
      </c>
      <c r="C187" s="38" t="s">
        <v>97</v>
      </c>
      <c r="D187" s="38" t="s">
        <v>274</v>
      </c>
      <c r="E187" s="48">
        <v>909</v>
      </c>
      <c r="F187" s="48">
        <v>463112.174</v>
      </c>
      <c r="G187" s="48">
        <v>910</v>
      </c>
      <c r="H187" s="48">
        <v>745309.37300000002</v>
      </c>
      <c r="I187" s="48">
        <v>910</v>
      </c>
      <c r="J187" s="48">
        <v>433490.11799999996</v>
      </c>
    </row>
    <row r="188" spans="1:10" x14ac:dyDescent="0.2">
      <c r="A188" s="76" t="s">
        <v>142</v>
      </c>
      <c r="B188" s="76" t="s">
        <v>273</v>
      </c>
      <c r="C188" s="38" t="s">
        <v>10</v>
      </c>
      <c r="D188" s="38" t="s">
        <v>274</v>
      </c>
      <c r="E188" s="48">
        <v>6385</v>
      </c>
      <c r="F188" s="48">
        <v>636528.09</v>
      </c>
      <c r="G188" s="48">
        <v>6383</v>
      </c>
      <c r="H188" s="48">
        <v>558903.326</v>
      </c>
      <c r="I188" s="48">
        <v>6388</v>
      </c>
      <c r="J188" s="48">
        <v>328636.88400000002</v>
      </c>
    </row>
    <row r="189" spans="1:10" x14ac:dyDescent="0.2">
      <c r="A189" s="101" t="s">
        <v>143</v>
      </c>
      <c r="B189" s="101" t="s">
        <v>98</v>
      </c>
      <c r="C189" s="38" t="s">
        <v>97</v>
      </c>
      <c r="D189" s="38" t="s">
        <v>100</v>
      </c>
      <c r="E189" s="48">
        <v>546</v>
      </c>
      <c r="F189" s="48">
        <v>2073184.8659999999</v>
      </c>
      <c r="G189" s="48">
        <v>550</v>
      </c>
      <c r="H189" s="48">
        <v>2381710.7889999999</v>
      </c>
      <c r="I189" s="48">
        <v>546</v>
      </c>
      <c r="J189" s="48">
        <v>2207561.8709999998</v>
      </c>
    </row>
    <row r="190" spans="1:10" x14ac:dyDescent="0.2">
      <c r="A190" s="76" t="s">
        <v>143</v>
      </c>
      <c r="B190" s="76" t="s">
        <v>98</v>
      </c>
      <c r="C190" s="38" t="s">
        <v>10</v>
      </c>
      <c r="D190" s="38" t="s">
        <v>100</v>
      </c>
      <c r="E190" s="48">
        <v>10363</v>
      </c>
      <c r="F190" s="48">
        <v>8438263.9979999997</v>
      </c>
      <c r="G190" s="48">
        <v>10368</v>
      </c>
      <c r="H190" s="48">
        <v>8092460.8389999997</v>
      </c>
      <c r="I190" s="48">
        <v>10370</v>
      </c>
      <c r="J190" s="48">
        <v>7937577.2010000004</v>
      </c>
    </row>
    <row r="191" spans="1:10" x14ac:dyDescent="0.2">
      <c r="A191" s="76" t="s">
        <v>143</v>
      </c>
      <c r="B191" s="101" t="s">
        <v>273</v>
      </c>
      <c r="C191" s="38" t="s">
        <v>97</v>
      </c>
      <c r="D191" s="38" t="s">
        <v>274</v>
      </c>
      <c r="E191" s="48">
        <v>113</v>
      </c>
      <c r="F191" s="48">
        <v>78399.754000000001</v>
      </c>
      <c r="G191" s="48">
        <v>113</v>
      </c>
      <c r="H191" s="48">
        <v>82182.343999999997</v>
      </c>
      <c r="I191" s="48">
        <v>113</v>
      </c>
      <c r="J191" s="48">
        <v>38985.196000000004</v>
      </c>
    </row>
    <row r="192" spans="1:10" x14ac:dyDescent="0.2">
      <c r="A192" s="76" t="s">
        <v>143</v>
      </c>
      <c r="B192" s="76" t="s">
        <v>273</v>
      </c>
      <c r="C192" s="38" t="s">
        <v>10</v>
      </c>
      <c r="D192" s="38" t="s">
        <v>274</v>
      </c>
      <c r="E192" s="48">
        <v>9535</v>
      </c>
      <c r="F192" s="48">
        <v>979034.32700000005</v>
      </c>
      <c r="G192" s="48">
        <v>9538</v>
      </c>
      <c r="H192" s="48">
        <v>895007.24100000004</v>
      </c>
      <c r="I192" s="48">
        <v>9542</v>
      </c>
      <c r="J192" s="48">
        <v>586843.78899999999</v>
      </c>
    </row>
    <row r="193" spans="1:10" x14ac:dyDescent="0.2">
      <c r="A193" s="101" t="s">
        <v>144</v>
      </c>
      <c r="B193" s="101" t="s">
        <v>98</v>
      </c>
      <c r="C193" s="38" t="s">
        <v>97</v>
      </c>
      <c r="D193" s="38" t="s">
        <v>100</v>
      </c>
      <c r="E193" s="48">
        <v>494</v>
      </c>
      <c r="F193" s="48">
        <v>1655426.6410000001</v>
      </c>
      <c r="G193" s="48">
        <v>496</v>
      </c>
      <c r="H193" s="48">
        <v>1583215.058</v>
      </c>
      <c r="I193" s="48">
        <v>496</v>
      </c>
      <c r="J193" s="48">
        <v>1638242.9750000001</v>
      </c>
    </row>
    <row r="194" spans="1:10" x14ac:dyDescent="0.2">
      <c r="A194" s="76" t="s">
        <v>144</v>
      </c>
      <c r="B194" s="76" t="s">
        <v>98</v>
      </c>
      <c r="C194" s="38" t="s">
        <v>10</v>
      </c>
      <c r="D194" s="38" t="s">
        <v>100</v>
      </c>
      <c r="E194" s="48">
        <v>8551</v>
      </c>
      <c r="F194" s="48">
        <v>7651213.6890000002</v>
      </c>
      <c r="G194" s="48">
        <v>8549</v>
      </c>
      <c r="H194" s="48">
        <v>7135416.2620000001</v>
      </c>
      <c r="I194" s="48">
        <v>8545</v>
      </c>
      <c r="J194" s="48">
        <v>7159188.3859999999</v>
      </c>
    </row>
    <row r="195" spans="1:10" x14ac:dyDescent="0.2">
      <c r="A195" s="76" t="s">
        <v>144</v>
      </c>
      <c r="B195" s="101" t="s">
        <v>273</v>
      </c>
      <c r="C195" s="38" t="s">
        <v>97</v>
      </c>
      <c r="D195" s="38" t="s">
        <v>274</v>
      </c>
      <c r="E195" s="48">
        <v>75</v>
      </c>
      <c r="F195" s="48">
        <v>68355.918999999994</v>
      </c>
      <c r="G195" s="48">
        <v>75</v>
      </c>
      <c r="H195" s="48">
        <v>54426.701999999997</v>
      </c>
      <c r="I195" s="48">
        <v>75</v>
      </c>
      <c r="J195" s="48">
        <v>34816.294999999998</v>
      </c>
    </row>
    <row r="196" spans="1:10" x14ac:dyDescent="0.2">
      <c r="A196" s="76" t="s">
        <v>144</v>
      </c>
      <c r="B196" s="76" t="s">
        <v>273</v>
      </c>
      <c r="C196" s="38" t="s">
        <v>10</v>
      </c>
      <c r="D196" s="38" t="s">
        <v>274</v>
      </c>
      <c r="E196" s="48">
        <v>7849</v>
      </c>
      <c r="F196" s="48">
        <v>858148.84100000001</v>
      </c>
      <c r="G196" s="48">
        <v>7851</v>
      </c>
      <c r="H196" s="48">
        <v>773675.84100000001</v>
      </c>
      <c r="I196" s="48">
        <v>7849</v>
      </c>
      <c r="J196" s="48">
        <v>519891.58</v>
      </c>
    </row>
    <row r="197" spans="1:10" x14ac:dyDescent="0.2">
      <c r="A197" s="101" t="s">
        <v>145</v>
      </c>
      <c r="B197" s="101" t="s">
        <v>98</v>
      </c>
      <c r="C197" s="38" t="s">
        <v>97</v>
      </c>
      <c r="D197" s="38" t="s">
        <v>100</v>
      </c>
      <c r="E197" s="48">
        <v>305</v>
      </c>
      <c r="F197" s="48">
        <v>1192934.3810000001</v>
      </c>
      <c r="G197" s="48">
        <v>304</v>
      </c>
      <c r="H197" s="48">
        <v>768226.43</v>
      </c>
      <c r="I197" s="48">
        <v>304</v>
      </c>
      <c r="J197" s="48">
        <v>847415.35</v>
      </c>
    </row>
    <row r="198" spans="1:10" x14ac:dyDescent="0.2">
      <c r="A198" s="76" t="s">
        <v>145</v>
      </c>
      <c r="B198" s="76" t="s">
        <v>98</v>
      </c>
      <c r="C198" s="38" t="s">
        <v>10</v>
      </c>
      <c r="D198" s="38" t="s">
        <v>100</v>
      </c>
      <c r="E198" s="48">
        <v>4354</v>
      </c>
      <c r="F198" s="48">
        <v>5798096.6950000003</v>
      </c>
      <c r="G198" s="48">
        <v>4354</v>
      </c>
      <c r="H198" s="48">
        <v>5099882.4519999996</v>
      </c>
      <c r="I198" s="48">
        <v>4357</v>
      </c>
      <c r="J198" s="48">
        <v>4492765.8720000004</v>
      </c>
    </row>
    <row r="199" spans="1:10" x14ac:dyDescent="0.2">
      <c r="A199" s="76" t="s">
        <v>145</v>
      </c>
      <c r="B199" s="101" t="s">
        <v>273</v>
      </c>
      <c r="C199" s="38" t="s">
        <v>97</v>
      </c>
      <c r="D199" s="38" t="s">
        <v>274</v>
      </c>
      <c r="E199" s="48">
        <v>32</v>
      </c>
      <c r="F199" s="48">
        <v>25923.291000000001</v>
      </c>
      <c r="G199" s="48">
        <v>32</v>
      </c>
      <c r="H199" s="48">
        <v>22234.437000000002</v>
      </c>
      <c r="I199" s="48">
        <v>32</v>
      </c>
      <c r="J199" s="48">
        <v>6192.0320000000002</v>
      </c>
    </row>
    <row r="200" spans="1:10" x14ac:dyDescent="0.2">
      <c r="A200" s="76" t="s">
        <v>145</v>
      </c>
      <c r="B200" s="76" t="s">
        <v>273</v>
      </c>
      <c r="C200" s="38" t="s">
        <v>10</v>
      </c>
      <c r="D200" s="38" t="s">
        <v>274</v>
      </c>
      <c r="E200" s="48">
        <v>3879</v>
      </c>
      <c r="F200" s="48">
        <v>487037.304</v>
      </c>
      <c r="G200" s="48">
        <v>3877</v>
      </c>
      <c r="H200" s="48">
        <v>418504.625</v>
      </c>
      <c r="I200" s="48">
        <v>3880</v>
      </c>
      <c r="J200" s="48">
        <v>236669.96299999999</v>
      </c>
    </row>
    <row r="201" spans="1:10" x14ac:dyDescent="0.2">
      <c r="A201" s="101" t="s">
        <v>282</v>
      </c>
      <c r="B201" s="101" t="s">
        <v>273</v>
      </c>
      <c r="C201" s="38" t="s">
        <v>97</v>
      </c>
      <c r="D201" s="38" t="s">
        <v>274</v>
      </c>
      <c r="E201" s="48">
        <v>313</v>
      </c>
      <c r="F201" s="48">
        <v>147401.19500000004</v>
      </c>
      <c r="G201" s="48">
        <v>313</v>
      </c>
      <c r="H201" s="48">
        <v>115006.643</v>
      </c>
      <c r="I201" s="48">
        <v>314</v>
      </c>
      <c r="J201" s="48">
        <v>84993.452000000005</v>
      </c>
    </row>
    <row r="202" spans="1:10" x14ac:dyDescent="0.2">
      <c r="A202" s="76" t="s">
        <v>282</v>
      </c>
      <c r="B202" s="76" t="s">
        <v>273</v>
      </c>
      <c r="C202" s="38" t="s">
        <v>10</v>
      </c>
      <c r="D202" s="38" t="s">
        <v>274</v>
      </c>
      <c r="E202" s="48">
        <v>7061</v>
      </c>
      <c r="F202" s="48">
        <v>500937.18800000002</v>
      </c>
      <c r="G202" s="48">
        <v>7050</v>
      </c>
      <c r="H202" s="48">
        <v>356145.30099999998</v>
      </c>
      <c r="I202" s="48">
        <v>7040</v>
      </c>
      <c r="J202" s="48">
        <v>216203</v>
      </c>
    </row>
    <row r="203" spans="1:10" x14ac:dyDescent="0.2">
      <c r="A203" s="101" t="s">
        <v>146</v>
      </c>
      <c r="B203" s="101" t="s">
        <v>98</v>
      </c>
      <c r="C203" s="38" t="s">
        <v>97</v>
      </c>
      <c r="D203" s="38" t="s">
        <v>100</v>
      </c>
      <c r="E203" s="48">
        <v>1561</v>
      </c>
      <c r="F203" s="48">
        <v>6808443.716</v>
      </c>
      <c r="G203" s="48">
        <v>1561</v>
      </c>
      <c r="H203" s="48">
        <v>6741180.9309999999</v>
      </c>
      <c r="I203" s="48">
        <v>1562</v>
      </c>
      <c r="J203" s="48">
        <v>4317777.2539999997</v>
      </c>
    </row>
    <row r="204" spans="1:10" x14ac:dyDescent="0.2">
      <c r="A204" s="76" t="s">
        <v>146</v>
      </c>
      <c r="B204" s="76" t="s">
        <v>98</v>
      </c>
      <c r="C204" s="38" t="s">
        <v>10</v>
      </c>
      <c r="D204" s="38" t="s">
        <v>100</v>
      </c>
      <c r="E204" s="48">
        <v>17366</v>
      </c>
      <c r="F204" s="48">
        <v>17364111.125999998</v>
      </c>
      <c r="G204" s="48">
        <v>17353</v>
      </c>
      <c r="H204" s="48">
        <v>15804173.324999999</v>
      </c>
      <c r="I204" s="48">
        <v>17367</v>
      </c>
      <c r="J204" s="48">
        <v>14038810.013</v>
      </c>
    </row>
    <row r="205" spans="1:10" x14ac:dyDescent="0.2">
      <c r="A205" s="76" t="s">
        <v>146</v>
      </c>
      <c r="B205" s="101" t="s">
        <v>273</v>
      </c>
      <c r="C205" s="38" t="s">
        <v>97</v>
      </c>
      <c r="D205" s="38" t="s">
        <v>274</v>
      </c>
      <c r="E205" s="48">
        <v>182</v>
      </c>
      <c r="F205" s="48">
        <v>143601.97200000001</v>
      </c>
      <c r="G205" s="48">
        <v>183</v>
      </c>
      <c r="H205" s="48">
        <v>117872.81999999999</v>
      </c>
      <c r="I205" s="48">
        <v>184</v>
      </c>
      <c r="J205" s="48">
        <v>39849.851000000002</v>
      </c>
    </row>
    <row r="206" spans="1:10" x14ac:dyDescent="0.2">
      <c r="A206" s="76" t="s">
        <v>146</v>
      </c>
      <c r="B206" s="76" t="s">
        <v>273</v>
      </c>
      <c r="C206" s="38" t="s">
        <v>10</v>
      </c>
      <c r="D206" s="38" t="s">
        <v>274</v>
      </c>
      <c r="E206" s="48">
        <v>9883</v>
      </c>
      <c r="F206" s="48">
        <v>816049.82400000002</v>
      </c>
      <c r="G206" s="48">
        <v>9884</v>
      </c>
      <c r="H206" s="48">
        <v>739447.89300000004</v>
      </c>
      <c r="I206" s="48">
        <v>9899</v>
      </c>
      <c r="J206" s="48">
        <v>441011.81800000003</v>
      </c>
    </row>
    <row r="207" spans="1:10" x14ac:dyDescent="0.2">
      <c r="A207" s="101" t="s">
        <v>283</v>
      </c>
      <c r="B207" s="101" t="s">
        <v>273</v>
      </c>
      <c r="C207" s="38" t="s">
        <v>97</v>
      </c>
      <c r="D207" s="38" t="s">
        <v>274</v>
      </c>
      <c r="E207" s="48">
        <v>398</v>
      </c>
      <c r="F207" s="48">
        <v>1987915.9740000002</v>
      </c>
      <c r="G207" s="48">
        <v>399</v>
      </c>
      <c r="H207" s="48">
        <v>1852178.3229999999</v>
      </c>
      <c r="I207" s="48">
        <v>399</v>
      </c>
      <c r="J207" s="48">
        <v>1487676.057</v>
      </c>
    </row>
    <row r="208" spans="1:10" x14ac:dyDescent="0.2">
      <c r="A208" s="76" t="s">
        <v>283</v>
      </c>
      <c r="B208" s="76" t="s">
        <v>273</v>
      </c>
      <c r="C208" s="38" t="s">
        <v>10</v>
      </c>
      <c r="D208" s="38" t="s">
        <v>274</v>
      </c>
      <c r="E208" s="48">
        <v>89</v>
      </c>
      <c r="F208" s="48">
        <v>1038.9280000000001</v>
      </c>
      <c r="G208" s="48">
        <v>90</v>
      </c>
      <c r="H208" s="48">
        <v>1929.761</v>
      </c>
      <c r="I208" s="48">
        <v>92</v>
      </c>
      <c r="J208" s="48">
        <v>855.19299999999998</v>
      </c>
    </row>
    <row r="209" spans="1:10" x14ac:dyDescent="0.2">
      <c r="A209" s="101" t="s">
        <v>284</v>
      </c>
      <c r="B209" s="101" t="s">
        <v>273</v>
      </c>
      <c r="C209" s="38" t="s">
        <v>97</v>
      </c>
      <c r="D209" s="38" t="s">
        <v>274</v>
      </c>
      <c r="E209" s="48">
        <v>555</v>
      </c>
      <c r="F209" s="48">
        <v>291639.891</v>
      </c>
      <c r="G209" s="48">
        <v>554</v>
      </c>
      <c r="H209" s="48">
        <v>300376</v>
      </c>
      <c r="I209" s="48">
        <v>554</v>
      </c>
      <c r="J209" s="48">
        <v>195652.80600000001</v>
      </c>
    </row>
    <row r="210" spans="1:10" x14ac:dyDescent="0.2">
      <c r="A210" s="76" t="s">
        <v>284</v>
      </c>
      <c r="B210" s="76" t="s">
        <v>273</v>
      </c>
      <c r="C210" s="38" t="s">
        <v>10</v>
      </c>
      <c r="D210" s="38" t="s">
        <v>274</v>
      </c>
      <c r="E210" s="48">
        <v>3516</v>
      </c>
      <c r="F210" s="48">
        <v>208222.36199999999</v>
      </c>
      <c r="G210" s="48">
        <v>3501</v>
      </c>
      <c r="H210" s="48">
        <v>176342.97500000001</v>
      </c>
      <c r="I210" s="48">
        <v>3497</v>
      </c>
      <c r="J210" s="48">
        <v>121708.29</v>
      </c>
    </row>
    <row r="211" spans="1:10" x14ac:dyDescent="0.2">
      <c r="A211" s="101" t="s">
        <v>285</v>
      </c>
      <c r="B211" s="101" t="s">
        <v>273</v>
      </c>
      <c r="C211" s="38" t="s">
        <v>97</v>
      </c>
      <c r="D211" s="38" t="s">
        <v>274</v>
      </c>
      <c r="E211" s="48">
        <v>995</v>
      </c>
      <c r="F211" s="48">
        <v>367225.33600000001</v>
      </c>
      <c r="G211" s="48">
        <v>996</v>
      </c>
      <c r="H211" s="48">
        <v>319886.22100000002</v>
      </c>
      <c r="I211" s="48">
        <v>996</v>
      </c>
      <c r="J211" s="48">
        <v>226075.68</v>
      </c>
    </row>
    <row r="212" spans="1:10" x14ac:dyDescent="0.2">
      <c r="A212" s="76" t="s">
        <v>285</v>
      </c>
      <c r="B212" s="76" t="s">
        <v>273</v>
      </c>
      <c r="C212" s="38" t="s">
        <v>10</v>
      </c>
      <c r="D212" s="38" t="s">
        <v>274</v>
      </c>
      <c r="E212" s="48">
        <v>12113</v>
      </c>
      <c r="F212" s="48">
        <v>666406.94999999995</v>
      </c>
      <c r="G212" s="48">
        <v>12088</v>
      </c>
      <c r="H212" s="48">
        <v>475538.924</v>
      </c>
      <c r="I212" s="48">
        <v>12087</v>
      </c>
      <c r="J212" s="48">
        <v>296618.45699999999</v>
      </c>
    </row>
    <row r="213" spans="1:10" x14ac:dyDescent="0.2">
      <c r="A213" s="101" t="s">
        <v>286</v>
      </c>
      <c r="B213" s="101" t="s">
        <v>273</v>
      </c>
      <c r="C213" s="38" t="s">
        <v>97</v>
      </c>
      <c r="D213" s="38" t="s">
        <v>274</v>
      </c>
      <c r="E213" s="48">
        <v>479</v>
      </c>
      <c r="F213" s="48">
        <v>519073.804</v>
      </c>
      <c r="G213" s="48">
        <v>478</v>
      </c>
      <c r="H213" s="48">
        <v>447541.69500000001</v>
      </c>
      <c r="I213" s="48">
        <v>477</v>
      </c>
      <c r="J213" s="48">
        <v>345494.59900000005</v>
      </c>
    </row>
    <row r="214" spans="1:10" x14ac:dyDescent="0.2">
      <c r="A214" s="76" t="s">
        <v>286</v>
      </c>
      <c r="B214" s="76" t="s">
        <v>273</v>
      </c>
      <c r="C214" s="38" t="s">
        <v>10</v>
      </c>
      <c r="D214" s="38" t="s">
        <v>274</v>
      </c>
      <c r="E214" s="48">
        <v>135</v>
      </c>
      <c r="F214" s="48">
        <v>3659.4560000000001</v>
      </c>
      <c r="G214" s="48">
        <v>136</v>
      </c>
      <c r="H214" s="48">
        <v>4582.1310000000003</v>
      </c>
      <c r="I214" s="48">
        <v>134</v>
      </c>
      <c r="J214" s="48">
        <v>2251.511</v>
      </c>
    </row>
    <row r="215" spans="1:10" x14ac:dyDescent="0.2">
      <c r="A215" s="101" t="s">
        <v>287</v>
      </c>
      <c r="B215" s="101" t="s">
        <v>273</v>
      </c>
      <c r="C215" s="38" t="s">
        <v>97</v>
      </c>
      <c r="D215" s="38" t="s">
        <v>274</v>
      </c>
      <c r="E215" s="48">
        <v>820</v>
      </c>
      <c r="F215" s="48">
        <v>658076.23100000003</v>
      </c>
      <c r="G215" s="48">
        <v>822</v>
      </c>
      <c r="H215" s="48">
        <v>600053.84899999993</v>
      </c>
      <c r="I215" s="48">
        <v>820</v>
      </c>
      <c r="J215" s="48">
        <v>465745.51199999999</v>
      </c>
    </row>
    <row r="216" spans="1:10" x14ac:dyDescent="0.2">
      <c r="A216" s="76" t="s">
        <v>287</v>
      </c>
      <c r="B216" s="76" t="s">
        <v>273</v>
      </c>
      <c r="C216" s="38" t="s">
        <v>10</v>
      </c>
      <c r="D216" s="38" t="s">
        <v>274</v>
      </c>
      <c r="E216" s="48">
        <v>6442</v>
      </c>
      <c r="F216" s="48">
        <v>470915.58899999998</v>
      </c>
      <c r="G216" s="48">
        <v>6441</v>
      </c>
      <c r="H216" s="48">
        <v>399315.72499999998</v>
      </c>
      <c r="I216" s="48">
        <v>6427</v>
      </c>
      <c r="J216" s="48">
        <v>244960.11799999999</v>
      </c>
    </row>
    <row r="217" spans="1:10" x14ac:dyDescent="0.2">
      <c r="A217" s="101" t="s">
        <v>288</v>
      </c>
      <c r="B217" s="101" t="s">
        <v>273</v>
      </c>
      <c r="C217" s="38" t="s">
        <v>97</v>
      </c>
      <c r="D217" s="38" t="s">
        <v>274</v>
      </c>
      <c r="E217" s="48">
        <v>299</v>
      </c>
      <c r="F217" s="48">
        <v>987772.95</v>
      </c>
      <c r="G217" s="48">
        <v>299</v>
      </c>
      <c r="H217" s="48">
        <v>1175257.8840000001</v>
      </c>
      <c r="I217" s="48">
        <v>299</v>
      </c>
      <c r="J217" s="48">
        <v>1158420.8940000001</v>
      </c>
    </row>
    <row r="218" spans="1:10" x14ac:dyDescent="0.2">
      <c r="A218" s="76" t="s">
        <v>288</v>
      </c>
      <c r="B218" s="76" t="s">
        <v>273</v>
      </c>
      <c r="C218" s="38" t="s">
        <v>10</v>
      </c>
      <c r="D218" s="38" t="s">
        <v>274</v>
      </c>
      <c r="E218" s="48">
        <v>4445</v>
      </c>
      <c r="F218" s="48">
        <v>234983.853</v>
      </c>
      <c r="G218" s="48">
        <v>4451</v>
      </c>
      <c r="H218" s="48">
        <v>192205.924</v>
      </c>
      <c r="I218" s="48">
        <v>4469</v>
      </c>
      <c r="J218" s="48">
        <v>107177.306</v>
      </c>
    </row>
    <row r="219" spans="1:10" x14ac:dyDescent="0.2">
      <c r="A219" s="101" t="s">
        <v>289</v>
      </c>
      <c r="B219" s="101" t="s">
        <v>273</v>
      </c>
      <c r="C219" s="38" t="s">
        <v>97</v>
      </c>
      <c r="D219" s="38" t="s">
        <v>274</v>
      </c>
      <c r="E219" s="48">
        <v>776</v>
      </c>
      <c r="F219" s="48">
        <v>360463.84399999992</v>
      </c>
      <c r="G219" s="48">
        <v>776</v>
      </c>
      <c r="H219" s="48">
        <v>289915.99699999997</v>
      </c>
      <c r="I219" s="48">
        <v>775</v>
      </c>
      <c r="J219" s="48">
        <v>187287.82199999999</v>
      </c>
    </row>
    <row r="220" spans="1:10" x14ac:dyDescent="0.2">
      <c r="A220" s="76" t="s">
        <v>289</v>
      </c>
      <c r="B220" s="76" t="s">
        <v>273</v>
      </c>
      <c r="C220" s="38" t="s">
        <v>10</v>
      </c>
      <c r="D220" s="38" t="s">
        <v>274</v>
      </c>
      <c r="E220" s="48">
        <v>5418</v>
      </c>
      <c r="F220" s="48">
        <v>249531.261</v>
      </c>
      <c r="G220" s="48">
        <v>5416</v>
      </c>
      <c r="H220" s="48">
        <v>177596.72200000001</v>
      </c>
      <c r="I220" s="48">
        <v>5425</v>
      </c>
      <c r="J220" s="48">
        <v>103774.34699999999</v>
      </c>
    </row>
    <row r="221" spans="1:10" x14ac:dyDescent="0.2">
      <c r="A221" s="101" t="s">
        <v>290</v>
      </c>
      <c r="B221" s="101" t="s">
        <v>273</v>
      </c>
      <c r="C221" s="38" t="s">
        <v>97</v>
      </c>
      <c r="D221" s="38" t="s">
        <v>274</v>
      </c>
      <c r="E221" s="48">
        <v>1331</v>
      </c>
      <c r="F221" s="48">
        <v>1736832.338</v>
      </c>
      <c r="G221" s="48">
        <v>1333</v>
      </c>
      <c r="H221" s="48">
        <v>1482119.4619999998</v>
      </c>
      <c r="I221" s="48">
        <v>1333</v>
      </c>
      <c r="J221" s="48">
        <v>1224330.504</v>
      </c>
    </row>
    <row r="222" spans="1:10" x14ac:dyDescent="0.2">
      <c r="A222" s="76" t="s">
        <v>290</v>
      </c>
      <c r="B222" s="76" t="s">
        <v>273</v>
      </c>
      <c r="C222" s="38" t="s">
        <v>10</v>
      </c>
      <c r="D222" s="38" t="s">
        <v>274</v>
      </c>
      <c r="E222" s="48">
        <v>4661</v>
      </c>
      <c r="F222" s="48">
        <v>255057.30799999999</v>
      </c>
      <c r="G222" s="48">
        <v>4658</v>
      </c>
      <c r="H222" s="48">
        <v>206031.41399999999</v>
      </c>
      <c r="I222" s="48">
        <v>4661</v>
      </c>
      <c r="J222" s="48">
        <v>119002.447</v>
      </c>
    </row>
    <row r="223" spans="1:10" x14ac:dyDescent="0.2">
      <c r="A223" s="101" t="s">
        <v>291</v>
      </c>
      <c r="B223" s="101" t="s">
        <v>273</v>
      </c>
      <c r="C223" s="38" t="s">
        <v>97</v>
      </c>
      <c r="D223" s="38" t="s">
        <v>274</v>
      </c>
      <c r="E223" s="48">
        <v>812</v>
      </c>
      <c r="F223" s="48">
        <v>902948.45600000001</v>
      </c>
      <c r="G223" s="48">
        <v>810</v>
      </c>
      <c r="H223" s="48">
        <v>777026.11699999997</v>
      </c>
      <c r="I223" s="48">
        <v>810</v>
      </c>
      <c r="J223" s="48">
        <v>521508.34600000002</v>
      </c>
    </row>
    <row r="224" spans="1:10" x14ac:dyDescent="0.2">
      <c r="A224" s="76" t="s">
        <v>291</v>
      </c>
      <c r="B224" s="76" t="s">
        <v>273</v>
      </c>
      <c r="C224" s="38" t="s">
        <v>10</v>
      </c>
      <c r="D224" s="38" t="s">
        <v>274</v>
      </c>
      <c r="E224" s="48">
        <v>3231</v>
      </c>
      <c r="F224" s="48">
        <v>179426.36300000001</v>
      </c>
      <c r="G224" s="48">
        <v>3227</v>
      </c>
      <c r="H224" s="48">
        <v>129595.569</v>
      </c>
      <c r="I224" s="48">
        <v>3235</v>
      </c>
      <c r="J224" s="48">
        <v>77134.497000000003</v>
      </c>
    </row>
    <row r="225" spans="1:10" x14ac:dyDescent="0.2">
      <c r="A225" s="101" t="s">
        <v>147</v>
      </c>
      <c r="B225" s="101" t="s">
        <v>98</v>
      </c>
      <c r="C225" s="38" t="s">
        <v>97</v>
      </c>
      <c r="D225" s="38" t="s">
        <v>100</v>
      </c>
      <c r="E225" s="48">
        <v>1792</v>
      </c>
      <c r="F225" s="48">
        <v>5655748.0860000001</v>
      </c>
      <c r="G225" s="48">
        <v>1791</v>
      </c>
      <c r="H225" s="48">
        <v>5016348.5319999997</v>
      </c>
      <c r="I225" s="48">
        <v>1789</v>
      </c>
      <c r="J225" s="48">
        <v>4726104.8229999999</v>
      </c>
    </row>
    <row r="226" spans="1:10" x14ac:dyDescent="0.2">
      <c r="A226" s="76" t="s">
        <v>147</v>
      </c>
      <c r="B226" s="76" t="s">
        <v>98</v>
      </c>
      <c r="C226" s="38" t="s">
        <v>10</v>
      </c>
      <c r="D226" s="38" t="s">
        <v>100</v>
      </c>
      <c r="E226" s="48">
        <v>11091</v>
      </c>
      <c r="F226" s="48">
        <v>16350062.454</v>
      </c>
      <c r="G226" s="48">
        <v>11094</v>
      </c>
      <c r="H226" s="48">
        <v>15558732.881999999</v>
      </c>
      <c r="I226" s="48">
        <v>11108</v>
      </c>
      <c r="J226" s="48">
        <v>11877444.278000001</v>
      </c>
    </row>
    <row r="227" spans="1:10" x14ac:dyDescent="0.2">
      <c r="A227" s="101" t="s">
        <v>292</v>
      </c>
      <c r="B227" s="101" t="s">
        <v>273</v>
      </c>
      <c r="C227" s="38" t="s">
        <v>97</v>
      </c>
      <c r="D227" s="38" t="s">
        <v>274</v>
      </c>
      <c r="E227" s="48">
        <v>343</v>
      </c>
      <c r="F227" s="48">
        <v>315867.92799999996</v>
      </c>
      <c r="G227" s="48">
        <v>341</v>
      </c>
      <c r="H227" s="48">
        <v>264209.28599999996</v>
      </c>
      <c r="I227" s="48">
        <v>339</v>
      </c>
      <c r="J227" s="48">
        <v>203557.617</v>
      </c>
    </row>
    <row r="228" spans="1:10" x14ac:dyDescent="0.2">
      <c r="A228" s="76" t="s">
        <v>292</v>
      </c>
      <c r="B228" s="76" t="s">
        <v>273</v>
      </c>
      <c r="C228" s="38" t="s">
        <v>10</v>
      </c>
      <c r="D228" s="38" t="s">
        <v>274</v>
      </c>
      <c r="E228" s="48">
        <v>6238</v>
      </c>
      <c r="F228" s="48">
        <v>601996.33799999999</v>
      </c>
      <c r="G228" s="48">
        <v>6231</v>
      </c>
      <c r="H228" s="48">
        <v>497808.41800000001</v>
      </c>
      <c r="I228" s="48">
        <v>6234</v>
      </c>
      <c r="J228" s="48">
        <v>359109.15399999998</v>
      </c>
    </row>
    <row r="229" spans="1:10" x14ac:dyDescent="0.2">
      <c r="A229" s="101" t="s">
        <v>293</v>
      </c>
      <c r="B229" s="101" t="s">
        <v>273</v>
      </c>
      <c r="C229" s="38" t="s">
        <v>97</v>
      </c>
      <c r="D229" s="38" t="s">
        <v>274</v>
      </c>
      <c r="E229" s="48">
        <v>487</v>
      </c>
      <c r="F229" s="48">
        <v>285688.03499999997</v>
      </c>
      <c r="G229" s="48">
        <v>487</v>
      </c>
      <c r="H229" s="48">
        <v>213362.69399999999</v>
      </c>
      <c r="I229" s="48">
        <v>483</v>
      </c>
      <c r="J229" s="48">
        <v>163007.19099999999</v>
      </c>
    </row>
    <row r="230" spans="1:10" x14ac:dyDescent="0.2">
      <c r="A230" s="76" t="s">
        <v>293</v>
      </c>
      <c r="B230" s="76" t="s">
        <v>273</v>
      </c>
      <c r="C230" s="38" t="s">
        <v>10</v>
      </c>
      <c r="D230" s="38" t="s">
        <v>274</v>
      </c>
      <c r="E230" s="48">
        <v>11802</v>
      </c>
      <c r="F230" s="48">
        <v>801661.05700000003</v>
      </c>
      <c r="G230" s="48">
        <v>11798</v>
      </c>
      <c r="H230" s="48">
        <v>661040.66299999994</v>
      </c>
      <c r="I230" s="48">
        <v>11780</v>
      </c>
      <c r="J230" s="48">
        <v>369288.55900000001</v>
      </c>
    </row>
    <row r="231" spans="1:10" x14ac:dyDescent="0.2">
      <c r="A231" s="101" t="s">
        <v>294</v>
      </c>
      <c r="B231" s="101" t="s">
        <v>273</v>
      </c>
      <c r="C231" s="38" t="s">
        <v>97</v>
      </c>
      <c r="D231" s="38" t="s">
        <v>274</v>
      </c>
      <c r="E231" s="48">
        <v>364</v>
      </c>
      <c r="F231" s="48">
        <v>161548.78</v>
      </c>
      <c r="G231" s="48">
        <v>362</v>
      </c>
      <c r="H231" s="48">
        <v>140840.049</v>
      </c>
      <c r="I231" s="48">
        <v>362</v>
      </c>
      <c r="J231" s="48">
        <v>99426.063000000009</v>
      </c>
    </row>
    <row r="232" spans="1:10" x14ac:dyDescent="0.2">
      <c r="A232" s="76" t="s">
        <v>294</v>
      </c>
      <c r="B232" s="76" t="s">
        <v>273</v>
      </c>
      <c r="C232" s="38" t="s">
        <v>10</v>
      </c>
      <c r="D232" s="38" t="s">
        <v>274</v>
      </c>
      <c r="E232" s="48">
        <v>6343</v>
      </c>
      <c r="F232" s="48">
        <v>384976.75900000002</v>
      </c>
      <c r="G232" s="48">
        <v>6335</v>
      </c>
      <c r="H232" s="48">
        <v>311983.31699999998</v>
      </c>
      <c r="I232" s="48">
        <v>6340</v>
      </c>
      <c r="J232" s="48">
        <v>190540.40299999999</v>
      </c>
    </row>
    <row r="233" spans="1:10" x14ac:dyDescent="0.2">
      <c r="A233" s="101" t="s">
        <v>295</v>
      </c>
      <c r="B233" s="101" t="s">
        <v>273</v>
      </c>
      <c r="C233" s="38" t="s">
        <v>97</v>
      </c>
      <c r="D233" s="38" t="s">
        <v>274</v>
      </c>
      <c r="E233" s="48">
        <v>250</v>
      </c>
      <c r="F233" s="48">
        <v>120297.723</v>
      </c>
      <c r="G233" s="48">
        <v>252</v>
      </c>
      <c r="H233" s="48">
        <v>98169.659</v>
      </c>
      <c r="I233" s="48">
        <v>251</v>
      </c>
      <c r="J233" s="48">
        <v>61424.55</v>
      </c>
    </row>
    <row r="234" spans="1:10" x14ac:dyDescent="0.2">
      <c r="A234" s="76" t="s">
        <v>295</v>
      </c>
      <c r="B234" s="76" t="s">
        <v>273</v>
      </c>
      <c r="C234" s="38" t="s">
        <v>10</v>
      </c>
      <c r="D234" s="38" t="s">
        <v>274</v>
      </c>
      <c r="E234" s="48">
        <v>9563</v>
      </c>
      <c r="F234" s="48">
        <v>540836.348</v>
      </c>
      <c r="G234" s="48">
        <v>9566</v>
      </c>
      <c r="H234" s="48">
        <v>404971.10700000002</v>
      </c>
      <c r="I234" s="48">
        <v>9569</v>
      </c>
      <c r="J234" s="48">
        <v>232736.35200000001</v>
      </c>
    </row>
    <row r="235" spans="1:10" x14ac:dyDescent="0.2">
      <c r="A235" s="101" t="s">
        <v>296</v>
      </c>
      <c r="B235" s="101" t="s">
        <v>273</v>
      </c>
      <c r="C235" s="38" t="s">
        <v>97</v>
      </c>
      <c r="D235" s="38" t="s">
        <v>274</v>
      </c>
      <c r="E235" s="48">
        <v>513</v>
      </c>
      <c r="F235" s="48">
        <v>253880.27399999998</v>
      </c>
      <c r="G235" s="48">
        <v>513</v>
      </c>
      <c r="H235" s="48">
        <v>211257.13100000002</v>
      </c>
      <c r="I235" s="48">
        <v>514</v>
      </c>
      <c r="J235" s="48">
        <v>159989.46</v>
      </c>
    </row>
    <row r="236" spans="1:10" x14ac:dyDescent="0.2">
      <c r="A236" s="76" t="s">
        <v>296</v>
      </c>
      <c r="B236" s="76" t="s">
        <v>273</v>
      </c>
      <c r="C236" s="38" t="s">
        <v>10</v>
      </c>
      <c r="D236" s="38" t="s">
        <v>274</v>
      </c>
      <c r="E236" s="48">
        <v>8979</v>
      </c>
      <c r="F236" s="48">
        <v>558535.11899999995</v>
      </c>
      <c r="G236" s="48">
        <v>8989</v>
      </c>
      <c r="H236" s="48">
        <v>384072.82900000003</v>
      </c>
      <c r="I236" s="48">
        <v>8998</v>
      </c>
      <c r="J236" s="48">
        <v>227157.96100000001</v>
      </c>
    </row>
    <row r="237" spans="1:10" x14ac:dyDescent="0.2">
      <c r="A237" s="101" t="s">
        <v>297</v>
      </c>
      <c r="B237" s="101" t="s">
        <v>273</v>
      </c>
      <c r="C237" s="38" t="s">
        <v>97</v>
      </c>
      <c r="D237" s="38" t="s">
        <v>274</v>
      </c>
      <c r="E237" s="48">
        <v>478</v>
      </c>
      <c r="F237" s="48">
        <v>369794.967</v>
      </c>
      <c r="G237" s="48">
        <v>480</v>
      </c>
      <c r="H237" s="48">
        <v>268263.78399999999</v>
      </c>
      <c r="I237" s="48">
        <v>478</v>
      </c>
      <c r="J237" s="48">
        <v>178561.04300000001</v>
      </c>
    </row>
    <row r="238" spans="1:10" x14ac:dyDescent="0.2">
      <c r="A238" s="76" t="s">
        <v>297</v>
      </c>
      <c r="B238" s="76" t="s">
        <v>273</v>
      </c>
      <c r="C238" s="38" t="s">
        <v>10</v>
      </c>
      <c r="D238" s="38" t="s">
        <v>274</v>
      </c>
      <c r="E238" s="48">
        <v>4509</v>
      </c>
      <c r="F238" s="48">
        <v>277071.38900000002</v>
      </c>
      <c r="G238" s="48">
        <v>4506</v>
      </c>
      <c r="H238" s="48">
        <v>190299.522</v>
      </c>
      <c r="I238" s="48">
        <v>4510</v>
      </c>
      <c r="J238" s="48">
        <v>117148.10799999999</v>
      </c>
    </row>
    <row r="239" spans="1:10" x14ac:dyDescent="0.2">
      <c r="A239" s="101" t="s">
        <v>298</v>
      </c>
      <c r="B239" s="101" t="s">
        <v>273</v>
      </c>
      <c r="C239" s="38" t="s">
        <v>97</v>
      </c>
      <c r="D239" s="38" t="s">
        <v>274</v>
      </c>
      <c r="E239" s="48">
        <v>398</v>
      </c>
      <c r="F239" s="48">
        <v>414169.098</v>
      </c>
      <c r="G239" s="48">
        <v>398</v>
      </c>
      <c r="H239" s="48">
        <v>399077.554</v>
      </c>
      <c r="I239" s="48">
        <v>400</v>
      </c>
      <c r="J239" s="48">
        <v>231374.75700000001</v>
      </c>
    </row>
    <row r="240" spans="1:10" x14ac:dyDescent="0.2">
      <c r="A240" s="76" t="s">
        <v>298</v>
      </c>
      <c r="B240" s="76" t="s">
        <v>273</v>
      </c>
      <c r="C240" s="38" t="s">
        <v>10</v>
      </c>
      <c r="D240" s="38" t="s">
        <v>274</v>
      </c>
      <c r="E240" s="48">
        <v>353</v>
      </c>
      <c r="F240" s="48">
        <v>6196.7</v>
      </c>
      <c r="G240" s="48">
        <v>353</v>
      </c>
      <c r="H240" s="48">
        <v>14874.093000000001</v>
      </c>
      <c r="I240" s="48">
        <v>351</v>
      </c>
      <c r="J240" s="48">
        <v>4625.0990000000002</v>
      </c>
    </row>
    <row r="241" spans="1:10" x14ac:dyDescent="0.2">
      <c r="A241" s="101" t="s">
        <v>299</v>
      </c>
      <c r="B241" s="101" t="s">
        <v>273</v>
      </c>
      <c r="C241" s="38" t="s">
        <v>97</v>
      </c>
      <c r="D241" s="38" t="s">
        <v>274</v>
      </c>
      <c r="E241" s="48">
        <v>842</v>
      </c>
      <c r="F241" s="48">
        <v>595889.76</v>
      </c>
      <c r="G241" s="48">
        <v>838</v>
      </c>
      <c r="H241" s="48">
        <v>509596.64400000003</v>
      </c>
      <c r="I241" s="48">
        <v>842</v>
      </c>
      <c r="J241" s="48">
        <v>403231.24299999996</v>
      </c>
    </row>
    <row r="242" spans="1:10" x14ac:dyDescent="0.2">
      <c r="A242" s="76" t="s">
        <v>299</v>
      </c>
      <c r="B242" s="76" t="s">
        <v>273</v>
      </c>
      <c r="C242" s="38" t="s">
        <v>10</v>
      </c>
      <c r="D242" s="38" t="s">
        <v>274</v>
      </c>
      <c r="E242" s="48">
        <v>7138</v>
      </c>
      <c r="F242" s="48">
        <v>405501.08</v>
      </c>
      <c r="G242" s="48">
        <v>7153</v>
      </c>
      <c r="H242" s="48">
        <v>373287.46799999999</v>
      </c>
      <c r="I242" s="48">
        <v>7164</v>
      </c>
      <c r="J242" s="48">
        <v>241176.82</v>
      </c>
    </row>
    <row r="243" spans="1:10" x14ac:dyDescent="0.2">
      <c r="A243" s="101" t="s">
        <v>300</v>
      </c>
      <c r="B243" s="101" t="s">
        <v>273</v>
      </c>
      <c r="C243" s="38" t="s">
        <v>97</v>
      </c>
      <c r="D243" s="38" t="s">
        <v>274</v>
      </c>
      <c r="E243" s="48">
        <v>386</v>
      </c>
      <c r="F243" s="48">
        <v>219751.29</v>
      </c>
      <c r="G243" s="48">
        <v>386</v>
      </c>
      <c r="H243" s="48">
        <v>183224.383</v>
      </c>
      <c r="I243" s="48">
        <v>383</v>
      </c>
      <c r="J243" s="48">
        <v>138548.375</v>
      </c>
    </row>
    <row r="244" spans="1:10" x14ac:dyDescent="0.2">
      <c r="A244" s="76" t="s">
        <v>300</v>
      </c>
      <c r="B244" s="76" t="s">
        <v>273</v>
      </c>
      <c r="C244" s="38" t="s">
        <v>10</v>
      </c>
      <c r="D244" s="38" t="s">
        <v>274</v>
      </c>
      <c r="E244" s="48">
        <v>6263</v>
      </c>
      <c r="F244" s="48">
        <v>438461.15399999998</v>
      </c>
      <c r="G244" s="48">
        <v>6257</v>
      </c>
      <c r="H244" s="48">
        <v>357618.60499999998</v>
      </c>
      <c r="I244" s="48">
        <v>6251</v>
      </c>
      <c r="J244" s="48">
        <v>201947.905</v>
      </c>
    </row>
    <row r="245" spans="1:10" x14ac:dyDescent="0.2">
      <c r="A245" s="101" t="s">
        <v>301</v>
      </c>
      <c r="B245" s="101" t="s">
        <v>273</v>
      </c>
      <c r="C245" s="38" t="s">
        <v>97</v>
      </c>
      <c r="D245" s="38" t="s">
        <v>274</v>
      </c>
      <c r="E245" s="48">
        <v>197</v>
      </c>
      <c r="F245" s="48">
        <v>137006.97200000001</v>
      </c>
      <c r="G245" s="48">
        <v>197</v>
      </c>
      <c r="H245" s="48">
        <v>99087.539000000004</v>
      </c>
      <c r="I245" s="48">
        <v>196</v>
      </c>
      <c r="J245" s="48">
        <v>69642.233000000007</v>
      </c>
    </row>
    <row r="246" spans="1:10" x14ac:dyDescent="0.2">
      <c r="A246" s="76" t="s">
        <v>301</v>
      </c>
      <c r="B246" s="76" t="s">
        <v>273</v>
      </c>
      <c r="C246" s="38" t="s">
        <v>10</v>
      </c>
      <c r="D246" s="38" t="s">
        <v>274</v>
      </c>
      <c r="E246" s="48">
        <v>5213</v>
      </c>
      <c r="F246" s="48">
        <v>288964.41399999999</v>
      </c>
      <c r="G246" s="48">
        <v>5218</v>
      </c>
      <c r="H246" s="48">
        <v>220287.258</v>
      </c>
      <c r="I246" s="48">
        <v>5212</v>
      </c>
      <c r="J246" s="48">
        <v>131446.052</v>
      </c>
    </row>
    <row r="247" spans="1:10" x14ac:dyDescent="0.2">
      <c r="A247" s="101" t="s">
        <v>302</v>
      </c>
      <c r="B247" s="101" t="s">
        <v>273</v>
      </c>
      <c r="C247" s="38" t="s">
        <v>97</v>
      </c>
      <c r="D247" s="38" t="s">
        <v>274</v>
      </c>
      <c r="E247" s="48">
        <v>697</v>
      </c>
      <c r="F247" s="48">
        <v>543384.99199999997</v>
      </c>
      <c r="G247" s="48">
        <v>699</v>
      </c>
      <c r="H247" s="48">
        <v>442201.98099999997</v>
      </c>
      <c r="I247" s="48">
        <v>694</v>
      </c>
      <c r="J247" s="48">
        <v>280797.53100000002</v>
      </c>
    </row>
    <row r="248" spans="1:10" x14ac:dyDescent="0.2">
      <c r="A248" s="76" t="s">
        <v>302</v>
      </c>
      <c r="B248" s="76" t="s">
        <v>273</v>
      </c>
      <c r="C248" s="38" t="s">
        <v>10</v>
      </c>
      <c r="D248" s="38" t="s">
        <v>274</v>
      </c>
      <c r="E248" s="48">
        <v>8187</v>
      </c>
      <c r="F248" s="48">
        <v>561416.07799999998</v>
      </c>
      <c r="G248" s="48">
        <v>8175</v>
      </c>
      <c r="H248" s="48">
        <v>451603.05099999998</v>
      </c>
      <c r="I248" s="48">
        <v>8153</v>
      </c>
      <c r="J248" s="48">
        <v>248915.30100000001</v>
      </c>
    </row>
    <row r="249" spans="1:10" x14ac:dyDescent="0.2">
      <c r="A249" s="101" t="s">
        <v>303</v>
      </c>
      <c r="B249" s="101" t="s">
        <v>273</v>
      </c>
      <c r="C249" s="38" t="s">
        <v>97</v>
      </c>
      <c r="D249" s="38" t="s">
        <v>274</v>
      </c>
      <c r="E249" s="48">
        <v>770</v>
      </c>
      <c r="F249" s="48">
        <v>2882987.1740000001</v>
      </c>
      <c r="G249" s="48">
        <v>772</v>
      </c>
      <c r="H249" s="48">
        <v>3898876.517</v>
      </c>
      <c r="I249" s="48">
        <v>771</v>
      </c>
      <c r="J249" s="48">
        <v>3253573.912</v>
      </c>
    </row>
    <row r="250" spans="1:10" x14ac:dyDescent="0.2">
      <c r="A250" s="76" t="s">
        <v>303</v>
      </c>
      <c r="B250" s="76" t="s">
        <v>273</v>
      </c>
      <c r="C250" s="38" t="s">
        <v>10</v>
      </c>
      <c r="D250" s="38" t="s">
        <v>274</v>
      </c>
      <c r="E250" s="48">
        <v>51</v>
      </c>
      <c r="F250" s="48">
        <v>1601.3810000000001</v>
      </c>
      <c r="G250" s="48">
        <v>43</v>
      </c>
      <c r="H250" s="48">
        <v>2384.0940000000001</v>
      </c>
      <c r="I250" s="48">
        <v>42</v>
      </c>
      <c r="J250" s="48">
        <v>1127.4349999999999</v>
      </c>
    </row>
    <row r="251" spans="1:10" x14ac:dyDescent="0.2">
      <c r="A251" s="101" t="s">
        <v>304</v>
      </c>
      <c r="B251" s="101" t="s">
        <v>273</v>
      </c>
      <c r="C251" s="38" t="s">
        <v>97</v>
      </c>
      <c r="D251" s="38" t="s">
        <v>274</v>
      </c>
      <c r="E251" s="48">
        <v>93</v>
      </c>
      <c r="F251" s="48">
        <v>49902.368000000002</v>
      </c>
      <c r="G251" s="48">
        <v>93</v>
      </c>
      <c r="H251" s="48">
        <v>31377.624</v>
      </c>
      <c r="I251" s="48">
        <v>93</v>
      </c>
      <c r="J251" s="48">
        <v>22990.586000000003</v>
      </c>
    </row>
    <row r="252" spans="1:10" x14ac:dyDescent="0.2">
      <c r="A252" s="76" t="s">
        <v>304</v>
      </c>
      <c r="B252" s="76" t="s">
        <v>273</v>
      </c>
      <c r="C252" s="38" t="s">
        <v>10</v>
      </c>
      <c r="D252" s="38" t="s">
        <v>274</v>
      </c>
      <c r="E252" s="48">
        <v>4607</v>
      </c>
      <c r="F252" s="48">
        <v>300220.93300000002</v>
      </c>
      <c r="G252" s="48">
        <v>4616</v>
      </c>
      <c r="H252" s="48">
        <v>232750.481</v>
      </c>
      <c r="I252" s="48">
        <v>4620</v>
      </c>
      <c r="J252" s="48">
        <v>127630.448</v>
      </c>
    </row>
    <row r="253" spans="1:10" x14ac:dyDescent="0.2">
      <c r="A253" s="101" t="s">
        <v>305</v>
      </c>
      <c r="B253" s="101" t="s">
        <v>273</v>
      </c>
      <c r="C253" s="38" t="s">
        <v>97</v>
      </c>
      <c r="D253" s="38" t="s">
        <v>274</v>
      </c>
      <c r="E253" s="48">
        <v>487</v>
      </c>
      <c r="F253" s="48">
        <v>275832.80699999997</v>
      </c>
      <c r="G253" s="48">
        <v>488</v>
      </c>
      <c r="H253" s="48">
        <v>243733.17499999999</v>
      </c>
      <c r="I253" s="48">
        <v>483</v>
      </c>
      <c r="J253" s="48">
        <v>198607.35799999998</v>
      </c>
    </row>
    <row r="254" spans="1:10" x14ac:dyDescent="0.2">
      <c r="A254" s="76" t="s">
        <v>305</v>
      </c>
      <c r="B254" s="76" t="s">
        <v>273</v>
      </c>
      <c r="C254" s="38" t="s">
        <v>10</v>
      </c>
      <c r="D254" s="38" t="s">
        <v>274</v>
      </c>
      <c r="E254" s="48">
        <v>6910</v>
      </c>
      <c r="F254" s="48">
        <v>428997.16899999999</v>
      </c>
      <c r="G254" s="48">
        <v>6913</v>
      </c>
      <c r="H254" s="48">
        <v>379822.99599999998</v>
      </c>
      <c r="I254" s="48">
        <v>6910</v>
      </c>
      <c r="J254" s="48">
        <v>241698.85</v>
      </c>
    </row>
    <row r="255" spans="1:10" x14ac:dyDescent="0.2">
      <c r="A255" s="101" t="s">
        <v>306</v>
      </c>
      <c r="B255" s="101" t="s">
        <v>273</v>
      </c>
      <c r="C255" s="38" t="s">
        <v>97</v>
      </c>
      <c r="D255" s="38" t="s">
        <v>274</v>
      </c>
      <c r="E255" s="48">
        <v>156</v>
      </c>
      <c r="F255" s="48">
        <v>85224.967000000004</v>
      </c>
      <c r="G255" s="48">
        <v>157</v>
      </c>
      <c r="H255" s="48">
        <v>69167.606</v>
      </c>
      <c r="I255" s="48">
        <v>157</v>
      </c>
      <c r="J255" s="48">
        <v>47984.564000000006</v>
      </c>
    </row>
    <row r="256" spans="1:10" x14ac:dyDescent="0.2">
      <c r="A256" s="76" t="s">
        <v>306</v>
      </c>
      <c r="B256" s="76" t="s">
        <v>273</v>
      </c>
      <c r="C256" s="38" t="s">
        <v>10</v>
      </c>
      <c r="D256" s="38" t="s">
        <v>274</v>
      </c>
      <c r="E256" s="48">
        <v>4922</v>
      </c>
      <c r="F256" s="48">
        <v>328384.20500000002</v>
      </c>
      <c r="G256" s="48">
        <v>4924</v>
      </c>
      <c r="H256" s="48">
        <v>245046.37400000001</v>
      </c>
      <c r="I256" s="48">
        <v>4925</v>
      </c>
      <c r="J256" s="48">
        <v>135074.79800000001</v>
      </c>
    </row>
    <row r="257" spans="1:10" x14ac:dyDescent="0.2">
      <c r="A257" s="101" t="s">
        <v>148</v>
      </c>
      <c r="B257" s="101" t="s">
        <v>98</v>
      </c>
      <c r="C257" s="38" t="s">
        <v>97</v>
      </c>
      <c r="D257" s="38" t="s">
        <v>100</v>
      </c>
      <c r="E257" s="48">
        <v>504</v>
      </c>
      <c r="F257" s="48">
        <v>2417547.767</v>
      </c>
      <c r="G257" s="48">
        <v>501</v>
      </c>
      <c r="H257" s="48">
        <v>2009585.91</v>
      </c>
      <c r="I257" s="48">
        <v>503</v>
      </c>
      <c r="J257" s="48">
        <v>2121545.1809999999</v>
      </c>
    </row>
    <row r="258" spans="1:10" x14ac:dyDescent="0.2">
      <c r="A258" s="76" t="s">
        <v>148</v>
      </c>
      <c r="B258" s="76" t="s">
        <v>98</v>
      </c>
      <c r="C258" s="38" t="s">
        <v>10</v>
      </c>
      <c r="D258" s="38" t="s">
        <v>100</v>
      </c>
      <c r="E258" s="48">
        <v>2867</v>
      </c>
      <c r="F258" s="48">
        <v>2292092.125</v>
      </c>
      <c r="G258" s="48">
        <v>2865</v>
      </c>
      <c r="H258" s="48">
        <v>1957773.544</v>
      </c>
      <c r="I258" s="48">
        <v>2863</v>
      </c>
      <c r="J258" s="48">
        <v>1852594.6470000001</v>
      </c>
    </row>
    <row r="259" spans="1:10" x14ac:dyDescent="0.2">
      <c r="A259" s="76" t="s">
        <v>148</v>
      </c>
      <c r="B259" s="101" t="s">
        <v>273</v>
      </c>
      <c r="C259" s="38" t="s">
        <v>97</v>
      </c>
      <c r="D259" s="38" t="s">
        <v>274</v>
      </c>
      <c r="E259" s="48">
        <v>361</v>
      </c>
      <c r="F259" s="48">
        <v>110076.144</v>
      </c>
      <c r="G259" s="48">
        <v>358</v>
      </c>
      <c r="H259" s="48">
        <v>80203.771999999997</v>
      </c>
      <c r="I259" s="48">
        <v>357</v>
      </c>
      <c r="J259" s="48">
        <v>55141.409</v>
      </c>
    </row>
    <row r="260" spans="1:10" x14ac:dyDescent="0.2">
      <c r="A260" s="76" t="s">
        <v>148</v>
      </c>
      <c r="B260" s="76" t="s">
        <v>273</v>
      </c>
      <c r="C260" s="38" t="s">
        <v>10</v>
      </c>
      <c r="D260" s="38" t="s">
        <v>274</v>
      </c>
      <c r="E260" s="48">
        <v>1472</v>
      </c>
      <c r="F260" s="48">
        <v>101772.031</v>
      </c>
      <c r="G260" s="48">
        <v>1469</v>
      </c>
      <c r="H260" s="48">
        <v>72157.563999999998</v>
      </c>
      <c r="I260" s="48">
        <v>1468</v>
      </c>
      <c r="J260" s="48">
        <v>41489.485000000001</v>
      </c>
    </row>
    <row r="261" spans="1:10" x14ac:dyDescent="0.2">
      <c r="A261" s="38" t="s">
        <v>307</v>
      </c>
      <c r="B261" s="38" t="s">
        <v>273</v>
      </c>
      <c r="C261" s="38" t="s">
        <v>97</v>
      </c>
      <c r="D261" s="38" t="s">
        <v>274</v>
      </c>
      <c r="E261" s="48">
        <v>5</v>
      </c>
      <c r="F261" s="48">
        <v>6366.6459999999997</v>
      </c>
      <c r="G261" s="48">
        <v>5</v>
      </c>
      <c r="H261" s="48">
        <v>10851.257</v>
      </c>
      <c r="I261" s="48">
        <v>5</v>
      </c>
      <c r="J261" s="48">
        <v>1704.9259999999999</v>
      </c>
    </row>
    <row r="262" spans="1:10" x14ac:dyDescent="0.2">
      <c r="A262" s="101" t="s">
        <v>149</v>
      </c>
      <c r="B262" s="101" t="s">
        <v>98</v>
      </c>
      <c r="C262" s="38" t="s">
        <v>97</v>
      </c>
      <c r="D262" s="38" t="s">
        <v>100</v>
      </c>
      <c r="E262" s="48">
        <v>6</v>
      </c>
      <c r="F262" s="48">
        <v>7209.2669999999998</v>
      </c>
      <c r="G262" s="48">
        <v>6</v>
      </c>
      <c r="H262" s="48">
        <v>7275.7330000000002</v>
      </c>
      <c r="I262" s="48">
        <v>6</v>
      </c>
      <c r="J262" s="48">
        <v>7314</v>
      </c>
    </row>
    <row r="263" spans="1:10" x14ac:dyDescent="0.2">
      <c r="A263" s="76" t="s">
        <v>149</v>
      </c>
      <c r="B263" s="76" t="s">
        <v>98</v>
      </c>
      <c r="C263" s="38" t="s">
        <v>10</v>
      </c>
      <c r="D263" s="38" t="s">
        <v>100</v>
      </c>
      <c r="E263" s="48">
        <v>81</v>
      </c>
      <c r="F263" s="48">
        <v>66775</v>
      </c>
      <c r="G263" s="48">
        <v>81</v>
      </c>
      <c r="H263" s="48">
        <v>60855</v>
      </c>
      <c r="I263" s="48">
        <v>81</v>
      </c>
      <c r="J263" s="48">
        <v>59136</v>
      </c>
    </row>
    <row r="264" spans="1:10" x14ac:dyDescent="0.2">
      <c r="A264" s="76" t="s">
        <v>149</v>
      </c>
      <c r="B264" s="101" t="s">
        <v>273</v>
      </c>
      <c r="C264" s="38" t="s">
        <v>97</v>
      </c>
      <c r="D264" s="38" t="s">
        <v>274</v>
      </c>
      <c r="E264" s="48">
        <v>285</v>
      </c>
      <c r="F264" s="48">
        <v>213186.62699999998</v>
      </c>
      <c r="G264" s="48">
        <v>284</v>
      </c>
      <c r="H264" s="48">
        <v>204079.57199999999</v>
      </c>
      <c r="I264" s="48">
        <v>286</v>
      </c>
      <c r="J264" s="48">
        <v>130665.29700000001</v>
      </c>
    </row>
    <row r="265" spans="1:10" x14ac:dyDescent="0.2">
      <c r="A265" s="76" t="s">
        <v>149</v>
      </c>
      <c r="B265" s="76" t="s">
        <v>273</v>
      </c>
      <c r="C265" s="38" t="s">
        <v>10</v>
      </c>
      <c r="D265" s="38" t="s">
        <v>274</v>
      </c>
      <c r="E265" s="48">
        <v>7344</v>
      </c>
      <c r="F265" s="48">
        <v>573092.81799999997</v>
      </c>
      <c r="G265" s="48">
        <v>7351</v>
      </c>
      <c r="H265" s="48">
        <v>467605.02</v>
      </c>
      <c r="I265" s="48">
        <v>7359</v>
      </c>
      <c r="J265" s="48">
        <v>274370.40000000002</v>
      </c>
    </row>
    <row r="266" spans="1:10" x14ac:dyDescent="0.2">
      <c r="A266" s="101" t="s">
        <v>150</v>
      </c>
      <c r="B266" s="38" t="s">
        <v>98</v>
      </c>
      <c r="C266" s="38" t="s">
        <v>97</v>
      </c>
      <c r="D266" s="38" t="s">
        <v>100</v>
      </c>
      <c r="E266" s="48">
        <v>2</v>
      </c>
      <c r="F266" s="48">
        <v>37080</v>
      </c>
      <c r="G266" s="48">
        <v>2</v>
      </c>
      <c r="H266" s="48">
        <v>12560</v>
      </c>
      <c r="I266" s="48">
        <v>2</v>
      </c>
      <c r="J266" s="48">
        <v>377620</v>
      </c>
    </row>
    <row r="267" spans="1:10" x14ac:dyDescent="0.2">
      <c r="A267" s="76" t="s">
        <v>150</v>
      </c>
      <c r="B267" s="38" t="s">
        <v>273</v>
      </c>
      <c r="C267" s="38" t="s">
        <v>97</v>
      </c>
      <c r="D267" s="38" t="s">
        <v>274</v>
      </c>
      <c r="E267" s="48">
        <v>37</v>
      </c>
      <c r="F267" s="48">
        <v>401012.56300000002</v>
      </c>
      <c r="G267" s="48">
        <v>37</v>
      </c>
      <c r="H267" s="48">
        <v>394362.50399999996</v>
      </c>
      <c r="I267" s="48">
        <v>37</v>
      </c>
      <c r="J267" s="48">
        <v>266592.09399999998</v>
      </c>
    </row>
    <row r="268" spans="1:10" x14ac:dyDescent="0.2">
      <c r="A268" s="38" t="s">
        <v>308</v>
      </c>
      <c r="B268" s="38" t="s">
        <v>273</v>
      </c>
      <c r="C268" s="38" t="s">
        <v>97</v>
      </c>
      <c r="D268" s="38" t="s">
        <v>274</v>
      </c>
      <c r="E268" s="48">
        <v>1</v>
      </c>
      <c r="F268" s="48">
        <v>4692.0190000000002</v>
      </c>
      <c r="G268" s="48">
        <v>1</v>
      </c>
      <c r="H268" s="48">
        <v>3706.9270000000001</v>
      </c>
      <c r="I268" s="48">
        <v>1</v>
      </c>
      <c r="J268" s="48">
        <v>2211.085</v>
      </c>
    </row>
    <row r="269" spans="1:10" x14ac:dyDescent="0.2">
      <c r="A269" s="101" t="s">
        <v>151</v>
      </c>
      <c r="B269" s="101" t="s">
        <v>98</v>
      </c>
      <c r="C269" s="38" t="s">
        <v>97</v>
      </c>
      <c r="D269" s="38" t="s">
        <v>100</v>
      </c>
      <c r="E269" s="48">
        <v>82</v>
      </c>
      <c r="F269" s="48">
        <v>465320.73300000001</v>
      </c>
      <c r="G269" s="48">
        <v>82</v>
      </c>
      <c r="H269" s="48">
        <v>413990.3</v>
      </c>
      <c r="I269" s="48">
        <v>83</v>
      </c>
      <c r="J269" s="48">
        <v>554436</v>
      </c>
    </row>
    <row r="270" spans="1:10" x14ac:dyDescent="0.2">
      <c r="A270" s="76" t="s">
        <v>151</v>
      </c>
      <c r="B270" s="76" t="s">
        <v>98</v>
      </c>
      <c r="C270" s="38" t="s">
        <v>10</v>
      </c>
      <c r="D270" s="38" t="s">
        <v>100</v>
      </c>
      <c r="E270" s="48">
        <v>2294</v>
      </c>
      <c r="F270" s="48">
        <v>2282243.784</v>
      </c>
      <c r="G270" s="48">
        <v>2293</v>
      </c>
      <c r="H270" s="48">
        <v>1949849.8910000001</v>
      </c>
      <c r="I270" s="48">
        <v>2293</v>
      </c>
      <c r="J270" s="48">
        <v>1930868.2549999999</v>
      </c>
    </row>
    <row r="271" spans="1:10" x14ac:dyDescent="0.2">
      <c r="A271" s="76" t="s">
        <v>151</v>
      </c>
      <c r="B271" s="101" t="s">
        <v>273</v>
      </c>
      <c r="C271" s="38" t="s">
        <v>97</v>
      </c>
      <c r="D271" s="38" t="s">
        <v>274</v>
      </c>
      <c r="E271" s="48">
        <v>447</v>
      </c>
      <c r="F271" s="48">
        <v>161095.08499999999</v>
      </c>
      <c r="G271" s="48">
        <v>447</v>
      </c>
      <c r="H271" s="48">
        <v>137949.22399999999</v>
      </c>
      <c r="I271" s="48">
        <v>446</v>
      </c>
      <c r="J271" s="48">
        <v>93554.447000000015</v>
      </c>
    </row>
    <row r="272" spans="1:10" x14ac:dyDescent="0.2">
      <c r="A272" s="76" t="s">
        <v>151</v>
      </c>
      <c r="B272" s="76" t="s">
        <v>273</v>
      </c>
      <c r="C272" s="38" t="s">
        <v>10</v>
      </c>
      <c r="D272" s="38" t="s">
        <v>274</v>
      </c>
      <c r="E272" s="48">
        <v>5406</v>
      </c>
      <c r="F272" s="48">
        <v>433769.38500000001</v>
      </c>
      <c r="G272" s="48">
        <v>5407</v>
      </c>
      <c r="H272" s="48">
        <v>294788.72899999999</v>
      </c>
      <c r="I272" s="48">
        <v>5406</v>
      </c>
      <c r="J272" s="48">
        <v>178125.731</v>
      </c>
    </row>
    <row r="273" spans="1:10" x14ac:dyDescent="0.2">
      <c r="A273" s="101" t="s">
        <v>152</v>
      </c>
      <c r="B273" s="101" t="s">
        <v>98</v>
      </c>
      <c r="C273" s="38" t="s">
        <v>97</v>
      </c>
      <c r="D273" s="38" t="s">
        <v>100</v>
      </c>
      <c r="E273" s="48">
        <v>232</v>
      </c>
      <c r="F273" s="48">
        <v>786581</v>
      </c>
      <c r="G273" s="48">
        <v>232</v>
      </c>
      <c r="H273" s="48">
        <v>578427</v>
      </c>
      <c r="I273" s="48">
        <v>231</v>
      </c>
      <c r="J273" s="48">
        <v>561473</v>
      </c>
    </row>
    <row r="274" spans="1:10" x14ac:dyDescent="0.2">
      <c r="A274" s="76" t="s">
        <v>152</v>
      </c>
      <c r="B274" s="76" t="s">
        <v>98</v>
      </c>
      <c r="C274" s="38" t="s">
        <v>10</v>
      </c>
      <c r="D274" s="38" t="s">
        <v>100</v>
      </c>
      <c r="E274" s="48">
        <v>525</v>
      </c>
      <c r="F274" s="48">
        <v>503881.27399999998</v>
      </c>
      <c r="G274" s="48">
        <v>524</v>
      </c>
      <c r="H274" s="48">
        <v>386237.53499999997</v>
      </c>
      <c r="I274" s="48">
        <v>525</v>
      </c>
      <c r="J274" s="48">
        <v>346328.53600000002</v>
      </c>
    </row>
    <row r="275" spans="1:10" x14ac:dyDescent="0.2">
      <c r="A275" s="76" t="s">
        <v>152</v>
      </c>
      <c r="B275" s="101" t="s">
        <v>273</v>
      </c>
      <c r="C275" s="38" t="s">
        <v>97</v>
      </c>
      <c r="D275" s="38" t="s">
        <v>274</v>
      </c>
      <c r="E275" s="48">
        <v>554</v>
      </c>
      <c r="F275" s="48">
        <v>320752.652</v>
      </c>
      <c r="G275" s="48">
        <v>555</v>
      </c>
      <c r="H275" s="48">
        <v>234464.84</v>
      </c>
      <c r="I275" s="48">
        <v>551</v>
      </c>
      <c r="J275" s="48">
        <v>203926.30100000001</v>
      </c>
    </row>
    <row r="276" spans="1:10" x14ac:dyDescent="0.2">
      <c r="A276" s="76" t="s">
        <v>152</v>
      </c>
      <c r="B276" s="76" t="s">
        <v>273</v>
      </c>
      <c r="C276" s="38" t="s">
        <v>10</v>
      </c>
      <c r="D276" s="38" t="s">
        <v>274</v>
      </c>
      <c r="E276" s="48">
        <v>5042</v>
      </c>
      <c r="F276" s="48">
        <v>374531.68099999998</v>
      </c>
      <c r="G276" s="48">
        <v>5047</v>
      </c>
      <c r="H276" s="48">
        <v>246988.092</v>
      </c>
      <c r="I276" s="48">
        <v>5046</v>
      </c>
      <c r="J276" s="48">
        <v>136901.902</v>
      </c>
    </row>
    <row r="277" spans="1:10" x14ac:dyDescent="0.2">
      <c r="A277" s="101" t="s">
        <v>309</v>
      </c>
      <c r="B277" s="101" t="s">
        <v>273</v>
      </c>
      <c r="C277" s="38" t="s">
        <v>97</v>
      </c>
      <c r="D277" s="38" t="s">
        <v>274</v>
      </c>
      <c r="E277" s="48">
        <v>64</v>
      </c>
      <c r="F277" s="48">
        <v>38058.926999999996</v>
      </c>
      <c r="G277" s="48">
        <v>65</v>
      </c>
      <c r="H277" s="48">
        <v>30640.59</v>
      </c>
      <c r="I277" s="48">
        <v>65</v>
      </c>
      <c r="J277" s="48">
        <v>21564.851999999999</v>
      </c>
    </row>
    <row r="278" spans="1:10" x14ac:dyDescent="0.2">
      <c r="A278" s="76" t="s">
        <v>309</v>
      </c>
      <c r="B278" s="76" t="s">
        <v>273</v>
      </c>
      <c r="C278" s="38" t="s">
        <v>10</v>
      </c>
      <c r="D278" s="38" t="s">
        <v>274</v>
      </c>
      <c r="E278" s="48">
        <v>6138</v>
      </c>
      <c r="F278" s="48">
        <v>552784.47900000005</v>
      </c>
      <c r="G278" s="48">
        <v>6141</v>
      </c>
      <c r="H278" s="48">
        <v>476697.70899999997</v>
      </c>
      <c r="I278" s="48">
        <v>6145</v>
      </c>
      <c r="J278" s="48">
        <v>261863.33</v>
      </c>
    </row>
    <row r="279" spans="1:10" x14ac:dyDescent="0.2">
      <c r="A279" s="101" t="s">
        <v>153</v>
      </c>
      <c r="B279" s="38" t="s">
        <v>98</v>
      </c>
      <c r="C279" s="38" t="s">
        <v>97</v>
      </c>
      <c r="D279" s="38" t="s">
        <v>100</v>
      </c>
      <c r="E279" s="48">
        <v>1</v>
      </c>
      <c r="F279" s="48">
        <v>203</v>
      </c>
      <c r="G279" s="48">
        <v>1</v>
      </c>
      <c r="H279" s="48">
        <v>207</v>
      </c>
      <c r="I279" s="48">
        <v>1</v>
      </c>
      <c r="J279" s="48">
        <v>238</v>
      </c>
    </row>
    <row r="280" spans="1:10" x14ac:dyDescent="0.2">
      <c r="A280" s="76" t="s">
        <v>153</v>
      </c>
      <c r="B280" s="101" t="s">
        <v>273</v>
      </c>
      <c r="C280" s="38" t="s">
        <v>97</v>
      </c>
      <c r="D280" s="38" t="s">
        <v>274</v>
      </c>
      <c r="E280" s="48">
        <v>94</v>
      </c>
      <c r="F280" s="48">
        <v>160772.44</v>
      </c>
      <c r="G280" s="48">
        <v>94</v>
      </c>
      <c r="H280" s="48">
        <v>149678.29199999999</v>
      </c>
      <c r="I280" s="48">
        <v>94</v>
      </c>
      <c r="J280" s="48">
        <v>134287.14200000002</v>
      </c>
    </row>
    <row r="281" spans="1:10" x14ac:dyDescent="0.2">
      <c r="A281" s="76" t="s">
        <v>153</v>
      </c>
      <c r="B281" s="76" t="s">
        <v>273</v>
      </c>
      <c r="C281" s="38" t="s">
        <v>10</v>
      </c>
      <c r="D281" s="38" t="s">
        <v>274</v>
      </c>
      <c r="E281" s="48">
        <v>4379</v>
      </c>
      <c r="F281" s="48">
        <v>306777.55499999999</v>
      </c>
      <c r="G281" s="48">
        <v>4380</v>
      </c>
      <c r="H281" s="48">
        <v>188927.40599999999</v>
      </c>
      <c r="I281" s="48">
        <v>4386</v>
      </c>
      <c r="J281" s="48">
        <v>104016.02800000001</v>
      </c>
    </row>
    <row r="282" spans="1:10" x14ac:dyDescent="0.2">
      <c r="A282" s="38" t="s">
        <v>310</v>
      </c>
      <c r="B282" s="38" t="s">
        <v>273</v>
      </c>
      <c r="C282" s="38" t="s">
        <v>97</v>
      </c>
      <c r="D282" s="38" t="s">
        <v>274</v>
      </c>
      <c r="E282" s="48">
        <v>1</v>
      </c>
      <c r="F282" s="48">
        <v>117.71599999999999</v>
      </c>
      <c r="G282" s="48">
        <v>1</v>
      </c>
      <c r="H282" s="48">
        <v>66.498999999999995</v>
      </c>
      <c r="I282" s="48">
        <v>1</v>
      </c>
      <c r="J282" s="48">
        <v>17.728999999999999</v>
      </c>
    </row>
    <row r="283" spans="1:10" x14ac:dyDescent="0.2">
      <c r="A283" s="101" t="s">
        <v>154</v>
      </c>
      <c r="B283" s="101" t="s">
        <v>98</v>
      </c>
      <c r="C283" s="38" t="s">
        <v>97</v>
      </c>
      <c r="D283" s="38" t="s">
        <v>100</v>
      </c>
      <c r="E283" s="48">
        <v>2128</v>
      </c>
      <c r="F283" s="48">
        <v>26728443.419</v>
      </c>
      <c r="G283" s="48">
        <v>2123</v>
      </c>
      <c r="H283" s="48">
        <v>22655387.480999999</v>
      </c>
      <c r="I283" s="48">
        <v>2130</v>
      </c>
      <c r="J283" s="48">
        <v>22219579.124000002</v>
      </c>
    </row>
    <row r="284" spans="1:10" x14ac:dyDescent="0.2">
      <c r="A284" s="76" t="s">
        <v>154</v>
      </c>
      <c r="B284" s="76" t="s">
        <v>98</v>
      </c>
      <c r="C284" s="38" t="s">
        <v>10</v>
      </c>
      <c r="D284" s="38" t="s">
        <v>100</v>
      </c>
      <c r="E284" s="48">
        <v>8196</v>
      </c>
      <c r="F284" s="48">
        <v>6600678.3890000004</v>
      </c>
      <c r="G284" s="48">
        <v>8193</v>
      </c>
      <c r="H284" s="48">
        <v>5540573.9340000004</v>
      </c>
      <c r="I284" s="48">
        <v>8196</v>
      </c>
      <c r="J284" s="48">
        <v>4646858.0520000001</v>
      </c>
    </row>
    <row r="285" spans="1:10" x14ac:dyDescent="0.2">
      <c r="A285" s="76" t="s">
        <v>154</v>
      </c>
      <c r="B285" s="101" t="s">
        <v>273</v>
      </c>
      <c r="C285" s="38" t="s">
        <v>97</v>
      </c>
      <c r="D285" s="38" t="s">
        <v>274</v>
      </c>
      <c r="E285" s="48">
        <v>1075</v>
      </c>
      <c r="F285" s="48">
        <v>781407.27899999998</v>
      </c>
      <c r="G285" s="48">
        <v>1080</v>
      </c>
      <c r="H285" s="48">
        <v>618498.52899999998</v>
      </c>
      <c r="I285" s="48">
        <v>1081</v>
      </c>
      <c r="J285" s="48">
        <v>625806.13199999998</v>
      </c>
    </row>
    <row r="286" spans="1:10" x14ac:dyDescent="0.2">
      <c r="A286" s="76" t="s">
        <v>154</v>
      </c>
      <c r="B286" s="76" t="s">
        <v>273</v>
      </c>
      <c r="C286" s="38" t="s">
        <v>10</v>
      </c>
      <c r="D286" s="38" t="s">
        <v>274</v>
      </c>
      <c r="E286" s="48">
        <v>3380</v>
      </c>
      <c r="F286" s="48">
        <v>241558.70600000001</v>
      </c>
      <c r="G286" s="48">
        <v>3377</v>
      </c>
      <c r="H286" s="48">
        <v>166503.42499999999</v>
      </c>
      <c r="I286" s="48">
        <v>3377</v>
      </c>
      <c r="J286" s="48">
        <v>93015.81</v>
      </c>
    </row>
    <row r="287" spans="1:10" x14ac:dyDescent="0.2">
      <c r="A287" s="38" t="s">
        <v>311</v>
      </c>
      <c r="B287" s="38" t="s">
        <v>273</v>
      </c>
      <c r="C287" s="38" t="s">
        <v>97</v>
      </c>
      <c r="D287" s="38" t="s">
        <v>274</v>
      </c>
      <c r="E287" s="48">
        <v>2</v>
      </c>
      <c r="F287" s="48">
        <v>19162.649000000001</v>
      </c>
      <c r="G287" s="48">
        <v>2</v>
      </c>
      <c r="H287" s="48">
        <v>11836.925999999999</v>
      </c>
      <c r="I287" s="48">
        <v>2</v>
      </c>
      <c r="J287" s="48">
        <v>13158.338</v>
      </c>
    </row>
    <row r="288" spans="1:10" x14ac:dyDescent="0.2">
      <c r="A288" s="101" t="s">
        <v>312</v>
      </c>
      <c r="B288" s="101" t="s">
        <v>273</v>
      </c>
      <c r="C288" s="38" t="s">
        <v>97</v>
      </c>
      <c r="D288" s="38" t="s">
        <v>274</v>
      </c>
      <c r="E288" s="48">
        <v>6</v>
      </c>
      <c r="F288" s="48">
        <v>1639002.523</v>
      </c>
      <c r="G288" s="48">
        <v>6</v>
      </c>
      <c r="H288" s="48">
        <v>1559171.747</v>
      </c>
      <c r="I288" s="48">
        <v>6</v>
      </c>
      <c r="J288" s="48">
        <v>1272910.0959999999</v>
      </c>
    </row>
    <row r="289" spans="1:10" x14ac:dyDescent="0.2">
      <c r="A289" s="76" t="s">
        <v>312</v>
      </c>
      <c r="B289" s="76" t="s">
        <v>273</v>
      </c>
      <c r="C289" s="38" t="s">
        <v>10</v>
      </c>
      <c r="D289" s="38" t="s">
        <v>274</v>
      </c>
      <c r="E289" s="48">
        <v>1</v>
      </c>
      <c r="F289" s="48">
        <v>1.141</v>
      </c>
      <c r="G289" s="48">
        <v>1</v>
      </c>
      <c r="H289" s="48"/>
      <c r="I289" s="48">
        <v>1</v>
      </c>
      <c r="J289" s="48"/>
    </row>
    <row r="290" spans="1:10" x14ac:dyDescent="0.2">
      <c r="A290" s="101" t="s">
        <v>155</v>
      </c>
      <c r="B290" s="101" t="s">
        <v>98</v>
      </c>
      <c r="C290" s="38" t="s">
        <v>97</v>
      </c>
      <c r="D290" s="38" t="s">
        <v>100</v>
      </c>
      <c r="E290" s="48">
        <v>1340</v>
      </c>
      <c r="F290" s="48">
        <v>7417584.7810000004</v>
      </c>
      <c r="G290" s="48">
        <v>1345</v>
      </c>
      <c r="H290" s="48">
        <v>7691371.6880000001</v>
      </c>
      <c r="I290" s="48">
        <v>1345</v>
      </c>
      <c r="J290" s="48">
        <v>7931480.2570000002</v>
      </c>
    </row>
    <row r="291" spans="1:10" x14ac:dyDescent="0.2">
      <c r="A291" s="76" t="s">
        <v>155</v>
      </c>
      <c r="B291" s="76" t="s">
        <v>98</v>
      </c>
      <c r="C291" s="38" t="s">
        <v>10</v>
      </c>
      <c r="D291" s="38" t="s">
        <v>100</v>
      </c>
      <c r="E291" s="48">
        <v>14630</v>
      </c>
      <c r="F291" s="48">
        <v>12022834.516000001</v>
      </c>
      <c r="G291" s="48">
        <v>14623</v>
      </c>
      <c r="H291" s="48">
        <v>10483201.339</v>
      </c>
      <c r="I291" s="48">
        <v>14618</v>
      </c>
      <c r="J291" s="48">
        <v>9329408.148</v>
      </c>
    </row>
    <row r="292" spans="1:10" x14ac:dyDescent="0.2">
      <c r="A292" s="76" t="s">
        <v>155</v>
      </c>
      <c r="B292" s="101" t="s">
        <v>273</v>
      </c>
      <c r="C292" s="38" t="s">
        <v>97</v>
      </c>
      <c r="D292" s="38" t="s">
        <v>274</v>
      </c>
      <c r="E292" s="48">
        <v>403</v>
      </c>
      <c r="F292" s="48">
        <v>225654.52000000002</v>
      </c>
      <c r="G292" s="48">
        <v>403</v>
      </c>
      <c r="H292" s="48">
        <v>218996.87599999999</v>
      </c>
      <c r="I292" s="48">
        <v>401</v>
      </c>
      <c r="J292" s="48">
        <v>165209.125</v>
      </c>
    </row>
    <row r="293" spans="1:10" x14ac:dyDescent="0.2">
      <c r="A293" s="76" t="s">
        <v>155</v>
      </c>
      <c r="B293" s="76" t="s">
        <v>273</v>
      </c>
      <c r="C293" s="38" t="s">
        <v>10</v>
      </c>
      <c r="D293" s="38" t="s">
        <v>274</v>
      </c>
      <c r="E293" s="48">
        <v>6426</v>
      </c>
      <c r="F293" s="48">
        <v>422059.79200000002</v>
      </c>
      <c r="G293" s="48">
        <v>6424</v>
      </c>
      <c r="H293" s="48">
        <v>297937.141</v>
      </c>
      <c r="I293" s="48">
        <v>6426</v>
      </c>
      <c r="J293" s="48">
        <v>177510.307</v>
      </c>
    </row>
    <row r="294" spans="1:10" x14ac:dyDescent="0.2">
      <c r="A294" s="101" t="s">
        <v>313</v>
      </c>
      <c r="B294" s="101" t="s">
        <v>273</v>
      </c>
      <c r="C294" s="38" t="s">
        <v>97</v>
      </c>
      <c r="D294" s="38" t="s">
        <v>274</v>
      </c>
      <c r="E294" s="48">
        <v>275</v>
      </c>
      <c r="F294" s="48">
        <v>96487.660999999993</v>
      </c>
      <c r="G294" s="48">
        <v>272</v>
      </c>
      <c r="H294" s="48">
        <v>61982.856</v>
      </c>
      <c r="I294" s="48">
        <v>274</v>
      </c>
      <c r="J294" s="48">
        <v>47489.816999999995</v>
      </c>
    </row>
    <row r="295" spans="1:10" x14ac:dyDescent="0.2">
      <c r="A295" s="76" t="s">
        <v>313</v>
      </c>
      <c r="B295" s="76" t="s">
        <v>273</v>
      </c>
      <c r="C295" s="38" t="s">
        <v>10</v>
      </c>
      <c r="D295" s="38" t="s">
        <v>274</v>
      </c>
      <c r="E295" s="48">
        <v>5606</v>
      </c>
      <c r="F295" s="48">
        <v>404054.10800000001</v>
      </c>
      <c r="G295" s="48">
        <v>5603</v>
      </c>
      <c r="H295" s="48">
        <v>267196.696</v>
      </c>
      <c r="I295" s="48">
        <v>5623</v>
      </c>
      <c r="J295" s="48">
        <v>168826.503</v>
      </c>
    </row>
    <row r="296" spans="1:10" x14ac:dyDescent="0.2">
      <c r="A296" s="101" t="s">
        <v>314</v>
      </c>
      <c r="B296" s="101" t="s">
        <v>273</v>
      </c>
      <c r="C296" s="38" t="s">
        <v>97</v>
      </c>
      <c r="D296" s="38" t="s">
        <v>274</v>
      </c>
      <c r="E296" s="48">
        <v>979</v>
      </c>
      <c r="F296" s="48">
        <v>881495.63199999998</v>
      </c>
      <c r="G296" s="48">
        <v>979</v>
      </c>
      <c r="H296" s="48">
        <v>725994.94400000002</v>
      </c>
      <c r="I296" s="48">
        <v>976</v>
      </c>
      <c r="J296" s="48">
        <v>548516.86100000003</v>
      </c>
    </row>
    <row r="297" spans="1:10" x14ac:dyDescent="0.2">
      <c r="A297" s="76" t="s">
        <v>314</v>
      </c>
      <c r="B297" s="76" t="s">
        <v>273</v>
      </c>
      <c r="C297" s="38" t="s">
        <v>10</v>
      </c>
      <c r="D297" s="38" t="s">
        <v>274</v>
      </c>
      <c r="E297" s="48">
        <v>5153</v>
      </c>
      <c r="F297" s="48">
        <v>296006.84399999998</v>
      </c>
      <c r="G297" s="48">
        <v>5155</v>
      </c>
      <c r="H297" s="48">
        <v>199873.992</v>
      </c>
      <c r="I297" s="48">
        <v>5143</v>
      </c>
      <c r="J297" s="48">
        <v>121995.74800000001</v>
      </c>
    </row>
    <row r="298" spans="1:10" x14ac:dyDescent="0.2">
      <c r="A298" s="101" t="s">
        <v>315</v>
      </c>
      <c r="B298" s="101" t="s">
        <v>273</v>
      </c>
      <c r="C298" s="38" t="s">
        <v>97</v>
      </c>
      <c r="D298" s="38" t="s">
        <v>274</v>
      </c>
      <c r="E298" s="48">
        <v>519</v>
      </c>
      <c r="F298" s="48">
        <v>602665.66099999996</v>
      </c>
      <c r="G298" s="48">
        <v>522</v>
      </c>
      <c r="H298" s="48">
        <v>482704.97600000002</v>
      </c>
      <c r="I298" s="48">
        <v>522</v>
      </c>
      <c r="J298" s="48">
        <v>301249.94099999999</v>
      </c>
    </row>
    <row r="299" spans="1:10" x14ac:dyDescent="0.2">
      <c r="A299" s="76" t="s">
        <v>315</v>
      </c>
      <c r="B299" s="76" t="s">
        <v>273</v>
      </c>
      <c r="C299" s="38" t="s">
        <v>10</v>
      </c>
      <c r="D299" s="38" t="s">
        <v>274</v>
      </c>
      <c r="E299" s="48">
        <v>6291</v>
      </c>
      <c r="F299" s="48">
        <v>448188.99300000002</v>
      </c>
      <c r="G299" s="48">
        <v>6285</v>
      </c>
      <c r="H299" s="48">
        <v>320807.09999999998</v>
      </c>
      <c r="I299" s="48">
        <v>6282</v>
      </c>
      <c r="J299" s="48">
        <v>199952.65</v>
      </c>
    </row>
    <row r="300" spans="1:10" x14ac:dyDescent="0.2">
      <c r="A300" s="101" t="s">
        <v>316</v>
      </c>
      <c r="B300" s="101" t="s">
        <v>273</v>
      </c>
      <c r="C300" s="38" t="s">
        <v>97</v>
      </c>
      <c r="D300" s="38" t="s">
        <v>274</v>
      </c>
      <c r="E300" s="48">
        <v>673</v>
      </c>
      <c r="F300" s="48">
        <v>1780145.4639999999</v>
      </c>
      <c r="G300" s="48">
        <v>671</v>
      </c>
      <c r="H300" s="48">
        <v>1522668.1370000001</v>
      </c>
      <c r="I300" s="48">
        <v>667</v>
      </c>
      <c r="J300" s="48">
        <v>1118726.436</v>
      </c>
    </row>
    <row r="301" spans="1:10" x14ac:dyDescent="0.2">
      <c r="A301" s="76" t="s">
        <v>316</v>
      </c>
      <c r="B301" s="76" t="s">
        <v>273</v>
      </c>
      <c r="C301" s="38" t="s">
        <v>10</v>
      </c>
      <c r="D301" s="38" t="s">
        <v>274</v>
      </c>
      <c r="E301" s="48">
        <v>4053</v>
      </c>
      <c r="F301" s="48">
        <v>228040.99</v>
      </c>
      <c r="G301" s="48">
        <v>4063</v>
      </c>
      <c r="H301" s="48">
        <v>155037.29199999999</v>
      </c>
      <c r="I301" s="48">
        <v>4055</v>
      </c>
      <c r="J301" s="48">
        <v>103186.959</v>
      </c>
    </row>
    <row r="302" spans="1:10" x14ac:dyDescent="0.2">
      <c r="A302" s="38" t="s">
        <v>317</v>
      </c>
      <c r="B302" s="38" t="s">
        <v>273</v>
      </c>
      <c r="C302" s="38" t="s">
        <v>97</v>
      </c>
      <c r="D302" s="38" t="s">
        <v>274</v>
      </c>
      <c r="E302" s="48">
        <v>605</v>
      </c>
      <c r="F302" s="48">
        <v>285743.44099999999</v>
      </c>
      <c r="G302" s="48">
        <v>600</v>
      </c>
      <c r="H302" s="48">
        <v>179444.62299999999</v>
      </c>
      <c r="I302" s="48">
        <v>599</v>
      </c>
      <c r="J302" s="48">
        <v>112680.73599999999</v>
      </c>
    </row>
    <row r="303" spans="1:10" x14ac:dyDescent="0.2">
      <c r="A303" s="101" t="s">
        <v>317</v>
      </c>
      <c r="B303" s="101" t="s">
        <v>273</v>
      </c>
      <c r="C303" s="38" t="s">
        <v>10</v>
      </c>
      <c r="D303" s="38" t="s">
        <v>274</v>
      </c>
      <c r="E303" s="48">
        <v>11403</v>
      </c>
      <c r="F303" s="48">
        <v>886911.67799999996</v>
      </c>
      <c r="G303" s="48">
        <v>11397</v>
      </c>
      <c r="H303" s="48">
        <v>606110.36100000003</v>
      </c>
      <c r="I303" s="48">
        <v>11406</v>
      </c>
      <c r="J303" s="48">
        <v>369018.315</v>
      </c>
    </row>
    <row r="304" spans="1:10" x14ac:dyDescent="0.2">
      <c r="A304" s="76" t="s">
        <v>156</v>
      </c>
      <c r="B304" s="76" t="s">
        <v>98</v>
      </c>
      <c r="C304" s="38" t="s">
        <v>97</v>
      </c>
      <c r="D304" s="38" t="s">
        <v>100</v>
      </c>
      <c r="E304" s="48">
        <v>71</v>
      </c>
      <c r="F304" s="48">
        <v>170685.53</v>
      </c>
      <c r="G304" s="48">
        <v>72</v>
      </c>
      <c r="H304" s="48">
        <v>458383.50400000002</v>
      </c>
      <c r="I304" s="48">
        <v>73</v>
      </c>
      <c r="J304" s="48">
        <v>163495.94500000001</v>
      </c>
    </row>
    <row r="305" spans="1:10" x14ac:dyDescent="0.2">
      <c r="A305" s="101" t="s">
        <v>156</v>
      </c>
      <c r="B305" s="101" t="s">
        <v>98</v>
      </c>
      <c r="C305" s="38" t="s">
        <v>10</v>
      </c>
      <c r="D305" s="38" t="s">
        <v>100</v>
      </c>
      <c r="E305" s="48">
        <v>264</v>
      </c>
      <c r="F305" s="48">
        <v>235975.99900000001</v>
      </c>
      <c r="G305" s="48">
        <v>263</v>
      </c>
      <c r="H305" s="48">
        <v>339183.511</v>
      </c>
      <c r="I305" s="48">
        <v>262</v>
      </c>
      <c r="J305" s="48">
        <v>160120</v>
      </c>
    </row>
    <row r="306" spans="1:10" x14ac:dyDescent="0.2">
      <c r="A306" s="76" t="s">
        <v>157</v>
      </c>
      <c r="B306" s="76" t="s">
        <v>98</v>
      </c>
      <c r="C306" s="38" t="s">
        <v>97</v>
      </c>
      <c r="D306" s="38" t="s">
        <v>100</v>
      </c>
      <c r="E306" s="48">
        <v>1966</v>
      </c>
      <c r="F306" s="48">
        <v>65020094.872000001</v>
      </c>
      <c r="G306" s="48">
        <v>1976</v>
      </c>
      <c r="H306" s="48">
        <v>63067615.177000001</v>
      </c>
      <c r="I306" s="48">
        <v>1966</v>
      </c>
      <c r="J306" s="48">
        <v>64131558.148999996</v>
      </c>
    </row>
    <row r="307" spans="1:10" x14ac:dyDescent="0.2">
      <c r="A307" s="101" t="s">
        <v>157</v>
      </c>
      <c r="B307" s="101" t="s">
        <v>98</v>
      </c>
      <c r="C307" s="38" t="s">
        <v>10</v>
      </c>
      <c r="D307" s="38" t="s">
        <v>100</v>
      </c>
      <c r="E307" s="48">
        <v>10904</v>
      </c>
      <c r="F307" s="48">
        <v>8954435.8139999993</v>
      </c>
      <c r="G307" s="48">
        <v>10897</v>
      </c>
      <c r="H307" s="48">
        <v>7419696.1009999998</v>
      </c>
      <c r="I307" s="48">
        <v>10899</v>
      </c>
      <c r="J307" s="48">
        <v>7173547.3459999999</v>
      </c>
    </row>
    <row r="308" spans="1:10" x14ac:dyDescent="0.2">
      <c r="A308" s="76" t="s">
        <v>318</v>
      </c>
      <c r="B308" s="76" t="s">
        <v>273</v>
      </c>
      <c r="C308" s="38" t="s">
        <v>97</v>
      </c>
      <c r="D308" s="38" t="s">
        <v>274</v>
      </c>
      <c r="E308" s="48">
        <v>128</v>
      </c>
      <c r="F308" s="48">
        <v>63607.989000000001</v>
      </c>
      <c r="G308" s="48">
        <v>129</v>
      </c>
      <c r="H308" s="48">
        <v>75742.736000000004</v>
      </c>
      <c r="I308" s="48">
        <v>129</v>
      </c>
      <c r="J308" s="48">
        <v>38570.983</v>
      </c>
    </row>
    <row r="309" spans="1:10" x14ac:dyDescent="0.2">
      <c r="A309" s="101" t="s">
        <v>318</v>
      </c>
      <c r="B309" s="101" t="s">
        <v>273</v>
      </c>
      <c r="C309" s="38" t="s">
        <v>10</v>
      </c>
      <c r="D309" s="38" t="s">
        <v>274</v>
      </c>
      <c r="E309" s="48">
        <v>323</v>
      </c>
      <c r="F309" s="48">
        <v>19480.842000000001</v>
      </c>
      <c r="G309" s="48">
        <v>320</v>
      </c>
      <c r="H309" s="48">
        <v>14457.652</v>
      </c>
      <c r="I309" s="48">
        <v>321</v>
      </c>
      <c r="J309" s="48">
        <v>15637.849</v>
      </c>
    </row>
    <row r="310" spans="1:10" x14ac:dyDescent="0.2">
      <c r="A310" s="76" t="s">
        <v>158</v>
      </c>
      <c r="B310" s="76" t="s">
        <v>98</v>
      </c>
      <c r="C310" s="38" t="s">
        <v>97</v>
      </c>
      <c r="D310" s="38" t="s">
        <v>100</v>
      </c>
      <c r="E310" s="48">
        <v>28</v>
      </c>
      <c r="F310" s="48">
        <v>49227</v>
      </c>
      <c r="G310" s="48">
        <v>29</v>
      </c>
      <c r="H310" s="48">
        <v>13586</v>
      </c>
      <c r="I310" s="48">
        <v>29</v>
      </c>
      <c r="J310" s="48">
        <v>25753</v>
      </c>
    </row>
    <row r="311" spans="1:10" x14ac:dyDescent="0.2">
      <c r="A311" s="101" t="s">
        <v>158</v>
      </c>
      <c r="B311" s="101" t="s">
        <v>98</v>
      </c>
      <c r="C311" s="38" t="s">
        <v>10</v>
      </c>
      <c r="D311" s="38" t="s">
        <v>100</v>
      </c>
      <c r="E311" s="48">
        <v>250</v>
      </c>
      <c r="F311" s="48">
        <v>384327.25400000002</v>
      </c>
      <c r="G311" s="48">
        <v>250</v>
      </c>
      <c r="H311" s="48">
        <v>140825.72899999999</v>
      </c>
      <c r="I311" s="48">
        <v>249</v>
      </c>
      <c r="J311" s="48">
        <v>315830.34899999999</v>
      </c>
    </row>
    <row r="312" spans="1:10" x14ac:dyDescent="0.2">
      <c r="A312" s="76" t="s">
        <v>159</v>
      </c>
      <c r="B312" s="76" t="s">
        <v>98</v>
      </c>
      <c r="C312" s="38" t="s">
        <v>97</v>
      </c>
      <c r="D312" s="38" t="s">
        <v>100</v>
      </c>
      <c r="E312" s="48">
        <v>3658</v>
      </c>
      <c r="F312" s="48">
        <v>22503875.256999999</v>
      </c>
      <c r="G312" s="48">
        <v>3658</v>
      </c>
      <c r="H312" s="48">
        <v>21927307.977999996</v>
      </c>
      <c r="I312" s="48">
        <v>3658</v>
      </c>
      <c r="J312" s="48">
        <v>21319218.386999998</v>
      </c>
    </row>
    <row r="313" spans="1:10" x14ac:dyDescent="0.2">
      <c r="A313" s="101" t="s">
        <v>159</v>
      </c>
      <c r="B313" s="101" t="s">
        <v>98</v>
      </c>
      <c r="C313" s="38" t="s">
        <v>10</v>
      </c>
      <c r="D313" s="38" t="s">
        <v>100</v>
      </c>
      <c r="E313" s="48">
        <v>20820</v>
      </c>
      <c r="F313" s="48">
        <v>14092179.364</v>
      </c>
      <c r="G313" s="48">
        <v>20824</v>
      </c>
      <c r="H313" s="48">
        <v>11565161.631999999</v>
      </c>
      <c r="I313" s="48">
        <v>20825</v>
      </c>
      <c r="J313" s="48">
        <v>9703234.8010000009</v>
      </c>
    </row>
    <row r="314" spans="1:10" x14ac:dyDescent="0.2">
      <c r="A314" s="76" t="s">
        <v>160</v>
      </c>
      <c r="B314" s="76" t="s">
        <v>98</v>
      </c>
      <c r="C314" s="38" t="s">
        <v>97</v>
      </c>
      <c r="D314" s="38" t="s">
        <v>100</v>
      </c>
      <c r="E314" s="48">
        <v>3517</v>
      </c>
      <c r="F314" s="48">
        <v>16599435.795</v>
      </c>
      <c r="G314" s="48">
        <v>3525</v>
      </c>
      <c r="H314" s="48">
        <v>16343533.449999999</v>
      </c>
      <c r="I314" s="48">
        <v>3529</v>
      </c>
      <c r="J314" s="48">
        <v>17796390.984000001</v>
      </c>
    </row>
    <row r="315" spans="1:10" x14ac:dyDescent="0.2">
      <c r="A315" s="101" t="s">
        <v>160</v>
      </c>
      <c r="B315" s="101" t="s">
        <v>98</v>
      </c>
      <c r="C315" s="38" t="s">
        <v>10</v>
      </c>
      <c r="D315" s="38" t="s">
        <v>100</v>
      </c>
      <c r="E315" s="48">
        <v>20262</v>
      </c>
      <c r="F315" s="48">
        <v>17064744.076000001</v>
      </c>
      <c r="G315" s="48">
        <v>20265</v>
      </c>
      <c r="H315" s="48">
        <v>15002376.983999999</v>
      </c>
      <c r="I315" s="48">
        <v>20275</v>
      </c>
      <c r="J315" s="48">
        <v>12765920.249</v>
      </c>
    </row>
    <row r="316" spans="1:10" x14ac:dyDescent="0.2">
      <c r="A316" s="76" t="s">
        <v>161</v>
      </c>
      <c r="B316" s="76" t="s">
        <v>98</v>
      </c>
      <c r="C316" s="38" t="s">
        <v>97</v>
      </c>
      <c r="D316" s="38" t="s">
        <v>100</v>
      </c>
      <c r="E316" s="48">
        <v>1306</v>
      </c>
      <c r="F316" s="48">
        <v>3764580.7370000002</v>
      </c>
      <c r="G316" s="48">
        <v>1301</v>
      </c>
      <c r="H316" s="48">
        <v>2931369.0320000001</v>
      </c>
      <c r="I316" s="48">
        <v>1294</v>
      </c>
      <c r="J316" s="48">
        <v>4168681.6680000001</v>
      </c>
    </row>
    <row r="317" spans="1:10" x14ac:dyDescent="0.2">
      <c r="A317" s="101" t="s">
        <v>161</v>
      </c>
      <c r="B317" s="101" t="s">
        <v>98</v>
      </c>
      <c r="C317" s="38" t="s">
        <v>10</v>
      </c>
      <c r="D317" s="38" t="s">
        <v>100</v>
      </c>
      <c r="E317" s="48">
        <v>14758</v>
      </c>
      <c r="F317" s="48">
        <v>12732217.859999999</v>
      </c>
      <c r="G317" s="48">
        <v>14778</v>
      </c>
      <c r="H317" s="48">
        <v>10844526.213</v>
      </c>
      <c r="I317" s="48">
        <v>14771</v>
      </c>
      <c r="J317" s="48">
        <v>9404642.8000000007</v>
      </c>
    </row>
    <row r="318" spans="1:10" x14ac:dyDescent="0.2">
      <c r="A318" s="76" t="s">
        <v>162</v>
      </c>
      <c r="B318" s="76" t="s">
        <v>98</v>
      </c>
      <c r="C318" s="38" t="s">
        <v>97</v>
      </c>
      <c r="D318" s="38" t="s">
        <v>100</v>
      </c>
      <c r="E318" s="48">
        <v>596</v>
      </c>
      <c r="F318" s="48">
        <v>2064259.5179999999</v>
      </c>
      <c r="G318" s="48">
        <v>604</v>
      </c>
      <c r="H318" s="48">
        <v>2628274.7769999998</v>
      </c>
      <c r="I318" s="48">
        <v>604</v>
      </c>
      <c r="J318" s="48">
        <v>1801303.12</v>
      </c>
    </row>
    <row r="319" spans="1:10" x14ac:dyDescent="0.2">
      <c r="A319" s="101" t="s">
        <v>162</v>
      </c>
      <c r="B319" s="101" t="s">
        <v>98</v>
      </c>
      <c r="C319" s="38" t="s">
        <v>10</v>
      </c>
      <c r="D319" s="38" t="s">
        <v>100</v>
      </c>
      <c r="E319" s="48">
        <v>6641</v>
      </c>
      <c r="F319" s="48">
        <v>6030201.4790000003</v>
      </c>
      <c r="G319" s="48">
        <v>6640</v>
      </c>
      <c r="H319" s="48">
        <v>5044993.5669999998</v>
      </c>
      <c r="I319" s="48">
        <v>6635</v>
      </c>
      <c r="J319" s="48">
        <v>4582424.892</v>
      </c>
    </row>
    <row r="320" spans="1:10" x14ac:dyDescent="0.2">
      <c r="A320" s="76" t="s">
        <v>163</v>
      </c>
      <c r="B320" s="76" t="s">
        <v>98</v>
      </c>
      <c r="C320" s="38" t="s">
        <v>97</v>
      </c>
      <c r="D320" s="38" t="s">
        <v>100</v>
      </c>
      <c r="E320" s="48">
        <v>432</v>
      </c>
      <c r="F320" s="48">
        <v>1217809.5249999999</v>
      </c>
      <c r="G320" s="48">
        <v>434</v>
      </c>
      <c r="H320" s="48">
        <v>1451908.1880000001</v>
      </c>
      <c r="I320" s="48">
        <v>435</v>
      </c>
      <c r="J320" s="48">
        <v>1144078.83</v>
      </c>
    </row>
    <row r="321" spans="1:10" x14ac:dyDescent="0.2">
      <c r="A321" s="101" t="s">
        <v>163</v>
      </c>
      <c r="B321" s="101" t="s">
        <v>98</v>
      </c>
      <c r="C321" s="38" t="s">
        <v>10</v>
      </c>
      <c r="D321" s="38" t="s">
        <v>100</v>
      </c>
      <c r="E321" s="48">
        <v>1797</v>
      </c>
      <c r="F321" s="48">
        <v>2141923.5389999999</v>
      </c>
      <c r="G321" s="48">
        <v>1797</v>
      </c>
      <c r="H321" s="48">
        <v>2304961.5890000002</v>
      </c>
      <c r="I321" s="48">
        <v>1797</v>
      </c>
      <c r="J321" s="48">
        <v>1569216.4939999999</v>
      </c>
    </row>
    <row r="322" spans="1:10" x14ac:dyDescent="0.2">
      <c r="A322" s="76" t="s">
        <v>164</v>
      </c>
      <c r="B322" s="76" t="s">
        <v>98</v>
      </c>
      <c r="C322" s="38" t="s">
        <v>97</v>
      </c>
      <c r="D322" s="38" t="s">
        <v>100</v>
      </c>
      <c r="E322" s="48">
        <v>1798</v>
      </c>
      <c r="F322" s="48">
        <v>14706289.559</v>
      </c>
      <c r="G322" s="48">
        <v>1798</v>
      </c>
      <c r="H322" s="48">
        <v>11126249.635000002</v>
      </c>
      <c r="I322" s="48">
        <v>1786</v>
      </c>
      <c r="J322" s="48">
        <v>12598908.850000001</v>
      </c>
    </row>
    <row r="323" spans="1:10" x14ac:dyDescent="0.2">
      <c r="A323" s="101" t="s">
        <v>164</v>
      </c>
      <c r="B323" s="101" t="s">
        <v>98</v>
      </c>
      <c r="C323" s="38" t="s">
        <v>10</v>
      </c>
      <c r="D323" s="38" t="s">
        <v>100</v>
      </c>
      <c r="E323" s="48">
        <v>6302</v>
      </c>
      <c r="F323" s="48">
        <v>5531633.2170000002</v>
      </c>
      <c r="G323" s="48">
        <v>6290</v>
      </c>
      <c r="H323" s="48">
        <v>4418149.8320000004</v>
      </c>
      <c r="I323" s="48">
        <v>6299</v>
      </c>
      <c r="J323" s="48">
        <v>3935954.3679999998</v>
      </c>
    </row>
    <row r="324" spans="1:10" x14ac:dyDescent="0.2">
      <c r="A324" s="76" t="s">
        <v>165</v>
      </c>
      <c r="B324" s="76" t="s">
        <v>98</v>
      </c>
      <c r="C324" s="38" t="s">
        <v>97</v>
      </c>
      <c r="D324" s="38" t="s">
        <v>100</v>
      </c>
      <c r="E324" s="48">
        <v>26</v>
      </c>
      <c r="F324" s="48">
        <v>56831</v>
      </c>
      <c r="G324" s="48">
        <v>26</v>
      </c>
      <c r="H324" s="48">
        <v>51012</v>
      </c>
      <c r="I324" s="48">
        <v>26</v>
      </c>
      <c r="J324" s="48">
        <v>62413.08</v>
      </c>
    </row>
    <row r="325" spans="1:10" x14ac:dyDescent="0.2">
      <c r="A325" s="101" t="s">
        <v>165</v>
      </c>
      <c r="B325" s="101" t="s">
        <v>98</v>
      </c>
      <c r="C325" s="38" t="s">
        <v>10</v>
      </c>
      <c r="D325" s="38" t="s">
        <v>100</v>
      </c>
      <c r="E325" s="48">
        <v>122</v>
      </c>
      <c r="F325" s="48">
        <v>227483</v>
      </c>
      <c r="G325" s="48">
        <v>122</v>
      </c>
      <c r="H325" s="48">
        <v>63141</v>
      </c>
      <c r="I325" s="48">
        <v>122</v>
      </c>
      <c r="J325" s="48">
        <v>152494.435</v>
      </c>
    </row>
    <row r="326" spans="1:10" x14ac:dyDescent="0.2">
      <c r="A326" s="76" t="s">
        <v>166</v>
      </c>
      <c r="B326" s="76" t="s">
        <v>98</v>
      </c>
      <c r="C326" s="38" t="s">
        <v>97</v>
      </c>
      <c r="D326" s="38" t="s">
        <v>100</v>
      </c>
      <c r="E326" s="48">
        <v>574</v>
      </c>
      <c r="F326" s="48">
        <v>664749.43400000001</v>
      </c>
      <c r="G326" s="48">
        <v>576</v>
      </c>
      <c r="H326" s="48">
        <v>694074.62699999998</v>
      </c>
      <c r="I326" s="48">
        <v>580</v>
      </c>
      <c r="J326" s="48">
        <v>608773.08499999996</v>
      </c>
    </row>
    <row r="327" spans="1:10" x14ac:dyDescent="0.2">
      <c r="A327" s="101" t="s">
        <v>166</v>
      </c>
      <c r="B327" s="101" t="s">
        <v>98</v>
      </c>
      <c r="C327" s="38" t="s">
        <v>10</v>
      </c>
      <c r="D327" s="38" t="s">
        <v>100</v>
      </c>
      <c r="E327" s="48">
        <v>3501</v>
      </c>
      <c r="F327" s="48">
        <v>3773035.034</v>
      </c>
      <c r="G327" s="48">
        <v>3504</v>
      </c>
      <c r="H327" s="48">
        <v>3319782.65</v>
      </c>
      <c r="I327" s="48">
        <v>3506</v>
      </c>
      <c r="J327" s="48">
        <v>2625550.7680000002</v>
      </c>
    </row>
    <row r="328" spans="1:10" x14ac:dyDescent="0.2">
      <c r="A328" s="76" t="s">
        <v>167</v>
      </c>
      <c r="B328" s="76" t="s">
        <v>98</v>
      </c>
      <c r="C328" s="38" t="s">
        <v>97</v>
      </c>
      <c r="D328" s="38" t="s">
        <v>100</v>
      </c>
      <c r="E328" s="48">
        <v>357</v>
      </c>
      <c r="F328" s="48">
        <v>1093576.2290000001</v>
      </c>
      <c r="G328" s="48">
        <v>355</v>
      </c>
      <c r="H328" s="48">
        <v>963828.45299999998</v>
      </c>
      <c r="I328" s="48">
        <v>353</v>
      </c>
      <c r="J328" s="48">
        <v>865536.304</v>
      </c>
    </row>
    <row r="329" spans="1:10" x14ac:dyDescent="0.2">
      <c r="A329" s="101" t="s">
        <v>167</v>
      </c>
      <c r="B329" s="101" t="s">
        <v>98</v>
      </c>
      <c r="C329" s="38" t="s">
        <v>10</v>
      </c>
      <c r="D329" s="38" t="s">
        <v>100</v>
      </c>
      <c r="E329" s="48">
        <v>2084</v>
      </c>
      <c r="F329" s="48">
        <v>2639749.4589999998</v>
      </c>
      <c r="G329" s="48">
        <v>2082</v>
      </c>
      <c r="H329" s="48">
        <v>1950670.317</v>
      </c>
      <c r="I329" s="48">
        <v>2087</v>
      </c>
      <c r="J329" s="48">
        <v>1886054.2949999999</v>
      </c>
    </row>
    <row r="330" spans="1:10" x14ac:dyDescent="0.2">
      <c r="A330" s="76" t="s">
        <v>168</v>
      </c>
      <c r="B330" s="76" t="s">
        <v>98</v>
      </c>
      <c r="C330" s="38" t="s">
        <v>97</v>
      </c>
      <c r="D330" s="38" t="s">
        <v>100</v>
      </c>
      <c r="E330" s="48">
        <v>23</v>
      </c>
      <c r="F330" s="48">
        <v>149634</v>
      </c>
      <c r="G330" s="48">
        <v>23</v>
      </c>
      <c r="H330" s="48">
        <v>103754</v>
      </c>
      <c r="I330" s="48">
        <v>23</v>
      </c>
      <c r="J330" s="48">
        <v>136890</v>
      </c>
    </row>
    <row r="331" spans="1:10" x14ac:dyDescent="0.2">
      <c r="A331" s="101" t="s">
        <v>168</v>
      </c>
      <c r="B331" s="101" t="s">
        <v>98</v>
      </c>
      <c r="C331" s="38" t="s">
        <v>10</v>
      </c>
      <c r="D331" s="38" t="s">
        <v>100</v>
      </c>
      <c r="E331" s="48">
        <v>27</v>
      </c>
      <c r="F331" s="48">
        <v>72155</v>
      </c>
      <c r="G331" s="48">
        <v>27</v>
      </c>
      <c r="H331" s="48"/>
      <c r="I331" s="48">
        <v>27</v>
      </c>
      <c r="J331" s="48">
        <v>54161</v>
      </c>
    </row>
    <row r="332" spans="1:10" x14ac:dyDescent="0.2">
      <c r="A332" s="76" t="s">
        <v>169</v>
      </c>
      <c r="B332" s="76" t="s">
        <v>98</v>
      </c>
      <c r="C332" s="38" t="s">
        <v>97</v>
      </c>
      <c r="D332" s="38" t="s">
        <v>100</v>
      </c>
      <c r="E332" s="48">
        <v>720</v>
      </c>
      <c r="F332" s="48">
        <v>1734973.5870000001</v>
      </c>
      <c r="G332" s="48">
        <v>720</v>
      </c>
      <c r="H332" s="48">
        <v>2612896.6779999998</v>
      </c>
      <c r="I332" s="48">
        <v>716</v>
      </c>
      <c r="J332" s="48">
        <v>1413941.1910000001</v>
      </c>
    </row>
    <row r="333" spans="1:10" x14ac:dyDescent="0.2">
      <c r="A333" s="101" t="s">
        <v>169</v>
      </c>
      <c r="B333" s="101" t="s">
        <v>98</v>
      </c>
      <c r="C333" s="38" t="s">
        <v>10</v>
      </c>
      <c r="D333" s="38" t="s">
        <v>100</v>
      </c>
      <c r="E333" s="48">
        <v>4154</v>
      </c>
      <c r="F333" s="48">
        <v>4833695.3739999998</v>
      </c>
      <c r="G333" s="48">
        <v>4150</v>
      </c>
      <c r="H333" s="48">
        <v>3842363.966</v>
      </c>
      <c r="I333" s="48">
        <v>4153</v>
      </c>
      <c r="J333" s="48">
        <v>3242271.3139999998</v>
      </c>
    </row>
    <row r="334" spans="1:10" x14ac:dyDescent="0.2">
      <c r="A334" s="76" t="s">
        <v>170</v>
      </c>
      <c r="B334" s="76" t="s">
        <v>98</v>
      </c>
      <c r="C334" s="38" t="s">
        <v>97</v>
      </c>
      <c r="D334" s="38" t="s">
        <v>100</v>
      </c>
      <c r="E334" s="48">
        <v>234</v>
      </c>
      <c r="F334" s="48">
        <v>564992.99699999997</v>
      </c>
      <c r="G334" s="48">
        <v>234</v>
      </c>
      <c r="H334" s="48">
        <v>595618.59699999995</v>
      </c>
      <c r="I334" s="48">
        <v>238</v>
      </c>
      <c r="J334" s="48">
        <v>535028.92700000003</v>
      </c>
    </row>
    <row r="335" spans="1:10" x14ac:dyDescent="0.2">
      <c r="A335" s="101" t="s">
        <v>170</v>
      </c>
      <c r="B335" s="101" t="s">
        <v>98</v>
      </c>
      <c r="C335" s="38" t="s">
        <v>10</v>
      </c>
      <c r="D335" s="38" t="s">
        <v>100</v>
      </c>
      <c r="E335" s="48">
        <v>1201</v>
      </c>
      <c r="F335" s="48">
        <v>1627534.135</v>
      </c>
      <c r="G335" s="48">
        <v>1201</v>
      </c>
      <c r="H335" s="48">
        <v>1385315.9280000001</v>
      </c>
      <c r="I335" s="48">
        <v>1201</v>
      </c>
      <c r="J335" s="48">
        <v>1157570.0630000001</v>
      </c>
    </row>
    <row r="336" spans="1:10" x14ac:dyDescent="0.2">
      <c r="A336" s="76" t="s">
        <v>171</v>
      </c>
      <c r="B336" s="76" t="s">
        <v>98</v>
      </c>
      <c r="C336" s="38" t="s">
        <v>97</v>
      </c>
      <c r="D336" s="38" t="s">
        <v>100</v>
      </c>
      <c r="E336" s="48">
        <v>371</v>
      </c>
      <c r="F336" s="48">
        <v>1929608.1089999999</v>
      </c>
      <c r="G336" s="48">
        <v>371</v>
      </c>
      <c r="H336" s="48">
        <v>793317.51500000001</v>
      </c>
      <c r="I336" s="48">
        <v>372</v>
      </c>
      <c r="J336" s="48">
        <v>2030491.1429999999</v>
      </c>
    </row>
    <row r="337" spans="1:10" x14ac:dyDescent="0.2">
      <c r="A337" s="101" t="s">
        <v>171</v>
      </c>
      <c r="B337" s="101" t="s">
        <v>98</v>
      </c>
      <c r="C337" s="38" t="s">
        <v>10</v>
      </c>
      <c r="D337" s="38" t="s">
        <v>100</v>
      </c>
      <c r="E337" s="48">
        <v>2080</v>
      </c>
      <c r="F337" s="48">
        <v>2772607.8969999999</v>
      </c>
      <c r="G337" s="48">
        <v>2078</v>
      </c>
      <c r="H337" s="48">
        <v>1593588.943</v>
      </c>
      <c r="I337" s="48">
        <v>2077</v>
      </c>
      <c r="J337" s="48">
        <v>1791282.236</v>
      </c>
    </row>
    <row r="338" spans="1:10" x14ac:dyDescent="0.2">
      <c r="A338" s="76" t="s">
        <v>172</v>
      </c>
      <c r="B338" s="76" t="s">
        <v>98</v>
      </c>
      <c r="C338" s="38" t="s">
        <v>97</v>
      </c>
      <c r="D338" s="38" t="s">
        <v>100</v>
      </c>
      <c r="E338" s="48">
        <v>671</v>
      </c>
      <c r="F338" s="48">
        <v>4317592.1449999996</v>
      </c>
      <c r="G338" s="48">
        <v>672</v>
      </c>
      <c r="H338" s="48">
        <v>3193112.719</v>
      </c>
      <c r="I338" s="48">
        <v>671</v>
      </c>
      <c r="J338" s="48">
        <v>3089836.4079999998</v>
      </c>
    </row>
    <row r="339" spans="1:10" x14ac:dyDescent="0.2">
      <c r="A339" s="101" t="s">
        <v>172</v>
      </c>
      <c r="B339" s="101" t="s">
        <v>98</v>
      </c>
      <c r="C339" s="38" t="s">
        <v>10</v>
      </c>
      <c r="D339" s="38" t="s">
        <v>100</v>
      </c>
      <c r="E339" s="48">
        <v>3152</v>
      </c>
      <c r="F339" s="48">
        <v>3644466.2680000002</v>
      </c>
      <c r="G339" s="48">
        <v>3160</v>
      </c>
      <c r="H339" s="48">
        <v>2736095.594</v>
      </c>
      <c r="I339" s="48">
        <v>3163</v>
      </c>
      <c r="J339" s="48">
        <v>2940253.611</v>
      </c>
    </row>
    <row r="340" spans="1:10" x14ac:dyDescent="0.2">
      <c r="A340" s="76" t="s">
        <v>173</v>
      </c>
      <c r="B340" s="76" t="s">
        <v>98</v>
      </c>
      <c r="C340" s="38" t="s">
        <v>97</v>
      </c>
      <c r="D340" s="38" t="s">
        <v>100</v>
      </c>
      <c r="E340" s="48">
        <v>1995</v>
      </c>
      <c r="F340" s="48">
        <v>81820725.710000008</v>
      </c>
      <c r="G340" s="48">
        <v>1990</v>
      </c>
      <c r="H340" s="48">
        <v>15735315.963</v>
      </c>
      <c r="I340" s="48">
        <v>1994</v>
      </c>
      <c r="J340" s="48">
        <v>123089853.69400001</v>
      </c>
    </row>
    <row r="341" spans="1:10" x14ac:dyDescent="0.2">
      <c r="A341" s="101" t="s">
        <v>173</v>
      </c>
      <c r="B341" s="101" t="s">
        <v>98</v>
      </c>
      <c r="C341" s="38" t="s">
        <v>10</v>
      </c>
      <c r="D341" s="38" t="s">
        <v>100</v>
      </c>
      <c r="E341" s="48">
        <v>10376</v>
      </c>
      <c r="F341" s="48">
        <v>9156748.6830000002</v>
      </c>
      <c r="G341" s="48">
        <v>10389</v>
      </c>
      <c r="H341" s="48">
        <v>8741520.7489999998</v>
      </c>
      <c r="I341" s="48">
        <v>10403</v>
      </c>
      <c r="J341" s="48">
        <v>7148613.6380000003</v>
      </c>
    </row>
    <row r="342" spans="1:10" x14ac:dyDescent="0.2">
      <c r="A342" s="76" t="s">
        <v>174</v>
      </c>
      <c r="B342" s="76" t="s">
        <v>98</v>
      </c>
      <c r="C342" s="38" t="s">
        <v>97</v>
      </c>
      <c r="D342" s="38" t="s">
        <v>100</v>
      </c>
      <c r="E342" s="48">
        <v>566</v>
      </c>
      <c r="F342" s="48">
        <v>880559.37100000004</v>
      </c>
      <c r="G342" s="48">
        <v>566</v>
      </c>
      <c r="H342" s="48">
        <v>689087.34199999995</v>
      </c>
      <c r="I342" s="48">
        <v>564</v>
      </c>
      <c r="J342" s="48">
        <v>1203564.1440000001</v>
      </c>
    </row>
    <row r="343" spans="1:10" x14ac:dyDescent="0.2">
      <c r="A343" s="101" t="s">
        <v>174</v>
      </c>
      <c r="B343" s="101" t="s">
        <v>98</v>
      </c>
      <c r="C343" s="38" t="s">
        <v>10</v>
      </c>
      <c r="D343" s="38" t="s">
        <v>100</v>
      </c>
      <c r="E343" s="48">
        <v>3241</v>
      </c>
      <c r="F343" s="48">
        <v>3485703.2769999998</v>
      </c>
      <c r="G343" s="48">
        <v>3238</v>
      </c>
      <c r="H343" s="48">
        <v>2996947.6690000002</v>
      </c>
      <c r="I343" s="48">
        <v>3243</v>
      </c>
      <c r="J343" s="48">
        <v>2501505.176</v>
      </c>
    </row>
    <row r="344" spans="1:10" x14ac:dyDescent="0.2">
      <c r="A344" s="76" t="s">
        <v>319</v>
      </c>
      <c r="B344" s="76" t="s">
        <v>98</v>
      </c>
      <c r="C344" s="38" t="s">
        <v>10</v>
      </c>
      <c r="D344" s="38" t="s">
        <v>100</v>
      </c>
      <c r="E344" s="48">
        <v>1</v>
      </c>
      <c r="F344" s="48">
        <v>2676</v>
      </c>
      <c r="G344" s="48">
        <v>1</v>
      </c>
      <c r="H344" s="48"/>
      <c r="I344" s="48">
        <v>1</v>
      </c>
      <c r="J344" s="48">
        <v>1367</v>
      </c>
    </row>
    <row r="345" spans="1:10" x14ac:dyDescent="0.2">
      <c r="A345" s="101" t="s">
        <v>319</v>
      </c>
      <c r="B345" s="38" t="s">
        <v>273</v>
      </c>
      <c r="C345" s="38" t="s">
        <v>97</v>
      </c>
      <c r="D345" s="38" t="s">
        <v>274</v>
      </c>
      <c r="E345" s="48">
        <v>23</v>
      </c>
      <c r="F345" s="48">
        <v>8114.3010000000004</v>
      </c>
      <c r="G345" s="48">
        <v>23</v>
      </c>
      <c r="H345" s="48">
        <v>8080.3429999999998</v>
      </c>
      <c r="I345" s="48">
        <v>23</v>
      </c>
      <c r="J345" s="48">
        <v>5809.99</v>
      </c>
    </row>
    <row r="346" spans="1:10" x14ac:dyDescent="0.2">
      <c r="A346" s="76" t="s">
        <v>319</v>
      </c>
      <c r="B346" s="101" t="s">
        <v>273</v>
      </c>
      <c r="C346" s="38" t="s">
        <v>10</v>
      </c>
      <c r="D346" s="38" t="s">
        <v>274</v>
      </c>
      <c r="E346" s="48">
        <v>410</v>
      </c>
      <c r="F346" s="48">
        <v>24651.423999999999</v>
      </c>
      <c r="G346" s="48">
        <v>408</v>
      </c>
      <c r="H346" s="48">
        <v>23182.067999999999</v>
      </c>
      <c r="I346" s="48">
        <v>407</v>
      </c>
      <c r="J346" s="48">
        <v>12736.795</v>
      </c>
    </row>
    <row r="347" spans="1:10" x14ac:dyDescent="0.2">
      <c r="A347" s="76" t="s">
        <v>320</v>
      </c>
      <c r="B347" s="76" t="s">
        <v>273</v>
      </c>
      <c r="C347" s="38" t="s">
        <v>97</v>
      </c>
      <c r="D347" s="38" t="s">
        <v>274</v>
      </c>
      <c r="E347" s="48">
        <v>56</v>
      </c>
      <c r="F347" s="48">
        <v>37135.258000000002</v>
      </c>
      <c r="G347" s="48">
        <v>56</v>
      </c>
      <c r="H347" s="48">
        <v>29963</v>
      </c>
      <c r="I347" s="48">
        <v>56</v>
      </c>
      <c r="J347" s="48">
        <v>24409.995000000003</v>
      </c>
    </row>
    <row r="348" spans="1:10" x14ac:dyDescent="0.2">
      <c r="A348" s="101" t="s">
        <v>320</v>
      </c>
      <c r="B348" s="101" t="s">
        <v>273</v>
      </c>
      <c r="C348" s="38" t="s">
        <v>10</v>
      </c>
      <c r="D348" s="38" t="s">
        <v>274</v>
      </c>
      <c r="E348" s="48">
        <v>1214</v>
      </c>
      <c r="F348" s="48">
        <v>94460.534</v>
      </c>
      <c r="G348" s="48">
        <v>1213</v>
      </c>
      <c r="H348" s="48">
        <v>75622.865000000005</v>
      </c>
      <c r="I348" s="48">
        <v>1213</v>
      </c>
      <c r="J348" s="48">
        <v>50076.252999999997</v>
      </c>
    </row>
    <row r="349" spans="1:10" x14ac:dyDescent="0.2">
      <c r="A349" s="76" t="s">
        <v>175</v>
      </c>
      <c r="B349" s="76" t="s">
        <v>98</v>
      </c>
      <c r="C349" s="38" t="s">
        <v>97</v>
      </c>
      <c r="D349" s="38" t="s">
        <v>100</v>
      </c>
      <c r="E349" s="48">
        <v>238</v>
      </c>
      <c r="F349" s="48">
        <v>118312.73</v>
      </c>
      <c r="G349" s="48">
        <v>239</v>
      </c>
      <c r="H349" s="48">
        <v>175604.99100000001</v>
      </c>
      <c r="I349" s="48">
        <v>239</v>
      </c>
      <c r="J349" s="48">
        <v>109617.894</v>
      </c>
    </row>
    <row r="350" spans="1:10" x14ac:dyDescent="0.2">
      <c r="A350" s="101" t="s">
        <v>175</v>
      </c>
      <c r="B350" s="101" t="s">
        <v>98</v>
      </c>
      <c r="C350" s="38" t="s">
        <v>10</v>
      </c>
      <c r="D350" s="38" t="s">
        <v>100</v>
      </c>
      <c r="E350" s="48">
        <v>1427</v>
      </c>
      <c r="F350" s="48">
        <v>1340657.5859999999</v>
      </c>
      <c r="G350" s="48">
        <v>1429</v>
      </c>
      <c r="H350" s="48">
        <v>1592491.095</v>
      </c>
      <c r="I350" s="48">
        <v>1431</v>
      </c>
      <c r="J350" s="48">
        <v>930181.78599999996</v>
      </c>
    </row>
    <row r="351" spans="1:10" x14ac:dyDescent="0.2">
      <c r="A351" s="76" t="s">
        <v>176</v>
      </c>
      <c r="B351" s="76" t="s">
        <v>98</v>
      </c>
      <c r="C351" s="38" t="s">
        <v>97</v>
      </c>
      <c r="D351" s="38" t="s">
        <v>100</v>
      </c>
      <c r="E351" s="48">
        <v>30</v>
      </c>
      <c r="F351" s="48">
        <v>911864</v>
      </c>
      <c r="G351" s="48">
        <v>29</v>
      </c>
      <c r="H351" s="48">
        <v>1706088</v>
      </c>
      <c r="I351" s="48">
        <v>30</v>
      </c>
      <c r="J351" s="48">
        <v>54431</v>
      </c>
    </row>
    <row r="352" spans="1:10" x14ac:dyDescent="0.2">
      <c r="A352" s="101" t="s">
        <v>176</v>
      </c>
      <c r="B352" s="101" t="s">
        <v>98</v>
      </c>
      <c r="C352" s="38" t="s">
        <v>10</v>
      </c>
      <c r="D352" s="38" t="s">
        <v>100</v>
      </c>
      <c r="E352" s="48">
        <v>80</v>
      </c>
      <c r="F352" s="48">
        <v>176609.48699999999</v>
      </c>
      <c r="G352" s="48">
        <v>83</v>
      </c>
      <c r="H352" s="48">
        <v>25996.678</v>
      </c>
      <c r="I352" s="48">
        <v>87</v>
      </c>
      <c r="J352" s="48">
        <v>141210</v>
      </c>
    </row>
    <row r="353" spans="1:10" x14ac:dyDescent="0.2">
      <c r="A353" s="76" t="s">
        <v>177</v>
      </c>
      <c r="B353" s="76" t="s">
        <v>98</v>
      </c>
      <c r="C353" s="38" t="s">
        <v>97</v>
      </c>
      <c r="D353" s="38" t="s">
        <v>100</v>
      </c>
      <c r="E353" s="48">
        <v>568</v>
      </c>
      <c r="F353" s="48">
        <v>1360348.737</v>
      </c>
      <c r="G353" s="48">
        <v>566</v>
      </c>
      <c r="H353" s="48">
        <v>1216269.5449999999</v>
      </c>
      <c r="I353" s="48">
        <v>569</v>
      </c>
      <c r="J353" s="48">
        <v>1159569.591</v>
      </c>
    </row>
    <row r="354" spans="1:10" x14ac:dyDescent="0.2">
      <c r="A354" s="101" t="s">
        <v>177</v>
      </c>
      <c r="B354" s="101" t="s">
        <v>98</v>
      </c>
      <c r="C354" s="38" t="s">
        <v>10</v>
      </c>
      <c r="D354" s="38" t="s">
        <v>100</v>
      </c>
      <c r="E354" s="48">
        <v>2170</v>
      </c>
      <c r="F354" s="48">
        <v>2396485.9330000002</v>
      </c>
      <c r="G354" s="48">
        <v>2170</v>
      </c>
      <c r="H354" s="48">
        <v>2345622.7880000002</v>
      </c>
      <c r="I354" s="48">
        <v>2172</v>
      </c>
      <c r="J354" s="48">
        <v>1568784.199</v>
      </c>
    </row>
    <row r="355" spans="1:10" x14ac:dyDescent="0.2">
      <c r="A355" s="76" t="s">
        <v>321</v>
      </c>
      <c r="B355" s="76" t="s">
        <v>273</v>
      </c>
      <c r="C355" s="38" t="s">
        <v>97</v>
      </c>
      <c r="D355" s="38" t="s">
        <v>274</v>
      </c>
      <c r="E355" s="48">
        <v>263</v>
      </c>
      <c r="F355" s="48">
        <v>125917.57200000001</v>
      </c>
      <c r="G355" s="48">
        <v>263</v>
      </c>
      <c r="H355" s="48">
        <v>103085.658</v>
      </c>
      <c r="I355" s="48">
        <v>263</v>
      </c>
      <c r="J355" s="48">
        <v>75551.236999999994</v>
      </c>
    </row>
    <row r="356" spans="1:10" x14ac:dyDescent="0.2">
      <c r="A356" s="101" t="s">
        <v>321</v>
      </c>
      <c r="B356" s="101" t="s">
        <v>273</v>
      </c>
      <c r="C356" s="38" t="s">
        <v>10</v>
      </c>
      <c r="D356" s="38" t="s">
        <v>274</v>
      </c>
      <c r="E356" s="48">
        <v>10629</v>
      </c>
      <c r="F356" s="48">
        <v>779055.70499999996</v>
      </c>
      <c r="G356" s="48">
        <v>10626</v>
      </c>
      <c r="H356" s="48">
        <v>749373.81599999999</v>
      </c>
      <c r="I356" s="48">
        <v>10639</v>
      </c>
      <c r="J356" s="48">
        <v>461749.36599999998</v>
      </c>
    </row>
    <row r="357" spans="1:10" x14ac:dyDescent="0.2">
      <c r="A357" s="76" t="s">
        <v>178</v>
      </c>
      <c r="B357" s="76" t="s">
        <v>98</v>
      </c>
      <c r="C357" s="38" t="s">
        <v>97</v>
      </c>
      <c r="D357" s="38" t="s">
        <v>100</v>
      </c>
      <c r="E357" s="48">
        <v>691</v>
      </c>
      <c r="F357" s="48">
        <v>1977261.7379999999</v>
      </c>
      <c r="G357" s="48">
        <v>689</v>
      </c>
      <c r="H357" s="48">
        <v>1349201.017</v>
      </c>
      <c r="I357" s="48">
        <v>692</v>
      </c>
      <c r="J357" s="48">
        <v>1114314.5859999999</v>
      </c>
    </row>
    <row r="358" spans="1:10" x14ac:dyDescent="0.2">
      <c r="A358" s="101" t="s">
        <v>178</v>
      </c>
      <c r="B358" s="101" t="s">
        <v>98</v>
      </c>
      <c r="C358" s="38" t="s">
        <v>10</v>
      </c>
      <c r="D358" s="38" t="s">
        <v>100</v>
      </c>
      <c r="E358" s="48">
        <v>3481</v>
      </c>
      <c r="F358" s="48">
        <v>4009757.8050000002</v>
      </c>
      <c r="G358" s="48">
        <v>3487</v>
      </c>
      <c r="H358" s="48">
        <v>3249240.7289999998</v>
      </c>
      <c r="I358" s="48">
        <v>3486</v>
      </c>
      <c r="J358" s="48">
        <v>2793606.23</v>
      </c>
    </row>
    <row r="359" spans="1:10" x14ac:dyDescent="0.2">
      <c r="A359" s="76" t="s">
        <v>179</v>
      </c>
      <c r="B359" s="76" t="s">
        <v>98</v>
      </c>
      <c r="C359" s="38" t="s">
        <v>97</v>
      </c>
      <c r="D359" s="38" t="s">
        <v>100</v>
      </c>
      <c r="E359" s="48">
        <v>139</v>
      </c>
      <c r="F359" s="48">
        <v>109740.087</v>
      </c>
      <c r="G359" s="48">
        <v>138</v>
      </c>
      <c r="H359" s="48">
        <v>136211.87300000002</v>
      </c>
      <c r="I359" s="48">
        <v>138</v>
      </c>
      <c r="J359" s="48">
        <v>107989.91099999999</v>
      </c>
    </row>
    <row r="360" spans="1:10" x14ac:dyDescent="0.2">
      <c r="A360" s="101" t="s">
        <v>179</v>
      </c>
      <c r="B360" s="101" t="s">
        <v>98</v>
      </c>
      <c r="C360" s="38" t="s">
        <v>10</v>
      </c>
      <c r="D360" s="38" t="s">
        <v>100</v>
      </c>
      <c r="E360" s="48">
        <v>804</v>
      </c>
      <c r="F360" s="48">
        <v>612421.81200000003</v>
      </c>
      <c r="G360" s="48">
        <v>803</v>
      </c>
      <c r="H360" s="48">
        <v>558390.25100000005</v>
      </c>
      <c r="I360" s="48">
        <v>802</v>
      </c>
      <c r="J360" s="48">
        <v>410617.91200000001</v>
      </c>
    </row>
    <row r="361" spans="1:10" x14ac:dyDescent="0.2">
      <c r="A361" s="76" t="s">
        <v>180</v>
      </c>
      <c r="B361" s="76" t="s">
        <v>98</v>
      </c>
      <c r="C361" s="38" t="s">
        <v>97</v>
      </c>
      <c r="D361" s="38" t="s">
        <v>100</v>
      </c>
      <c r="E361" s="48">
        <v>35</v>
      </c>
      <c r="F361" s="48">
        <v>112563</v>
      </c>
      <c r="G361" s="48">
        <v>36</v>
      </c>
      <c r="H361" s="48">
        <v>32487</v>
      </c>
      <c r="I361" s="48">
        <v>36</v>
      </c>
      <c r="J361" s="48">
        <v>47137</v>
      </c>
    </row>
    <row r="362" spans="1:10" x14ac:dyDescent="0.2">
      <c r="A362" s="101" t="s">
        <v>180</v>
      </c>
      <c r="B362" s="101" t="s">
        <v>98</v>
      </c>
      <c r="C362" s="38" t="s">
        <v>10</v>
      </c>
      <c r="D362" s="38" t="s">
        <v>100</v>
      </c>
      <c r="E362" s="48">
        <v>157</v>
      </c>
      <c r="F362" s="48">
        <v>370497</v>
      </c>
      <c r="G362" s="48">
        <v>156</v>
      </c>
      <c r="H362" s="48">
        <v>4544.1289999999999</v>
      </c>
      <c r="I362" s="48">
        <v>157</v>
      </c>
      <c r="J362" s="48">
        <v>244146.85500000001</v>
      </c>
    </row>
    <row r="363" spans="1:10" x14ac:dyDescent="0.2">
      <c r="A363" s="76" t="s">
        <v>181</v>
      </c>
      <c r="B363" s="76" t="s">
        <v>98</v>
      </c>
      <c r="C363" s="38" t="s">
        <v>97</v>
      </c>
      <c r="D363" s="38" t="s">
        <v>100</v>
      </c>
      <c r="E363" s="48">
        <v>1745</v>
      </c>
      <c r="F363" s="48">
        <v>8652280.2829999998</v>
      </c>
      <c r="G363" s="48">
        <v>1753</v>
      </c>
      <c r="H363" s="48">
        <v>8262845.6239999998</v>
      </c>
      <c r="I363" s="48">
        <v>1764</v>
      </c>
      <c r="J363" s="48">
        <v>11214842.526999999</v>
      </c>
    </row>
    <row r="364" spans="1:10" x14ac:dyDescent="0.2">
      <c r="A364" s="101" t="s">
        <v>181</v>
      </c>
      <c r="B364" s="101" t="s">
        <v>98</v>
      </c>
      <c r="C364" s="38" t="s">
        <v>10</v>
      </c>
      <c r="D364" s="38" t="s">
        <v>100</v>
      </c>
      <c r="E364" s="48">
        <v>8677</v>
      </c>
      <c r="F364" s="48">
        <v>7255553.9170000004</v>
      </c>
      <c r="G364" s="48">
        <v>8693</v>
      </c>
      <c r="H364" s="48">
        <v>6313954.2400000002</v>
      </c>
      <c r="I364" s="48">
        <v>8706</v>
      </c>
      <c r="J364" s="48">
        <v>5674185.8619999997</v>
      </c>
    </row>
    <row r="365" spans="1:10" x14ac:dyDescent="0.2">
      <c r="A365" s="76" t="s">
        <v>182</v>
      </c>
      <c r="B365" s="76" t="s">
        <v>98</v>
      </c>
      <c r="C365" s="38" t="s">
        <v>97</v>
      </c>
      <c r="D365" s="38" t="s">
        <v>100</v>
      </c>
      <c r="E365" s="48">
        <v>148</v>
      </c>
      <c r="F365" s="48">
        <v>259391</v>
      </c>
      <c r="G365" s="48">
        <v>150</v>
      </c>
      <c r="H365" s="48">
        <v>339847.58</v>
      </c>
      <c r="I365" s="48">
        <v>149</v>
      </c>
      <c r="J365" s="48">
        <v>260525.253</v>
      </c>
    </row>
    <row r="366" spans="1:10" x14ac:dyDescent="0.2">
      <c r="A366" s="101" t="s">
        <v>182</v>
      </c>
      <c r="B366" s="101" t="s">
        <v>98</v>
      </c>
      <c r="C366" s="38" t="s">
        <v>10</v>
      </c>
      <c r="D366" s="38" t="s">
        <v>100</v>
      </c>
      <c r="E366" s="48">
        <v>1838</v>
      </c>
      <c r="F366" s="48">
        <v>2038894.084</v>
      </c>
      <c r="G366" s="48">
        <v>1843</v>
      </c>
      <c r="H366" s="48">
        <v>1809353.9750000001</v>
      </c>
      <c r="I366" s="48">
        <v>1848</v>
      </c>
      <c r="J366" s="48">
        <v>1308491.9339999999</v>
      </c>
    </row>
    <row r="367" spans="1:10" x14ac:dyDescent="0.2">
      <c r="A367" s="76" t="s">
        <v>183</v>
      </c>
      <c r="B367" s="76" t="s">
        <v>98</v>
      </c>
      <c r="C367" s="38" t="s">
        <v>97</v>
      </c>
      <c r="D367" s="38" t="s">
        <v>100</v>
      </c>
      <c r="E367" s="48">
        <v>56</v>
      </c>
      <c r="F367" s="48">
        <v>121394.32</v>
      </c>
      <c r="G367" s="48">
        <v>57</v>
      </c>
      <c r="H367" s="48">
        <v>189781.55100000001</v>
      </c>
      <c r="I367" s="48">
        <v>57</v>
      </c>
      <c r="J367" s="48">
        <v>209516</v>
      </c>
    </row>
    <row r="368" spans="1:10" x14ac:dyDescent="0.2">
      <c r="A368" s="101" t="s">
        <v>183</v>
      </c>
      <c r="B368" s="101" t="s">
        <v>98</v>
      </c>
      <c r="C368" s="38" t="s">
        <v>10</v>
      </c>
      <c r="D368" s="38" t="s">
        <v>100</v>
      </c>
      <c r="E368" s="48">
        <v>222</v>
      </c>
      <c r="F368" s="48">
        <v>29608</v>
      </c>
      <c r="G368" s="48">
        <v>222</v>
      </c>
      <c r="H368" s="48">
        <v>363264.679</v>
      </c>
      <c r="I368" s="48">
        <v>221</v>
      </c>
      <c r="J368" s="48">
        <v>41412.758000000002</v>
      </c>
    </row>
    <row r="369" spans="1:10" x14ac:dyDescent="0.2">
      <c r="A369" s="76" t="s">
        <v>322</v>
      </c>
      <c r="B369" s="76" t="s">
        <v>273</v>
      </c>
      <c r="C369" s="38" t="s">
        <v>97</v>
      </c>
      <c r="D369" s="38" t="s">
        <v>274</v>
      </c>
      <c r="E369" s="48">
        <v>556</v>
      </c>
      <c r="F369" s="48">
        <v>188282.24100000001</v>
      </c>
      <c r="G369" s="48">
        <v>554</v>
      </c>
      <c r="H369" s="48">
        <v>161122.5</v>
      </c>
      <c r="I369" s="48">
        <v>555</v>
      </c>
      <c r="J369" s="48">
        <v>114947.26800000001</v>
      </c>
    </row>
    <row r="370" spans="1:10" x14ac:dyDescent="0.2">
      <c r="A370" s="101" t="s">
        <v>322</v>
      </c>
      <c r="B370" s="101" t="s">
        <v>273</v>
      </c>
      <c r="C370" s="38" t="s">
        <v>10</v>
      </c>
      <c r="D370" s="38" t="s">
        <v>274</v>
      </c>
      <c r="E370" s="48">
        <v>11167</v>
      </c>
      <c r="F370" s="48">
        <v>864133.71699999995</v>
      </c>
      <c r="G370" s="48">
        <v>11164</v>
      </c>
      <c r="H370" s="48">
        <v>664285.56700000004</v>
      </c>
      <c r="I370" s="48">
        <v>11165</v>
      </c>
      <c r="J370" s="48">
        <v>458482.88500000001</v>
      </c>
    </row>
    <row r="371" spans="1:10" x14ac:dyDescent="0.2">
      <c r="A371" s="76" t="s">
        <v>323</v>
      </c>
      <c r="B371" s="76" t="s">
        <v>273</v>
      </c>
      <c r="C371" s="38" t="s">
        <v>97</v>
      </c>
      <c r="D371" s="38" t="s">
        <v>274</v>
      </c>
      <c r="E371" s="48">
        <v>515</v>
      </c>
      <c r="F371" s="48">
        <v>470976.11600000004</v>
      </c>
      <c r="G371" s="48">
        <v>521</v>
      </c>
      <c r="H371" s="48">
        <v>411678.50400000002</v>
      </c>
      <c r="I371" s="48">
        <v>520</v>
      </c>
      <c r="J371" s="48">
        <v>238627.092</v>
      </c>
    </row>
    <row r="372" spans="1:10" x14ac:dyDescent="0.2">
      <c r="A372" s="101" t="s">
        <v>323</v>
      </c>
      <c r="B372" s="101" t="s">
        <v>273</v>
      </c>
      <c r="C372" s="38" t="s">
        <v>10</v>
      </c>
      <c r="D372" s="38" t="s">
        <v>274</v>
      </c>
      <c r="E372" s="48">
        <v>2964</v>
      </c>
      <c r="F372" s="48">
        <v>239114.28</v>
      </c>
      <c r="G372" s="48">
        <v>2963</v>
      </c>
      <c r="H372" s="48">
        <v>192529.234</v>
      </c>
      <c r="I372" s="48">
        <v>2960</v>
      </c>
      <c r="J372" s="48">
        <v>134679.774</v>
      </c>
    </row>
    <row r="373" spans="1:10" x14ac:dyDescent="0.2">
      <c r="A373" s="76" t="s">
        <v>184</v>
      </c>
      <c r="B373" s="76" t="s">
        <v>98</v>
      </c>
      <c r="C373" s="38" t="s">
        <v>97</v>
      </c>
      <c r="D373" s="38" t="s">
        <v>100</v>
      </c>
      <c r="E373" s="48">
        <v>5</v>
      </c>
      <c r="F373" s="48">
        <v>533</v>
      </c>
      <c r="G373" s="48">
        <v>5</v>
      </c>
      <c r="H373" s="48">
        <v>581</v>
      </c>
      <c r="I373" s="48">
        <v>5</v>
      </c>
      <c r="J373" s="48">
        <v>809</v>
      </c>
    </row>
    <row r="374" spans="1:10" x14ac:dyDescent="0.2">
      <c r="A374" s="101" t="s">
        <v>184</v>
      </c>
      <c r="B374" s="101" t="s">
        <v>98</v>
      </c>
      <c r="C374" s="38" t="s">
        <v>10</v>
      </c>
      <c r="D374" s="38" t="s">
        <v>100</v>
      </c>
      <c r="E374" s="48">
        <v>3</v>
      </c>
      <c r="F374" s="48">
        <v>4420</v>
      </c>
      <c r="G374" s="48">
        <v>3</v>
      </c>
      <c r="H374" s="48">
        <v>3984</v>
      </c>
      <c r="I374" s="48">
        <v>3</v>
      </c>
      <c r="J374" s="48">
        <v>2611</v>
      </c>
    </row>
    <row r="375" spans="1:10" x14ac:dyDescent="0.2">
      <c r="A375" s="76" t="s">
        <v>184</v>
      </c>
      <c r="B375" s="76" t="s">
        <v>273</v>
      </c>
      <c r="C375" s="38" t="s">
        <v>97</v>
      </c>
      <c r="D375" s="38" t="s">
        <v>274</v>
      </c>
      <c r="E375" s="48">
        <v>630</v>
      </c>
      <c r="F375" s="48">
        <v>460630.30799999996</v>
      </c>
      <c r="G375" s="48">
        <v>632</v>
      </c>
      <c r="H375" s="48">
        <v>388155.82400000002</v>
      </c>
      <c r="I375" s="48">
        <v>631</v>
      </c>
      <c r="J375" s="48">
        <v>424797.29800000001</v>
      </c>
    </row>
    <row r="376" spans="1:10" x14ac:dyDescent="0.2">
      <c r="A376" s="76" t="s">
        <v>184</v>
      </c>
      <c r="B376" s="101" t="s">
        <v>273</v>
      </c>
      <c r="C376" s="38" t="s">
        <v>10</v>
      </c>
      <c r="D376" s="38" t="s">
        <v>274</v>
      </c>
      <c r="E376" s="48">
        <v>4430</v>
      </c>
      <c r="F376" s="48">
        <v>337257.467</v>
      </c>
      <c r="G376" s="48">
        <v>4432</v>
      </c>
      <c r="H376" s="48">
        <v>270051.217</v>
      </c>
      <c r="I376" s="48">
        <v>4433</v>
      </c>
      <c r="J376" s="48">
        <v>181685.85800000001</v>
      </c>
    </row>
    <row r="377" spans="1:10" x14ac:dyDescent="0.2">
      <c r="A377" s="76" t="s">
        <v>185</v>
      </c>
      <c r="B377" s="76" t="s">
        <v>98</v>
      </c>
      <c r="C377" s="38" t="s">
        <v>97</v>
      </c>
      <c r="D377" s="38" t="s">
        <v>100</v>
      </c>
      <c r="E377" s="48">
        <v>2406</v>
      </c>
      <c r="F377" s="48">
        <v>16015740.404000001</v>
      </c>
      <c r="G377" s="48">
        <v>2405</v>
      </c>
      <c r="H377" s="48">
        <v>14729226.473000001</v>
      </c>
      <c r="I377" s="48">
        <v>2401</v>
      </c>
      <c r="J377" s="48">
        <v>16195507.636</v>
      </c>
    </row>
    <row r="378" spans="1:10" x14ac:dyDescent="0.2">
      <c r="A378" s="101" t="s">
        <v>185</v>
      </c>
      <c r="B378" s="101" t="s">
        <v>98</v>
      </c>
      <c r="C378" s="38" t="s">
        <v>10</v>
      </c>
      <c r="D378" s="38" t="s">
        <v>100</v>
      </c>
      <c r="E378" s="48">
        <v>11431</v>
      </c>
      <c r="F378" s="48">
        <v>10586551.989</v>
      </c>
      <c r="G378" s="48">
        <v>11429</v>
      </c>
      <c r="H378" s="48">
        <v>9065091.8910000008</v>
      </c>
      <c r="I378" s="48">
        <v>11435</v>
      </c>
      <c r="J378" s="48">
        <v>7840567.6009999998</v>
      </c>
    </row>
    <row r="379" spans="1:10" x14ac:dyDescent="0.2">
      <c r="A379" s="76" t="s">
        <v>186</v>
      </c>
      <c r="B379" s="76" t="s">
        <v>98</v>
      </c>
      <c r="C379" s="38" t="s">
        <v>97</v>
      </c>
      <c r="D379" s="38" t="s">
        <v>100</v>
      </c>
      <c r="E379" s="48">
        <v>794</v>
      </c>
      <c r="F379" s="48">
        <v>3432330.1510000001</v>
      </c>
      <c r="G379" s="48">
        <v>796</v>
      </c>
      <c r="H379" s="48">
        <v>3095980.1039999998</v>
      </c>
      <c r="I379" s="48">
        <v>791</v>
      </c>
      <c r="J379" s="48">
        <v>2964885.3450000002</v>
      </c>
    </row>
    <row r="380" spans="1:10" x14ac:dyDescent="0.2">
      <c r="A380" s="101" t="s">
        <v>186</v>
      </c>
      <c r="B380" s="101" t="s">
        <v>98</v>
      </c>
      <c r="C380" s="38" t="s">
        <v>10</v>
      </c>
      <c r="D380" s="38" t="s">
        <v>100</v>
      </c>
      <c r="E380" s="48">
        <v>7820</v>
      </c>
      <c r="F380" s="48">
        <v>7077658.4390000002</v>
      </c>
      <c r="G380" s="48">
        <v>7819</v>
      </c>
      <c r="H380" s="48">
        <v>6943598.7779999999</v>
      </c>
      <c r="I380" s="48">
        <v>7816</v>
      </c>
      <c r="J380" s="48">
        <v>5381863.8159999996</v>
      </c>
    </row>
    <row r="381" spans="1:10" x14ac:dyDescent="0.2">
      <c r="A381" s="76" t="s">
        <v>324</v>
      </c>
      <c r="B381" s="76" t="s">
        <v>273</v>
      </c>
      <c r="C381" s="38" t="s">
        <v>97</v>
      </c>
      <c r="D381" s="38" t="s">
        <v>274</v>
      </c>
      <c r="E381" s="48">
        <v>461</v>
      </c>
      <c r="F381" s="48">
        <v>267754.82400000002</v>
      </c>
      <c r="G381" s="48">
        <v>461</v>
      </c>
      <c r="H381" s="48">
        <v>181419.70600000001</v>
      </c>
      <c r="I381" s="48">
        <v>463</v>
      </c>
      <c r="J381" s="48">
        <v>85161.257000000012</v>
      </c>
    </row>
    <row r="382" spans="1:10" x14ac:dyDescent="0.2">
      <c r="A382" s="101" t="s">
        <v>324</v>
      </c>
      <c r="B382" s="101" t="s">
        <v>273</v>
      </c>
      <c r="C382" s="38" t="s">
        <v>10</v>
      </c>
      <c r="D382" s="38" t="s">
        <v>274</v>
      </c>
      <c r="E382" s="48">
        <v>5433</v>
      </c>
      <c r="F382" s="48">
        <v>489441.91800000001</v>
      </c>
      <c r="G382" s="48">
        <v>5435</v>
      </c>
      <c r="H382" s="48">
        <v>328264.076</v>
      </c>
      <c r="I382" s="48">
        <v>5429</v>
      </c>
      <c r="J382" s="48">
        <v>197139.53599999999</v>
      </c>
    </row>
    <row r="383" spans="1:10" x14ac:dyDescent="0.2">
      <c r="A383" s="76" t="s">
        <v>187</v>
      </c>
      <c r="B383" s="76" t="s">
        <v>98</v>
      </c>
      <c r="C383" s="38" t="s">
        <v>97</v>
      </c>
      <c r="D383" s="38" t="s">
        <v>100</v>
      </c>
      <c r="E383" s="48">
        <v>73</v>
      </c>
      <c r="F383" s="48">
        <v>126410.8</v>
      </c>
      <c r="G383" s="48">
        <v>72</v>
      </c>
      <c r="H383" s="48">
        <v>101059.8</v>
      </c>
      <c r="I383" s="48">
        <v>72</v>
      </c>
      <c r="J383" s="48">
        <v>158779.84</v>
      </c>
    </row>
    <row r="384" spans="1:10" x14ac:dyDescent="0.2">
      <c r="A384" s="101" t="s">
        <v>187</v>
      </c>
      <c r="B384" s="101" t="s">
        <v>98</v>
      </c>
      <c r="C384" s="38" t="s">
        <v>10</v>
      </c>
      <c r="D384" s="38" t="s">
        <v>100</v>
      </c>
      <c r="E384" s="48">
        <v>537</v>
      </c>
      <c r="F384" s="48">
        <v>350461.08799999999</v>
      </c>
      <c r="G384" s="48">
        <v>537</v>
      </c>
      <c r="H384" s="48">
        <v>304102.76699999999</v>
      </c>
      <c r="I384" s="48">
        <v>536</v>
      </c>
      <c r="J384" s="48">
        <v>333782.96799999999</v>
      </c>
    </row>
    <row r="385" spans="1:10" x14ac:dyDescent="0.2">
      <c r="A385" s="76" t="s">
        <v>188</v>
      </c>
      <c r="B385" s="76" t="s">
        <v>98</v>
      </c>
      <c r="C385" s="38" t="s">
        <v>97</v>
      </c>
      <c r="D385" s="38" t="s">
        <v>100</v>
      </c>
      <c r="E385" s="48">
        <v>2238</v>
      </c>
      <c r="F385" s="48">
        <v>10711649.901000001</v>
      </c>
      <c r="G385" s="48">
        <v>2241</v>
      </c>
      <c r="H385" s="48">
        <v>10379878.652000001</v>
      </c>
      <c r="I385" s="48">
        <v>2235</v>
      </c>
      <c r="J385" s="48">
        <v>11367114.458000001</v>
      </c>
    </row>
    <row r="386" spans="1:10" x14ac:dyDescent="0.2">
      <c r="A386" s="101" t="s">
        <v>188</v>
      </c>
      <c r="B386" s="101" t="s">
        <v>98</v>
      </c>
      <c r="C386" s="38" t="s">
        <v>10</v>
      </c>
      <c r="D386" s="38" t="s">
        <v>100</v>
      </c>
      <c r="E386" s="48">
        <v>17112</v>
      </c>
      <c r="F386" s="48">
        <v>17393803.776999999</v>
      </c>
      <c r="G386" s="48">
        <v>17113</v>
      </c>
      <c r="H386" s="48">
        <v>14768918.864</v>
      </c>
      <c r="I386" s="48">
        <v>17106</v>
      </c>
      <c r="J386" s="48">
        <v>12811155.83</v>
      </c>
    </row>
    <row r="387" spans="1:10" x14ac:dyDescent="0.2">
      <c r="A387" s="76" t="s">
        <v>189</v>
      </c>
      <c r="B387" s="76" t="s">
        <v>98</v>
      </c>
      <c r="C387" s="38" t="s">
        <v>97</v>
      </c>
      <c r="D387" s="38" t="s">
        <v>100</v>
      </c>
      <c r="E387" s="48">
        <v>1</v>
      </c>
      <c r="F387" s="48">
        <v>24000</v>
      </c>
      <c r="G387" s="48">
        <v>1</v>
      </c>
      <c r="H387" s="48">
        <v>18240</v>
      </c>
      <c r="I387" s="48">
        <v>1</v>
      </c>
      <c r="J387" s="48"/>
    </row>
    <row r="388" spans="1:10" x14ac:dyDescent="0.2">
      <c r="A388" s="38" t="s">
        <v>190</v>
      </c>
      <c r="B388" s="38" t="s">
        <v>98</v>
      </c>
      <c r="C388" s="38" t="s">
        <v>97</v>
      </c>
      <c r="D388" s="38" t="s">
        <v>100</v>
      </c>
      <c r="E388" s="48">
        <v>191</v>
      </c>
      <c r="F388" s="48">
        <v>284727.71999999997</v>
      </c>
      <c r="G388" s="48">
        <v>189</v>
      </c>
      <c r="H388" s="48">
        <v>334900.80300000001</v>
      </c>
      <c r="I388" s="48">
        <v>192</v>
      </c>
      <c r="J388" s="48">
        <v>238578.82699999999</v>
      </c>
    </row>
    <row r="389" spans="1:10" x14ac:dyDescent="0.2">
      <c r="A389" s="101" t="s">
        <v>190</v>
      </c>
      <c r="B389" s="101" t="s">
        <v>98</v>
      </c>
      <c r="C389" s="38" t="s">
        <v>10</v>
      </c>
      <c r="D389" s="38" t="s">
        <v>100</v>
      </c>
      <c r="E389" s="48">
        <v>2113</v>
      </c>
      <c r="F389" s="48">
        <v>1382562.9950000001</v>
      </c>
      <c r="G389" s="48">
        <v>2115</v>
      </c>
      <c r="H389" s="48">
        <v>1240212.2220000001</v>
      </c>
      <c r="I389" s="48">
        <v>2114</v>
      </c>
      <c r="J389" s="48">
        <v>854860.58400000003</v>
      </c>
    </row>
    <row r="390" spans="1:10" x14ac:dyDescent="0.2">
      <c r="A390" s="76" t="s">
        <v>191</v>
      </c>
      <c r="B390" s="76" t="s">
        <v>98</v>
      </c>
      <c r="C390" s="38" t="s">
        <v>97</v>
      </c>
      <c r="D390" s="38" t="s">
        <v>100</v>
      </c>
      <c r="E390" s="48">
        <v>71</v>
      </c>
      <c r="F390" s="48">
        <v>58959.065000000002</v>
      </c>
      <c r="G390" s="48">
        <v>68</v>
      </c>
      <c r="H390" s="48">
        <v>105549</v>
      </c>
      <c r="I390" s="48">
        <v>69</v>
      </c>
      <c r="J390" s="48">
        <v>70180</v>
      </c>
    </row>
    <row r="391" spans="1:10" x14ac:dyDescent="0.2">
      <c r="A391" s="101" t="s">
        <v>191</v>
      </c>
      <c r="B391" s="101" t="s">
        <v>98</v>
      </c>
      <c r="C391" s="38" t="s">
        <v>10</v>
      </c>
      <c r="D391" s="38" t="s">
        <v>100</v>
      </c>
      <c r="E391" s="48">
        <v>224</v>
      </c>
      <c r="F391" s="48">
        <v>137860.44200000001</v>
      </c>
      <c r="G391" s="48">
        <v>224</v>
      </c>
      <c r="H391" s="48">
        <v>265554</v>
      </c>
      <c r="I391" s="48">
        <v>224</v>
      </c>
      <c r="J391" s="48">
        <v>113633.62300000001</v>
      </c>
    </row>
    <row r="392" spans="1:10" x14ac:dyDescent="0.2">
      <c r="A392" s="76" t="s">
        <v>192</v>
      </c>
      <c r="B392" s="76" t="s">
        <v>98</v>
      </c>
      <c r="C392" s="38" t="s">
        <v>97</v>
      </c>
      <c r="D392" s="38" t="s">
        <v>100</v>
      </c>
      <c r="E392" s="48">
        <v>1418</v>
      </c>
      <c r="F392" s="48">
        <v>4110449.9870000002</v>
      </c>
      <c r="G392" s="48">
        <v>1413</v>
      </c>
      <c r="H392" s="48">
        <v>4882163.7130000005</v>
      </c>
      <c r="I392" s="48">
        <v>1414</v>
      </c>
      <c r="J392" s="48">
        <v>4209074.9840000002</v>
      </c>
    </row>
    <row r="393" spans="1:10" x14ac:dyDescent="0.2">
      <c r="A393" s="101" t="s">
        <v>192</v>
      </c>
      <c r="B393" s="101" t="s">
        <v>98</v>
      </c>
      <c r="C393" s="38" t="s">
        <v>10</v>
      </c>
      <c r="D393" s="38" t="s">
        <v>100</v>
      </c>
      <c r="E393" s="48">
        <v>10570</v>
      </c>
      <c r="F393" s="48">
        <v>11110861.640000001</v>
      </c>
      <c r="G393" s="48">
        <v>10578</v>
      </c>
      <c r="H393" s="48">
        <v>9434034.1459999997</v>
      </c>
      <c r="I393" s="48">
        <v>10654</v>
      </c>
      <c r="J393" s="48">
        <v>8040574.6359999999</v>
      </c>
    </row>
    <row r="394" spans="1:10" x14ac:dyDescent="0.2">
      <c r="A394" s="76" t="s">
        <v>193</v>
      </c>
      <c r="B394" s="76" t="s">
        <v>98</v>
      </c>
      <c r="C394" s="38" t="s">
        <v>97</v>
      </c>
      <c r="D394" s="38" t="s">
        <v>100</v>
      </c>
      <c r="E394" s="48">
        <v>89</v>
      </c>
      <c r="F394" s="48">
        <v>151185.28</v>
      </c>
      <c r="G394" s="48">
        <v>90</v>
      </c>
      <c r="H394" s="48">
        <v>209992.87700000001</v>
      </c>
      <c r="I394" s="48">
        <v>90</v>
      </c>
      <c r="J394" s="48">
        <v>108161</v>
      </c>
    </row>
    <row r="395" spans="1:10" x14ac:dyDescent="0.2">
      <c r="A395" s="101" t="s">
        <v>193</v>
      </c>
      <c r="B395" s="101" t="s">
        <v>98</v>
      </c>
      <c r="C395" s="38" t="s">
        <v>10</v>
      </c>
      <c r="D395" s="38" t="s">
        <v>100</v>
      </c>
      <c r="E395" s="48">
        <v>371</v>
      </c>
      <c r="F395" s="48">
        <v>309908.587</v>
      </c>
      <c r="G395" s="48">
        <v>371</v>
      </c>
      <c r="H395" s="48">
        <v>454739.51199999999</v>
      </c>
      <c r="I395" s="48">
        <v>372</v>
      </c>
      <c r="J395" s="48">
        <v>206312</v>
      </c>
    </row>
    <row r="396" spans="1:10" x14ac:dyDescent="0.2">
      <c r="A396" s="76" t="s">
        <v>325</v>
      </c>
      <c r="B396" s="76" t="s">
        <v>273</v>
      </c>
      <c r="C396" s="38" t="s">
        <v>97</v>
      </c>
      <c r="D396" s="38" t="s">
        <v>274</v>
      </c>
      <c r="E396" s="48">
        <v>424</v>
      </c>
      <c r="F396" s="48">
        <v>138050.38799999998</v>
      </c>
      <c r="G396" s="48">
        <v>423</v>
      </c>
      <c r="H396" s="48">
        <v>109155.314</v>
      </c>
      <c r="I396" s="48">
        <v>420</v>
      </c>
      <c r="J396" s="48">
        <v>71910.383999999991</v>
      </c>
    </row>
    <row r="397" spans="1:10" x14ac:dyDescent="0.2">
      <c r="A397" s="101" t="s">
        <v>325</v>
      </c>
      <c r="B397" s="101" t="s">
        <v>273</v>
      </c>
      <c r="C397" s="38" t="s">
        <v>10</v>
      </c>
      <c r="D397" s="38" t="s">
        <v>274</v>
      </c>
      <c r="E397" s="48">
        <v>2879</v>
      </c>
      <c r="F397" s="48">
        <v>218137.68900000001</v>
      </c>
      <c r="G397" s="48">
        <v>2877</v>
      </c>
      <c r="H397" s="48">
        <v>184106.2</v>
      </c>
      <c r="I397" s="48">
        <v>2885</v>
      </c>
      <c r="J397" s="48">
        <v>123085.55</v>
      </c>
    </row>
    <row r="398" spans="1:10" x14ac:dyDescent="0.2">
      <c r="A398" s="76" t="s">
        <v>194</v>
      </c>
      <c r="B398" s="76" t="s">
        <v>98</v>
      </c>
      <c r="C398" s="38" t="s">
        <v>97</v>
      </c>
      <c r="D398" s="38" t="s">
        <v>100</v>
      </c>
      <c r="E398" s="48">
        <v>6</v>
      </c>
      <c r="F398" s="48">
        <v>19321</v>
      </c>
      <c r="G398" s="48">
        <v>6</v>
      </c>
      <c r="H398" s="48">
        <v>41</v>
      </c>
      <c r="I398" s="48">
        <v>6</v>
      </c>
      <c r="J398" s="48">
        <v>11276</v>
      </c>
    </row>
    <row r="399" spans="1:10" x14ac:dyDescent="0.2">
      <c r="A399" s="101" t="s">
        <v>194</v>
      </c>
      <c r="B399" s="101" t="s">
        <v>98</v>
      </c>
      <c r="C399" s="38" t="s">
        <v>10</v>
      </c>
      <c r="D399" s="38" t="s">
        <v>100</v>
      </c>
      <c r="E399" s="48">
        <v>28</v>
      </c>
      <c r="F399" s="48">
        <v>141968.83900000001</v>
      </c>
      <c r="G399" s="48">
        <v>28</v>
      </c>
      <c r="H399" s="48"/>
      <c r="I399" s="48">
        <v>28</v>
      </c>
      <c r="J399" s="48">
        <v>89810.160999999993</v>
      </c>
    </row>
    <row r="400" spans="1:10" x14ac:dyDescent="0.2">
      <c r="A400" s="76" t="s">
        <v>194</v>
      </c>
      <c r="B400" s="76" t="s">
        <v>273</v>
      </c>
      <c r="C400" s="38" t="s">
        <v>97</v>
      </c>
      <c r="D400" s="38" t="s">
        <v>274</v>
      </c>
      <c r="E400" s="48">
        <v>1</v>
      </c>
      <c r="F400" s="48"/>
      <c r="G400" s="48">
        <v>1</v>
      </c>
      <c r="H400" s="48">
        <v>165.10300000000001</v>
      </c>
      <c r="I400" s="48">
        <v>1</v>
      </c>
      <c r="J400" s="48">
        <v>48.914000000000001</v>
      </c>
    </row>
    <row r="401" spans="1:10" x14ac:dyDescent="0.2">
      <c r="A401" s="76" t="s">
        <v>194</v>
      </c>
      <c r="B401" s="101" t="s">
        <v>273</v>
      </c>
      <c r="C401" s="38" t="s">
        <v>10</v>
      </c>
      <c r="D401" s="38" t="s">
        <v>274</v>
      </c>
      <c r="E401" s="48">
        <v>483</v>
      </c>
      <c r="F401" s="48">
        <v>44411.764000000003</v>
      </c>
      <c r="G401" s="48">
        <v>483</v>
      </c>
      <c r="H401" s="48">
        <v>37415.784</v>
      </c>
      <c r="I401" s="48">
        <v>484</v>
      </c>
      <c r="J401" s="48">
        <v>28875.279999999999</v>
      </c>
    </row>
    <row r="402" spans="1:10" x14ac:dyDescent="0.2">
      <c r="A402" s="76" t="s">
        <v>326</v>
      </c>
      <c r="B402" s="76" t="s">
        <v>273</v>
      </c>
      <c r="C402" s="38" t="s">
        <v>97</v>
      </c>
      <c r="D402" s="38" t="s">
        <v>274</v>
      </c>
      <c r="E402" s="48">
        <v>63</v>
      </c>
      <c r="F402" s="48">
        <v>174985.03100000002</v>
      </c>
      <c r="G402" s="48">
        <v>63</v>
      </c>
      <c r="H402" s="48">
        <v>83100.747000000003</v>
      </c>
      <c r="I402" s="48">
        <v>64</v>
      </c>
      <c r="J402" s="48">
        <v>12300.418</v>
      </c>
    </row>
    <row r="403" spans="1:10" x14ac:dyDescent="0.2">
      <c r="A403" s="101" t="s">
        <v>326</v>
      </c>
      <c r="B403" s="101" t="s">
        <v>273</v>
      </c>
      <c r="C403" s="38" t="s">
        <v>10</v>
      </c>
      <c r="D403" s="38" t="s">
        <v>274</v>
      </c>
      <c r="E403" s="48">
        <v>1504</v>
      </c>
      <c r="F403" s="48">
        <v>81407.672000000006</v>
      </c>
      <c r="G403" s="48">
        <v>1520</v>
      </c>
      <c r="H403" s="48">
        <v>69095.722999999998</v>
      </c>
      <c r="I403" s="48">
        <v>1541</v>
      </c>
      <c r="J403" s="48">
        <v>41238.667000000001</v>
      </c>
    </row>
    <row r="404" spans="1:10" x14ac:dyDescent="0.2">
      <c r="A404" s="76" t="s">
        <v>195</v>
      </c>
      <c r="B404" s="76" t="s">
        <v>98</v>
      </c>
      <c r="C404" s="38" t="s">
        <v>97</v>
      </c>
      <c r="D404" s="38" t="s">
        <v>100</v>
      </c>
      <c r="E404" s="48">
        <v>166</v>
      </c>
      <c r="F404" s="48">
        <v>477584.35700000002</v>
      </c>
      <c r="G404" s="48">
        <v>166</v>
      </c>
      <c r="H404" s="48">
        <v>281989.51899999997</v>
      </c>
      <c r="I404" s="48">
        <v>167</v>
      </c>
      <c r="J404" s="48">
        <v>1040572.068</v>
      </c>
    </row>
    <row r="405" spans="1:10" x14ac:dyDescent="0.2">
      <c r="A405" s="101" t="s">
        <v>195</v>
      </c>
      <c r="B405" s="101" t="s">
        <v>98</v>
      </c>
      <c r="C405" s="38" t="s">
        <v>10</v>
      </c>
      <c r="D405" s="38" t="s">
        <v>100</v>
      </c>
      <c r="E405" s="48">
        <v>463</v>
      </c>
      <c r="F405" s="48">
        <v>597493.83600000001</v>
      </c>
      <c r="G405" s="48">
        <v>462</v>
      </c>
      <c r="H405" s="48">
        <v>548689.32299999997</v>
      </c>
      <c r="I405" s="48">
        <v>463</v>
      </c>
      <c r="J405" s="48">
        <v>448842.05599999998</v>
      </c>
    </row>
    <row r="406" spans="1:10" x14ac:dyDescent="0.2">
      <c r="A406" s="76" t="s">
        <v>327</v>
      </c>
      <c r="B406" s="76" t="s">
        <v>273</v>
      </c>
      <c r="C406" s="38" t="s">
        <v>97</v>
      </c>
      <c r="D406" s="38" t="s">
        <v>274</v>
      </c>
      <c r="E406" s="48">
        <v>141</v>
      </c>
      <c r="F406" s="48">
        <v>99190.425000000003</v>
      </c>
      <c r="G406" s="48">
        <v>141</v>
      </c>
      <c r="H406" s="48">
        <v>52692.425000000003</v>
      </c>
      <c r="I406" s="48">
        <v>140</v>
      </c>
      <c r="J406" s="48">
        <v>115754.177</v>
      </c>
    </row>
    <row r="407" spans="1:10" x14ac:dyDescent="0.2">
      <c r="A407" s="76" t="s">
        <v>327</v>
      </c>
      <c r="B407" s="38" t="s">
        <v>273</v>
      </c>
      <c r="C407" s="38" t="s">
        <v>10</v>
      </c>
      <c r="D407" s="38" t="s">
        <v>274</v>
      </c>
      <c r="E407" s="48">
        <v>6438</v>
      </c>
      <c r="F407" s="48">
        <v>627228.31099999999</v>
      </c>
      <c r="G407" s="48">
        <v>6447</v>
      </c>
      <c r="H407" s="48">
        <v>472321.723</v>
      </c>
      <c r="I407" s="48">
        <v>6448</v>
      </c>
      <c r="J407" s="48">
        <v>275796.853</v>
      </c>
    </row>
    <row r="408" spans="1:10" x14ac:dyDescent="0.2">
      <c r="A408" s="101" t="s">
        <v>196</v>
      </c>
      <c r="B408" s="101" t="s">
        <v>98</v>
      </c>
      <c r="C408" s="38" t="s">
        <v>97</v>
      </c>
      <c r="D408" s="38" t="s">
        <v>100</v>
      </c>
      <c r="E408" s="48">
        <v>962</v>
      </c>
      <c r="F408" s="48">
        <v>3687027.3160000001</v>
      </c>
      <c r="G408" s="48">
        <v>965</v>
      </c>
      <c r="H408" s="48">
        <v>3539785.719</v>
      </c>
      <c r="I408" s="48">
        <v>962</v>
      </c>
      <c r="J408" s="48">
        <v>2595508.6439999999</v>
      </c>
    </row>
    <row r="409" spans="1:10" x14ac:dyDescent="0.2">
      <c r="A409" s="76" t="s">
        <v>196</v>
      </c>
      <c r="B409" s="76" t="s">
        <v>98</v>
      </c>
      <c r="C409" s="38" t="s">
        <v>10</v>
      </c>
      <c r="D409" s="38" t="s">
        <v>100</v>
      </c>
      <c r="E409" s="48">
        <v>9415</v>
      </c>
      <c r="F409" s="48">
        <v>8337753.2989999996</v>
      </c>
      <c r="G409" s="48">
        <v>9429</v>
      </c>
      <c r="H409" s="48">
        <v>7994039.3059999999</v>
      </c>
      <c r="I409" s="48">
        <v>9444</v>
      </c>
      <c r="J409" s="48">
        <v>6257011.0959999999</v>
      </c>
    </row>
    <row r="410" spans="1:10" x14ac:dyDescent="0.2">
      <c r="A410" s="101" t="s">
        <v>197</v>
      </c>
      <c r="B410" s="101" t="s">
        <v>98</v>
      </c>
      <c r="C410" s="38" t="s">
        <v>97</v>
      </c>
      <c r="D410" s="38" t="s">
        <v>100</v>
      </c>
      <c r="E410" s="48">
        <v>677</v>
      </c>
      <c r="F410" s="48">
        <v>2850872.1780000003</v>
      </c>
      <c r="G410" s="48">
        <v>691</v>
      </c>
      <c r="H410" s="48">
        <v>2714755.9569999999</v>
      </c>
      <c r="I410" s="48">
        <v>696</v>
      </c>
      <c r="J410" s="48">
        <v>2519183.051</v>
      </c>
    </row>
    <row r="411" spans="1:10" x14ac:dyDescent="0.2">
      <c r="A411" s="76" t="s">
        <v>197</v>
      </c>
      <c r="B411" s="76" t="s">
        <v>98</v>
      </c>
      <c r="C411" s="38" t="s">
        <v>10</v>
      </c>
      <c r="D411" s="38" t="s">
        <v>100</v>
      </c>
      <c r="E411" s="48">
        <v>10647</v>
      </c>
      <c r="F411" s="48">
        <v>10839160.017000001</v>
      </c>
      <c r="G411" s="48">
        <v>10653</v>
      </c>
      <c r="H411" s="48">
        <v>10311182.453</v>
      </c>
      <c r="I411" s="48">
        <v>10658</v>
      </c>
      <c r="J411" s="48">
        <v>8218916.2939999998</v>
      </c>
    </row>
    <row r="412" spans="1:10" x14ac:dyDescent="0.2">
      <c r="A412" s="101" t="s">
        <v>198</v>
      </c>
      <c r="B412" s="101" t="s">
        <v>98</v>
      </c>
      <c r="C412" s="38" t="s">
        <v>97</v>
      </c>
      <c r="D412" s="38" t="s">
        <v>100</v>
      </c>
      <c r="E412" s="48">
        <v>1909</v>
      </c>
      <c r="F412" s="48">
        <v>7317204.1349999998</v>
      </c>
      <c r="G412" s="48">
        <v>1903</v>
      </c>
      <c r="H412" s="48">
        <v>6377590.9970000004</v>
      </c>
      <c r="I412" s="48">
        <v>1891</v>
      </c>
      <c r="J412" s="48">
        <v>6652520.102</v>
      </c>
    </row>
    <row r="413" spans="1:10" x14ac:dyDescent="0.2">
      <c r="A413" s="76" t="s">
        <v>198</v>
      </c>
      <c r="B413" s="76" t="s">
        <v>98</v>
      </c>
      <c r="C413" s="38" t="s">
        <v>10</v>
      </c>
      <c r="D413" s="38" t="s">
        <v>100</v>
      </c>
      <c r="E413" s="48">
        <v>14511</v>
      </c>
      <c r="F413" s="48">
        <v>14481128.449999999</v>
      </c>
      <c r="G413" s="48">
        <v>14536</v>
      </c>
      <c r="H413" s="48">
        <v>14495079.953</v>
      </c>
      <c r="I413" s="48">
        <v>14569</v>
      </c>
      <c r="J413" s="48">
        <v>11270670.467</v>
      </c>
    </row>
    <row r="414" spans="1:10" x14ac:dyDescent="0.2">
      <c r="A414" s="101" t="s">
        <v>199</v>
      </c>
      <c r="B414" s="101" t="s">
        <v>98</v>
      </c>
      <c r="C414" s="38" t="s">
        <v>97</v>
      </c>
      <c r="D414" s="38" t="s">
        <v>100</v>
      </c>
      <c r="E414" s="48">
        <v>2</v>
      </c>
      <c r="F414" s="48">
        <v>6993</v>
      </c>
      <c r="G414" s="48">
        <v>2</v>
      </c>
      <c r="H414" s="48">
        <v>6191</v>
      </c>
      <c r="I414" s="48">
        <v>2</v>
      </c>
      <c r="J414" s="48">
        <v>4946</v>
      </c>
    </row>
    <row r="415" spans="1:10" x14ac:dyDescent="0.2">
      <c r="A415" s="76" t="s">
        <v>200</v>
      </c>
      <c r="B415" s="76" t="s">
        <v>98</v>
      </c>
      <c r="C415" s="38" t="s">
        <v>97</v>
      </c>
      <c r="D415" s="38" t="s">
        <v>100</v>
      </c>
      <c r="E415" s="48">
        <v>920</v>
      </c>
      <c r="F415" s="48">
        <v>2161526.7540000002</v>
      </c>
      <c r="G415" s="48">
        <v>915</v>
      </c>
      <c r="H415" s="48">
        <v>4240124.2580000004</v>
      </c>
      <c r="I415" s="48">
        <v>929</v>
      </c>
      <c r="J415" s="48">
        <v>2647907.807</v>
      </c>
    </row>
    <row r="416" spans="1:10" x14ac:dyDescent="0.2">
      <c r="A416" s="38" t="s">
        <v>200</v>
      </c>
      <c r="B416" s="38" t="s">
        <v>98</v>
      </c>
      <c r="C416" s="38" t="s">
        <v>10</v>
      </c>
      <c r="D416" s="38" t="s">
        <v>100</v>
      </c>
      <c r="E416" s="48">
        <v>6386</v>
      </c>
      <c r="F416" s="48">
        <v>8075133.9620000003</v>
      </c>
      <c r="G416" s="48">
        <v>6394</v>
      </c>
      <c r="H416" s="48">
        <v>6415041.2029999997</v>
      </c>
      <c r="I416" s="48">
        <v>6416</v>
      </c>
      <c r="J416" s="48">
        <v>6168155.9699999997</v>
      </c>
    </row>
    <row r="417" spans="1:10" x14ac:dyDescent="0.2">
      <c r="A417" s="101" t="s">
        <v>200</v>
      </c>
      <c r="B417" s="101" t="s">
        <v>273</v>
      </c>
      <c r="C417" s="38" t="s">
        <v>97</v>
      </c>
      <c r="D417" s="38" t="s">
        <v>274</v>
      </c>
      <c r="E417" s="48">
        <v>169</v>
      </c>
      <c r="F417" s="48">
        <v>106314.196</v>
      </c>
      <c r="G417" s="48">
        <v>170</v>
      </c>
      <c r="H417" s="48">
        <v>132384.70600000001</v>
      </c>
      <c r="I417" s="48">
        <v>170</v>
      </c>
      <c r="J417" s="48">
        <v>76626.217000000004</v>
      </c>
    </row>
    <row r="418" spans="1:10" x14ac:dyDescent="0.2">
      <c r="A418" s="76" t="s">
        <v>200</v>
      </c>
      <c r="B418" s="76" t="s">
        <v>273</v>
      </c>
      <c r="C418" s="38" t="s">
        <v>10</v>
      </c>
      <c r="D418" s="38" t="s">
        <v>274</v>
      </c>
      <c r="E418" s="48">
        <v>3012</v>
      </c>
      <c r="F418" s="48">
        <v>218222.913</v>
      </c>
      <c r="G418" s="48">
        <v>3026</v>
      </c>
      <c r="H418" s="48">
        <v>159758.81</v>
      </c>
      <c r="I418" s="48">
        <v>3053</v>
      </c>
      <c r="J418" s="48">
        <v>87727.991999999998</v>
      </c>
    </row>
    <row r="419" spans="1:10" x14ac:dyDescent="0.2">
      <c r="A419" s="76" t="s">
        <v>201</v>
      </c>
      <c r="B419" s="101" t="s">
        <v>98</v>
      </c>
      <c r="C419" s="38" t="s">
        <v>97</v>
      </c>
      <c r="D419" s="38" t="s">
        <v>100</v>
      </c>
      <c r="E419" s="48">
        <v>1</v>
      </c>
      <c r="F419" s="48">
        <v>60</v>
      </c>
      <c r="G419" s="48">
        <v>1</v>
      </c>
      <c r="H419" s="48">
        <v>60</v>
      </c>
      <c r="I419" s="48">
        <v>1</v>
      </c>
      <c r="J419" s="48">
        <v>60</v>
      </c>
    </row>
    <row r="420" spans="1:10" x14ac:dyDescent="0.2">
      <c r="A420" s="76" t="s">
        <v>202</v>
      </c>
      <c r="B420" s="76" t="s">
        <v>98</v>
      </c>
      <c r="C420" s="38" t="s">
        <v>97</v>
      </c>
      <c r="D420" s="38" t="s">
        <v>100</v>
      </c>
      <c r="E420" s="48">
        <v>43</v>
      </c>
      <c r="F420" s="48">
        <v>49689</v>
      </c>
      <c r="G420" s="48">
        <v>43</v>
      </c>
      <c r="H420" s="48">
        <v>77643.399999999994</v>
      </c>
      <c r="I420" s="48">
        <v>44</v>
      </c>
      <c r="J420" s="48">
        <v>53920.455000000002</v>
      </c>
    </row>
    <row r="421" spans="1:10" x14ac:dyDescent="0.2">
      <c r="A421" s="38" t="s">
        <v>202</v>
      </c>
      <c r="B421" s="38" t="s">
        <v>98</v>
      </c>
      <c r="C421" s="38" t="s">
        <v>10</v>
      </c>
      <c r="D421" s="38" t="s">
        <v>100</v>
      </c>
      <c r="E421" s="48">
        <v>333</v>
      </c>
      <c r="F421" s="48">
        <v>16039</v>
      </c>
      <c r="G421" s="48">
        <v>332</v>
      </c>
      <c r="H421" s="48">
        <v>859833.09100000001</v>
      </c>
      <c r="I421" s="48">
        <v>335</v>
      </c>
      <c r="J421" s="48">
        <v>5193.8890000000001</v>
      </c>
    </row>
    <row r="422" spans="1:10" x14ac:dyDescent="0.2">
      <c r="A422" s="101" t="s">
        <v>203</v>
      </c>
      <c r="B422" s="101" t="s">
        <v>98</v>
      </c>
      <c r="C422" s="38" t="s">
        <v>97</v>
      </c>
      <c r="D422" s="38" t="s">
        <v>100</v>
      </c>
      <c r="E422" s="48">
        <v>411</v>
      </c>
      <c r="F422" s="48">
        <v>4659167.7609999999</v>
      </c>
      <c r="G422" s="48">
        <v>408</v>
      </c>
      <c r="H422" s="48">
        <v>4640139.6309999991</v>
      </c>
      <c r="I422" s="48">
        <v>408</v>
      </c>
      <c r="J422" s="48">
        <v>4124874.412</v>
      </c>
    </row>
    <row r="423" spans="1:10" x14ac:dyDescent="0.2">
      <c r="A423" s="76" t="s">
        <v>203</v>
      </c>
      <c r="B423" s="76" t="s">
        <v>98</v>
      </c>
      <c r="C423" s="38" t="s">
        <v>10</v>
      </c>
      <c r="D423" s="38" t="s">
        <v>100</v>
      </c>
      <c r="E423" s="48">
        <v>3634</v>
      </c>
      <c r="F423" s="48">
        <v>2556679.889</v>
      </c>
      <c r="G423" s="48">
        <v>3631</v>
      </c>
      <c r="H423" s="48">
        <v>2408512.3739999998</v>
      </c>
      <c r="I423" s="48">
        <v>3629</v>
      </c>
      <c r="J423" s="48">
        <v>2313061.1239999998</v>
      </c>
    </row>
    <row r="424" spans="1:10" x14ac:dyDescent="0.2">
      <c r="A424" s="101" t="s">
        <v>203</v>
      </c>
      <c r="B424" s="101" t="s">
        <v>273</v>
      </c>
      <c r="C424" s="38" t="s">
        <v>97</v>
      </c>
      <c r="D424" s="38" t="s">
        <v>274</v>
      </c>
      <c r="E424" s="48">
        <v>121</v>
      </c>
      <c r="F424" s="48">
        <v>160704.33600000001</v>
      </c>
      <c r="G424" s="48">
        <v>120</v>
      </c>
      <c r="H424" s="48">
        <v>110376.84300000001</v>
      </c>
      <c r="I424" s="48">
        <v>120</v>
      </c>
      <c r="J424" s="48">
        <v>90974.334000000003</v>
      </c>
    </row>
    <row r="425" spans="1:10" x14ac:dyDescent="0.2">
      <c r="A425" s="76" t="s">
        <v>203</v>
      </c>
      <c r="B425" s="76" t="s">
        <v>273</v>
      </c>
      <c r="C425" s="38" t="s">
        <v>10</v>
      </c>
      <c r="D425" s="38" t="s">
        <v>274</v>
      </c>
      <c r="E425" s="48">
        <v>2912</v>
      </c>
      <c r="F425" s="48">
        <v>181761.08199999999</v>
      </c>
      <c r="G425" s="48">
        <v>2910</v>
      </c>
      <c r="H425" s="48">
        <v>174858.334</v>
      </c>
      <c r="I425" s="48">
        <v>2909</v>
      </c>
      <c r="J425" s="48">
        <v>117915.98299999999</v>
      </c>
    </row>
    <row r="426" spans="1:10" x14ac:dyDescent="0.2">
      <c r="A426" s="76" t="s">
        <v>204</v>
      </c>
      <c r="B426" s="101" t="s">
        <v>98</v>
      </c>
      <c r="C426" s="38" t="s">
        <v>97</v>
      </c>
      <c r="D426" s="38" t="s">
        <v>100</v>
      </c>
      <c r="E426" s="48">
        <v>63</v>
      </c>
      <c r="F426" s="48">
        <v>193328</v>
      </c>
      <c r="G426" s="48">
        <v>65</v>
      </c>
      <c r="H426" s="48">
        <v>96741</v>
      </c>
      <c r="I426" s="48">
        <v>66</v>
      </c>
      <c r="J426" s="48">
        <v>132395.234</v>
      </c>
    </row>
    <row r="427" spans="1:10" x14ac:dyDescent="0.2">
      <c r="A427" s="76" t="s">
        <v>204</v>
      </c>
      <c r="B427" s="76" t="s">
        <v>98</v>
      </c>
      <c r="C427" s="38" t="s">
        <v>10</v>
      </c>
      <c r="D427" s="38" t="s">
        <v>100</v>
      </c>
      <c r="E427" s="48">
        <v>361</v>
      </c>
      <c r="F427" s="48">
        <v>428789</v>
      </c>
      <c r="G427" s="48">
        <v>361</v>
      </c>
      <c r="H427" s="48">
        <v>580913.24300000002</v>
      </c>
      <c r="I427" s="48">
        <v>360</v>
      </c>
      <c r="J427" s="48">
        <v>327069</v>
      </c>
    </row>
    <row r="428" spans="1:10" x14ac:dyDescent="0.2">
      <c r="A428" s="101" t="s">
        <v>205</v>
      </c>
      <c r="B428" s="101" t="s">
        <v>98</v>
      </c>
      <c r="C428" s="38" t="s">
        <v>97</v>
      </c>
      <c r="D428" s="38" t="s">
        <v>100</v>
      </c>
      <c r="E428" s="48">
        <v>2</v>
      </c>
      <c r="F428" s="48"/>
      <c r="G428" s="48">
        <v>2</v>
      </c>
      <c r="H428" s="48">
        <v>1691</v>
      </c>
      <c r="I428" s="48">
        <v>2</v>
      </c>
      <c r="J428" s="48"/>
    </row>
    <row r="429" spans="1:10" x14ac:dyDescent="0.2">
      <c r="A429" s="76" t="s">
        <v>205</v>
      </c>
      <c r="B429" s="76" t="s">
        <v>98</v>
      </c>
      <c r="C429" s="38" t="s">
        <v>10</v>
      </c>
      <c r="D429" s="38" t="s">
        <v>100</v>
      </c>
      <c r="E429" s="48">
        <v>27</v>
      </c>
      <c r="F429" s="48">
        <v>12985.462</v>
      </c>
      <c r="G429" s="48">
        <v>27</v>
      </c>
      <c r="H429" s="48">
        <v>50962.769</v>
      </c>
      <c r="I429" s="48">
        <v>28</v>
      </c>
      <c r="J429" s="48">
        <v>14328</v>
      </c>
    </row>
    <row r="430" spans="1:10" x14ac:dyDescent="0.2">
      <c r="A430" s="101" t="s">
        <v>206</v>
      </c>
      <c r="B430" s="101" t="s">
        <v>98</v>
      </c>
      <c r="C430" s="38" t="s">
        <v>97</v>
      </c>
      <c r="D430" s="38" t="s">
        <v>100</v>
      </c>
      <c r="E430" s="48">
        <v>25</v>
      </c>
      <c r="F430" s="48">
        <v>13517</v>
      </c>
      <c r="G430" s="48">
        <v>25</v>
      </c>
      <c r="H430" s="48">
        <v>11297</v>
      </c>
      <c r="I430" s="48">
        <v>24</v>
      </c>
      <c r="J430" s="48">
        <v>10811.803</v>
      </c>
    </row>
    <row r="431" spans="1:10" x14ac:dyDescent="0.2">
      <c r="A431" s="76" t="s">
        <v>206</v>
      </c>
      <c r="B431" s="76" t="s">
        <v>98</v>
      </c>
      <c r="C431" s="38" t="s">
        <v>10</v>
      </c>
      <c r="D431" s="38" t="s">
        <v>100</v>
      </c>
      <c r="E431" s="48">
        <v>309</v>
      </c>
      <c r="F431" s="48">
        <v>402159.88500000001</v>
      </c>
      <c r="G431" s="48">
        <v>309</v>
      </c>
      <c r="H431" s="48">
        <v>330734</v>
      </c>
      <c r="I431" s="48">
        <v>311</v>
      </c>
      <c r="J431" s="48">
        <v>312769.42499999999</v>
      </c>
    </row>
    <row r="432" spans="1:10" x14ac:dyDescent="0.2">
      <c r="A432" s="101" t="s">
        <v>206</v>
      </c>
      <c r="B432" s="101" t="s">
        <v>273</v>
      </c>
      <c r="C432" s="38" t="s">
        <v>97</v>
      </c>
      <c r="D432" s="38" t="s">
        <v>274</v>
      </c>
      <c r="E432" s="48">
        <v>146</v>
      </c>
      <c r="F432" s="48">
        <v>124059.546</v>
      </c>
      <c r="G432" s="48">
        <v>146</v>
      </c>
      <c r="H432" s="48">
        <v>120325.29599999999</v>
      </c>
      <c r="I432" s="48">
        <v>146</v>
      </c>
      <c r="J432" s="48">
        <v>73186.410000000018</v>
      </c>
    </row>
    <row r="433" spans="1:10" x14ac:dyDescent="0.2">
      <c r="A433" s="76" t="s">
        <v>206</v>
      </c>
      <c r="B433" s="76" t="s">
        <v>273</v>
      </c>
      <c r="C433" s="38" t="s">
        <v>10</v>
      </c>
      <c r="D433" s="38" t="s">
        <v>274</v>
      </c>
      <c r="E433" s="48">
        <v>4832</v>
      </c>
      <c r="F433" s="48">
        <v>428529.55499999999</v>
      </c>
      <c r="G433" s="48">
        <v>4846</v>
      </c>
      <c r="H433" s="48">
        <v>372721.83600000001</v>
      </c>
      <c r="I433" s="48">
        <v>4857</v>
      </c>
      <c r="J433" s="48">
        <v>220914.899</v>
      </c>
    </row>
    <row r="434" spans="1:10" x14ac:dyDescent="0.2">
      <c r="A434" s="76" t="s">
        <v>328</v>
      </c>
      <c r="B434" s="101" t="s">
        <v>273</v>
      </c>
      <c r="C434" s="38" t="s">
        <v>97</v>
      </c>
      <c r="D434" s="38" t="s">
        <v>274</v>
      </c>
      <c r="E434" s="48">
        <v>488</v>
      </c>
      <c r="F434" s="48">
        <v>183476.13800000001</v>
      </c>
      <c r="G434" s="48">
        <v>487</v>
      </c>
      <c r="H434" s="48">
        <v>155681.08300000001</v>
      </c>
      <c r="I434" s="48">
        <v>490</v>
      </c>
      <c r="J434" s="48">
        <v>97489.995999999999</v>
      </c>
    </row>
    <row r="435" spans="1:10" x14ac:dyDescent="0.2">
      <c r="A435" s="76" t="s">
        <v>328</v>
      </c>
      <c r="B435" s="76" t="s">
        <v>273</v>
      </c>
      <c r="C435" s="38" t="s">
        <v>10</v>
      </c>
      <c r="D435" s="38" t="s">
        <v>274</v>
      </c>
      <c r="E435" s="48">
        <v>6550</v>
      </c>
      <c r="F435" s="48">
        <v>548311.66</v>
      </c>
      <c r="G435" s="48">
        <v>6571</v>
      </c>
      <c r="H435" s="48">
        <v>445805.41200000001</v>
      </c>
      <c r="I435" s="48">
        <v>6574</v>
      </c>
      <c r="J435" s="48">
        <v>271517.53100000002</v>
      </c>
    </row>
    <row r="436" spans="1:10" x14ac:dyDescent="0.2">
      <c r="A436" s="101" t="s">
        <v>207</v>
      </c>
      <c r="B436" s="101" t="s">
        <v>98</v>
      </c>
      <c r="C436" s="38" t="s">
        <v>97</v>
      </c>
      <c r="D436" s="38" t="s">
        <v>100</v>
      </c>
      <c r="E436" s="48">
        <v>508</v>
      </c>
      <c r="F436" s="48">
        <v>3173472.412</v>
      </c>
      <c r="G436" s="48">
        <v>506</v>
      </c>
      <c r="H436" s="48">
        <v>3139510.0890000002</v>
      </c>
      <c r="I436" s="48">
        <v>505</v>
      </c>
      <c r="J436" s="48">
        <v>2730982.1430000002</v>
      </c>
    </row>
    <row r="437" spans="1:10" x14ac:dyDescent="0.2">
      <c r="A437" s="76" t="s">
        <v>207</v>
      </c>
      <c r="B437" s="76" t="s">
        <v>98</v>
      </c>
      <c r="C437" s="38" t="s">
        <v>10</v>
      </c>
      <c r="D437" s="38" t="s">
        <v>100</v>
      </c>
      <c r="E437" s="48">
        <v>3421</v>
      </c>
      <c r="F437" s="48">
        <v>2595618.469</v>
      </c>
      <c r="G437" s="48">
        <v>3418</v>
      </c>
      <c r="H437" s="48">
        <v>2318477.2009999999</v>
      </c>
      <c r="I437" s="48">
        <v>3536</v>
      </c>
      <c r="J437" s="48">
        <v>2006818.108</v>
      </c>
    </row>
    <row r="438" spans="1:10" x14ac:dyDescent="0.2">
      <c r="A438" s="101" t="s">
        <v>208</v>
      </c>
      <c r="B438" s="101" t="s">
        <v>98</v>
      </c>
      <c r="C438" s="38" t="s">
        <v>97</v>
      </c>
      <c r="D438" s="38" t="s">
        <v>100</v>
      </c>
      <c r="E438" s="48">
        <v>452</v>
      </c>
      <c r="F438" s="48">
        <v>886139.16500000004</v>
      </c>
      <c r="G438" s="48">
        <v>452</v>
      </c>
      <c r="H438" s="48">
        <v>731297.86699999997</v>
      </c>
      <c r="I438" s="48">
        <v>450</v>
      </c>
      <c r="J438" s="48">
        <v>786268.20499999996</v>
      </c>
    </row>
    <row r="439" spans="1:10" x14ac:dyDescent="0.2">
      <c r="A439" s="76" t="s">
        <v>208</v>
      </c>
      <c r="B439" s="76" t="s">
        <v>98</v>
      </c>
      <c r="C439" s="38" t="s">
        <v>10</v>
      </c>
      <c r="D439" s="38" t="s">
        <v>100</v>
      </c>
      <c r="E439" s="48">
        <v>3813</v>
      </c>
      <c r="F439" s="48">
        <v>6962402.1540000001</v>
      </c>
      <c r="G439" s="48">
        <v>3813</v>
      </c>
      <c r="H439" s="48">
        <v>5693791.1179999998</v>
      </c>
      <c r="I439" s="48">
        <v>3816</v>
      </c>
      <c r="J439" s="48">
        <v>4768396.0530000003</v>
      </c>
    </row>
    <row r="440" spans="1:10" x14ac:dyDescent="0.2">
      <c r="A440" s="101" t="s">
        <v>208</v>
      </c>
      <c r="B440" s="101" t="s">
        <v>273</v>
      </c>
      <c r="C440" s="38" t="s">
        <v>97</v>
      </c>
      <c r="D440" s="38" t="s">
        <v>274</v>
      </c>
      <c r="E440" s="48">
        <v>97</v>
      </c>
      <c r="F440" s="48">
        <v>36196.830999999998</v>
      </c>
      <c r="G440" s="48">
        <v>97</v>
      </c>
      <c r="H440" s="48">
        <v>36122.188999999998</v>
      </c>
      <c r="I440" s="48">
        <v>97</v>
      </c>
      <c r="J440" s="48">
        <v>17539.006000000001</v>
      </c>
    </row>
    <row r="441" spans="1:10" x14ac:dyDescent="0.2">
      <c r="A441" s="76" t="s">
        <v>208</v>
      </c>
      <c r="B441" s="76" t="s">
        <v>273</v>
      </c>
      <c r="C441" s="38" t="s">
        <v>10</v>
      </c>
      <c r="D441" s="38" t="s">
        <v>274</v>
      </c>
      <c r="E441" s="48">
        <v>2894</v>
      </c>
      <c r="F441" s="48">
        <v>218069.28599999999</v>
      </c>
      <c r="G441" s="48">
        <v>2892</v>
      </c>
      <c r="H441" s="48">
        <v>196276.75200000001</v>
      </c>
      <c r="I441" s="48">
        <v>2897</v>
      </c>
      <c r="J441" s="48">
        <v>111555.803</v>
      </c>
    </row>
    <row r="442" spans="1:10" x14ac:dyDescent="0.2">
      <c r="A442" s="76" t="s">
        <v>209</v>
      </c>
      <c r="B442" s="101" t="s">
        <v>98</v>
      </c>
      <c r="C442" s="38" t="s">
        <v>97</v>
      </c>
      <c r="D442" s="38" t="s">
        <v>100</v>
      </c>
      <c r="E442" s="48">
        <v>125</v>
      </c>
      <c r="F442" s="48">
        <v>95651.561000000002</v>
      </c>
      <c r="G442" s="48">
        <v>126</v>
      </c>
      <c r="H442" s="48">
        <v>78437.807000000001</v>
      </c>
      <c r="I442" s="48">
        <v>126</v>
      </c>
      <c r="J442" s="48">
        <v>77543.532999999996</v>
      </c>
    </row>
    <row r="443" spans="1:10" x14ac:dyDescent="0.2">
      <c r="A443" s="76" t="s">
        <v>209</v>
      </c>
      <c r="B443" s="76" t="s">
        <v>98</v>
      </c>
      <c r="C443" s="38" t="s">
        <v>10</v>
      </c>
      <c r="D443" s="38" t="s">
        <v>100</v>
      </c>
      <c r="E443" s="48">
        <v>1594</v>
      </c>
      <c r="F443" s="48">
        <v>2072328.16</v>
      </c>
      <c r="G443" s="48">
        <v>1592</v>
      </c>
      <c r="H443" s="48">
        <v>1838530.585</v>
      </c>
      <c r="I443" s="48">
        <v>1594</v>
      </c>
      <c r="J443" s="48">
        <v>1444227.1470000001</v>
      </c>
    </row>
    <row r="444" spans="1:10" x14ac:dyDescent="0.2">
      <c r="A444" s="101" t="s">
        <v>210</v>
      </c>
      <c r="B444" s="101" t="s">
        <v>98</v>
      </c>
      <c r="C444" s="38" t="s">
        <v>97</v>
      </c>
      <c r="D444" s="38" t="s">
        <v>100</v>
      </c>
      <c r="E444" s="48">
        <v>77</v>
      </c>
      <c r="F444" s="48">
        <v>81046</v>
      </c>
      <c r="G444" s="48">
        <v>77</v>
      </c>
      <c r="H444" s="48">
        <v>56884</v>
      </c>
      <c r="I444" s="48">
        <v>77</v>
      </c>
      <c r="J444" s="48">
        <v>64496</v>
      </c>
    </row>
    <row r="445" spans="1:10" x14ac:dyDescent="0.2">
      <c r="A445" s="76" t="s">
        <v>210</v>
      </c>
      <c r="B445" s="76" t="s">
        <v>98</v>
      </c>
      <c r="C445" s="38" t="s">
        <v>10</v>
      </c>
      <c r="D445" s="38" t="s">
        <v>100</v>
      </c>
      <c r="E445" s="48">
        <v>799</v>
      </c>
      <c r="F445" s="48">
        <v>1105237.1370000001</v>
      </c>
      <c r="G445" s="48">
        <v>799</v>
      </c>
      <c r="H445" s="48">
        <v>956309.11</v>
      </c>
      <c r="I445" s="48">
        <v>801</v>
      </c>
      <c r="J445" s="48">
        <v>841826.61199999996</v>
      </c>
    </row>
    <row r="446" spans="1:10" x14ac:dyDescent="0.2">
      <c r="A446" s="101" t="s">
        <v>211</v>
      </c>
      <c r="B446" s="101" t="s">
        <v>98</v>
      </c>
      <c r="C446" s="38" t="s">
        <v>97</v>
      </c>
      <c r="D446" s="38" t="s">
        <v>100</v>
      </c>
      <c r="E446" s="48">
        <v>4</v>
      </c>
      <c r="F446" s="48">
        <v>128240</v>
      </c>
      <c r="G446" s="48">
        <v>4</v>
      </c>
      <c r="H446" s="48">
        <v>115555</v>
      </c>
      <c r="I446" s="48">
        <v>4</v>
      </c>
      <c r="J446" s="48">
        <v>120334</v>
      </c>
    </row>
    <row r="447" spans="1:10" x14ac:dyDescent="0.2">
      <c r="A447" s="76" t="s">
        <v>211</v>
      </c>
      <c r="B447" s="76" t="s">
        <v>98</v>
      </c>
      <c r="C447" s="38" t="s">
        <v>10</v>
      </c>
      <c r="D447" s="38" t="s">
        <v>100</v>
      </c>
      <c r="E447" s="48">
        <v>1</v>
      </c>
      <c r="F447" s="48"/>
      <c r="G447" s="48">
        <v>1</v>
      </c>
      <c r="H447" s="48">
        <v>3396</v>
      </c>
      <c r="I447" s="48">
        <v>1</v>
      </c>
      <c r="J447" s="48"/>
    </row>
    <row r="448" spans="1:10" x14ac:dyDescent="0.2">
      <c r="A448" s="101" t="s">
        <v>212</v>
      </c>
      <c r="B448" s="101" t="s">
        <v>98</v>
      </c>
      <c r="C448" s="38" t="s">
        <v>97</v>
      </c>
      <c r="D448" s="38" t="s">
        <v>100</v>
      </c>
      <c r="E448" s="48">
        <v>30</v>
      </c>
      <c r="F448" s="48">
        <v>51165</v>
      </c>
      <c r="G448" s="48">
        <v>29</v>
      </c>
      <c r="H448" s="48">
        <v>45715</v>
      </c>
      <c r="I448" s="48">
        <v>28</v>
      </c>
      <c r="J448" s="48">
        <v>43649</v>
      </c>
    </row>
    <row r="449" spans="1:10" x14ac:dyDescent="0.2">
      <c r="A449" s="76" t="s">
        <v>212</v>
      </c>
      <c r="B449" s="76" t="s">
        <v>98</v>
      </c>
      <c r="C449" s="38" t="s">
        <v>10</v>
      </c>
      <c r="D449" s="38" t="s">
        <v>100</v>
      </c>
      <c r="E449" s="48">
        <v>202</v>
      </c>
      <c r="F449" s="48">
        <v>210822</v>
      </c>
      <c r="G449" s="48">
        <v>202</v>
      </c>
      <c r="H449" s="48">
        <v>165826.37400000001</v>
      </c>
      <c r="I449" s="48">
        <v>202</v>
      </c>
      <c r="J449" s="48">
        <v>142871.62599999999</v>
      </c>
    </row>
    <row r="450" spans="1:10" x14ac:dyDescent="0.2">
      <c r="A450" s="101" t="s">
        <v>213</v>
      </c>
      <c r="B450" s="101" t="s">
        <v>98</v>
      </c>
      <c r="C450" s="38" t="s">
        <v>97</v>
      </c>
      <c r="D450" s="38" t="s">
        <v>100</v>
      </c>
      <c r="E450" s="48">
        <v>844</v>
      </c>
      <c r="F450" s="48">
        <v>2675008.997</v>
      </c>
      <c r="G450" s="48">
        <v>845</v>
      </c>
      <c r="H450" s="48">
        <v>2473308.6690000002</v>
      </c>
      <c r="I450" s="48">
        <v>842</v>
      </c>
      <c r="J450" s="48">
        <v>2397404.3139999998</v>
      </c>
    </row>
    <row r="451" spans="1:10" x14ac:dyDescent="0.2">
      <c r="A451" s="76" t="s">
        <v>213</v>
      </c>
      <c r="B451" s="76" t="s">
        <v>98</v>
      </c>
      <c r="C451" s="38" t="s">
        <v>10</v>
      </c>
      <c r="D451" s="38" t="s">
        <v>100</v>
      </c>
      <c r="E451" s="48">
        <v>4568</v>
      </c>
      <c r="F451" s="48">
        <v>6901922.2630000003</v>
      </c>
      <c r="G451" s="48">
        <v>4573</v>
      </c>
      <c r="H451" s="48">
        <v>5477656.5269999998</v>
      </c>
      <c r="I451" s="48">
        <v>4577</v>
      </c>
      <c r="J451" s="48">
        <v>4725644.568</v>
      </c>
    </row>
    <row r="452" spans="1:10" x14ac:dyDescent="0.2">
      <c r="A452" s="101" t="s">
        <v>214</v>
      </c>
      <c r="B452" s="101" t="s">
        <v>98</v>
      </c>
      <c r="C452" s="38" t="s">
        <v>97</v>
      </c>
      <c r="D452" s="38" t="s">
        <v>100</v>
      </c>
      <c r="E452" s="48">
        <v>4</v>
      </c>
      <c r="F452" s="48">
        <v>405520</v>
      </c>
      <c r="G452" s="48">
        <v>4</v>
      </c>
      <c r="H452" s="48">
        <v>387480</v>
      </c>
      <c r="I452" s="48">
        <v>4</v>
      </c>
      <c r="J452" s="48">
        <v>439780</v>
      </c>
    </row>
    <row r="453" spans="1:10" x14ac:dyDescent="0.2">
      <c r="A453" s="76" t="s">
        <v>214</v>
      </c>
      <c r="B453" s="76" t="s">
        <v>273</v>
      </c>
      <c r="C453" s="38" t="s">
        <v>97</v>
      </c>
      <c r="D453" s="38" t="s">
        <v>274</v>
      </c>
      <c r="E453" s="48">
        <v>1</v>
      </c>
      <c r="F453" s="48">
        <v>4723.018</v>
      </c>
      <c r="G453" s="48">
        <v>1</v>
      </c>
      <c r="H453" s="48">
        <v>1818.6020000000001</v>
      </c>
      <c r="I453" s="48">
        <v>1</v>
      </c>
      <c r="J453" s="48">
        <v>552.13900000000001</v>
      </c>
    </row>
    <row r="454" spans="1:10" x14ac:dyDescent="0.2">
      <c r="A454" s="101" t="s">
        <v>215</v>
      </c>
      <c r="B454" s="38" t="s">
        <v>98</v>
      </c>
      <c r="C454" s="38" t="s">
        <v>97</v>
      </c>
      <c r="D454" s="38" t="s">
        <v>100</v>
      </c>
      <c r="E454" s="48">
        <v>8</v>
      </c>
      <c r="F454" s="48">
        <v>8535</v>
      </c>
      <c r="G454" s="48">
        <v>8</v>
      </c>
      <c r="H454" s="48">
        <v>6241</v>
      </c>
      <c r="I454" s="48">
        <v>8</v>
      </c>
      <c r="J454" s="48">
        <v>6361</v>
      </c>
    </row>
    <row r="455" spans="1:10" x14ac:dyDescent="0.2">
      <c r="A455" s="76" t="s">
        <v>215</v>
      </c>
      <c r="B455" s="38" t="s">
        <v>98</v>
      </c>
      <c r="C455" s="38" t="s">
        <v>10</v>
      </c>
      <c r="D455" s="38" t="s">
        <v>100</v>
      </c>
      <c r="E455" s="48">
        <v>16</v>
      </c>
      <c r="F455" s="48">
        <v>17881</v>
      </c>
      <c r="G455" s="48">
        <v>16</v>
      </c>
      <c r="H455" s="48">
        <v>13073.063</v>
      </c>
      <c r="I455" s="48">
        <v>16</v>
      </c>
      <c r="J455" s="48">
        <v>10040.226000000001</v>
      </c>
    </row>
    <row r="456" spans="1:10" x14ac:dyDescent="0.2">
      <c r="A456" s="101" t="s">
        <v>216</v>
      </c>
      <c r="B456" s="101" t="s">
        <v>98</v>
      </c>
      <c r="C456" s="38" t="s">
        <v>97</v>
      </c>
      <c r="D456" s="38" t="s">
        <v>100</v>
      </c>
      <c r="E456" s="48">
        <v>13</v>
      </c>
      <c r="F456" s="48">
        <v>29676</v>
      </c>
      <c r="G456" s="48">
        <v>13</v>
      </c>
      <c r="H456" s="48">
        <v>28350</v>
      </c>
      <c r="I456" s="48">
        <v>13</v>
      </c>
      <c r="J456" s="48">
        <v>26088</v>
      </c>
    </row>
    <row r="457" spans="1:10" x14ac:dyDescent="0.2">
      <c r="A457" s="76" t="s">
        <v>216</v>
      </c>
      <c r="B457" s="76" t="s">
        <v>98</v>
      </c>
      <c r="C457" s="38" t="s">
        <v>10</v>
      </c>
      <c r="D457" s="38" t="s">
        <v>100</v>
      </c>
      <c r="E457" s="48">
        <v>23</v>
      </c>
      <c r="F457" s="48">
        <v>35724.807999999997</v>
      </c>
      <c r="G457" s="48">
        <v>23</v>
      </c>
      <c r="H457" s="48">
        <v>30400</v>
      </c>
      <c r="I457" s="48">
        <v>23</v>
      </c>
      <c r="J457" s="48">
        <v>29691.191999999999</v>
      </c>
    </row>
    <row r="458" spans="1:10" x14ac:dyDescent="0.2">
      <c r="A458" s="101" t="s">
        <v>216</v>
      </c>
      <c r="B458" s="101" t="s">
        <v>273</v>
      </c>
      <c r="C458" s="38" t="s">
        <v>97</v>
      </c>
      <c r="D458" s="38" t="s">
        <v>274</v>
      </c>
      <c r="E458" s="48">
        <v>68</v>
      </c>
      <c r="F458" s="48">
        <v>30983.075000000001</v>
      </c>
      <c r="G458" s="48">
        <v>67</v>
      </c>
      <c r="H458" s="48">
        <v>26163.580999999998</v>
      </c>
      <c r="I458" s="48">
        <v>67</v>
      </c>
      <c r="J458" s="48">
        <v>15811.312</v>
      </c>
    </row>
    <row r="459" spans="1:10" x14ac:dyDescent="0.2">
      <c r="A459" s="76" t="s">
        <v>216</v>
      </c>
      <c r="B459" s="76" t="s">
        <v>273</v>
      </c>
      <c r="C459" s="38" t="s">
        <v>10</v>
      </c>
      <c r="D459" s="38" t="s">
        <v>274</v>
      </c>
      <c r="E459" s="48">
        <v>1382</v>
      </c>
      <c r="F459" s="48">
        <v>86659.298999999999</v>
      </c>
      <c r="G459" s="48">
        <v>1376</v>
      </c>
      <c r="H459" s="48">
        <v>60673.510999999999</v>
      </c>
      <c r="I459" s="48">
        <v>1377</v>
      </c>
      <c r="J459" s="48">
        <v>40042.714999999997</v>
      </c>
    </row>
    <row r="460" spans="1:10" x14ac:dyDescent="0.2">
      <c r="A460" s="76" t="s">
        <v>217</v>
      </c>
      <c r="B460" s="101" t="s">
        <v>98</v>
      </c>
      <c r="C460" s="38" t="s">
        <v>97</v>
      </c>
      <c r="D460" s="38" t="s">
        <v>100</v>
      </c>
      <c r="E460" s="48">
        <v>279</v>
      </c>
      <c r="F460" s="48">
        <v>248860.46299999999</v>
      </c>
      <c r="G460" s="48">
        <v>279</v>
      </c>
      <c r="H460" s="48">
        <v>214637.76699999999</v>
      </c>
      <c r="I460" s="48">
        <v>280</v>
      </c>
      <c r="J460" s="48">
        <v>200998.82500000001</v>
      </c>
    </row>
    <row r="461" spans="1:10" x14ac:dyDescent="0.2">
      <c r="A461" s="76" t="s">
        <v>217</v>
      </c>
      <c r="B461" s="76" t="s">
        <v>98</v>
      </c>
      <c r="C461" s="38" t="s">
        <v>10</v>
      </c>
      <c r="D461" s="38" t="s">
        <v>100</v>
      </c>
      <c r="E461" s="48">
        <v>2011</v>
      </c>
      <c r="F461" s="48">
        <v>3047651.6970000002</v>
      </c>
      <c r="G461" s="48">
        <v>2011</v>
      </c>
      <c r="H461" s="48">
        <v>2404080.2379999999</v>
      </c>
      <c r="I461" s="48">
        <v>2011</v>
      </c>
      <c r="J461" s="48">
        <v>2027330.497</v>
      </c>
    </row>
    <row r="462" spans="1:10" x14ac:dyDescent="0.2">
      <c r="A462" s="101" t="s">
        <v>218</v>
      </c>
      <c r="B462" s="101" t="s">
        <v>98</v>
      </c>
      <c r="C462" s="38" t="s">
        <v>97</v>
      </c>
      <c r="D462" s="38" t="s">
        <v>100</v>
      </c>
      <c r="E462" s="48">
        <v>497</v>
      </c>
      <c r="F462" s="48">
        <v>2687352.2860000003</v>
      </c>
      <c r="G462" s="48">
        <v>491</v>
      </c>
      <c r="H462" s="48">
        <v>2773626.8229999999</v>
      </c>
      <c r="I462" s="48">
        <v>481</v>
      </c>
      <c r="J462" s="48">
        <v>2502034.3870000001</v>
      </c>
    </row>
    <row r="463" spans="1:10" x14ac:dyDescent="0.2">
      <c r="A463" s="76" t="s">
        <v>218</v>
      </c>
      <c r="B463" s="76" t="s">
        <v>98</v>
      </c>
      <c r="C463" s="38" t="s">
        <v>10</v>
      </c>
      <c r="D463" s="38" t="s">
        <v>100</v>
      </c>
      <c r="E463" s="48">
        <v>5232</v>
      </c>
      <c r="F463" s="48">
        <v>5618330.5659999996</v>
      </c>
      <c r="G463" s="48">
        <v>5238</v>
      </c>
      <c r="H463" s="48">
        <v>4815809.9840000002</v>
      </c>
      <c r="I463" s="48">
        <v>5251</v>
      </c>
      <c r="J463" s="48">
        <v>4603666.1739999996</v>
      </c>
    </row>
    <row r="464" spans="1:10" x14ac:dyDescent="0.2">
      <c r="A464" s="101" t="s">
        <v>218</v>
      </c>
      <c r="B464" s="101" t="s">
        <v>273</v>
      </c>
      <c r="C464" s="38" t="s">
        <v>97</v>
      </c>
      <c r="D464" s="38" t="s">
        <v>274</v>
      </c>
      <c r="E464" s="48">
        <v>103</v>
      </c>
      <c r="F464" s="48">
        <v>147824.63399999999</v>
      </c>
      <c r="G464" s="48">
        <v>103</v>
      </c>
      <c r="H464" s="48">
        <v>128760.609</v>
      </c>
      <c r="I464" s="48">
        <v>103</v>
      </c>
      <c r="J464" s="48">
        <v>103633.66800000001</v>
      </c>
    </row>
    <row r="465" spans="1:10" x14ac:dyDescent="0.2">
      <c r="A465" s="76" t="s">
        <v>218</v>
      </c>
      <c r="B465" s="76" t="s">
        <v>273</v>
      </c>
      <c r="C465" s="38" t="s">
        <v>10</v>
      </c>
      <c r="D465" s="38" t="s">
        <v>274</v>
      </c>
      <c r="E465" s="48">
        <v>3465</v>
      </c>
      <c r="F465" s="48">
        <v>237657.02900000001</v>
      </c>
      <c r="G465" s="48">
        <v>3471</v>
      </c>
      <c r="H465" s="48">
        <v>200906.77600000001</v>
      </c>
      <c r="I465" s="48">
        <v>3481</v>
      </c>
      <c r="J465" s="48">
        <v>109970.70600000001</v>
      </c>
    </row>
    <row r="466" spans="1:10" x14ac:dyDescent="0.2">
      <c r="A466" s="76" t="s">
        <v>219</v>
      </c>
      <c r="B466" s="101" t="s">
        <v>98</v>
      </c>
      <c r="C466" s="38" t="s">
        <v>97</v>
      </c>
      <c r="D466" s="38" t="s">
        <v>100</v>
      </c>
      <c r="E466" s="48">
        <v>5</v>
      </c>
      <c r="F466" s="48">
        <v>8893</v>
      </c>
      <c r="G466" s="48">
        <v>5</v>
      </c>
      <c r="H466" s="48">
        <v>6728</v>
      </c>
      <c r="I466" s="48">
        <v>5</v>
      </c>
      <c r="J466" s="48">
        <v>6385</v>
      </c>
    </row>
    <row r="467" spans="1:10" x14ac:dyDescent="0.2">
      <c r="A467" s="76" t="s">
        <v>219</v>
      </c>
      <c r="B467" s="76" t="s">
        <v>98</v>
      </c>
      <c r="C467" s="38" t="s">
        <v>10</v>
      </c>
      <c r="D467" s="38" t="s">
        <v>100</v>
      </c>
      <c r="E467" s="48">
        <v>7</v>
      </c>
      <c r="F467" s="48">
        <v>9617</v>
      </c>
      <c r="G467" s="48">
        <v>7</v>
      </c>
      <c r="H467" s="48">
        <v>8270</v>
      </c>
      <c r="I467" s="48">
        <v>7</v>
      </c>
      <c r="J467" s="48">
        <v>5962</v>
      </c>
    </row>
    <row r="468" spans="1:10" x14ac:dyDescent="0.2">
      <c r="A468" s="38" t="s">
        <v>220</v>
      </c>
      <c r="B468" s="38" t="s">
        <v>98</v>
      </c>
      <c r="C468" s="38" t="s">
        <v>97</v>
      </c>
      <c r="D468" s="38" t="s">
        <v>100</v>
      </c>
      <c r="E468" s="48">
        <v>1622</v>
      </c>
      <c r="F468" s="48">
        <v>8143979.9400000004</v>
      </c>
      <c r="G468" s="48">
        <v>1626</v>
      </c>
      <c r="H468" s="48">
        <v>6063112.4330000002</v>
      </c>
      <c r="I468" s="48">
        <v>1622</v>
      </c>
      <c r="J468" s="48">
        <v>8780026.7740000002</v>
      </c>
    </row>
    <row r="469" spans="1:10" x14ac:dyDescent="0.2">
      <c r="A469" s="101" t="s">
        <v>220</v>
      </c>
      <c r="B469" s="101" t="s">
        <v>98</v>
      </c>
      <c r="C469" s="38" t="s">
        <v>10</v>
      </c>
      <c r="D469" s="38" t="s">
        <v>100</v>
      </c>
      <c r="E469" s="48">
        <v>14847</v>
      </c>
      <c r="F469" s="48">
        <v>15265618.506999999</v>
      </c>
      <c r="G469" s="48">
        <v>14849</v>
      </c>
      <c r="H469" s="48">
        <v>12275726.049000001</v>
      </c>
      <c r="I469" s="48">
        <v>14855</v>
      </c>
      <c r="J469" s="48">
        <v>10324304.597999999</v>
      </c>
    </row>
    <row r="470" spans="1:10" x14ac:dyDescent="0.2">
      <c r="A470" s="76" t="s">
        <v>221</v>
      </c>
      <c r="B470" s="76" t="s">
        <v>98</v>
      </c>
      <c r="C470" s="38" t="s">
        <v>97</v>
      </c>
      <c r="D470" s="38" t="s">
        <v>100</v>
      </c>
      <c r="E470" s="48">
        <v>1383</v>
      </c>
      <c r="F470" s="48">
        <v>2653713.4130000002</v>
      </c>
      <c r="G470" s="48">
        <v>1368</v>
      </c>
      <c r="H470" s="48">
        <v>2407630.767</v>
      </c>
      <c r="I470" s="48">
        <v>1355</v>
      </c>
      <c r="J470" s="48">
        <v>2102424.199</v>
      </c>
    </row>
    <row r="471" spans="1:10" x14ac:dyDescent="0.2">
      <c r="A471" s="101" t="s">
        <v>221</v>
      </c>
      <c r="B471" s="101" t="s">
        <v>98</v>
      </c>
      <c r="C471" s="38" t="s">
        <v>10</v>
      </c>
      <c r="D471" s="38" t="s">
        <v>100</v>
      </c>
      <c r="E471" s="48">
        <v>12031</v>
      </c>
      <c r="F471" s="48">
        <v>14962821.523</v>
      </c>
      <c r="G471" s="48">
        <v>12063</v>
      </c>
      <c r="H471" s="48">
        <v>13912151.812999999</v>
      </c>
      <c r="I471" s="48">
        <v>12097</v>
      </c>
      <c r="J471" s="48">
        <v>10953287.162</v>
      </c>
    </row>
    <row r="472" spans="1:10" x14ac:dyDescent="0.2">
      <c r="A472" s="76" t="s">
        <v>222</v>
      </c>
      <c r="B472" s="76" t="s">
        <v>98</v>
      </c>
      <c r="C472" s="38" t="s">
        <v>97</v>
      </c>
      <c r="D472" s="38" t="s">
        <v>100</v>
      </c>
      <c r="E472" s="48">
        <v>2405</v>
      </c>
      <c r="F472" s="48">
        <v>9146278.6760000009</v>
      </c>
      <c r="G472" s="48">
        <v>2405</v>
      </c>
      <c r="H472" s="48">
        <v>9019430.3369999994</v>
      </c>
      <c r="I472" s="48">
        <v>2401</v>
      </c>
      <c r="J472" s="48">
        <v>8638387.5219999999</v>
      </c>
    </row>
    <row r="473" spans="1:10" x14ac:dyDescent="0.2">
      <c r="A473" s="101" t="s">
        <v>222</v>
      </c>
      <c r="B473" s="101" t="s">
        <v>98</v>
      </c>
      <c r="C473" s="38" t="s">
        <v>10</v>
      </c>
      <c r="D473" s="38" t="s">
        <v>100</v>
      </c>
      <c r="E473" s="48">
        <v>13443</v>
      </c>
      <c r="F473" s="48">
        <v>17670518.541999999</v>
      </c>
      <c r="G473" s="48">
        <v>13463</v>
      </c>
      <c r="H473" s="48">
        <v>15971181.075999999</v>
      </c>
      <c r="I473" s="48">
        <v>13480</v>
      </c>
      <c r="J473" s="48">
        <v>12271176.761</v>
      </c>
    </row>
    <row r="474" spans="1:10" x14ac:dyDescent="0.2">
      <c r="A474" s="76" t="s">
        <v>223</v>
      </c>
      <c r="B474" s="76" t="s">
        <v>98</v>
      </c>
      <c r="C474" s="38" t="s">
        <v>97</v>
      </c>
      <c r="D474" s="38" t="s">
        <v>100</v>
      </c>
      <c r="E474" s="48">
        <v>1356</v>
      </c>
      <c r="F474" s="48">
        <v>8993173.0690000001</v>
      </c>
      <c r="G474" s="48">
        <v>1358</v>
      </c>
      <c r="H474" s="48">
        <v>9127173.7249999996</v>
      </c>
      <c r="I474" s="48">
        <v>1356</v>
      </c>
      <c r="J474" s="48">
        <v>7357827.5300000003</v>
      </c>
    </row>
    <row r="475" spans="1:10" x14ac:dyDescent="0.2">
      <c r="A475" s="101" t="s">
        <v>223</v>
      </c>
      <c r="B475" s="101" t="s">
        <v>98</v>
      </c>
      <c r="C475" s="38" t="s">
        <v>10</v>
      </c>
      <c r="D475" s="38" t="s">
        <v>100</v>
      </c>
      <c r="E475" s="48">
        <v>9833</v>
      </c>
      <c r="F475" s="48">
        <v>8488682.9649999999</v>
      </c>
      <c r="G475" s="48">
        <v>9834</v>
      </c>
      <c r="H475" s="48">
        <v>7304586.5379999997</v>
      </c>
      <c r="I475" s="48">
        <v>9849</v>
      </c>
      <c r="J475" s="48">
        <v>6944840.8909999998</v>
      </c>
    </row>
    <row r="476" spans="1:10" x14ac:dyDescent="0.2">
      <c r="A476" s="76" t="s">
        <v>223</v>
      </c>
      <c r="B476" s="76" t="s">
        <v>273</v>
      </c>
      <c r="C476" s="38" t="s">
        <v>97</v>
      </c>
      <c r="D476" s="38" t="s">
        <v>274</v>
      </c>
      <c r="E476" s="48">
        <v>597</v>
      </c>
      <c r="F476" s="48">
        <v>247920.59699999998</v>
      </c>
      <c r="G476" s="48">
        <v>600</v>
      </c>
      <c r="H476" s="48">
        <v>175536.788</v>
      </c>
      <c r="I476" s="48">
        <v>599</v>
      </c>
      <c r="J476" s="48">
        <v>91392.225999999995</v>
      </c>
    </row>
    <row r="477" spans="1:10" x14ac:dyDescent="0.2">
      <c r="A477" s="76" t="s">
        <v>223</v>
      </c>
      <c r="B477" s="101" t="s">
        <v>273</v>
      </c>
      <c r="C477" s="38" t="s">
        <v>10</v>
      </c>
      <c r="D477" s="38" t="s">
        <v>274</v>
      </c>
      <c r="E477" s="48">
        <v>6431</v>
      </c>
      <c r="F477" s="48">
        <v>441407.15</v>
      </c>
      <c r="G477" s="48">
        <v>6436</v>
      </c>
      <c r="H477" s="48">
        <v>310399.103</v>
      </c>
      <c r="I477" s="48">
        <v>6448</v>
      </c>
      <c r="J477" s="48">
        <v>192070.98800000001</v>
      </c>
    </row>
    <row r="478" spans="1:10" x14ac:dyDescent="0.2">
      <c r="A478" s="76" t="s">
        <v>224</v>
      </c>
      <c r="B478" s="76" t="s">
        <v>98</v>
      </c>
      <c r="C478" s="38" t="s">
        <v>97</v>
      </c>
      <c r="D478" s="38" t="s">
        <v>100</v>
      </c>
      <c r="E478" s="48">
        <v>1521</v>
      </c>
      <c r="F478" s="48">
        <v>4617204.2179999994</v>
      </c>
      <c r="G478" s="48">
        <v>1517</v>
      </c>
      <c r="H478" s="48">
        <v>5378479.2530000005</v>
      </c>
      <c r="I478" s="48">
        <v>1515</v>
      </c>
      <c r="J478" s="48">
        <v>4543495.4759999998</v>
      </c>
    </row>
    <row r="479" spans="1:10" x14ac:dyDescent="0.2">
      <c r="A479" s="101" t="s">
        <v>224</v>
      </c>
      <c r="B479" s="101" t="s">
        <v>98</v>
      </c>
      <c r="C479" s="38" t="s">
        <v>10</v>
      </c>
      <c r="D479" s="38" t="s">
        <v>100</v>
      </c>
      <c r="E479" s="48">
        <v>11130</v>
      </c>
      <c r="F479" s="48">
        <v>9970273.7479999997</v>
      </c>
      <c r="G479" s="48">
        <v>11153</v>
      </c>
      <c r="H479" s="48">
        <v>9138737.3939999994</v>
      </c>
      <c r="I479" s="48">
        <v>11154</v>
      </c>
      <c r="J479" s="48">
        <v>7921993.0029999996</v>
      </c>
    </row>
    <row r="480" spans="1:10" x14ac:dyDescent="0.2">
      <c r="A480" s="76" t="s">
        <v>224</v>
      </c>
      <c r="B480" s="76" t="s">
        <v>273</v>
      </c>
      <c r="C480" s="38" t="s">
        <v>97</v>
      </c>
      <c r="D480" s="38" t="s">
        <v>274</v>
      </c>
      <c r="E480" s="48">
        <v>444</v>
      </c>
      <c r="F480" s="48">
        <v>303665.723</v>
      </c>
      <c r="G480" s="48">
        <v>443</v>
      </c>
      <c r="H480" s="48">
        <v>309991.23199999996</v>
      </c>
      <c r="I480" s="48">
        <v>443</v>
      </c>
      <c r="J480" s="48">
        <v>220056.86900000001</v>
      </c>
    </row>
    <row r="481" spans="1:10" x14ac:dyDescent="0.2">
      <c r="A481" s="76" t="s">
        <v>224</v>
      </c>
      <c r="B481" s="101" t="s">
        <v>273</v>
      </c>
      <c r="C481" s="38" t="s">
        <v>10</v>
      </c>
      <c r="D481" s="38" t="s">
        <v>274</v>
      </c>
      <c r="E481" s="48">
        <v>5267</v>
      </c>
      <c r="F481" s="48">
        <v>365325.91700000002</v>
      </c>
      <c r="G481" s="48">
        <v>5284</v>
      </c>
      <c r="H481" s="48">
        <v>287912.87800000003</v>
      </c>
      <c r="I481" s="48">
        <v>5297</v>
      </c>
      <c r="J481" s="48">
        <v>165755.549</v>
      </c>
    </row>
    <row r="482" spans="1:10" x14ac:dyDescent="0.2">
      <c r="A482" s="76" t="s">
        <v>225</v>
      </c>
      <c r="B482" s="76" t="s">
        <v>98</v>
      </c>
      <c r="C482" s="38" t="s">
        <v>97</v>
      </c>
      <c r="D482" s="38" t="s">
        <v>100</v>
      </c>
      <c r="E482" s="48">
        <v>1254</v>
      </c>
      <c r="F482" s="48">
        <v>5107024.0549999997</v>
      </c>
      <c r="G482" s="48">
        <v>1258</v>
      </c>
      <c r="H482" s="48">
        <v>5299487.7520000003</v>
      </c>
      <c r="I482" s="48">
        <v>1254</v>
      </c>
      <c r="J482" s="48">
        <v>5653728.7980000004</v>
      </c>
    </row>
    <row r="483" spans="1:10" x14ac:dyDescent="0.2">
      <c r="A483" s="101" t="s">
        <v>225</v>
      </c>
      <c r="B483" s="101" t="s">
        <v>98</v>
      </c>
      <c r="C483" s="38" t="s">
        <v>10</v>
      </c>
      <c r="D483" s="38" t="s">
        <v>100</v>
      </c>
      <c r="E483" s="48">
        <v>7607</v>
      </c>
      <c r="F483" s="48">
        <v>6889965.682</v>
      </c>
      <c r="G483" s="48">
        <v>7609</v>
      </c>
      <c r="H483" s="48">
        <v>6286594.4100000001</v>
      </c>
      <c r="I483" s="48">
        <v>7613</v>
      </c>
      <c r="J483" s="48">
        <v>5717565.1399999997</v>
      </c>
    </row>
    <row r="484" spans="1:10" x14ac:dyDescent="0.2">
      <c r="A484" s="76" t="s">
        <v>225</v>
      </c>
      <c r="B484" s="76" t="s">
        <v>273</v>
      </c>
      <c r="C484" s="38" t="s">
        <v>97</v>
      </c>
      <c r="D484" s="38" t="s">
        <v>274</v>
      </c>
      <c r="E484" s="48">
        <v>473</v>
      </c>
      <c r="F484" s="48">
        <v>184054.93799999999</v>
      </c>
      <c r="G484" s="48">
        <v>473</v>
      </c>
      <c r="H484" s="48">
        <v>156296.33300000001</v>
      </c>
      <c r="I484" s="48">
        <v>472</v>
      </c>
      <c r="J484" s="48">
        <v>131021.323</v>
      </c>
    </row>
    <row r="485" spans="1:10" x14ac:dyDescent="0.2">
      <c r="A485" s="76" t="s">
        <v>225</v>
      </c>
      <c r="B485" s="101" t="s">
        <v>273</v>
      </c>
      <c r="C485" s="38" t="s">
        <v>10</v>
      </c>
      <c r="D485" s="38" t="s">
        <v>274</v>
      </c>
      <c r="E485" s="48">
        <v>5394</v>
      </c>
      <c r="F485" s="48">
        <v>388379.49900000001</v>
      </c>
      <c r="G485" s="48">
        <v>5406</v>
      </c>
      <c r="H485" s="48">
        <v>329664.15399999998</v>
      </c>
      <c r="I485" s="48">
        <v>5402</v>
      </c>
      <c r="J485" s="48">
        <v>201812.88399999999</v>
      </c>
    </row>
    <row r="486" spans="1:10" x14ac:dyDescent="0.2">
      <c r="A486" s="76" t="s">
        <v>226</v>
      </c>
      <c r="B486" s="76" t="s">
        <v>98</v>
      </c>
      <c r="C486" s="38" t="s">
        <v>97</v>
      </c>
      <c r="D486" s="38" t="s">
        <v>100</v>
      </c>
      <c r="E486" s="48">
        <v>1322</v>
      </c>
      <c r="F486" s="48">
        <v>9557093.6469999999</v>
      </c>
      <c r="G486" s="48">
        <v>1320</v>
      </c>
      <c r="H486" s="48">
        <v>9922756.7589999996</v>
      </c>
      <c r="I486" s="48">
        <v>1326</v>
      </c>
      <c r="J486" s="48">
        <v>9151874.4890000001</v>
      </c>
    </row>
    <row r="487" spans="1:10" x14ac:dyDescent="0.2">
      <c r="A487" s="101" t="s">
        <v>226</v>
      </c>
      <c r="B487" s="101" t="s">
        <v>98</v>
      </c>
      <c r="C487" s="38" t="s">
        <v>10</v>
      </c>
      <c r="D487" s="38" t="s">
        <v>100</v>
      </c>
      <c r="E487" s="48">
        <v>15958</v>
      </c>
      <c r="F487" s="48">
        <v>14506438.696</v>
      </c>
      <c r="G487" s="48">
        <v>16045</v>
      </c>
      <c r="H487" s="48">
        <v>13648566.642000001</v>
      </c>
      <c r="I487" s="48">
        <v>16099</v>
      </c>
      <c r="J487" s="48">
        <v>12454029.887</v>
      </c>
    </row>
    <row r="488" spans="1:10" x14ac:dyDescent="0.2">
      <c r="A488" s="76" t="s">
        <v>226</v>
      </c>
      <c r="B488" s="76" t="s">
        <v>273</v>
      </c>
      <c r="C488" s="38" t="s">
        <v>97</v>
      </c>
      <c r="D488" s="38" t="s">
        <v>274</v>
      </c>
      <c r="E488" s="48">
        <v>297</v>
      </c>
      <c r="F488" s="48">
        <v>108532.76000000001</v>
      </c>
      <c r="G488" s="48">
        <v>298</v>
      </c>
      <c r="H488" s="48">
        <v>133222.50200000001</v>
      </c>
      <c r="I488" s="48">
        <v>299</v>
      </c>
      <c r="J488" s="48">
        <v>66403.368999999992</v>
      </c>
    </row>
    <row r="489" spans="1:10" x14ac:dyDescent="0.2">
      <c r="A489" s="76" t="s">
        <v>226</v>
      </c>
      <c r="B489" s="101" t="s">
        <v>273</v>
      </c>
      <c r="C489" s="38" t="s">
        <v>10</v>
      </c>
      <c r="D489" s="38" t="s">
        <v>274</v>
      </c>
      <c r="E489" s="48">
        <v>11074</v>
      </c>
      <c r="F489" s="48">
        <v>806793.06499999994</v>
      </c>
      <c r="G489" s="48">
        <v>11123</v>
      </c>
      <c r="H489" s="48">
        <v>694518.23199999996</v>
      </c>
      <c r="I489" s="48">
        <v>11169</v>
      </c>
      <c r="J489" s="48">
        <v>400598.658</v>
      </c>
    </row>
    <row r="490" spans="1:10" x14ac:dyDescent="0.2">
      <c r="A490" s="76" t="s">
        <v>227</v>
      </c>
      <c r="B490" s="76" t="s">
        <v>98</v>
      </c>
      <c r="C490" s="38" t="s">
        <v>97</v>
      </c>
      <c r="D490" s="38" t="s">
        <v>100</v>
      </c>
      <c r="E490" s="48">
        <v>613</v>
      </c>
      <c r="F490" s="48">
        <v>11086876.029000001</v>
      </c>
      <c r="G490" s="48">
        <v>616</v>
      </c>
      <c r="H490" s="48">
        <v>10254493.155999999</v>
      </c>
      <c r="I490" s="48">
        <v>615</v>
      </c>
      <c r="J490" s="48">
        <v>10605853.876</v>
      </c>
    </row>
    <row r="491" spans="1:10" x14ac:dyDescent="0.2">
      <c r="A491" s="101" t="s">
        <v>227</v>
      </c>
      <c r="B491" s="101" t="s">
        <v>98</v>
      </c>
      <c r="C491" s="38" t="s">
        <v>10</v>
      </c>
      <c r="D491" s="38" t="s">
        <v>100</v>
      </c>
      <c r="E491" s="48">
        <v>6236</v>
      </c>
      <c r="F491" s="48">
        <v>5319134.6909999996</v>
      </c>
      <c r="G491" s="48">
        <v>6232</v>
      </c>
      <c r="H491" s="48">
        <v>4915577.2580000004</v>
      </c>
      <c r="I491" s="48">
        <v>6230</v>
      </c>
      <c r="J491" s="48">
        <v>4538698.4879999999</v>
      </c>
    </row>
    <row r="492" spans="1:10" x14ac:dyDescent="0.2">
      <c r="A492" s="76" t="s">
        <v>227</v>
      </c>
      <c r="B492" s="76" t="s">
        <v>273</v>
      </c>
      <c r="C492" s="38" t="s">
        <v>97</v>
      </c>
      <c r="D492" s="38" t="s">
        <v>274</v>
      </c>
      <c r="E492" s="48">
        <v>291</v>
      </c>
      <c r="F492" s="48">
        <v>500731.70399999997</v>
      </c>
      <c r="G492" s="48">
        <v>295</v>
      </c>
      <c r="H492" s="48">
        <v>449499.79300000001</v>
      </c>
      <c r="I492" s="48">
        <v>295</v>
      </c>
      <c r="J492" s="48">
        <v>380527.89</v>
      </c>
    </row>
    <row r="493" spans="1:10" x14ac:dyDescent="0.2">
      <c r="A493" s="76" t="s">
        <v>227</v>
      </c>
      <c r="B493" s="101" t="s">
        <v>273</v>
      </c>
      <c r="C493" s="38" t="s">
        <v>10</v>
      </c>
      <c r="D493" s="38" t="s">
        <v>274</v>
      </c>
      <c r="E493" s="48">
        <v>7521</v>
      </c>
      <c r="F493" s="48">
        <v>569141.04500000004</v>
      </c>
      <c r="G493" s="48">
        <v>7525</v>
      </c>
      <c r="H493" s="48">
        <v>481088.36599999998</v>
      </c>
      <c r="I493" s="48">
        <v>7524</v>
      </c>
      <c r="J493" s="48">
        <v>289428.96999999997</v>
      </c>
    </row>
    <row r="494" spans="1:10" x14ac:dyDescent="0.2">
      <c r="A494" s="76" t="s">
        <v>228</v>
      </c>
      <c r="B494" s="76" t="s">
        <v>98</v>
      </c>
      <c r="C494" s="38" t="s">
        <v>97</v>
      </c>
      <c r="D494" s="38" t="s">
        <v>100</v>
      </c>
      <c r="E494" s="48">
        <v>312</v>
      </c>
      <c r="F494" s="48">
        <v>434123.59499999997</v>
      </c>
      <c r="G494" s="48">
        <v>316</v>
      </c>
      <c r="H494" s="48">
        <v>172549.00399999999</v>
      </c>
      <c r="I494" s="48">
        <v>314</v>
      </c>
      <c r="J494" s="48">
        <v>184922.93700000001</v>
      </c>
    </row>
    <row r="495" spans="1:10" x14ac:dyDescent="0.2">
      <c r="A495" s="101" t="s">
        <v>228</v>
      </c>
      <c r="B495" s="101" t="s">
        <v>98</v>
      </c>
      <c r="C495" s="38" t="s">
        <v>10</v>
      </c>
      <c r="D495" s="38" t="s">
        <v>100</v>
      </c>
      <c r="E495" s="48">
        <v>2309</v>
      </c>
      <c r="F495" s="48">
        <v>5196264.3159999996</v>
      </c>
      <c r="G495" s="48">
        <v>2309</v>
      </c>
      <c r="H495" s="48">
        <v>1978886.061</v>
      </c>
      <c r="I495" s="48">
        <v>2315</v>
      </c>
      <c r="J495" s="48">
        <v>3585709.4070000001</v>
      </c>
    </row>
    <row r="496" spans="1:10" x14ac:dyDescent="0.2">
      <c r="A496" s="76" t="s">
        <v>229</v>
      </c>
      <c r="B496" s="76" t="s">
        <v>98</v>
      </c>
      <c r="C496" s="38" t="s">
        <v>97</v>
      </c>
      <c r="D496" s="38" t="s">
        <v>100</v>
      </c>
      <c r="E496" s="48">
        <v>1502</v>
      </c>
      <c r="F496" s="48">
        <v>10674061.975</v>
      </c>
      <c r="G496" s="48">
        <v>1494</v>
      </c>
      <c r="H496" s="48">
        <v>9601245.6919999998</v>
      </c>
      <c r="I496" s="48">
        <v>1492</v>
      </c>
      <c r="J496" s="48">
        <v>8065614.0269999998</v>
      </c>
    </row>
    <row r="497" spans="1:10" x14ac:dyDescent="0.2">
      <c r="A497" s="101" t="s">
        <v>229</v>
      </c>
      <c r="B497" s="101" t="s">
        <v>98</v>
      </c>
      <c r="C497" s="38" t="s">
        <v>10</v>
      </c>
      <c r="D497" s="38" t="s">
        <v>100</v>
      </c>
      <c r="E497" s="48">
        <v>8889</v>
      </c>
      <c r="F497" s="48">
        <v>8698916.0800000001</v>
      </c>
      <c r="G497" s="48">
        <v>8887</v>
      </c>
      <c r="H497" s="48">
        <v>7485505.7189999996</v>
      </c>
      <c r="I497" s="48">
        <v>8888</v>
      </c>
      <c r="J497" s="48">
        <v>6781618.0010000002</v>
      </c>
    </row>
    <row r="498" spans="1:10" x14ac:dyDescent="0.2">
      <c r="A498" s="76" t="s">
        <v>230</v>
      </c>
      <c r="B498" s="76" t="s">
        <v>98</v>
      </c>
      <c r="C498" s="38" t="s">
        <v>97</v>
      </c>
      <c r="D498" s="38" t="s">
        <v>100</v>
      </c>
      <c r="E498" s="48">
        <v>56</v>
      </c>
      <c r="F498" s="48">
        <v>261300.321</v>
      </c>
      <c r="G498" s="48">
        <v>56</v>
      </c>
      <c r="H498" s="48">
        <v>241599.05300000001</v>
      </c>
      <c r="I498" s="48">
        <v>56</v>
      </c>
      <c r="J498" s="48">
        <v>126249.516</v>
      </c>
    </row>
    <row r="499" spans="1:10" x14ac:dyDescent="0.2">
      <c r="A499" s="101" t="s">
        <v>230</v>
      </c>
      <c r="B499" s="101" t="s">
        <v>98</v>
      </c>
      <c r="C499" s="38" t="s">
        <v>10</v>
      </c>
      <c r="D499" s="38" t="s">
        <v>100</v>
      </c>
      <c r="E499" s="48">
        <v>137</v>
      </c>
      <c r="F499" s="48">
        <v>223017</v>
      </c>
      <c r="G499" s="48">
        <v>137</v>
      </c>
      <c r="H499" s="48">
        <v>177836.26199999999</v>
      </c>
      <c r="I499" s="48">
        <v>137</v>
      </c>
      <c r="J499" s="48">
        <v>135762.73800000001</v>
      </c>
    </row>
    <row r="500" spans="1:10" x14ac:dyDescent="0.2">
      <c r="A500" s="76" t="s">
        <v>231</v>
      </c>
      <c r="B500" s="76" t="s">
        <v>98</v>
      </c>
      <c r="C500" s="38" t="s">
        <v>97</v>
      </c>
      <c r="D500" s="38" t="s">
        <v>100</v>
      </c>
      <c r="E500" s="48">
        <v>90</v>
      </c>
      <c r="F500" s="48">
        <v>119300</v>
      </c>
      <c r="G500" s="48">
        <v>91</v>
      </c>
      <c r="H500" s="48">
        <v>107820</v>
      </c>
      <c r="I500" s="48">
        <v>89</v>
      </c>
      <c r="J500" s="48">
        <v>93602.758000000002</v>
      </c>
    </row>
    <row r="501" spans="1:10" x14ac:dyDescent="0.2">
      <c r="A501" s="101" t="s">
        <v>231</v>
      </c>
      <c r="B501" s="101" t="s">
        <v>98</v>
      </c>
      <c r="C501" s="38" t="s">
        <v>10</v>
      </c>
      <c r="D501" s="38" t="s">
        <v>100</v>
      </c>
      <c r="E501" s="48">
        <v>1408</v>
      </c>
      <c r="F501" s="48">
        <v>1788388.378</v>
      </c>
      <c r="G501" s="48">
        <v>1408</v>
      </c>
      <c r="H501" s="48">
        <v>1786307.2390000001</v>
      </c>
      <c r="I501" s="48">
        <v>1409</v>
      </c>
      <c r="J501" s="48">
        <v>1302964.7239999999</v>
      </c>
    </row>
    <row r="502" spans="1:10" x14ac:dyDescent="0.2">
      <c r="A502" s="76" t="s">
        <v>231</v>
      </c>
      <c r="B502" s="76" t="s">
        <v>273</v>
      </c>
      <c r="C502" s="38" t="s">
        <v>97</v>
      </c>
      <c r="D502" s="38" t="s">
        <v>274</v>
      </c>
      <c r="E502" s="48">
        <v>186</v>
      </c>
      <c r="F502" s="48">
        <v>121174.81599999999</v>
      </c>
      <c r="G502" s="48">
        <v>185</v>
      </c>
      <c r="H502" s="48">
        <v>120332.25</v>
      </c>
      <c r="I502" s="48">
        <v>185</v>
      </c>
      <c r="J502" s="48">
        <v>84319.415999999997</v>
      </c>
    </row>
    <row r="503" spans="1:10" x14ac:dyDescent="0.2">
      <c r="A503" s="76" t="s">
        <v>231</v>
      </c>
      <c r="B503" s="101" t="s">
        <v>273</v>
      </c>
      <c r="C503" s="38" t="s">
        <v>10</v>
      </c>
      <c r="D503" s="38" t="s">
        <v>274</v>
      </c>
      <c r="E503" s="48">
        <v>8039</v>
      </c>
      <c r="F503" s="48">
        <v>606079.81799999997</v>
      </c>
      <c r="G503" s="48">
        <v>8046</v>
      </c>
      <c r="H503" s="48">
        <v>549385.83100000001</v>
      </c>
      <c r="I503" s="48">
        <v>8052</v>
      </c>
      <c r="J503" s="48">
        <v>339317.652</v>
      </c>
    </row>
    <row r="504" spans="1:10" x14ac:dyDescent="0.2">
      <c r="A504" s="76" t="s">
        <v>232</v>
      </c>
      <c r="B504" s="76" t="s">
        <v>98</v>
      </c>
      <c r="C504" s="38" t="s">
        <v>97</v>
      </c>
      <c r="D504" s="38" t="s">
        <v>100</v>
      </c>
      <c r="E504" s="48">
        <v>2</v>
      </c>
      <c r="F504" s="48">
        <v>153</v>
      </c>
      <c r="G504" s="48">
        <v>2</v>
      </c>
      <c r="H504" s="48">
        <v>148</v>
      </c>
      <c r="I504" s="48">
        <v>2</v>
      </c>
      <c r="J504" s="48">
        <v>153</v>
      </c>
    </row>
    <row r="505" spans="1:10" x14ac:dyDescent="0.2">
      <c r="A505" s="101" t="s">
        <v>232</v>
      </c>
      <c r="B505" s="101" t="s">
        <v>98</v>
      </c>
      <c r="C505" s="38" t="s">
        <v>10</v>
      </c>
      <c r="D505" s="38" t="s">
        <v>100</v>
      </c>
      <c r="E505" s="48">
        <v>62</v>
      </c>
      <c r="F505" s="48">
        <v>69622</v>
      </c>
      <c r="G505" s="48">
        <v>62</v>
      </c>
      <c r="H505" s="48">
        <v>57913</v>
      </c>
      <c r="I505" s="48">
        <v>62</v>
      </c>
      <c r="J505" s="48">
        <v>49254.766000000003</v>
      </c>
    </row>
    <row r="506" spans="1:10" x14ac:dyDescent="0.2">
      <c r="A506" s="76" t="s">
        <v>232</v>
      </c>
      <c r="B506" s="76" t="s">
        <v>273</v>
      </c>
      <c r="C506" s="38" t="s">
        <v>97</v>
      </c>
      <c r="D506" s="38" t="s">
        <v>274</v>
      </c>
      <c r="E506" s="48">
        <v>25</v>
      </c>
      <c r="F506" s="48">
        <v>15629.13</v>
      </c>
      <c r="G506" s="48">
        <v>25</v>
      </c>
      <c r="H506" s="48">
        <v>12649.085999999999</v>
      </c>
      <c r="I506" s="48">
        <v>25</v>
      </c>
      <c r="J506" s="48">
        <v>16249.869000000001</v>
      </c>
    </row>
    <row r="507" spans="1:10" x14ac:dyDescent="0.2">
      <c r="A507" s="76" t="s">
        <v>232</v>
      </c>
      <c r="B507" s="101" t="s">
        <v>273</v>
      </c>
      <c r="C507" s="38" t="s">
        <v>10</v>
      </c>
      <c r="D507" s="38" t="s">
        <v>274</v>
      </c>
      <c r="E507" s="48">
        <v>1636</v>
      </c>
      <c r="F507" s="48">
        <v>122725.61500000001</v>
      </c>
      <c r="G507" s="48">
        <v>1635</v>
      </c>
      <c r="H507" s="48">
        <v>82874.854999999996</v>
      </c>
      <c r="I507" s="48">
        <v>1635</v>
      </c>
      <c r="J507" s="48">
        <v>50825.519</v>
      </c>
    </row>
    <row r="508" spans="1:10" x14ac:dyDescent="0.2">
      <c r="A508" s="76" t="s">
        <v>233</v>
      </c>
      <c r="B508" s="76" t="s">
        <v>98</v>
      </c>
      <c r="C508" s="38" t="s">
        <v>97</v>
      </c>
      <c r="D508" s="38" t="s">
        <v>100</v>
      </c>
      <c r="E508" s="48">
        <v>1361</v>
      </c>
      <c r="F508" s="48">
        <v>13705603.796</v>
      </c>
      <c r="G508" s="48">
        <v>1362</v>
      </c>
      <c r="H508" s="48">
        <v>12069281.647</v>
      </c>
      <c r="I508" s="48">
        <v>1360</v>
      </c>
      <c r="J508" s="48">
        <v>17149775.805</v>
      </c>
    </row>
    <row r="509" spans="1:10" x14ac:dyDescent="0.2">
      <c r="A509" s="101" t="s">
        <v>233</v>
      </c>
      <c r="B509" s="101" t="s">
        <v>98</v>
      </c>
      <c r="C509" s="38" t="s">
        <v>10</v>
      </c>
      <c r="D509" s="38" t="s">
        <v>100</v>
      </c>
      <c r="E509" s="48">
        <v>4887</v>
      </c>
      <c r="F509" s="48">
        <v>4017074.1090000002</v>
      </c>
      <c r="G509" s="48">
        <v>4892</v>
      </c>
      <c r="H509" s="48">
        <v>3427625.642</v>
      </c>
      <c r="I509" s="48">
        <v>4891</v>
      </c>
      <c r="J509" s="48">
        <v>3192481.5980000002</v>
      </c>
    </row>
    <row r="510" spans="1:10" x14ac:dyDescent="0.2">
      <c r="A510" s="76" t="s">
        <v>233</v>
      </c>
      <c r="B510" s="76" t="s">
        <v>273</v>
      </c>
      <c r="C510" s="38" t="s">
        <v>97</v>
      </c>
      <c r="D510" s="38" t="s">
        <v>274</v>
      </c>
      <c r="E510" s="48">
        <v>592</v>
      </c>
      <c r="F510" s="48">
        <v>764562.93099999998</v>
      </c>
      <c r="G510" s="48">
        <v>593</v>
      </c>
      <c r="H510" s="48">
        <v>695950.41100000008</v>
      </c>
      <c r="I510" s="48">
        <v>589</v>
      </c>
      <c r="J510" s="48">
        <v>642697.99600000004</v>
      </c>
    </row>
    <row r="511" spans="1:10" x14ac:dyDescent="0.2">
      <c r="A511" s="76" t="s">
        <v>233</v>
      </c>
      <c r="B511" s="101" t="s">
        <v>273</v>
      </c>
      <c r="C511" s="38" t="s">
        <v>10</v>
      </c>
      <c r="D511" s="38" t="s">
        <v>274</v>
      </c>
      <c r="E511" s="48">
        <v>2498</v>
      </c>
      <c r="F511" s="48">
        <v>151412.45800000001</v>
      </c>
      <c r="G511" s="48">
        <v>2500</v>
      </c>
      <c r="H511" s="48">
        <v>104250.41899999999</v>
      </c>
      <c r="I511" s="48">
        <v>2499</v>
      </c>
      <c r="J511" s="48">
        <v>63534.375</v>
      </c>
    </row>
    <row r="512" spans="1:10" x14ac:dyDescent="0.2">
      <c r="A512" s="76" t="s">
        <v>234</v>
      </c>
      <c r="B512" s="76" t="s">
        <v>98</v>
      </c>
      <c r="C512" s="38" t="s">
        <v>97</v>
      </c>
      <c r="D512" s="38" t="s">
        <v>100</v>
      </c>
      <c r="E512" s="48">
        <v>1674</v>
      </c>
      <c r="F512" s="48">
        <v>5772038.6409999998</v>
      </c>
      <c r="G512" s="48">
        <v>1692</v>
      </c>
      <c r="H512" s="48">
        <v>6862523.5829999996</v>
      </c>
      <c r="I512" s="48">
        <v>1668</v>
      </c>
      <c r="J512" s="48">
        <v>5891575.3320000004</v>
      </c>
    </row>
    <row r="513" spans="1:10" x14ac:dyDescent="0.2">
      <c r="A513" s="101" t="s">
        <v>234</v>
      </c>
      <c r="B513" s="101" t="s">
        <v>98</v>
      </c>
      <c r="C513" s="38" t="s">
        <v>10</v>
      </c>
      <c r="D513" s="38" t="s">
        <v>100</v>
      </c>
      <c r="E513" s="48">
        <v>21329</v>
      </c>
      <c r="F513" s="48">
        <v>21333104.145</v>
      </c>
      <c r="G513" s="48">
        <v>21387</v>
      </c>
      <c r="H513" s="48">
        <v>20045568.177000001</v>
      </c>
      <c r="I513" s="48">
        <v>21474</v>
      </c>
      <c r="J513" s="48">
        <v>17590282.017999999</v>
      </c>
    </row>
    <row r="514" spans="1:10" x14ac:dyDescent="0.2">
      <c r="A514" s="76" t="s">
        <v>234</v>
      </c>
      <c r="B514" s="76" t="s">
        <v>273</v>
      </c>
      <c r="C514" s="38" t="s">
        <v>97</v>
      </c>
      <c r="D514" s="38" t="s">
        <v>274</v>
      </c>
      <c r="E514" s="48">
        <v>345</v>
      </c>
      <c r="F514" s="48">
        <v>194571.63199999998</v>
      </c>
      <c r="G514" s="48">
        <v>346</v>
      </c>
      <c r="H514" s="48">
        <v>146651.05900000001</v>
      </c>
      <c r="I514" s="48">
        <v>346</v>
      </c>
      <c r="J514" s="48">
        <v>72669.369000000006</v>
      </c>
    </row>
    <row r="515" spans="1:10" x14ac:dyDescent="0.2">
      <c r="A515" s="76" t="s">
        <v>234</v>
      </c>
      <c r="B515" s="101" t="s">
        <v>273</v>
      </c>
      <c r="C515" s="38" t="s">
        <v>10</v>
      </c>
      <c r="D515" s="38" t="s">
        <v>274</v>
      </c>
      <c r="E515" s="48">
        <v>14205</v>
      </c>
      <c r="F515" s="48">
        <v>1078945.7960000001</v>
      </c>
      <c r="G515" s="48">
        <v>14267</v>
      </c>
      <c r="H515" s="48">
        <v>820442.67500000005</v>
      </c>
      <c r="I515" s="48">
        <v>14342</v>
      </c>
      <c r="J515" s="48">
        <v>488309.04300000001</v>
      </c>
    </row>
    <row r="516" spans="1:10" x14ac:dyDescent="0.2">
      <c r="A516" s="76" t="s">
        <v>235</v>
      </c>
      <c r="B516" s="76" t="s">
        <v>98</v>
      </c>
      <c r="C516" s="38" t="s">
        <v>97</v>
      </c>
      <c r="D516" s="38" t="s">
        <v>100</v>
      </c>
      <c r="E516" s="48">
        <v>114</v>
      </c>
      <c r="F516" s="48">
        <v>595931</v>
      </c>
      <c r="G516" s="48">
        <v>114</v>
      </c>
      <c r="H516" s="48">
        <v>771498.38800000004</v>
      </c>
      <c r="I516" s="48">
        <v>114</v>
      </c>
      <c r="J516" s="48">
        <v>612153</v>
      </c>
    </row>
    <row r="517" spans="1:10" x14ac:dyDescent="0.2">
      <c r="A517" s="101" t="s">
        <v>235</v>
      </c>
      <c r="B517" s="101" t="s">
        <v>98</v>
      </c>
      <c r="C517" s="38" t="s">
        <v>10</v>
      </c>
      <c r="D517" s="38" t="s">
        <v>100</v>
      </c>
      <c r="E517" s="48">
        <v>1351</v>
      </c>
      <c r="F517" s="48">
        <v>1779332.372</v>
      </c>
      <c r="G517" s="48">
        <v>1353</v>
      </c>
      <c r="H517" s="48">
        <v>1711744.5290000001</v>
      </c>
      <c r="I517" s="48">
        <v>1354</v>
      </c>
      <c r="J517" s="48">
        <v>1331668.83</v>
      </c>
    </row>
    <row r="518" spans="1:10" x14ac:dyDescent="0.2">
      <c r="A518" s="76" t="s">
        <v>236</v>
      </c>
      <c r="B518" s="76" t="s">
        <v>98</v>
      </c>
      <c r="C518" s="38" t="s">
        <v>97</v>
      </c>
      <c r="D518" s="38" t="s">
        <v>100</v>
      </c>
      <c r="E518" s="48">
        <v>1</v>
      </c>
      <c r="F518" s="48">
        <v>10685</v>
      </c>
      <c r="G518" s="48">
        <v>1</v>
      </c>
      <c r="H518" s="48">
        <v>11005</v>
      </c>
      <c r="I518" s="48">
        <v>1</v>
      </c>
      <c r="J518" s="48">
        <v>9965</v>
      </c>
    </row>
    <row r="519" spans="1:10" x14ac:dyDescent="0.2">
      <c r="A519" s="38" t="s">
        <v>237</v>
      </c>
      <c r="B519" s="38" t="s">
        <v>98</v>
      </c>
      <c r="C519" s="38" t="s">
        <v>97</v>
      </c>
      <c r="D519" s="38" t="s">
        <v>100</v>
      </c>
      <c r="E519" s="48">
        <v>44</v>
      </c>
      <c r="F519" s="48">
        <v>295351.83299999998</v>
      </c>
      <c r="G519" s="48">
        <v>43</v>
      </c>
      <c r="H519" s="48">
        <v>215939.234</v>
      </c>
      <c r="I519" s="48">
        <v>43</v>
      </c>
      <c r="J519" s="48">
        <v>336833.00099999999</v>
      </c>
    </row>
    <row r="520" spans="1:10" x14ac:dyDescent="0.2">
      <c r="A520" s="101" t="s">
        <v>237</v>
      </c>
      <c r="B520" s="101" t="s">
        <v>98</v>
      </c>
      <c r="C520" s="38" t="s">
        <v>10</v>
      </c>
      <c r="D520" s="38" t="s">
        <v>100</v>
      </c>
      <c r="E520" s="48">
        <v>226</v>
      </c>
      <c r="F520" s="48">
        <v>654511.67099999997</v>
      </c>
      <c r="G520" s="48">
        <v>226</v>
      </c>
      <c r="H520" s="48">
        <v>40748</v>
      </c>
      <c r="I520" s="48">
        <v>226</v>
      </c>
      <c r="J520" s="48">
        <v>442424.88299999997</v>
      </c>
    </row>
    <row r="521" spans="1:10" x14ac:dyDescent="0.2">
      <c r="A521" s="76" t="s">
        <v>329</v>
      </c>
      <c r="B521" s="76" t="s">
        <v>273</v>
      </c>
      <c r="C521" s="38" t="s">
        <v>97</v>
      </c>
      <c r="D521" s="38" t="s">
        <v>274</v>
      </c>
      <c r="E521" s="48">
        <v>389</v>
      </c>
      <c r="F521" s="48">
        <v>262574.62199999997</v>
      </c>
      <c r="G521" s="48">
        <v>389</v>
      </c>
      <c r="H521" s="48">
        <v>238630.022</v>
      </c>
      <c r="I521" s="48">
        <v>386</v>
      </c>
      <c r="J521" s="48">
        <v>181978.14999999997</v>
      </c>
    </row>
    <row r="522" spans="1:10" x14ac:dyDescent="0.2">
      <c r="A522" s="101" t="s">
        <v>329</v>
      </c>
      <c r="B522" s="101" t="s">
        <v>273</v>
      </c>
      <c r="C522" s="38" t="s">
        <v>10</v>
      </c>
      <c r="D522" s="38" t="s">
        <v>274</v>
      </c>
      <c r="E522" s="48">
        <v>187</v>
      </c>
      <c r="F522" s="48">
        <v>8590.0750000000007</v>
      </c>
      <c r="G522" s="48">
        <v>187</v>
      </c>
      <c r="H522" s="48">
        <v>11231.213</v>
      </c>
      <c r="I522" s="48">
        <v>185</v>
      </c>
      <c r="J522" s="48">
        <v>7149.8670000000002</v>
      </c>
    </row>
    <row r="523" spans="1:10" x14ac:dyDescent="0.2">
      <c r="A523" s="76" t="s">
        <v>330</v>
      </c>
      <c r="B523" s="76" t="s">
        <v>273</v>
      </c>
      <c r="C523" s="38" t="s">
        <v>97</v>
      </c>
      <c r="D523" s="38" t="s">
        <v>274</v>
      </c>
      <c r="E523" s="48">
        <v>189</v>
      </c>
      <c r="F523" s="48">
        <v>104266.336</v>
      </c>
      <c r="G523" s="48">
        <v>191</v>
      </c>
      <c r="H523" s="48">
        <v>90909.109999999986</v>
      </c>
      <c r="I523" s="48">
        <v>191</v>
      </c>
      <c r="J523" s="48">
        <v>57558.646000000008</v>
      </c>
    </row>
    <row r="524" spans="1:10" x14ac:dyDescent="0.2">
      <c r="A524" s="101" t="s">
        <v>330</v>
      </c>
      <c r="B524" s="101" t="s">
        <v>273</v>
      </c>
      <c r="C524" s="38" t="s">
        <v>10</v>
      </c>
      <c r="D524" s="38" t="s">
        <v>274</v>
      </c>
      <c r="E524" s="48">
        <v>1647</v>
      </c>
      <c r="F524" s="48">
        <v>147594.84700000001</v>
      </c>
      <c r="G524" s="48">
        <v>1645</v>
      </c>
      <c r="H524" s="48">
        <v>132199.43400000001</v>
      </c>
      <c r="I524" s="48">
        <v>1641</v>
      </c>
      <c r="J524" s="48">
        <v>84342.676000000007</v>
      </c>
    </row>
    <row r="525" spans="1:10" x14ac:dyDescent="0.2">
      <c r="A525" s="76" t="s">
        <v>331</v>
      </c>
      <c r="B525" s="76" t="s">
        <v>273</v>
      </c>
      <c r="C525" s="38" t="s">
        <v>97</v>
      </c>
      <c r="D525" s="38" t="s">
        <v>274</v>
      </c>
      <c r="E525" s="48">
        <v>219</v>
      </c>
      <c r="F525" s="48">
        <v>153480.44899999999</v>
      </c>
      <c r="G525" s="48">
        <v>219</v>
      </c>
      <c r="H525" s="48">
        <v>131723.99600000001</v>
      </c>
      <c r="I525" s="48">
        <v>218</v>
      </c>
      <c r="J525" s="48">
        <v>94344.726999999999</v>
      </c>
    </row>
    <row r="526" spans="1:10" x14ac:dyDescent="0.2">
      <c r="A526" s="101" t="s">
        <v>331</v>
      </c>
      <c r="B526" s="101" t="s">
        <v>273</v>
      </c>
      <c r="C526" s="38" t="s">
        <v>10</v>
      </c>
      <c r="D526" s="38" t="s">
        <v>274</v>
      </c>
      <c r="E526" s="48">
        <v>3836</v>
      </c>
      <c r="F526" s="48">
        <v>260687.35399999999</v>
      </c>
      <c r="G526" s="48">
        <v>3831</v>
      </c>
      <c r="H526" s="48">
        <v>239340.98</v>
      </c>
      <c r="I526" s="48">
        <v>3833</v>
      </c>
      <c r="J526" s="48">
        <v>145884.68100000001</v>
      </c>
    </row>
    <row r="527" spans="1:10" x14ac:dyDescent="0.2">
      <c r="A527" s="76" t="s">
        <v>332</v>
      </c>
      <c r="B527" s="76" t="s">
        <v>273</v>
      </c>
      <c r="C527" s="38" t="s">
        <v>97</v>
      </c>
      <c r="D527" s="38" t="s">
        <v>274</v>
      </c>
      <c r="E527" s="48">
        <v>381</v>
      </c>
      <c r="F527" s="48">
        <v>438532.26199999999</v>
      </c>
      <c r="G527" s="48">
        <v>380</v>
      </c>
      <c r="H527" s="48">
        <v>470237.81700000004</v>
      </c>
      <c r="I527" s="48">
        <v>380</v>
      </c>
      <c r="J527" s="48">
        <v>343170.05</v>
      </c>
    </row>
    <row r="528" spans="1:10" x14ac:dyDescent="0.2">
      <c r="A528" s="101" t="s">
        <v>332</v>
      </c>
      <c r="B528" s="101" t="s">
        <v>273</v>
      </c>
      <c r="C528" s="38" t="s">
        <v>10</v>
      </c>
      <c r="D528" s="38" t="s">
        <v>274</v>
      </c>
      <c r="E528" s="48">
        <v>4298</v>
      </c>
      <c r="F528" s="48">
        <v>275786.94199999998</v>
      </c>
      <c r="G528" s="48">
        <v>4282</v>
      </c>
      <c r="H528" s="48">
        <v>258492.109</v>
      </c>
      <c r="I528" s="48">
        <v>4279</v>
      </c>
      <c r="J528" s="48">
        <v>153424.837</v>
      </c>
    </row>
    <row r="529" spans="1:10" x14ac:dyDescent="0.2">
      <c r="A529" s="76" t="s">
        <v>333</v>
      </c>
      <c r="B529" s="76" t="s">
        <v>273</v>
      </c>
      <c r="C529" s="38" t="s">
        <v>97</v>
      </c>
      <c r="D529" s="38" t="s">
        <v>274</v>
      </c>
      <c r="E529" s="48">
        <v>289</v>
      </c>
      <c r="F529" s="48">
        <v>123291.351</v>
      </c>
      <c r="G529" s="48">
        <v>290</v>
      </c>
      <c r="H529" s="48">
        <v>109615.47200000001</v>
      </c>
      <c r="I529" s="48">
        <v>290</v>
      </c>
      <c r="J529" s="48">
        <v>80538.766000000003</v>
      </c>
    </row>
    <row r="530" spans="1:10" x14ac:dyDescent="0.2">
      <c r="A530" s="101" t="s">
        <v>333</v>
      </c>
      <c r="B530" s="101" t="s">
        <v>273</v>
      </c>
      <c r="C530" s="38" t="s">
        <v>10</v>
      </c>
      <c r="D530" s="38" t="s">
        <v>274</v>
      </c>
      <c r="E530" s="48">
        <v>5026</v>
      </c>
      <c r="F530" s="48">
        <v>386706.75</v>
      </c>
      <c r="G530" s="48">
        <v>5026</v>
      </c>
      <c r="H530" s="48">
        <v>344409.40700000001</v>
      </c>
      <c r="I530" s="48">
        <v>5012</v>
      </c>
      <c r="J530" s="48">
        <v>194698.611</v>
      </c>
    </row>
    <row r="531" spans="1:10" x14ac:dyDescent="0.2">
      <c r="A531" s="76" t="s">
        <v>334</v>
      </c>
      <c r="B531" s="76" t="s">
        <v>273</v>
      </c>
      <c r="C531" s="38" t="s">
        <v>97</v>
      </c>
      <c r="D531" s="38" t="s">
        <v>274</v>
      </c>
      <c r="E531" s="48">
        <v>167</v>
      </c>
      <c r="F531" s="48">
        <v>86076.093999999997</v>
      </c>
      <c r="G531" s="48">
        <v>166</v>
      </c>
      <c r="H531" s="48">
        <v>82125.536999999997</v>
      </c>
      <c r="I531" s="48">
        <v>165</v>
      </c>
      <c r="J531" s="48">
        <v>86249.076000000001</v>
      </c>
    </row>
    <row r="532" spans="1:10" x14ac:dyDescent="0.2">
      <c r="A532" s="101" t="s">
        <v>334</v>
      </c>
      <c r="B532" s="101" t="s">
        <v>273</v>
      </c>
      <c r="C532" s="38" t="s">
        <v>10</v>
      </c>
      <c r="D532" s="38" t="s">
        <v>274</v>
      </c>
      <c r="E532" s="48">
        <v>5128</v>
      </c>
      <c r="F532" s="48">
        <v>381774.299</v>
      </c>
      <c r="G532" s="48">
        <v>5124</v>
      </c>
      <c r="H532" s="48">
        <v>356456.31300000002</v>
      </c>
      <c r="I532" s="48">
        <v>5120</v>
      </c>
      <c r="J532" s="48">
        <v>220057.486</v>
      </c>
    </row>
    <row r="533" spans="1:10" x14ac:dyDescent="0.2">
      <c r="A533" s="76" t="s">
        <v>335</v>
      </c>
      <c r="B533" s="76" t="s">
        <v>273</v>
      </c>
      <c r="C533" s="38" t="s">
        <v>97</v>
      </c>
      <c r="D533" s="38" t="s">
        <v>274</v>
      </c>
      <c r="E533" s="48">
        <v>201</v>
      </c>
      <c r="F533" s="48">
        <v>103759.679</v>
      </c>
      <c r="G533" s="48">
        <v>200</v>
      </c>
      <c r="H533" s="48">
        <v>96921.995999999999</v>
      </c>
      <c r="I533" s="48">
        <v>199</v>
      </c>
      <c r="J533" s="48">
        <v>63621.303999999996</v>
      </c>
    </row>
    <row r="534" spans="1:10" x14ac:dyDescent="0.2">
      <c r="A534" s="101" t="s">
        <v>335</v>
      </c>
      <c r="B534" s="101" t="s">
        <v>273</v>
      </c>
      <c r="C534" s="38" t="s">
        <v>10</v>
      </c>
      <c r="D534" s="38" t="s">
        <v>274</v>
      </c>
      <c r="E534" s="48">
        <v>3623</v>
      </c>
      <c r="F534" s="48">
        <v>268947.46100000001</v>
      </c>
      <c r="G534" s="48">
        <v>3622</v>
      </c>
      <c r="H534" s="48">
        <v>228979.40599999999</v>
      </c>
      <c r="I534" s="48">
        <v>3622</v>
      </c>
      <c r="J534" s="48">
        <v>138918.35200000001</v>
      </c>
    </row>
    <row r="535" spans="1:10" x14ac:dyDescent="0.2">
      <c r="A535" s="76" t="s">
        <v>336</v>
      </c>
      <c r="B535" s="76" t="s">
        <v>273</v>
      </c>
      <c r="C535" s="38" t="s">
        <v>97</v>
      </c>
      <c r="D535" s="38" t="s">
        <v>274</v>
      </c>
      <c r="E535" s="48">
        <v>861</v>
      </c>
      <c r="F535" s="48">
        <v>508526.48400000005</v>
      </c>
      <c r="G535" s="48">
        <v>861</v>
      </c>
      <c r="H535" s="48">
        <v>394131.18200000003</v>
      </c>
      <c r="I535" s="48">
        <v>860</v>
      </c>
      <c r="J535" s="48">
        <v>370370.50400000002</v>
      </c>
    </row>
    <row r="536" spans="1:10" x14ac:dyDescent="0.2">
      <c r="A536" s="101" t="s">
        <v>336</v>
      </c>
      <c r="B536" s="101" t="s">
        <v>273</v>
      </c>
      <c r="C536" s="38" t="s">
        <v>10</v>
      </c>
      <c r="D536" s="38" t="s">
        <v>274</v>
      </c>
      <c r="E536" s="48">
        <v>3021</v>
      </c>
      <c r="F536" s="48">
        <v>187271.45300000001</v>
      </c>
      <c r="G536" s="48">
        <v>3015</v>
      </c>
      <c r="H536" s="48">
        <v>116360.22199999999</v>
      </c>
      <c r="I536" s="48">
        <v>3008</v>
      </c>
      <c r="J536" s="48">
        <v>63903.031999999999</v>
      </c>
    </row>
    <row r="537" spans="1:10" x14ac:dyDescent="0.2">
      <c r="A537" s="76" t="s">
        <v>337</v>
      </c>
      <c r="B537" s="76" t="s">
        <v>273</v>
      </c>
      <c r="C537" s="38" t="s">
        <v>97</v>
      </c>
      <c r="D537" s="38" t="s">
        <v>274</v>
      </c>
      <c r="E537" s="48">
        <v>1</v>
      </c>
      <c r="F537" s="48">
        <v>3708.7370000000001</v>
      </c>
      <c r="G537" s="48">
        <v>1</v>
      </c>
      <c r="H537" s="48">
        <v>1705.2090000000001</v>
      </c>
      <c r="I537" s="48">
        <v>1</v>
      </c>
      <c r="J537" s="48">
        <v>1880.0740000000001</v>
      </c>
    </row>
    <row r="538" spans="1:10" x14ac:dyDescent="0.2">
      <c r="A538" s="38" t="s">
        <v>338</v>
      </c>
      <c r="B538" s="38" t="s">
        <v>273</v>
      </c>
      <c r="C538" s="38" t="s">
        <v>97</v>
      </c>
      <c r="D538" s="38" t="s">
        <v>274</v>
      </c>
      <c r="E538" s="48">
        <v>18</v>
      </c>
      <c r="F538" s="48">
        <v>48772.506999999998</v>
      </c>
      <c r="G538" s="48">
        <v>18</v>
      </c>
      <c r="H538" s="48">
        <v>49442.633000000002</v>
      </c>
      <c r="I538" s="48">
        <v>18</v>
      </c>
      <c r="J538" s="48">
        <v>32753.971000000001</v>
      </c>
    </row>
    <row r="539" spans="1:10" x14ac:dyDescent="0.2">
      <c r="A539" s="38" t="s">
        <v>339</v>
      </c>
      <c r="B539" s="38" t="s">
        <v>273</v>
      </c>
      <c r="C539" s="38" t="s">
        <v>97</v>
      </c>
      <c r="D539" s="38" t="s">
        <v>274</v>
      </c>
      <c r="E539" s="48">
        <v>132</v>
      </c>
      <c r="F539" s="48">
        <v>40764.951000000001</v>
      </c>
      <c r="G539" s="48">
        <v>132</v>
      </c>
      <c r="H539" s="48">
        <v>68567.123000000007</v>
      </c>
      <c r="I539" s="48">
        <v>130</v>
      </c>
      <c r="J539" s="48">
        <v>14235.178</v>
      </c>
    </row>
    <row r="540" spans="1:10" x14ac:dyDescent="0.2">
      <c r="A540" s="101" t="s">
        <v>339</v>
      </c>
      <c r="B540" s="101" t="s">
        <v>273</v>
      </c>
      <c r="C540" s="38" t="s">
        <v>10</v>
      </c>
      <c r="D540" s="38" t="s">
        <v>274</v>
      </c>
      <c r="E540" s="48">
        <v>1952</v>
      </c>
      <c r="F540" s="48">
        <v>135512.09400000001</v>
      </c>
      <c r="G540" s="48">
        <v>1957</v>
      </c>
      <c r="H540" s="48">
        <v>122885.87699999999</v>
      </c>
      <c r="I540" s="48">
        <v>1954</v>
      </c>
      <c r="J540" s="48">
        <v>72113.634000000005</v>
      </c>
    </row>
    <row r="541" spans="1:10" x14ac:dyDescent="0.2">
      <c r="A541" s="76" t="s">
        <v>340</v>
      </c>
      <c r="B541" s="76" t="s">
        <v>273</v>
      </c>
      <c r="C541" s="38" t="s">
        <v>97</v>
      </c>
      <c r="D541" s="38" t="s">
        <v>274</v>
      </c>
      <c r="E541" s="48">
        <v>268</v>
      </c>
      <c r="F541" s="48">
        <v>3981873.986</v>
      </c>
      <c r="G541" s="48">
        <v>269</v>
      </c>
      <c r="H541" s="48">
        <v>4830244.6289999997</v>
      </c>
      <c r="I541" s="48">
        <v>268</v>
      </c>
      <c r="J541" s="48">
        <v>4024442.102</v>
      </c>
    </row>
    <row r="542" spans="1:10" x14ac:dyDescent="0.2">
      <c r="A542" s="101" t="s">
        <v>340</v>
      </c>
      <c r="B542" s="101" t="s">
        <v>273</v>
      </c>
      <c r="C542" s="38" t="s">
        <v>10</v>
      </c>
      <c r="D542" s="38" t="s">
        <v>274</v>
      </c>
      <c r="E542" s="48">
        <v>5</v>
      </c>
      <c r="F542" s="48">
        <v>418.40199999999999</v>
      </c>
      <c r="G542" s="48">
        <v>5</v>
      </c>
      <c r="H542" s="48">
        <v>288.14100000000002</v>
      </c>
      <c r="I542" s="48">
        <v>5</v>
      </c>
      <c r="J542" s="48">
        <v>109.062</v>
      </c>
    </row>
    <row r="543" spans="1:10" x14ac:dyDescent="0.2">
      <c r="A543" s="76" t="s">
        <v>341</v>
      </c>
      <c r="B543" s="76" t="s">
        <v>98</v>
      </c>
      <c r="C543" s="38" t="s">
        <v>10</v>
      </c>
      <c r="D543" s="38" t="s">
        <v>100</v>
      </c>
      <c r="E543" s="48">
        <v>12</v>
      </c>
      <c r="F543" s="48">
        <v>18148</v>
      </c>
      <c r="G543" s="48">
        <v>12</v>
      </c>
      <c r="H543" s="48">
        <v>14352</v>
      </c>
      <c r="I543" s="48">
        <v>12</v>
      </c>
      <c r="J543" s="48">
        <v>11265</v>
      </c>
    </row>
    <row r="544" spans="1:10" x14ac:dyDescent="0.2">
      <c r="A544" s="101" t="s">
        <v>341</v>
      </c>
      <c r="B544" s="38" t="s">
        <v>273</v>
      </c>
      <c r="C544" s="38" t="s">
        <v>97</v>
      </c>
      <c r="D544" s="38" t="s">
        <v>274</v>
      </c>
      <c r="E544" s="48">
        <v>56</v>
      </c>
      <c r="F544" s="48">
        <v>175205.277</v>
      </c>
      <c r="G544" s="48">
        <v>56</v>
      </c>
      <c r="H544" s="48">
        <v>196952.55200000003</v>
      </c>
      <c r="I544" s="48">
        <v>56</v>
      </c>
      <c r="J544" s="48">
        <v>156871.53000000003</v>
      </c>
    </row>
    <row r="545" spans="1:10" x14ac:dyDescent="0.2">
      <c r="A545" s="76" t="s">
        <v>341</v>
      </c>
      <c r="B545" s="101" t="s">
        <v>273</v>
      </c>
      <c r="C545" s="38" t="s">
        <v>10</v>
      </c>
      <c r="D545" s="38" t="s">
        <v>274</v>
      </c>
      <c r="E545" s="48">
        <v>4880</v>
      </c>
      <c r="F545" s="48">
        <v>412085.26400000002</v>
      </c>
      <c r="G545" s="48">
        <v>4880</v>
      </c>
      <c r="H545" s="48">
        <v>292159.49300000002</v>
      </c>
      <c r="I545" s="48">
        <v>4875</v>
      </c>
      <c r="J545" s="48">
        <v>167317.495</v>
      </c>
    </row>
    <row r="546" spans="1:10" x14ac:dyDescent="0.2">
      <c r="A546" s="76" t="s">
        <v>238</v>
      </c>
      <c r="B546" s="76" t="s">
        <v>98</v>
      </c>
      <c r="C546" s="38" t="s">
        <v>97</v>
      </c>
      <c r="D546" s="38" t="s">
        <v>100</v>
      </c>
      <c r="E546" s="48">
        <v>98</v>
      </c>
      <c r="F546" s="48">
        <v>1125272.56</v>
      </c>
      <c r="G546" s="48">
        <v>98</v>
      </c>
      <c r="H546" s="48">
        <v>2837133.44</v>
      </c>
      <c r="I546" s="48">
        <v>97</v>
      </c>
      <c r="J546" s="48">
        <v>1079064.719</v>
      </c>
    </row>
    <row r="547" spans="1:10" x14ac:dyDescent="0.2">
      <c r="A547" s="101" t="s">
        <v>238</v>
      </c>
      <c r="B547" s="101" t="s">
        <v>98</v>
      </c>
      <c r="C547" s="38" t="s">
        <v>10</v>
      </c>
      <c r="D547" s="38" t="s">
        <v>100</v>
      </c>
      <c r="E547" s="48">
        <v>107</v>
      </c>
      <c r="F547" s="48">
        <v>151626</v>
      </c>
      <c r="G547" s="48">
        <v>107</v>
      </c>
      <c r="H547" s="48">
        <v>118844</v>
      </c>
      <c r="I547" s="48">
        <v>107</v>
      </c>
      <c r="J547" s="48">
        <v>99223</v>
      </c>
    </row>
    <row r="548" spans="1:10" x14ac:dyDescent="0.2">
      <c r="A548" s="76" t="s">
        <v>238</v>
      </c>
      <c r="B548" s="76" t="s">
        <v>273</v>
      </c>
      <c r="C548" s="38" t="s">
        <v>97</v>
      </c>
      <c r="D548" s="38" t="s">
        <v>274</v>
      </c>
      <c r="E548" s="48">
        <v>512</v>
      </c>
      <c r="F548" s="48">
        <v>407245.66000000003</v>
      </c>
      <c r="G548" s="48">
        <v>507</v>
      </c>
      <c r="H548" s="48">
        <v>304736.64499999996</v>
      </c>
      <c r="I548" s="48">
        <v>507</v>
      </c>
      <c r="J548" s="48">
        <v>169382.03</v>
      </c>
    </row>
    <row r="549" spans="1:10" x14ac:dyDescent="0.2">
      <c r="A549" s="76" t="s">
        <v>238</v>
      </c>
      <c r="B549" s="101" t="s">
        <v>273</v>
      </c>
      <c r="C549" s="38" t="s">
        <v>10</v>
      </c>
      <c r="D549" s="38" t="s">
        <v>274</v>
      </c>
      <c r="E549" s="48">
        <v>1516</v>
      </c>
      <c r="F549" s="48">
        <v>96739.245999999999</v>
      </c>
      <c r="G549" s="48">
        <v>1514</v>
      </c>
      <c r="H549" s="48">
        <v>75350.565000000002</v>
      </c>
      <c r="I549" s="48">
        <v>1513</v>
      </c>
      <c r="J549" s="48">
        <v>42052.881999999998</v>
      </c>
    </row>
    <row r="550" spans="1:10" x14ac:dyDescent="0.2">
      <c r="A550" s="76" t="s">
        <v>239</v>
      </c>
      <c r="B550" s="76" t="s">
        <v>98</v>
      </c>
      <c r="C550" s="38" t="s">
        <v>97</v>
      </c>
      <c r="D550" s="38" t="s">
        <v>100</v>
      </c>
      <c r="E550" s="48">
        <v>72</v>
      </c>
      <c r="F550" s="48">
        <v>621567.88399999996</v>
      </c>
      <c r="G550" s="48">
        <v>72</v>
      </c>
      <c r="H550" s="48">
        <v>567050.24399999995</v>
      </c>
      <c r="I550" s="48">
        <v>72</v>
      </c>
      <c r="J550" s="48">
        <v>559641.30700000003</v>
      </c>
    </row>
    <row r="551" spans="1:10" x14ac:dyDescent="0.2">
      <c r="A551" s="101" t="s">
        <v>239</v>
      </c>
      <c r="B551" s="38" t="s">
        <v>273</v>
      </c>
      <c r="C551" s="38" t="s">
        <v>97</v>
      </c>
      <c r="D551" s="38" t="s">
        <v>274</v>
      </c>
      <c r="E551" s="48">
        <v>48</v>
      </c>
      <c r="F551" s="48">
        <v>15792.733</v>
      </c>
      <c r="G551" s="48">
        <v>48</v>
      </c>
      <c r="H551" s="48">
        <v>15470.852999999999</v>
      </c>
      <c r="I551" s="48">
        <v>48</v>
      </c>
      <c r="J551" s="48">
        <v>7489.9740000000002</v>
      </c>
    </row>
    <row r="552" spans="1:10" x14ac:dyDescent="0.2">
      <c r="A552" s="76" t="s">
        <v>240</v>
      </c>
      <c r="B552" s="38" t="s">
        <v>98</v>
      </c>
      <c r="C552" s="38" t="s">
        <v>97</v>
      </c>
      <c r="D552" s="38" t="s">
        <v>100</v>
      </c>
      <c r="E552" s="48">
        <v>4</v>
      </c>
      <c r="F552" s="48">
        <v>6251</v>
      </c>
      <c r="G552" s="48">
        <v>4</v>
      </c>
      <c r="H552" s="48">
        <v>5948</v>
      </c>
      <c r="I552" s="48">
        <v>4</v>
      </c>
      <c r="J552" s="48">
        <v>5777</v>
      </c>
    </row>
    <row r="553" spans="1:10" x14ac:dyDescent="0.2">
      <c r="A553" s="101" t="s">
        <v>240</v>
      </c>
      <c r="B553" s="38" t="s">
        <v>273</v>
      </c>
      <c r="C553" s="38" t="s">
        <v>97</v>
      </c>
      <c r="D553" s="38" t="s">
        <v>274</v>
      </c>
      <c r="E553" s="48">
        <v>633</v>
      </c>
      <c r="F553" s="48">
        <v>634353.45299999998</v>
      </c>
      <c r="G553" s="48">
        <v>634</v>
      </c>
      <c r="H553" s="48">
        <v>549453.56200000003</v>
      </c>
      <c r="I553" s="48">
        <v>634</v>
      </c>
      <c r="J553" s="48">
        <v>344427.28399999999</v>
      </c>
    </row>
    <row r="554" spans="1:10" x14ac:dyDescent="0.2">
      <c r="A554" s="76" t="s">
        <v>240</v>
      </c>
      <c r="B554" s="101" t="s">
        <v>273</v>
      </c>
      <c r="C554" s="38" t="s">
        <v>10</v>
      </c>
      <c r="D554" s="38" t="s">
        <v>274</v>
      </c>
      <c r="E554" s="48">
        <v>4093</v>
      </c>
      <c r="F554" s="48">
        <v>285657.36</v>
      </c>
      <c r="G554" s="48">
        <v>4093</v>
      </c>
      <c r="H554" s="48">
        <v>249561.177</v>
      </c>
      <c r="I554" s="48">
        <v>4093</v>
      </c>
      <c r="J554" s="48">
        <v>119953.109</v>
      </c>
    </row>
    <row r="555" spans="1:10" x14ac:dyDescent="0.2">
      <c r="A555" s="76" t="s">
        <v>342</v>
      </c>
      <c r="B555" s="76" t="s">
        <v>273</v>
      </c>
      <c r="C555" s="38" t="s">
        <v>97</v>
      </c>
      <c r="D555" s="38" t="s">
        <v>274</v>
      </c>
      <c r="E555" s="48">
        <v>45</v>
      </c>
      <c r="F555" s="48">
        <v>254038.375</v>
      </c>
      <c r="G555" s="48">
        <v>45</v>
      </c>
      <c r="H555" s="48">
        <v>243560.57699999999</v>
      </c>
      <c r="I555" s="48">
        <v>45</v>
      </c>
      <c r="J555" s="48">
        <v>127417.80100000001</v>
      </c>
    </row>
    <row r="556" spans="1:10" x14ac:dyDescent="0.2">
      <c r="A556" s="101" t="s">
        <v>342</v>
      </c>
      <c r="B556" s="101" t="s">
        <v>273</v>
      </c>
      <c r="C556" s="38" t="s">
        <v>10</v>
      </c>
      <c r="D556" s="38" t="s">
        <v>274</v>
      </c>
      <c r="E556" s="48">
        <v>1</v>
      </c>
      <c r="F556" s="48"/>
      <c r="G556" s="48">
        <v>1</v>
      </c>
      <c r="H556" s="48">
        <v>1851.5889999999999</v>
      </c>
      <c r="I556" s="48">
        <v>1</v>
      </c>
      <c r="J556" s="48">
        <v>445.96800000000002</v>
      </c>
    </row>
    <row r="557" spans="1:10" x14ac:dyDescent="0.2">
      <c r="A557" s="76" t="s">
        <v>241</v>
      </c>
      <c r="B557" s="76" t="s">
        <v>98</v>
      </c>
      <c r="C557" s="38" t="s">
        <v>97</v>
      </c>
      <c r="D557" s="38" t="s">
        <v>100</v>
      </c>
      <c r="E557" s="48">
        <v>114</v>
      </c>
      <c r="F557" s="48">
        <v>201567.16099999999</v>
      </c>
      <c r="G557" s="48">
        <v>114</v>
      </c>
      <c r="H557" s="48">
        <v>709464.8</v>
      </c>
      <c r="I557" s="48">
        <v>114</v>
      </c>
      <c r="J557" s="48">
        <v>805636.36399999994</v>
      </c>
    </row>
    <row r="558" spans="1:10" x14ac:dyDescent="0.2">
      <c r="A558" s="101" t="s">
        <v>241</v>
      </c>
      <c r="B558" s="101" t="s">
        <v>98</v>
      </c>
      <c r="C558" s="38" t="s">
        <v>10</v>
      </c>
      <c r="D558" s="38" t="s">
        <v>100</v>
      </c>
      <c r="E558" s="48">
        <v>1058</v>
      </c>
      <c r="F558" s="48">
        <v>954585.228</v>
      </c>
      <c r="G558" s="48">
        <v>1045</v>
      </c>
      <c r="H558" s="48">
        <v>960522.83600000001</v>
      </c>
      <c r="I558" s="48">
        <v>1045</v>
      </c>
      <c r="J558" s="48">
        <v>768321.10499999998</v>
      </c>
    </row>
    <row r="559" spans="1:10" x14ac:dyDescent="0.2">
      <c r="A559" s="76" t="s">
        <v>241</v>
      </c>
      <c r="B559" s="76" t="s">
        <v>273</v>
      </c>
      <c r="C559" s="38" t="s">
        <v>97</v>
      </c>
      <c r="D559" s="38" t="s">
        <v>274</v>
      </c>
      <c r="E559" s="48">
        <v>13</v>
      </c>
      <c r="F559" s="48">
        <v>16733.173999999999</v>
      </c>
      <c r="G559" s="48">
        <v>13</v>
      </c>
      <c r="H559" s="48">
        <v>30186.023000000001</v>
      </c>
      <c r="I559" s="48">
        <v>13</v>
      </c>
      <c r="J559" s="48">
        <v>11066.454</v>
      </c>
    </row>
    <row r="560" spans="1:10" x14ac:dyDescent="0.2">
      <c r="A560" s="76" t="s">
        <v>241</v>
      </c>
      <c r="B560" s="101" t="s">
        <v>273</v>
      </c>
      <c r="C560" s="38" t="s">
        <v>10</v>
      </c>
      <c r="D560" s="38" t="s">
        <v>274</v>
      </c>
      <c r="E560" s="48">
        <v>100</v>
      </c>
      <c r="F560" s="48">
        <v>9163.9410000000007</v>
      </c>
      <c r="G560" s="48">
        <v>100</v>
      </c>
      <c r="H560" s="48">
        <v>12408.121999999999</v>
      </c>
      <c r="I560" s="48">
        <v>100</v>
      </c>
      <c r="J560" s="48">
        <v>8164.5529999999999</v>
      </c>
    </row>
    <row r="561" spans="1:10" x14ac:dyDescent="0.2">
      <c r="A561" s="76" t="s">
        <v>343</v>
      </c>
      <c r="B561" s="76" t="s">
        <v>273</v>
      </c>
      <c r="C561" s="38" t="s">
        <v>97</v>
      </c>
      <c r="D561" s="38" t="s">
        <v>274</v>
      </c>
      <c r="E561" s="48">
        <v>10</v>
      </c>
      <c r="F561" s="48">
        <v>3455.1109999999999</v>
      </c>
      <c r="G561" s="48">
        <v>10</v>
      </c>
      <c r="H561" s="48">
        <v>2273.4850000000001</v>
      </c>
      <c r="I561" s="48">
        <v>10</v>
      </c>
      <c r="J561" s="48">
        <v>10176.771000000001</v>
      </c>
    </row>
    <row r="562" spans="1:10" x14ac:dyDescent="0.2">
      <c r="A562" s="101" t="s">
        <v>343</v>
      </c>
      <c r="B562" s="101" t="s">
        <v>273</v>
      </c>
      <c r="C562" s="38" t="s">
        <v>10</v>
      </c>
      <c r="D562" s="38" t="s">
        <v>274</v>
      </c>
      <c r="E562" s="48">
        <v>502</v>
      </c>
      <c r="F562" s="48">
        <v>38279.531999999999</v>
      </c>
      <c r="G562" s="48">
        <v>502</v>
      </c>
      <c r="H562" s="48">
        <v>29581.079000000002</v>
      </c>
      <c r="I562" s="48">
        <v>501</v>
      </c>
      <c r="J562" s="48">
        <v>18678.156999999999</v>
      </c>
    </row>
    <row r="563" spans="1:10" x14ac:dyDescent="0.2">
      <c r="A563" s="76" t="s">
        <v>344</v>
      </c>
      <c r="B563" s="76" t="s">
        <v>273</v>
      </c>
      <c r="C563" s="38" t="s">
        <v>97</v>
      </c>
      <c r="D563" s="38" t="s">
        <v>274</v>
      </c>
      <c r="E563" s="48">
        <v>460</v>
      </c>
      <c r="F563" s="48">
        <v>179534.351</v>
      </c>
      <c r="G563" s="48">
        <v>460</v>
      </c>
      <c r="H563" s="48">
        <v>162212.08500000002</v>
      </c>
      <c r="I563" s="48">
        <v>460</v>
      </c>
      <c r="J563" s="48">
        <v>116292.57399999999</v>
      </c>
    </row>
    <row r="564" spans="1:10" x14ac:dyDescent="0.2">
      <c r="A564" s="101" t="s">
        <v>344</v>
      </c>
      <c r="B564" s="101" t="s">
        <v>273</v>
      </c>
      <c r="C564" s="38" t="s">
        <v>10</v>
      </c>
      <c r="D564" s="38" t="s">
        <v>274</v>
      </c>
      <c r="E564" s="48">
        <v>2819</v>
      </c>
      <c r="F564" s="48">
        <v>184551.283</v>
      </c>
      <c r="G564" s="48">
        <v>2817</v>
      </c>
      <c r="H564" s="48">
        <v>174789.15299999999</v>
      </c>
      <c r="I564" s="48">
        <v>2809</v>
      </c>
      <c r="J564" s="48">
        <v>108009.353</v>
      </c>
    </row>
    <row r="565" spans="1:10" x14ac:dyDescent="0.2">
      <c r="A565" s="76" t="s">
        <v>242</v>
      </c>
      <c r="B565" s="76" t="s">
        <v>98</v>
      </c>
      <c r="C565" s="38" t="s">
        <v>97</v>
      </c>
      <c r="D565" s="38" t="s">
        <v>100</v>
      </c>
      <c r="E565" s="48">
        <v>5</v>
      </c>
      <c r="F565" s="48">
        <v>37617</v>
      </c>
      <c r="G565" s="48">
        <v>5</v>
      </c>
      <c r="H565" s="48">
        <v>30180</v>
      </c>
      <c r="I565" s="48">
        <v>5</v>
      </c>
      <c r="J565" s="48">
        <v>16089</v>
      </c>
    </row>
    <row r="566" spans="1:10" x14ac:dyDescent="0.2">
      <c r="A566" s="101" t="s">
        <v>242</v>
      </c>
      <c r="B566" s="101" t="s">
        <v>98</v>
      </c>
      <c r="C566" s="38" t="s">
        <v>10</v>
      </c>
      <c r="D566" s="38" t="s">
        <v>100</v>
      </c>
      <c r="E566" s="48">
        <v>96</v>
      </c>
      <c r="F566" s="48">
        <v>102900</v>
      </c>
      <c r="G566" s="48">
        <v>96</v>
      </c>
      <c r="H566" s="48">
        <v>91473.600000000006</v>
      </c>
      <c r="I566" s="48">
        <v>96</v>
      </c>
      <c r="J566" s="48">
        <v>80475</v>
      </c>
    </row>
    <row r="567" spans="1:10" x14ac:dyDescent="0.2">
      <c r="A567" s="76" t="s">
        <v>242</v>
      </c>
      <c r="B567" s="76" t="s">
        <v>273</v>
      </c>
      <c r="C567" s="38" t="s">
        <v>97</v>
      </c>
      <c r="D567" s="38" t="s">
        <v>274</v>
      </c>
      <c r="E567" s="48">
        <v>119</v>
      </c>
      <c r="F567" s="48">
        <v>38189.61</v>
      </c>
      <c r="G567" s="48">
        <v>120</v>
      </c>
      <c r="H567" s="48">
        <v>34983.061999999998</v>
      </c>
      <c r="I567" s="48">
        <v>119</v>
      </c>
      <c r="J567" s="48">
        <v>23105.723000000002</v>
      </c>
    </row>
    <row r="568" spans="1:10" x14ac:dyDescent="0.2">
      <c r="A568" s="76" t="s">
        <v>242</v>
      </c>
      <c r="B568" s="101" t="s">
        <v>273</v>
      </c>
      <c r="C568" s="38" t="s">
        <v>10</v>
      </c>
      <c r="D568" s="38" t="s">
        <v>274</v>
      </c>
      <c r="E568" s="48">
        <v>4613</v>
      </c>
      <c r="F568" s="48">
        <v>333544.761</v>
      </c>
      <c r="G568" s="48">
        <v>4614</v>
      </c>
      <c r="H568" s="48">
        <v>300899.61900000001</v>
      </c>
      <c r="I568" s="48">
        <v>4613</v>
      </c>
      <c r="J568" s="48">
        <v>182715.86499999999</v>
      </c>
    </row>
    <row r="569" spans="1:10" x14ac:dyDescent="0.2">
      <c r="A569" s="76" t="s">
        <v>243</v>
      </c>
      <c r="B569" s="76" t="s">
        <v>98</v>
      </c>
      <c r="C569" s="38" t="s">
        <v>97</v>
      </c>
      <c r="D569" s="38" t="s">
        <v>100</v>
      </c>
      <c r="E569" s="48">
        <v>123</v>
      </c>
      <c r="F569" s="48">
        <v>276944.24900000001</v>
      </c>
      <c r="G569" s="48">
        <v>124</v>
      </c>
      <c r="H569" s="48">
        <v>676354.68599999999</v>
      </c>
      <c r="I569" s="48">
        <v>127</v>
      </c>
      <c r="J569" s="48">
        <v>321468.40000000002</v>
      </c>
    </row>
    <row r="570" spans="1:10" x14ac:dyDescent="0.2">
      <c r="A570" s="101" t="s">
        <v>243</v>
      </c>
      <c r="B570" s="101" t="s">
        <v>98</v>
      </c>
      <c r="C570" s="38" t="s">
        <v>10</v>
      </c>
      <c r="D570" s="38" t="s">
        <v>100</v>
      </c>
      <c r="E570" s="48">
        <v>1075</v>
      </c>
      <c r="F570" s="48">
        <v>1083062.3629999999</v>
      </c>
      <c r="G570" s="48">
        <v>1072</v>
      </c>
      <c r="H570" s="48">
        <v>929648.58200000005</v>
      </c>
      <c r="I570" s="48">
        <v>1076</v>
      </c>
      <c r="J570" s="48">
        <v>767088.478</v>
      </c>
    </row>
    <row r="571" spans="1:10" x14ac:dyDescent="0.2">
      <c r="A571" s="76" t="s">
        <v>243</v>
      </c>
      <c r="B571" s="76" t="s">
        <v>273</v>
      </c>
      <c r="C571" s="38" t="s">
        <v>97</v>
      </c>
      <c r="D571" s="38" t="s">
        <v>274</v>
      </c>
      <c r="E571" s="48">
        <v>61</v>
      </c>
      <c r="F571" s="48">
        <v>539260.90700000001</v>
      </c>
      <c r="G571" s="48">
        <v>62</v>
      </c>
      <c r="H571" s="48">
        <v>562114.43200000003</v>
      </c>
      <c r="I571" s="48">
        <v>61</v>
      </c>
      <c r="J571" s="48">
        <v>434456.22799999994</v>
      </c>
    </row>
    <row r="572" spans="1:10" x14ac:dyDescent="0.2">
      <c r="A572" s="76" t="s">
        <v>243</v>
      </c>
      <c r="B572" s="101" t="s">
        <v>273</v>
      </c>
      <c r="C572" s="38" t="s">
        <v>10</v>
      </c>
      <c r="D572" s="38" t="s">
        <v>274</v>
      </c>
      <c r="E572" s="48">
        <v>814</v>
      </c>
      <c r="F572" s="48">
        <v>57388.911999999997</v>
      </c>
      <c r="G572" s="48">
        <v>814</v>
      </c>
      <c r="H572" s="48">
        <v>56744.387000000002</v>
      </c>
      <c r="I572" s="48">
        <v>815</v>
      </c>
      <c r="J572" s="48">
        <v>29962.721000000001</v>
      </c>
    </row>
    <row r="573" spans="1:10" x14ac:dyDescent="0.2">
      <c r="A573" s="76" t="s">
        <v>345</v>
      </c>
      <c r="B573" s="76" t="s">
        <v>273</v>
      </c>
      <c r="C573" s="38" t="s">
        <v>97</v>
      </c>
      <c r="D573" s="38" t="s">
        <v>274</v>
      </c>
      <c r="E573" s="48">
        <v>15</v>
      </c>
      <c r="F573" s="48">
        <v>-67466.198999999993</v>
      </c>
      <c r="G573" s="48">
        <v>15</v>
      </c>
      <c r="H573" s="48">
        <v>146682.86499999999</v>
      </c>
      <c r="I573" s="48">
        <v>15</v>
      </c>
      <c r="J573" s="48">
        <v>37919.262999999999</v>
      </c>
    </row>
    <row r="574" spans="1:10" x14ac:dyDescent="0.2">
      <c r="A574" s="38" t="s">
        <v>346</v>
      </c>
      <c r="B574" s="38" t="s">
        <v>273</v>
      </c>
      <c r="C574" s="38" t="s">
        <v>97</v>
      </c>
      <c r="D574" s="38" t="s">
        <v>274</v>
      </c>
      <c r="E574" s="48">
        <v>55</v>
      </c>
      <c r="F574" s="48">
        <v>39591.898999999998</v>
      </c>
      <c r="G574" s="48">
        <v>56</v>
      </c>
      <c r="H574" s="48">
        <v>34977.249000000003</v>
      </c>
      <c r="I574" s="48">
        <v>55</v>
      </c>
      <c r="J574" s="48">
        <v>20834.397000000001</v>
      </c>
    </row>
    <row r="575" spans="1:10" x14ac:dyDescent="0.2">
      <c r="A575" s="101" t="s">
        <v>346</v>
      </c>
      <c r="B575" s="101" t="s">
        <v>273</v>
      </c>
      <c r="C575" s="38" t="s">
        <v>10</v>
      </c>
      <c r="D575" s="38" t="s">
        <v>274</v>
      </c>
      <c r="E575" s="48">
        <v>1022</v>
      </c>
      <c r="F575" s="48">
        <v>76811.778999999995</v>
      </c>
      <c r="G575" s="48">
        <v>1020</v>
      </c>
      <c r="H575" s="48">
        <v>64356.567999999999</v>
      </c>
      <c r="I575" s="48">
        <v>1020</v>
      </c>
      <c r="J575" s="48">
        <v>35723.356</v>
      </c>
    </row>
    <row r="576" spans="1:10" x14ac:dyDescent="0.2">
      <c r="A576" s="76" t="s">
        <v>347</v>
      </c>
      <c r="B576" s="76" t="s">
        <v>273</v>
      </c>
      <c r="C576" s="38" t="s">
        <v>97</v>
      </c>
      <c r="D576" s="38" t="s">
        <v>274</v>
      </c>
      <c r="E576" s="48">
        <v>315</v>
      </c>
      <c r="F576" s="48">
        <v>103496.66</v>
      </c>
      <c r="G576" s="48">
        <v>315</v>
      </c>
      <c r="H576" s="48">
        <v>65062.930999999997</v>
      </c>
      <c r="I576" s="48">
        <v>315</v>
      </c>
      <c r="J576" s="48">
        <v>50323.241999999998</v>
      </c>
    </row>
    <row r="577" spans="1:10" x14ac:dyDescent="0.2">
      <c r="A577" s="101" t="s">
        <v>347</v>
      </c>
      <c r="B577" s="101" t="s">
        <v>273</v>
      </c>
      <c r="C577" s="38" t="s">
        <v>10</v>
      </c>
      <c r="D577" s="38" t="s">
        <v>274</v>
      </c>
      <c r="E577" s="48">
        <v>5290</v>
      </c>
      <c r="F577" s="48">
        <v>416320.473</v>
      </c>
      <c r="G577" s="48">
        <v>5284</v>
      </c>
      <c r="H577" s="48">
        <v>253432.476</v>
      </c>
      <c r="I577" s="48">
        <v>5290</v>
      </c>
      <c r="J577" s="48">
        <v>158934.67800000001</v>
      </c>
    </row>
    <row r="578" spans="1:10" x14ac:dyDescent="0.2">
      <c r="A578" s="76" t="s">
        <v>348</v>
      </c>
      <c r="B578" s="76" t="s">
        <v>273</v>
      </c>
      <c r="C578" s="38" t="s">
        <v>97</v>
      </c>
      <c r="D578" s="38" t="s">
        <v>274</v>
      </c>
      <c r="E578" s="48">
        <v>60</v>
      </c>
      <c r="F578" s="48">
        <v>170444.10800000001</v>
      </c>
      <c r="G578" s="48">
        <v>60</v>
      </c>
      <c r="H578" s="48">
        <v>97198.188000000009</v>
      </c>
      <c r="I578" s="48">
        <v>60</v>
      </c>
      <c r="J578" s="48">
        <v>14045.8</v>
      </c>
    </row>
    <row r="579" spans="1:10" x14ac:dyDescent="0.2">
      <c r="A579" s="101" t="s">
        <v>348</v>
      </c>
      <c r="B579" s="101" t="s">
        <v>273</v>
      </c>
      <c r="C579" s="38" t="s">
        <v>10</v>
      </c>
      <c r="D579" s="38" t="s">
        <v>274</v>
      </c>
      <c r="E579" s="48">
        <v>3099</v>
      </c>
      <c r="F579" s="48">
        <v>268020.57799999998</v>
      </c>
      <c r="G579" s="48">
        <v>3100</v>
      </c>
      <c r="H579" s="48">
        <v>166907.90700000001</v>
      </c>
      <c r="I579" s="48">
        <v>3102</v>
      </c>
      <c r="J579" s="48">
        <v>102126.307</v>
      </c>
    </row>
    <row r="580" spans="1:10" x14ac:dyDescent="0.2">
      <c r="A580" s="76" t="s">
        <v>244</v>
      </c>
      <c r="B580" s="76" t="s">
        <v>98</v>
      </c>
      <c r="C580" s="38" t="s">
        <v>97</v>
      </c>
      <c r="D580" s="38" t="s">
        <v>100</v>
      </c>
      <c r="E580" s="48">
        <v>2</v>
      </c>
      <c r="F580" s="48">
        <v>3861</v>
      </c>
      <c r="G580" s="48">
        <v>2</v>
      </c>
      <c r="H580" s="48">
        <v>3361</v>
      </c>
      <c r="I580" s="48">
        <v>2</v>
      </c>
      <c r="J580" s="48">
        <v>3164</v>
      </c>
    </row>
    <row r="581" spans="1:10" x14ac:dyDescent="0.2">
      <c r="A581" s="38" t="s">
        <v>245</v>
      </c>
      <c r="B581" s="38" t="s">
        <v>98</v>
      </c>
      <c r="C581" s="38" t="s">
        <v>97</v>
      </c>
      <c r="D581" s="38" t="s">
        <v>100</v>
      </c>
      <c r="E581" s="48">
        <v>1</v>
      </c>
      <c r="F581" s="48">
        <v>16</v>
      </c>
      <c r="G581" s="48">
        <v>1</v>
      </c>
      <c r="H581" s="48">
        <v>13</v>
      </c>
      <c r="I581" s="48">
        <v>1</v>
      </c>
      <c r="J581" s="48">
        <v>16</v>
      </c>
    </row>
    <row r="582" spans="1:10" x14ac:dyDescent="0.2">
      <c r="A582" s="38" t="s">
        <v>246</v>
      </c>
      <c r="B582" s="38" t="s">
        <v>98</v>
      </c>
      <c r="C582" s="38" t="s">
        <v>97</v>
      </c>
      <c r="D582" s="38" t="s">
        <v>100</v>
      </c>
      <c r="E582" s="48">
        <v>538</v>
      </c>
      <c r="F582" s="48">
        <v>1104327.0460000001</v>
      </c>
      <c r="G582" s="48">
        <v>537</v>
      </c>
      <c r="H582" s="48">
        <v>1314375.2660000001</v>
      </c>
      <c r="I582" s="48">
        <v>535</v>
      </c>
      <c r="J582" s="48">
        <v>1168909.43</v>
      </c>
    </row>
    <row r="583" spans="1:10" x14ac:dyDescent="0.2">
      <c r="A583" s="101" t="s">
        <v>246</v>
      </c>
      <c r="B583" s="101" t="s">
        <v>98</v>
      </c>
      <c r="C583" s="38" t="s">
        <v>10</v>
      </c>
      <c r="D583" s="38" t="s">
        <v>100</v>
      </c>
      <c r="E583" s="48">
        <v>7775</v>
      </c>
      <c r="F583" s="48">
        <v>7205545.2680000002</v>
      </c>
      <c r="G583" s="48">
        <v>7776</v>
      </c>
      <c r="H583" s="48">
        <v>6735407.7709999997</v>
      </c>
      <c r="I583" s="48">
        <v>7768</v>
      </c>
      <c r="J583" s="48">
        <v>6122960.8140000002</v>
      </c>
    </row>
    <row r="584" spans="1:10" x14ac:dyDescent="0.2">
      <c r="A584" s="76" t="s">
        <v>246</v>
      </c>
      <c r="B584" s="76" t="s">
        <v>273</v>
      </c>
      <c r="C584" s="38" t="s">
        <v>97</v>
      </c>
      <c r="D584" s="38" t="s">
        <v>274</v>
      </c>
      <c r="E584" s="48">
        <v>225</v>
      </c>
      <c r="F584" s="48">
        <v>465777.43799999997</v>
      </c>
      <c r="G584" s="48">
        <v>225</v>
      </c>
      <c r="H584" s="48">
        <v>273562.64500000002</v>
      </c>
      <c r="I584" s="48">
        <v>223</v>
      </c>
      <c r="J584" s="48">
        <v>211945.96399999998</v>
      </c>
    </row>
    <row r="585" spans="1:10" x14ac:dyDescent="0.2">
      <c r="A585" s="76" t="s">
        <v>246</v>
      </c>
      <c r="B585" s="101" t="s">
        <v>273</v>
      </c>
      <c r="C585" s="38" t="s">
        <v>10</v>
      </c>
      <c r="D585" s="38" t="s">
        <v>274</v>
      </c>
      <c r="E585" s="48">
        <v>7343</v>
      </c>
      <c r="F585" s="48">
        <v>601708.25</v>
      </c>
      <c r="G585" s="48">
        <v>7342</v>
      </c>
      <c r="H585" s="48">
        <v>496859.902</v>
      </c>
      <c r="I585" s="48">
        <v>7332</v>
      </c>
      <c r="J585" s="48">
        <v>302880.48700000002</v>
      </c>
    </row>
    <row r="586" spans="1:10" x14ac:dyDescent="0.2">
      <c r="A586" s="76" t="s">
        <v>247</v>
      </c>
      <c r="B586" s="76" t="s">
        <v>98</v>
      </c>
      <c r="C586" s="38" t="s">
        <v>97</v>
      </c>
      <c r="D586" s="38" t="s">
        <v>100</v>
      </c>
      <c r="E586" s="48">
        <v>81</v>
      </c>
      <c r="F586" s="48">
        <v>196913.04300000001</v>
      </c>
      <c r="G586" s="48">
        <v>82</v>
      </c>
      <c r="H586" s="48">
        <v>222767.08600000001</v>
      </c>
      <c r="I586" s="48">
        <v>86</v>
      </c>
      <c r="J586" s="48">
        <v>195281.46099999998</v>
      </c>
    </row>
    <row r="587" spans="1:10" x14ac:dyDescent="0.2">
      <c r="A587" s="101" t="s">
        <v>247</v>
      </c>
      <c r="B587" s="101" t="s">
        <v>98</v>
      </c>
      <c r="C587" s="38" t="s">
        <v>10</v>
      </c>
      <c r="D587" s="38" t="s">
        <v>100</v>
      </c>
      <c r="E587" s="48">
        <v>618</v>
      </c>
      <c r="F587" s="48">
        <v>815456.46799999999</v>
      </c>
      <c r="G587" s="48">
        <v>618</v>
      </c>
      <c r="H587" s="48">
        <v>755085.93500000006</v>
      </c>
      <c r="I587" s="48">
        <v>618</v>
      </c>
      <c r="J587" s="48">
        <v>650417</v>
      </c>
    </row>
    <row r="588" spans="1:10" x14ac:dyDescent="0.2">
      <c r="A588" s="76" t="s">
        <v>247</v>
      </c>
      <c r="B588" s="76" t="s">
        <v>273</v>
      </c>
      <c r="C588" s="38" t="s">
        <v>97</v>
      </c>
      <c r="D588" s="38" t="s">
        <v>274</v>
      </c>
      <c r="E588" s="48">
        <v>1067</v>
      </c>
      <c r="F588" s="48">
        <v>730422.24100000004</v>
      </c>
      <c r="G588" s="48">
        <v>1068</v>
      </c>
      <c r="H588" s="48">
        <v>645802.36600000004</v>
      </c>
      <c r="I588" s="48">
        <v>1067</v>
      </c>
      <c r="J588" s="48">
        <v>542478.91500000004</v>
      </c>
    </row>
    <row r="589" spans="1:10" x14ac:dyDescent="0.2">
      <c r="A589" s="76" t="s">
        <v>247</v>
      </c>
      <c r="B589" s="101" t="s">
        <v>273</v>
      </c>
      <c r="C589" s="38" t="s">
        <v>10</v>
      </c>
      <c r="D589" s="38" t="s">
        <v>274</v>
      </c>
      <c r="E589" s="48">
        <v>3907</v>
      </c>
      <c r="F589" s="48">
        <v>312378.02100000001</v>
      </c>
      <c r="G589" s="48">
        <v>3909</v>
      </c>
      <c r="H589" s="48">
        <v>243999.34599999999</v>
      </c>
      <c r="I589" s="48">
        <v>3906</v>
      </c>
      <c r="J589" s="48">
        <v>135225.49100000001</v>
      </c>
    </row>
    <row r="590" spans="1:10" x14ac:dyDescent="0.2">
      <c r="A590" s="76" t="s">
        <v>248</v>
      </c>
      <c r="B590" s="76" t="s">
        <v>98</v>
      </c>
      <c r="C590" s="38" t="s">
        <v>97</v>
      </c>
      <c r="D590" s="38" t="s">
        <v>100</v>
      </c>
      <c r="E590" s="48">
        <v>3070</v>
      </c>
      <c r="F590" s="48">
        <v>24152637.098999999</v>
      </c>
      <c r="G590" s="48">
        <v>3075</v>
      </c>
      <c r="H590" s="48">
        <v>22842942.237999998</v>
      </c>
      <c r="I590" s="48">
        <v>3082</v>
      </c>
      <c r="J590" s="48">
        <v>28667489.766999997</v>
      </c>
    </row>
    <row r="591" spans="1:10" x14ac:dyDescent="0.2">
      <c r="A591" s="101" t="s">
        <v>248</v>
      </c>
      <c r="B591" s="101" t="s">
        <v>98</v>
      </c>
      <c r="C591" s="38" t="s">
        <v>10</v>
      </c>
      <c r="D591" s="38" t="s">
        <v>100</v>
      </c>
      <c r="E591" s="48">
        <v>20233</v>
      </c>
      <c r="F591" s="48">
        <v>17530670.965</v>
      </c>
      <c r="G591" s="48">
        <v>20228</v>
      </c>
      <c r="H591" s="48">
        <v>15597242.476</v>
      </c>
      <c r="I591" s="48">
        <v>20248</v>
      </c>
      <c r="J591" s="48">
        <v>13429267.282</v>
      </c>
    </row>
    <row r="592" spans="1:10" x14ac:dyDescent="0.2">
      <c r="A592" s="76" t="s">
        <v>248</v>
      </c>
      <c r="B592" s="76" t="s">
        <v>273</v>
      </c>
      <c r="C592" s="38" t="s">
        <v>97</v>
      </c>
      <c r="D592" s="38" t="s">
        <v>274</v>
      </c>
      <c r="E592" s="48">
        <v>1065</v>
      </c>
      <c r="F592" s="48">
        <v>585531.37100000004</v>
      </c>
      <c r="G592" s="48">
        <v>1065</v>
      </c>
      <c r="H592" s="48">
        <v>859470.99</v>
      </c>
      <c r="I592" s="48">
        <v>1067</v>
      </c>
      <c r="J592" s="48">
        <v>578029.26900000009</v>
      </c>
    </row>
    <row r="593" spans="1:10" x14ac:dyDescent="0.2">
      <c r="A593" s="76" t="s">
        <v>248</v>
      </c>
      <c r="B593" s="101" t="s">
        <v>273</v>
      </c>
      <c r="C593" s="38" t="s">
        <v>10</v>
      </c>
      <c r="D593" s="38" t="s">
        <v>274</v>
      </c>
      <c r="E593" s="48">
        <v>11263</v>
      </c>
      <c r="F593" s="48">
        <v>842997.68599999999</v>
      </c>
      <c r="G593" s="48">
        <v>11270</v>
      </c>
      <c r="H593" s="48">
        <v>750517.70400000003</v>
      </c>
      <c r="I593" s="48">
        <v>11282</v>
      </c>
      <c r="J593" s="48">
        <v>474928.00699999998</v>
      </c>
    </row>
    <row r="594" spans="1:10" x14ac:dyDescent="0.2">
      <c r="A594" s="76" t="s">
        <v>249</v>
      </c>
      <c r="B594" s="76" t="s">
        <v>98</v>
      </c>
      <c r="C594" s="38" t="s">
        <v>97</v>
      </c>
      <c r="D594" s="38" t="s">
        <v>100</v>
      </c>
      <c r="E594" s="48">
        <v>2195</v>
      </c>
      <c r="F594" s="48">
        <v>7713292.9139999999</v>
      </c>
      <c r="G594" s="48">
        <v>2197</v>
      </c>
      <c r="H594" s="48">
        <v>8633552.6870000008</v>
      </c>
      <c r="I594" s="48">
        <v>2191</v>
      </c>
      <c r="J594" s="48">
        <v>8431243.4289999995</v>
      </c>
    </row>
    <row r="595" spans="1:10" x14ac:dyDescent="0.2">
      <c r="A595" s="101" t="s">
        <v>249</v>
      </c>
      <c r="B595" s="101" t="s">
        <v>98</v>
      </c>
      <c r="C595" s="38" t="s">
        <v>10</v>
      </c>
      <c r="D595" s="38" t="s">
        <v>100</v>
      </c>
      <c r="E595" s="48">
        <v>15796</v>
      </c>
      <c r="F595" s="48">
        <v>14932354.577</v>
      </c>
      <c r="G595" s="48">
        <v>15798</v>
      </c>
      <c r="H595" s="48">
        <v>12935374.355</v>
      </c>
      <c r="I595" s="48">
        <v>15798</v>
      </c>
      <c r="J595" s="48">
        <v>11479605.787</v>
      </c>
    </row>
    <row r="596" spans="1:10" x14ac:dyDescent="0.2">
      <c r="A596" s="76" t="s">
        <v>249</v>
      </c>
      <c r="B596" s="76" t="s">
        <v>273</v>
      </c>
      <c r="C596" s="38" t="s">
        <v>97</v>
      </c>
      <c r="D596" s="38" t="s">
        <v>274</v>
      </c>
      <c r="E596" s="48">
        <v>486</v>
      </c>
      <c r="F596" s="48">
        <v>194743.13999999998</v>
      </c>
      <c r="G596" s="48">
        <v>485</v>
      </c>
      <c r="H596" s="48">
        <v>174425.71199999997</v>
      </c>
      <c r="I596" s="48">
        <v>483</v>
      </c>
      <c r="J596" s="48">
        <v>107016.522</v>
      </c>
    </row>
    <row r="597" spans="1:10" x14ac:dyDescent="0.2">
      <c r="A597" s="76" t="s">
        <v>249</v>
      </c>
      <c r="B597" s="101" t="s">
        <v>273</v>
      </c>
      <c r="C597" s="38" t="s">
        <v>10</v>
      </c>
      <c r="D597" s="38" t="s">
        <v>274</v>
      </c>
      <c r="E597" s="48">
        <v>5730</v>
      </c>
      <c r="F597" s="48">
        <v>414033.43099999998</v>
      </c>
      <c r="G597" s="48">
        <v>5724</v>
      </c>
      <c r="H597" s="48">
        <v>276145.21799999999</v>
      </c>
      <c r="I597" s="48">
        <v>5723</v>
      </c>
      <c r="J597" s="48">
        <v>169978.86</v>
      </c>
    </row>
    <row r="598" spans="1:10" x14ac:dyDescent="0.2">
      <c r="A598" s="76" t="s">
        <v>250</v>
      </c>
      <c r="B598" s="76" t="s">
        <v>98</v>
      </c>
      <c r="C598" s="38" t="s">
        <v>97</v>
      </c>
      <c r="D598" s="38" t="s">
        <v>100</v>
      </c>
      <c r="E598" s="48">
        <v>1620</v>
      </c>
      <c r="F598" s="48">
        <v>9387443.7750000004</v>
      </c>
      <c r="G598" s="48">
        <v>1650</v>
      </c>
      <c r="H598" s="48">
        <v>9475526.2060000002</v>
      </c>
      <c r="I598" s="48">
        <v>1641</v>
      </c>
      <c r="J598" s="48">
        <v>9250254.409</v>
      </c>
    </row>
    <row r="599" spans="1:10" x14ac:dyDescent="0.2">
      <c r="A599" s="101" t="s">
        <v>250</v>
      </c>
      <c r="B599" s="101" t="s">
        <v>98</v>
      </c>
      <c r="C599" s="38" t="s">
        <v>10</v>
      </c>
      <c r="D599" s="38" t="s">
        <v>100</v>
      </c>
      <c r="E599" s="48">
        <v>15925</v>
      </c>
      <c r="F599" s="48">
        <v>14573026.999</v>
      </c>
      <c r="G599" s="48">
        <v>15961</v>
      </c>
      <c r="H599" s="48">
        <v>13062109.411</v>
      </c>
      <c r="I599" s="48">
        <v>15966</v>
      </c>
      <c r="J599" s="48">
        <v>10993481.655999999</v>
      </c>
    </row>
    <row r="600" spans="1:10" x14ac:dyDescent="0.2">
      <c r="A600" s="76" t="s">
        <v>250</v>
      </c>
      <c r="B600" s="76" t="s">
        <v>273</v>
      </c>
      <c r="C600" s="38" t="s">
        <v>97</v>
      </c>
      <c r="D600" s="38" t="s">
        <v>274</v>
      </c>
      <c r="E600" s="48">
        <v>596</v>
      </c>
      <c r="F600" s="48">
        <v>249767.47900000002</v>
      </c>
      <c r="G600" s="48">
        <v>598</v>
      </c>
      <c r="H600" s="48">
        <v>241289.76100000003</v>
      </c>
      <c r="I600" s="48">
        <v>602</v>
      </c>
      <c r="J600" s="48">
        <v>149481.35100000002</v>
      </c>
    </row>
    <row r="601" spans="1:10" x14ac:dyDescent="0.2">
      <c r="A601" s="76" t="s">
        <v>250</v>
      </c>
      <c r="B601" s="101" t="s">
        <v>273</v>
      </c>
      <c r="C601" s="38" t="s">
        <v>10</v>
      </c>
      <c r="D601" s="38" t="s">
        <v>274</v>
      </c>
      <c r="E601" s="48">
        <v>9371</v>
      </c>
      <c r="F601" s="48">
        <v>672391.73300000001</v>
      </c>
      <c r="G601" s="48">
        <v>9376</v>
      </c>
      <c r="H601" s="48">
        <v>609427.13500000001</v>
      </c>
      <c r="I601" s="48">
        <v>9426</v>
      </c>
      <c r="J601" s="48">
        <v>379122.73100000003</v>
      </c>
    </row>
    <row r="602" spans="1:10" x14ac:dyDescent="0.2">
      <c r="A602" s="76" t="s">
        <v>251</v>
      </c>
      <c r="B602" s="76" t="s">
        <v>98</v>
      </c>
      <c r="C602" s="38" t="s">
        <v>97</v>
      </c>
      <c r="D602" s="38" t="s">
        <v>100</v>
      </c>
      <c r="E602" s="48">
        <v>3</v>
      </c>
      <c r="F602" s="48">
        <v>26715</v>
      </c>
      <c r="G602" s="48">
        <v>3</v>
      </c>
      <c r="H602" s="48">
        <v>1100395</v>
      </c>
      <c r="I602" s="48">
        <v>3</v>
      </c>
      <c r="J602" s="48">
        <v>989275</v>
      </c>
    </row>
    <row r="603" spans="1:10" x14ac:dyDescent="0.2">
      <c r="A603" s="101" t="s">
        <v>251</v>
      </c>
      <c r="B603" s="38" t="s">
        <v>273</v>
      </c>
      <c r="C603" s="38" t="s">
        <v>97</v>
      </c>
      <c r="D603" s="38" t="s">
        <v>274</v>
      </c>
      <c r="E603" s="48">
        <v>1</v>
      </c>
      <c r="F603" s="48">
        <v>73175.328999999998</v>
      </c>
      <c r="G603" s="48">
        <v>1</v>
      </c>
      <c r="H603" s="48">
        <v>77467.312000000005</v>
      </c>
      <c r="I603" s="48">
        <v>1</v>
      </c>
      <c r="J603" s="48">
        <v>50857.837</v>
      </c>
    </row>
    <row r="604" spans="1:10" x14ac:dyDescent="0.2">
      <c r="A604" s="76" t="s">
        <v>252</v>
      </c>
      <c r="B604" s="38" t="s">
        <v>98</v>
      </c>
      <c r="C604" s="38" t="s">
        <v>97</v>
      </c>
      <c r="D604" s="38" t="s">
        <v>100</v>
      </c>
      <c r="E604" s="48">
        <v>1184</v>
      </c>
      <c r="F604" s="48">
        <v>3839455.3119999999</v>
      </c>
      <c r="G604" s="48">
        <v>1187</v>
      </c>
      <c r="H604" s="48">
        <v>8094941.4960000003</v>
      </c>
      <c r="I604" s="48">
        <v>1184</v>
      </c>
      <c r="J604" s="48">
        <v>3667653.7880000002</v>
      </c>
    </row>
    <row r="605" spans="1:10" x14ac:dyDescent="0.2">
      <c r="A605" s="101" t="s">
        <v>252</v>
      </c>
      <c r="B605" s="101" t="s">
        <v>98</v>
      </c>
      <c r="C605" s="38" t="s">
        <v>10</v>
      </c>
      <c r="D605" s="38" t="s">
        <v>100</v>
      </c>
      <c r="E605" s="48">
        <v>8504</v>
      </c>
      <c r="F605" s="48">
        <v>8882833.3220000006</v>
      </c>
      <c r="G605" s="48">
        <v>8503</v>
      </c>
      <c r="H605" s="48">
        <v>8444284.1229999997</v>
      </c>
      <c r="I605" s="48">
        <v>8510</v>
      </c>
      <c r="J605" s="48">
        <v>7290038.2290000003</v>
      </c>
    </row>
    <row r="606" spans="1:10" x14ac:dyDescent="0.2">
      <c r="A606" s="76" t="s">
        <v>252</v>
      </c>
      <c r="B606" s="76" t="s">
        <v>273</v>
      </c>
      <c r="C606" s="38" t="s">
        <v>97</v>
      </c>
      <c r="D606" s="38" t="s">
        <v>274</v>
      </c>
      <c r="E606" s="48">
        <v>334</v>
      </c>
      <c r="F606" s="48">
        <v>273977.18699999998</v>
      </c>
      <c r="G606" s="48">
        <v>335</v>
      </c>
      <c r="H606" s="48">
        <v>161631.10699999999</v>
      </c>
      <c r="I606" s="48">
        <v>334</v>
      </c>
      <c r="J606" s="48">
        <v>142401.872</v>
      </c>
    </row>
    <row r="607" spans="1:10" x14ac:dyDescent="0.2">
      <c r="A607" s="76" t="s">
        <v>252</v>
      </c>
      <c r="B607" s="101" t="s">
        <v>273</v>
      </c>
      <c r="C607" s="38" t="s">
        <v>10</v>
      </c>
      <c r="D607" s="38" t="s">
        <v>274</v>
      </c>
      <c r="E607" s="48">
        <v>3244</v>
      </c>
      <c r="F607" s="48">
        <v>202512.041</v>
      </c>
      <c r="G607" s="48">
        <v>3244</v>
      </c>
      <c r="H607" s="48">
        <v>198734.14300000001</v>
      </c>
      <c r="I607" s="48">
        <v>3245</v>
      </c>
      <c r="J607" s="48">
        <v>133198.07500000001</v>
      </c>
    </row>
    <row r="608" spans="1:10" x14ac:dyDescent="0.2">
      <c r="A608" s="76" t="s">
        <v>253</v>
      </c>
      <c r="B608" s="76" t="s">
        <v>98</v>
      </c>
      <c r="C608" s="38" t="s">
        <v>97</v>
      </c>
      <c r="D608" s="38" t="s">
        <v>100</v>
      </c>
      <c r="E608" s="48">
        <v>1950</v>
      </c>
      <c r="F608" s="48">
        <v>14656769.657000002</v>
      </c>
      <c r="G608" s="48">
        <v>1962</v>
      </c>
      <c r="H608" s="48">
        <v>17259478.215</v>
      </c>
      <c r="I608" s="48">
        <v>1959</v>
      </c>
      <c r="J608" s="48">
        <v>14508692.946</v>
      </c>
    </row>
    <row r="609" spans="1:10" x14ac:dyDescent="0.2">
      <c r="A609" s="101" t="s">
        <v>253</v>
      </c>
      <c r="B609" s="101" t="s">
        <v>98</v>
      </c>
      <c r="C609" s="38" t="s">
        <v>10</v>
      </c>
      <c r="D609" s="38" t="s">
        <v>100</v>
      </c>
      <c r="E609" s="48">
        <v>13124</v>
      </c>
      <c r="F609" s="48">
        <v>14338989.937000001</v>
      </c>
      <c r="G609" s="48">
        <v>13132</v>
      </c>
      <c r="H609" s="48">
        <v>12611809.813999999</v>
      </c>
      <c r="I609" s="48">
        <v>13164</v>
      </c>
      <c r="J609" s="48">
        <v>10382954.198000001</v>
      </c>
    </row>
    <row r="610" spans="1:10" x14ac:dyDescent="0.2">
      <c r="A610" s="76" t="s">
        <v>253</v>
      </c>
      <c r="B610" s="76" t="s">
        <v>273</v>
      </c>
      <c r="C610" s="38" t="s">
        <v>97</v>
      </c>
      <c r="D610" s="38" t="s">
        <v>274</v>
      </c>
      <c r="E610" s="48">
        <v>394</v>
      </c>
      <c r="F610" s="48">
        <v>336161.90600000002</v>
      </c>
      <c r="G610" s="48">
        <v>398</v>
      </c>
      <c r="H610" s="48">
        <v>271855.97600000002</v>
      </c>
      <c r="I610" s="48">
        <v>397</v>
      </c>
      <c r="J610" s="48">
        <v>207735.64799999999</v>
      </c>
    </row>
    <row r="611" spans="1:10" x14ac:dyDescent="0.2">
      <c r="A611" s="76" t="s">
        <v>253</v>
      </c>
      <c r="B611" s="101" t="s">
        <v>273</v>
      </c>
      <c r="C611" s="38" t="s">
        <v>10</v>
      </c>
      <c r="D611" s="38" t="s">
        <v>274</v>
      </c>
      <c r="E611" s="48">
        <v>4966</v>
      </c>
      <c r="F611" s="48">
        <v>356388.79</v>
      </c>
      <c r="G611" s="48">
        <v>4969</v>
      </c>
      <c r="H611" s="48">
        <v>245924.291</v>
      </c>
      <c r="I611" s="48">
        <v>4971</v>
      </c>
      <c r="J611" s="48">
        <v>146691.10800000001</v>
      </c>
    </row>
    <row r="612" spans="1:10" x14ac:dyDescent="0.2">
      <c r="A612" s="76" t="s">
        <v>254</v>
      </c>
      <c r="B612" s="76" t="s">
        <v>98</v>
      </c>
      <c r="C612" s="38" t="s">
        <v>97</v>
      </c>
      <c r="D612" s="38" t="s">
        <v>100</v>
      </c>
      <c r="E612" s="48">
        <v>931</v>
      </c>
      <c r="F612" s="48">
        <v>4325324.6280000005</v>
      </c>
      <c r="G612" s="48">
        <v>938</v>
      </c>
      <c r="H612" s="48">
        <v>3204692.0639999998</v>
      </c>
      <c r="I612" s="48">
        <v>943</v>
      </c>
      <c r="J612" s="48">
        <v>3080814.1269999999</v>
      </c>
    </row>
    <row r="613" spans="1:10" x14ac:dyDescent="0.2">
      <c r="A613" s="101" t="s">
        <v>254</v>
      </c>
      <c r="B613" s="101" t="s">
        <v>98</v>
      </c>
      <c r="C613" s="38" t="s">
        <v>10</v>
      </c>
      <c r="D613" s="38" t="s">
        <v>100</v>
      </c>
      <c r="E613" s="48">
        <v>13926</v>
      </c>
      <c r="F613" s="48">
        <v>14496253.65</v>
      </c>
      <c r="G613" s="48">
        <v>13924</v>
      </c>
      <c r="H613" s="48">
        <v>14150229.204</v>
      </c>
      <c r="I613" s="48">
        <v>13926</v>
      </c>
      <c r="J613" s="48">
        <v>11003154.164999999</v>
      </c>
    </row>
    <row r="614" spans="1:10" x14ac:dyDescent="0.2">
      <c r="A614" s="76" t="s">
        <v>254</v>
      </c>
      <c r="B614" s="76" t="s">
        <v>273</v>
      </c>
      <c r="C614" s="38" t="s">
        <v>97</v>
      </c>
      <c r="D614" s="38" t="s">
        <v>274</v>
      </c>
      <c r="E614" s="48">
        <v>59</v>
      </c>
      <c r="F614" s="48">
        <v>67191.521000000008</v>
      </c>
      <c r="G614" s="48">
        <v>60</v>
      </c>
      <c r="H614" s="48">
        <v>43937.377</v>
      </c>
      <c r="I614" s="48">
        <v>60</v>
      </c>
      <c r="J614" s="48">
        <v>59635.620999999999</v>
      </c>
    </row>
    <row r="615" spans="1:10" x14ac:dyDescent="0.2">
      <c r="A615" s="76" t="s">
        <v>254</v>
      </c>
      <c r="B615" s="101" t="s">
        <v>273</v>
      </c>
      <c r="C615" s="38" t="s">
        <v>10</v>
      </c>
      <c r="D615" s="38" t="s">
        <v>274</v>
      </c>
      <c r="E615" s="48">
        <v>7412</v>
      </c>
      <c r="F615" s="48">
        <v>551443.40800000005</v>
      </c>
      <c r="G615" s="48">
        <v>7416</v>
      </c>
      <c r="H615" s="48">
        <v>524469.04</v>
      </c>
      <c r="I615" s="48">
        <v>7416</v>
      </c>
      <c r="J615" s="48">
        <v>313602.85600000003</v>
      </c>
    </row>
    <row r="616" spans="1:10" x14ac:dyDescent="0.2">
      <c r="A616" s="76" t="s">
        <v>255</v>
      </c>
      <c r="B616" s="76" t="s">
        <v>98</v>
      </c>
      <c r="C616" s="38" t="s">
        <v>97</v>
      </c>
      <c r="D616" s="38" t="s">
        <v>100</v>
      </c>
      <c r="E616" s="48">
        <v>1833</v>
      </c>
      <c r="F616" s="48">
        <v>13579546.801999999</v>
      </c>
      <c r="G616" s="48">
        <v>1853</v>
      </c>
      <c r="H616" s="48">
        <v>13669441.548</v>
      </c>
      <c r="I616" s="48">
        <v>1853</v>
      </c>
      <c r="J616" s="48">
        <v>12884255.613</v>
      </c>
    </row>
    <row r="617" spans="1:10" x14ac:dyDescent="0.2">
      <c r="A617" s="101" t="s">
        <v>255</v>
      </c>
      <c r="B617" s="101" t="s">
        <v>98</v>
      </c>
      <c r="C617" s="38" t="s">
        <v>10</v>
      </c>
      <c r="D617" s="38" t="s">
        <v>100</v>
      </c>
      <c r="E617" s="48">
        <v>12503</v>
      </c>
      <c r="F617" s="48">
        <v>11821945.328</v>
      </c>
      <c r="G617" s="48">
        <v>12525</v>
      </c>
      <c r="H617" s="48">
        <v>10888678.593</v>
      </c>
      <c r="I617" s="48">
        <v>12529</v>
      </c>
      <c r="J617" s="48">
        <v>8873527.5399999991</v>
      </c>
    </row>
    <row r="618" spans="1:10" x14ac:dyDescent="0.2">
      <c r="A618" s="76" t="s">
        <v>255</v>
      </c>
      <c r="B618" s="76" t="s">
        <v>273</v>
      </c>
      <c r="C618" s="38" t="s">
        <v>97</v>
      </c>
      <c r="D618" s="38" t="s">
        <v>274</v>
      </c>
      <c r="E618" s="48">
        <v>666</v>
      </c>
      <c r="F618" s="48">
        <v>306982.17899999995</v>
      </c>
      <c r="G618" s="48">
        <v>668</v>
      </c>
      <c r="H618" s="48">
        <v>307527.44500000001</v>
      </c>
      <c r="I618" s="48">
        <v>668</v>
      </c>
      <c r="J618" s="48">
        <v>194750.74700000003</v>
      </c>
    </row>
    <row r="619" spans="1:10" x14ac:dyDescent="0.2">
      <c r="A619" s="76" t="s">
        <v>255</v>
      </c>
      <c r="B619" s="101" t="s">
        <v>273</v>
      </c>
      <c r="C619" s="38" t="s">
        <v>10</v>
      </c>
      <c r="D619" s="38" t="s">
        <v>274</v>
      </c>
      <c r="E619" s="48">
        <v>7353</v>
      </c>
      <c r="F619" s="48">
        <v>502663.27399999998</v>
      </c>
      <c r="G619" s="48">
        <v>7360</v>
      </c>
      <c r="H619" s="48">
        <v>508069.36499999999</v>
      </c>
      <c r="I619" s="48">
        <v>7364</v>
      </c>
      <c r="J619" s="48">
        <v>301461.277</v>
      </c>
    </row>
    <row r="620" spans="1:10" x14ac:dyDescent="0.2">
      <c r="A620" s="76" t="s">
        <v>256</v>
      </c>
      <c r="B620" s="76" t="s">
        <v>98</v>
      </c>
      <c r="C620" s="38" t="s">
        <v>97</v>
      </c>
      <c r="D620" s="38" t="s">
        <v>100</v>
      </c>
      <c r="E620" s="48">
        <v>33</v>
      </c>
      <c r="F620" s="48">
        <v>91430</v>
      </c>
      <c r="G620" s="48">
        <v>33</v>
      </c>
      <c r="H620" s="48">
        <v>142</v>
      </c>
      <c r="I620" s="48">
        <v>33</v>
      </c>
      <c r="J620" s="48">
        <v>79428</v>
      </c>
    </row>
    <row r="621" spans="1:10" x14ac:dyDescent="0.2">
      <c r="A621" s="101" t="s">
        <v>256</v>
      </c>
      <c r="B621" s="101" t="s">
        <v>98</v>
      </c>
      <c r="C621" s="38" t="s">
        <v>10</v>
      </c>
      <c r="D621" s="38" t="s">
        <v>100</v>
      </c>
      <c r="E621" s="48">
        <v>257</v>
      </c>
      <c r="F621" s="48">
        <v>711465.58400000003</v>
      </c>
      <c r="G621" s="48">
        <v>259</v>
      </c>
      <c r="H621" s="48">
        <v>3506</v>
      </c>
      <c r="I621" s="48">
        <v>260</v>
      </c>
      <c r="J621" s="48">
        <v>543622.70400000003</v>
      </c>
    </row>
    <row r="622" spans="1:10" x14ac:dyDescent="0.2">
      <c r="A622" s="76" t="s">
        <v>257</v>
      </c>
      <c r="B622" s="76" t="s">
        <v>98</v>
      </c>
      <c r="C622" s="38" t="s">
        <v>97</v>
      </c>
      <c r="D622" s="38" t="s">
        <v>100</v>
      </c>
      <c r="E622" s="48">
        <v>133</v>
      </c>
      <c r="F622" s="48">
        <v>1689742</v>
      </c>
      <c r="G622" s="48">
        <v>133</v>
      </c>
      <c r="H622" s="48">
        <v>1148089.3700000001</v>
      </c>
      <c r="I622" s="48">
        <v>134</v>
      </c>
      <c r="J622" s="48">
        <v>1077248.4550000001</v>
      </c>
    </row>
    <row r="623" spans="1:10" x14ac:dyDescent="0.2">
      <c r="A623" s="101" t="s">
        <v>257</v>
      </c>
      <c r="B623" s="101" t="s">
        <v>98</v>
      </c>
      <c r="C623" s="38" t="s">
        <v>10</v>
      </c>
      <c r="D623" s="38" t="s">
        <v>100</v>
      </c>
      <c r="E623" s="48">
        <v>738</v>
      </c>
      <c r="F623" s="48">
        <v>1197801.618</v>
      </c>
      <c r="G623" s="48">
        <v>736</v>
      </c>
      <c r="H623" s="48">
        <v>823689.74699999997</v>
      </c>
      <c r="I623" s="48">
        <v>737</v>
      </c>
      <c r="J623" s="48">
        <v>976408.31799999997</v>
      </c>
    </row>
    <row r="624" spans="1:10" x14ac:dyDescent="0.2">
      <c r="A624" s="76" t="s">
        <v>257</v>
      </c>
      <c r="B624" s="76" t="s">
        <v>273</v>
      </c>
      <c r="C624" s="38" t="s">
        <v>97</v>
      </c>
      <c r="D624" s="38" t="s">
        <v>274</v>
      </c>
      <c r="E624" s="48">
        <v>470</v>
      </c>
      <c r="F624" s="48">
        <v>405316.76100000006</v>
      </c>
      <c r="G624" s="48">
        <v>470</v>
      </c>
      <c r="H624" s="48">
        <v>341411.18200000003</v>
      </c>
      <c r="I624" s="48">
        <v>469</v>
      </c>
      <c r="J624" s="48">
        <v>286644.174</v>
      </c>
    </row>
    <row r="625" spans="1:10" x14ac:dyDescent="0.2">
      <c r="A625" s="76" t="s">
        <v>257</v>
      </c>
      <c r="B625" s="101" t="s">
        <v>273</v>
      </c>
      <c r="C625" s="38" t="s">
        <v>10</v>
      </c>
      <c r="D625" s="38" t="s">
        <v>274</v>
      </c>
      <c r="E625" s="48">
        <v>2069</v>
      </c>
      <c r="F625" s="48">
        <v>132672.25399999999</v>
      </c>
      <c r="G625" s="48">
        <v>2064</v>
      </c>
      <c r="H625" s="48">
        <v>96677.441999999995</v>
      </c>
      <c r="I625" s="48">
        <v>2062</v>
      </c>
      <c r="J625" s="48">
        <v>58898.946000000004</v>
      </c>
    </row>
    <row r="626" spans="1:10" x14ac:dyDescent="0.2">
      <c r="A626" s="76" t="s">
        <v>349</v>
      </c>
      <c r="B626" s="76" t="s">
        <v>273</v>
      </c>
      <c r="C626" s="38" t="s">
        <v>97</v>
      </c>
      <c r="D626" s="38" t="s">
        <v>274</v>
      </c>
      <c r="E626" s="48">
        <v>313</v>
      </c>
      <c r="F626" s="48">
        <v>568122.20200000005</v>
      </c>
      <c r="G626" s="48">
        <v>314</v>
      </c>
      <c r="H626" s="48">
        <v>474874.245</v>
      </c>
      <c r="I626" s="48">
        <v>314</v>
      </c>
      <c r="J626" s="48">
        <v>461713.17499999999</v>
      </c>
    </row>
    <row r="627" spans="1:10" x14ac:dyDescent="0.2">
      <c r="A627" s="101" t="s">
        <v>349</v>
      </c>
      <c r="B627" s="101" t="s">
        <v>273</v>
      </c>
      <c r="C627" s="38" t="s">
        <v>10</v>
      </c>
      <c r="D627" s="38" t="s">
        <v>274</v>
      </c>
      <c r="E627" s="48">
        <v>1168</v>
      </c>
      <c r="F627" s="48">
        <v>78141.55</v>
      </c>
      <c r="G627" s="48">
        <v>1166</v>
      </c>
      <c r="H627" s="48">
        <v>68574.981</v>
      </c>
      <c r="I627" s="48">
        <v>1165</v>
      </c>
      <c r="J627" s="48">
        <v>36332.141000000003</v>
      </c>
    </row>
    <row r="628" spans="1:10" x14ac:dyDescent="0.2">
      <c r="A628" s="76" t="s">
        <v>258</v>
      </c>
      <c r="B628" s="76" t="s">
        <v>98</v>
      </c>
      <c r="C628" s="38" t="s">
        <v>97</v>
      </c>
      <c r="D628" s="38" t="s">
        <v>100</v>
      </c>
      <c r="E628" s="48">
        <v>32</v>
      </c>
      <c r="F628" s="48">
        <v>87668</v>
      </c>
      <c r="G628" s="48">
        <v>32</v>
      </c>
      <c r="H628" s="48">
        <v>80168</v>
      </c>
      <c r="I628" s="48">
        <v>32</v>
      </c>
      <c r="J628" s="48">
        <v>74298</v>
      </c>
    </row>
    <row r="629" spans="1:10" x14ac:dyDescent="0.2">
      <c r="A629" s="101" t="s">
        <v>258</v>
      </c>
      <c r="B629" s="101" t="s">
        <v>98</v>
      </c>
      <c r="C629" s="38" t="s">
        <v>10</v>
      </c>
      <c r="D629" s="38" t="s">
        <v>100</v>
      </c>
      <c r="E629" s="48">
        <v>105</v>
      </c>
      <c r="F629" s="48">
        <v>153140</v>
      </c>
      <c r="G629" s="48">
        <v>103</v>
      </c>
      <c r="H629" s="48">
        <v>131994</v>
      </c>
      <c r="I629" s="48">
        <v>105</v>
      </c>
      <c r="J629" s="48">
        <v>97652</v>
      </c>
    </row>
    <row r="630" spans="1:10" x14ac:dyDescent="0.2">
      <c r="A630" s="76" t="s">
        <v>259</v>
      </c>
      <c r="B630" s="76" t="s">
        <v>98</v>
      </c>
      <c r="C630" s="38" t="s">
        <v>97</v>
      </c>
      <c r="D630" s="38" t="s">
        <v>100</v>
      </c>
      <c r="E630" s="48">
        <v>7</v>
      </c>
      <c r="F630" s="48">
        <v>27158.566999999999</v>
      </c>
      <c r="G630" s="48">
        <v>6</v>
      </c>
      <c r="H630" s="48">
        <v>22720.206999999999</v>
      </c>
      <c r="I630" s="48">
        <v>6</v>
      </c>
      <c r="J630" s="48">
        <v>19329</v>
      </c>
    </row>
    <row r="631" spans="1:10" x14ac:dyDescent="0.2">
      <c r="A631" s="101" t="s">
        <v>259</v>
      </c>
      <c r="B631" s="101" t="s">
        <v>98</v>
      </c>
      <c r="C631" s="38" t="s">
        <v>10</v>
      </c>
      <c r="D631" s="38" t="s">
        <v>100</v>
      </c>
      <c r="E631" s="48">
        <v>7</v>
      </c>
      <c r="F631" s="48">
        <v>24147</v>
      </c>
      <c r="G631" s="48">
        <v>7</v>
      </c>
      <c r="H631" s="48">
        <v>9962</v>
      </c>
      <c r="I631" s="48">
        <v>7</v>
      </c>
      <c r="J631" s="48">
        <v>23216</v>
      </c>
    </row>
    <row r="632" spans="1:10" x14ac:dyDescent="0.2">
      <c r="A632" s="76" t="s">
        <v>260</v>
      </c>
      <c r="B632" s="76" t="s">
        <v>98</v>
      </c>
      <c r="C632" s="38" t="s">
        <v>97</v>
      </c>
      <c r="D632" s="38" t="s">
        <v>100</v>
      </c>
      <c r="E632" s="48">
        <v>295</v>
      </c>
      <c r="F632" s="48">
        <v>2274405.6340000001</v>
      </c>
      <c r="G632" s="48">
        <v>297</v>
      </c>
      <c r="H632" s="48">
        <v>1651053.727</v>
      </c>
      <c r="I632" s="48">
        <v>297</v>
      </c>
      <c r="J632" s="48">
        <v>1613977.5</v>
      </c>
    </row>
    <row r="633" spans="1:10" x14ac:dyDescent="0.2">
      <c r="A633" s="101" t="s">
        <v>260</v>
      </c>
      <c r="B633" s="101" t="s">
        <v>98</v>
      </c>
      <c r="C633" s="38" t="s">
        <v>10</v>
      </c>
      <c r="D633" s="38" t="s">
        <v>100</v>
      </c>
      <c r="E633" s="48">
        <v>2176</v>
      </c>
      <c r="F633" s="48">
        <v>2897746.9640000002</v>
      </c>
      <c r="G633" s="48">
        <v>2179</v>
      </c>
      <c r="H633" s="48">
        <v>3000847.8539999998</v>
      </c>
      <c r="I633" s="48">
        <v>2180</v>
      </c>
      <c r="J633" s="48">
        <v>2403807.75</v>
      </c>
    </row>
    <row r="634" spans="1:10" x14ac:dyDescent="0.2">
      <c r="A634" s="76" t="s">
        <v>260</v>
      </c>
      <c r="B634" s="76" t="s">
        <v>273</v>
      </c>
      <c r="C634" s="38" t="s">
        <v>97</v>
      </c>
      <c r="D634" s="38" t="s">
        <v>274</v>
      </c>
      <c r="E634" s="48">
        <v>31</v>
      </c>
      <c r="F634" s="48">
        <v>6661.3909999999996</v>
      </c>
      <c r="G634" s="48">
        <v>31</v>
      </c>
      <c r="H634" s="48">
        <v>6348.7929999999997</v>
      </c>
      <c r="I634" s="48">
        <v>31</v>
      </c>
      <c r="J634" s="48">
        <v>3921.6849999999999</v>
      </c>
    </row>
    <row r="635" spans="1:10" x14ac:dyDescent="0.2">
      <c r="A635" s="76" t="s">
        <v>260</v>
      </c>
      <c r="B635" s="101" t="s">
        <v>273</v>
      </c>
      <c r="C635" s="38" t="s">
        <v>10</v>
      </c>
      <c r="D635" s="38" t="s">
        <v>274</v>
      </c>
      <c r="E635" s="48">
        <v>256</v>
      </c>
      <c r="F635" s="48">
        <v>14963.287</v>
      </c>
      <c r="G635" s="48">
        <v>256</v>
      </c>
      <c r="H635" s="48">
        <v>14688.152</v>
      </c>
      <c r="I635" s="48">
        <v>256</v>
      </c>
      <c r="J635" s="48">
        <v>9535.9969999999994</v>
      </c>
    </row>
    <row r="636" spans="1:10" x14ac:dyDescent="0.2">
      <c r="A636" s="76" t="s">
        <v>261</v>
      </c>
      <c r="B636" s="76" t="s">
        <v>98</v>
      </c>
      <c r="C636" s="38" t="s">
        <v>97</v>
      </c>
      <c r="D636" s="38" t="s">
        <v>100</v>
      </c>
      <c r="E636" s="48">
        <v>711</v>
      </c>
      <c r="F636" s="48">
        <v>4347982.6219999995</v>
      </c>
      <c r="G636" s="48">
        <v>716</v>
      </c>
      <c r="H636" s="48">
        <v>2836306.8480000002</v>
      </c>
      <c r="I636" s="48">
        <v>719</v>
      </c>
      <c r="J636" s="48">
        <v>4461091.3449999997</v>
      </c>
    </row>
    <row r="637" spans="1:10" x14ac:dyDescent="0.2">
      <c r="A637" s="101" t="s">
        <v>261</v>
      </c>
      <c r="B637" s="101" t="s">
        <v>98</v>
      </c>
      <c r="C637" s="38" t="s">
        <v>10</v>
      </c>
      <c r="D637" s="38" t="s">
        <v>100</v>
      </c>
      <c r="E637" s="48">
        <v>4902</v>
      </c>
      <c r="F637" s="48">
        <v>7647303.3300000001</v>
      </c>
      <c r="G637" s="48">
        <v>4902</v>
      </c>
      <c r="H637" s="48">
        <v>6395232.3480000002</v>
      </c>
      <c r="I637" s="48">
        <v>4907</v>
      </c>
      <c r="J637" s="48">
        <v>5328507.6090000002</v>
      </c>
    </row>
    <row r="638" spans="1:10" x14ac:dyDescent="0.2">
      <c r="A638" s="76" t="s">
        <v>261</v>
      </c>
      <c r="B638" s="76" t="s">
        <v>273</v>
      </c>
      <c r="C638" s="38" t="s">
        <v>97</v>
      </c>
      <c r="D638" s="38" t="s">
        <v>274</v>
      </c>
      <c r="E638" s="48">
        <v>5</v>
      </c>
      <c r="F638" s="48">
        <v>4941.2370000000001</v>
      </c>
      <c r="G638" s="48">
        <v>5</v>
      </c>
      <c r="H638" s="48">
        <v>3664.18</v>
      </c>
      <c r="I638" s="48">
        <v>5</v>
      </c>
      <c r="J638" s="48">
        <v>1702.18</v>
      </c>
    </row>
    <row r="639" spans="1:10" x14ac:dyDescent="0.2">
      <c r="A639" s="76" t="s">
        <v>261</v>
      </c>
      <c r="B639" s="101" t="s">
        <v>273</v>
      </c>
      <c r="C639" s="38" t="s">
        <v>10</v>
      </c>
      <c r="D639" s="38" t="s">
        <v>274</v>
      </c>
      <c r="E639" s="48">
        <v>2</v>
      </c>
      <c r="F639" s="48">
        <v>137.476</v>
      </c>
      <c r="G639" s="48">
        <v>2</v>
      </c>
      <c r="H639" s="48">
        <v>100.746</v>
      </c>
      <c r="I639" s="48">
        <v>2</v>
      </c>
      <c r="J639" s="48">
        <v>54.582000000000001</v>
      </c>
    </row>
    <row r="640" spans="1:10" x14ac:dyDescent="0.2">
      <c r="A640" s="76" t="s">
        <v>262</v>
      </c>
      <c r="B640" s="76" t="s">
        <v>98</v>
      </c>
      <c r="C640" s="38" t="s">
        <v>97</v>
      </c>
      <c r="D640" s="38" t="s">
        <v>100</v>
      </c>
      <c r="E640" s="48">
        <v>332</v>
      </c>
      <c r="F640" s="48">
        <v>1353783.6</v>
      </c>
      <c r="G640" s="48">
        <v>334</v>
      </c>
      <c r="H640" s="48">
        <v>1209680.21</v>
      </c>
      <c r="I640" s="48">
        <v>334</v>
      </c>
      <c r="J640" s="48">
        <v>1258731.19</v>
      </c>
    </row>
    <row r="641" spans="1:10" x14ac:dyDescent="0.2">
      <c r="A641" s="101" t="s">
        <v>262</v>
      </c>
      <c r="B641" s="101" t="s">
        <v>98</v>
      </c>
      <c r="C641" s="38" t="s">
        <v>10</v>
      </c>
      <c r="D641" s="38" t="s">
        <v>100</v>
      </c>
      <c r="E641" s="48">
        <v>2221</v>
      </c>
      <c r="F641" s="48">
        <v>3822045.1370000001</v>
      </c>
      <c r="G641" s="48">
        <v>2224</v>
      </c>
      <c r="H641" s="48">
        <v>3435004.2760000001</v>
      </c>
      <c r="I641" s="48">
        <v>2227</v>
      </c>
      <c r="J641" s="48">
        <v>2600915.33</v>
      </c>
    </row>
    <row r="642" spans="1:10" x14ac:dyDescent="0.2">
      <c r="A642" s="76" t="s">
        <v>263</v>
      </c>
      <c r="B642" s="76" t="s">
        <v>98</v>
      </c>
      <c r="C642" s="38" t="s">
        <v>97</v>
      </c>
      <c r="D642" s="38" t="s">
        <v>100</v>
      </c>
      <c r="E642" s="48">
        <v>570</v>
      </c>
      <c r="F642" s="48">
        <v>995298.77500000002</v>
      </c>
      <c r="G642" s="48">
        <v>568</v>
      </c>
      <c r="H642" s="48">
        <v>1608896.5830000001</v>
      </c>
      <c r="I642" s="48">
        <v>573</v>
      </c>
      <c r="J642" s="48">
        <v>938534.99399999995</v>
      </c>
    </row>
    <row r="643" spans="1:10" x14ac:dyDescent="0.2">
      <c r="A643" s="101" t="s">
        <v>263</v>
      </c>
      <c r="B643" s="101" t="s">
        <v>98</v>
      </c>
      <c r="C643" s="38" t="s">
        <v>10</v>
      </c>
      <c r="D643" s="38" t="s">
        <v>100</v>
      </c>
      <c r="E643" s="48">
        <v>3316</v>
      </c>
      <c r="F643" s="48">
        <v>4923475.2390000001</v>
      </c>
      <c r="G643" s="48">
        <v>3319</v>
      </c>
      <c r="H643" s="48">
        <v>4904501.9929999998</v>
      </c>
      <c r="I643" s="48">
        <v>3326</v>
      </c>
      <c r="J643" s="48">
        <v>3630750.798</v>
      </c>
    </row>
    <row r="644" spans="1:10" x14ac:dyDescent="0.2">
      <c r="A644" s="76" t="s">
        <v>350</v>
      </c>
      <c r="B644" s="76" t="s">
        <v>273</v>
      </c>
      <c r="C644" s="38" t="s">
        <v>97</v>
      </c>
      <c r="D644" s="38" t="s">
        <v>274</v>
      </c>
      <c r="E644" s="48">
        <v>24</v>
      </c>
      <c r="F644" s="48">
        <v>10304.15</v>
      </c>
      <c r="G644" s="48">
        <v>24</v>
      </c>
      <c r="H644" s="48">
        <v>8570.6910000000007</v>
      </c>
      <c r="I644" s="48">
        <v>24</v>
      </c>
      <c r="J644" s="48">
        <v>4953.9009999999998</v>
      </c>
    </row>
    <row r="645" spans="1:10" x14ac:dyDescent="0.2">
      <c r="A645" s="101" t="s">
        <v>350</v>
      </c>
      <c r="B645" s="101" t="s">
        <v>273</v>
      </c>
      <c r="C645" s="38" t="s">
        <v>10</v>
      </c>
      <c r="D645" s="38" t="s">
        <v>274</v>
      </c>
      <c r="E645" s="48">
        <v>82</v>
      </c>
      <c r="F645" s="48">
        <v>4328.9260000000004</v>
      </c>
      <c r="G645" s="48">
        <v>82</v>
      </c>
      <c r="H645" s="48">
        <v>4090.99</v>
      </c>
      <c r="I645" s="48">
        <v>82</v>
      </c>
      <c r="J645" s="48">
        <v>2332.0650000000001</v>
      </c>
    </row>
    <row r="646" spans="1:10" x14ac:dyDescent="0.2">
      <c r="A646" s="76" t="s">
        <v>351</v>
      </c>
      <c r="B646" s="76" t="s">
        <v>273</v>
      </c>
      <c r="C646" s="38" t="s">
        <v>97</v>
      </c>
      <c r="D646" s="38" t="s">
        <v>274</v>
      </c>
      <c r="E646" s="48">
        <v>31</v>
      </c>
      <c r="F646" s="48">
        <v>10045.456</v>
      </c>
      <c r="G646" s="48">
        <v>31</v>
      </c>
      <c r="H646" s="48">
        <v>36750.281999999999</v>
      </c>
      <c r="I646" s="48">
        <v>31</v>
      </c>
      <c r="J646" s="48">
        <v>12688.432999999999</v>
      </c>
    </row>
    <row r="647" spans="1:10" x14ac:dyDescent="0.2">
      <c r="A647" s="101" t="s">
        <v>351</v>
      </c>
      <c r="B647" s="101" t="s">
        <v>273</v>
      </c>
      <c r="C647" s="38" t="s">
        <v>10</v>
      </c>
      <c r="D647" s="38" t="s">
        <v>274</v>
      </c>
      <c r="E647" s="48">
        <v>125</v>
      </c>
      <c r="F647" s="48">
        <v>6618.4080000000004</v>
      </c>
      <c r="G647" s="48">
        <v>125</v>
      </c>
      <c r="H647" s="48">
        <v>7240.01</v>
      </c>
      <c r="I647" s="48">
        <v>124</v>
      </c>
      <c r="J647" s="48">
        <v>3332.6759999999999</v>
      </c>
    </row>
    <row r="648" spans="1:10" x14ac:dyDescent="0.2">
      <c r="A648" s="76" t="s">
        <v>264</v>
      </c>
      <c r="B648" s="76" t="s">
        <v>98</v>
      </c>
      <c r="C648" s="38" t="s">
        <v>97</v>
      </c>
      <c r="D648" s="38" t="s">
        <v>100</v>
      </c>
      <c r="E648" s="48">
        <v>1278</v>
      </c>
      <c r="F648" s="48">
        <v>4238473.4169999994</v>
      </c>
      <c r="G648" s="48">
        <v>1289</v>
      </c>
      <c r="H648" s="48">
        <v>3417309.784</v>
      </c>
      <c r="I648" s="48">
        <v>1295</v>
      </c>
      <c r="J648" s="48">
        <v>3715114.9350000001</v>
      </c>
    </row>
    <row r="649" spans="1:10" x14ac:dyDescent="0.2">
      <c r="A649" s="101" t="s">
        <v>264</v>
      </c>
      <c r="B649" s="101" t="s">
        <v>98</v>
      </c>
      <c r="C649" s="38" t="s">
        <v>10</v>
      </c>
      <c r="D649" s="38" t="s">
        <v>100</v>
      </c>
      <c r="E649" s="48">
        <v>9803</v>
      </c>
      <c r="F649" s="48">
        <v>12663549.681</v>
      </c>
      <c r="G649" s="48">
        <v>9800</v>
      </c>
      <c r="H649" s="48">
        <v>11324025.211999999</v>
      </c>
      <c r="I649" s="48">
        <v>9817</v>
      </c>
      <c r="J649" s="48">
        <v>10046269.874</v>
      </c>
    </row>
    <row r="650" spans="1:10" x14ac:dyDescent="0.2">
      <c r="A650" s="76" t="s">
        <v>264</v>
      </c>
      <c r="B650" s="76" t="s">
        <v>273</v>
      </c>
      <c r="C650" s="38" t="s">
        <v>97</v>
      </c>
      <c r="D650" s="38" t="s">
        <v>274</v>
      </c>
      <c r="E650" s="48">
        <v>233</v>
      </c>
      <c r="F650" s="48">
        <v>100216.13500000001</v>
      </c>
      <c r="G650" s="48">
        <v>233</v>
      </c>
      <c r="H650" s="48">
        <v>-43188.301999999996</v>
      </c>
      <c r="I650" s="48">
        <v>232</v>
      </c>
      <c r="J650" s="48">
        <v>84785.274000000005</v>
      </c>
    </row>
    <row r="651" spans="1:10" x14ac:dyDescent="0.2">
      <c r="A651" s="76" t="s">
        <v>264</v>
      </c>
      <c r="B651" s="101" t="s">
        <v>273</v>
      </c>
      <c r="C651" s="38" t="s">
        <v>10</v>
      </c>
      <c r="D651" s="38" t="s">
        <v>274</v>
      </c>
      <c r="E651" s="48">
        <v>2402</v>
      </c>
      <c r="F651" s="48">
        <v>151986.462</v>
      </c>
      <c r="G651" s="48">
        <v>2399</v>
      </c>
      <c r="H651" s="48">
        <v>145409.59599999999</v>
      </c>
      <c r="I651" s="48">
        <v>2399</v>
      </c>
      <c r="J651" s="48">
        <v>88935.2</v>
      </c>
    </row>
    <row r="652" spans="1:10" x14ac:dyDescent="0.2">
      <c r="A652" s="76" t="s">
        <v>265</v>
      </c>
      <c r="B652" s="76" t="s">
        <v>98</v>
      </c>
      <c r="C652" s="38" t="s">
        <v>97</v>
      </c>
      <c r="D652" s="38" t="s">
        <v>100</v>
      </c>
      <c r="E652" s="48">
        <v>1136</v>
      </c>
      <c r="F652" s="48">
        <v>3863892.1710000001</v>
      </c>
      <c r="G652" s="48">
        <v>1145</v>
      </c>
      <c r="H652" s="48">
        <v>3273882.568</v>
      </c>
      <c r="I652" s="48">
        <v>1145</v>
      </c>
      <c r="J652" s="48">
        <v>2925387.6469999999</v>
      </c>
    </row>
    <row r="653" spans="1:10" x14ac:dyDescent="0.2">
      <c r="A653" s="101" t="s">
        <v>265</v>
      </c>
      <c r="B653" s="101" t="s">
        <v>98</v>
      </c>
      <c r="C653" s="38" t="s">
        <v>10</v>
      </c>
      <c r="D653" s="38" t="s">
        <v>100</v>
      </c>
      <c r="E653" s="48">
        <v>4732</v>
      </c>
      <c r="F653" s="48">
        <v>4836434.6730000004</v>
      </c>
      <c r="G653" s="48">
        <v>4753</v>
      </c>
      <c r="H653" s="48">
        <v>6496395.3269999996</v>
      </c>
      <c r="I653" s="48">
        <v>4758</v>
      </c>
      <c r="J653" s="48">
        <v>3463021.7629999998</v>
      </c>
    </row>
    <row r="654" spans="1:10" x14ac:dyDescent="0.2">
      <c r="A654" s="76" t="s">
        <v>265</v>
      </c>
      <c r="B654" s="76" t="s">
        <v>273</v>
      </c>
      <c r="C654" s="38" t="s">
        <v>97</v>
      </c>
      <c r="D654" s="38" t="s">
        <v>274</v>
      </c>
      <c r="E654" s="48">
        <v>127</v>
      </c>
      <c r="F654" s="48">
        <v>91333.047999999995</v>
      </c>
      <c r="G654" s="48">
        <v>127</v>
      </c>
      <c r="H654" s="48">
        <v>55146.892</v>
      </c>
      <c r="I654" s="48">
        <v>127</v>
      </c>
      <c r="J654" s="48">
        <v>58949.866000000002</v>
      </c>
    </row>
    <row r="655" spans="1:10" x14ac:dyDescent="0.2">
      <c r="A655" s="76" t="s">
        <v>265</v>
      </c>
      <c r="B655" s="101" t="s">
        <v>273</v>
      </c>
      <c r="C655" s="38" t="s">
        <v>10</v>
      </c>
      <c r="D655" s="38" t="s">
        <v>274</v>
      </c>
      <c r="E655" s="48">
        <v>1178</v>
      </c>
      <c r="F655" s="48">
        <v>138160.427</v>
      </c>
      <c r="G655" s="48">
        <v>1194</v>
      </c>
      <c r="H655" s="48">
        <v>135360.00599999999</v>
      </c>
      <c r="I655" s="48">
        <v>1203</v>
      </c>
      <c r="J655" s="48">
        <v>80799.592000000004</v>
      </c>
    </row>
    <row r="656" spans="1:10" x14ac:dyDescent="0.2">
      <c r="A656" s="76" t="s">
        <v>266</v>
      </c>
      <c r="B656" s="76" t="s">
        <v>98</v>
      </c>
      <c r="C656" s="38" t="s">
        <v>97</v>
      </c>
      <c r="D656" s="38" t="s">
        <v>100</v>
      </c>
      <c r="E656" s="48">
        <v>179</v>
      </c>
      <c r="F656" s="48">
        <v>387717.88400000002</v>
      </c>
      <c r="G656" s="48">
        <v>176</v>
      </c>
      <c r="H656" s="48">
        <v>303235.49400000001</v>
      </c>
      <c r="I656" s="48">
        <v>178</v>
      </c>
      <c r="J656" s="48">
        <v>281309.53100000002</v>
      </c>
    </row>
    <row r="657" spans="1:10" x14ac:dyDescent="0.2">
      <c r="A657" s="101" t="s">
        <v>266</v>
      </c>
      <c r="B657" s="101" t="s">
        <v>98</v>
      </c>
      <c r="C657" s="38" t="s">
        <v>10</v>
      </c>
      <c r="D657" s="38" t="s">
        <v>100</v>
      </c>
      <c r="E657" s="48">
        <v>754</v>
      </c>
      <c r="F657" s="48">
        <v>850145.31799999997</v>
      </c>
      <c r="G657" s="48">
        <v>755</v>
      </c>
      <c r="H657" s="48">
        <v>681255.495</v>
      </c>
      <c r="I657" s="48">
        <v>756</v>
      </c>
      <c r="J657" s="48">
        <v>537737.03399999999</v>
      </c>
    </row>
    <row r="658" spans="1:10" x14ac:dyDescent="0.2">
      <c r="A658" s="76" t="s">
        <v>267</v>
      </c>
      <c r="B658" s="76" t="s">
        <v>98</v>
      </c>
      <c r="C658" s="38" t="s">
        <v>97</v>
      </c>
      <c r="D658" s="38" t="s">
        <v>100</v>
      </c>
      <c r="E658" s="48">
        <v>976</v>
      </c>
      <c r="F658" s="48">
        <v>1113069.0120000001</v>
      </c>
      <c r="G658" s="48">
        <v>993</v>
      </c>
      <c r="H658" s="48">
        <v>1560209.5</v>
      </c>
      <c r="I658" s="48">
        <v>1015</v>
      </c>
      <c r="J658" s="48">
        <v>2482390.8079999997</v>
      </c>
    </row>
    <row r="659" spans="1:10" x14ac:dyDescent="0.2">
      <c r="A659" s="101" t="s">
        <v>267</v>
      </c>
      <c r="B659" s="101" t="s">
        <v>98</v>
      </c>
      <c r="C659" s="38" t="s">
        <v>10</v>
      </c>
      <c r="D659" s="38" t="s">
        <v>100</v>
      </c>
      <c r="E659" s="48">
        <v>3141</v>
      </c>
      <c r="F659" s="48">
        <v>4726112.5489999996</v>
      </c>
      <c r="G659" s="48">
        <v>3147</v>
      </c>
      <c r="H659" s="48">
        <v>3318719.6809999999</v>
      </c>
      <c r="I659" s="48">
        <v>3147</v>
      </c>
      <c r="J659" s="48">
        <v>3267249.2390000001</v>
      </c>
    </row>
    <row r="660" spans="1:10" x14ac:dyDescent="0.2">
      <c r="A660" s="76" t="s">
        <v>267</v>
      </c>
      <c r="B660" s="76" t="s">
        <v>273</v>
      </c>
      <c r="C660" s="38" t="s">
        <v>97</v>
      </c>
      <c r="D660" s="38" t="s">
        <v>274</v>
      </c>
      <c r="E660" s="48">
        <v>21</v>
      </c>
      <c r="F660" s="48">
        <v>14020.737000000001</v>
      </c>
      <c r="G660" s="48">
        <v>21</v>
      </c>
      <c r="H660" s="48">
        <v>13282.23</v>
      </c>
      <c r="I660" s="48">
        <v>21</v>
      </c>
      <c r="J660" s="48">
        <v>7672.7070000000003</v>
      </c>
    </row>
    <row r="661" spans="1:10" x14ac:dyDescent="0.2">
      <c r="A661" s="76" t="s">
        <v>267</v>
      </c>
      <c r="B661" s="101" t="s">
        <v>273</v>
      </c>
      <c r="C661" s="38" t="s">
        <v>10</v>
      </c>
      <c r="D661" s="38" t="s">
        <v>274</v>
      </c>
      <c r="E661" s="48">
        <v>589</v>
      </c>
      <c r="F661" s="48">
        <v>39239.656999999999</v>
      </c>
      <c r="G661" s="48">
        <v>590</v>
      </c>
      <c r="H661" s="48">
        <v>36519.360000000001</v>
      </c>
      <c r="I661" s="48">
        <v>588</v>
      </c>
      <c r="J661" s="48">
        <v>19837.177</v>
      </c>
    </row>
    <row r="662" spans="1:10" x14ac:dyDescent="0.2">
      <c r="A662" s="76" t="s">
        <v>268</v>
      </c>
      <c r="B662" s="76" t="s">
        <v>98</v>
      </c>
      <c r="C662" s="38" t="s">
        <v>97</v>
      </c>
      <c r="D662" s="38" t="s">
        <v>100</v>
      </c>
      <c r="E662" s="48">
        <v>88</v>
      </c>
      <c r="F662" s="48">
        <v>320420.24800000002</v>
      </c>
      <c r="G662" s="48">
        <v>87</v>
      </c>
      <c r="H662" s="48">
        <v>238695.038</v>
      </c>
      <c r="I662" s="48">
        <v>87</v>
      </c>
      <c r="J662" s="48">
        <v>193131</v>
      </c>
    </row>
    <row r="663" spans="1:10" x14ac:dyDescent="0.2">
      <c r="A663" s="101" t="s">
        <v>268</v>
      </c>
      <c r="B663" s="101" t="s">
        <v>98</v>
      </c>
      <c r="C663" s="38" t="s">
        <v>10</v>
      </c>
      <c r="D663" s="38" t="s">
        <v>100</v>
      </c>
      <c r="E663" s="48">
        <v>462</v>
      </c>
      <c r="F663" s="48">
        <v>469878.58899999998</v>
      </c>
      <c r="G663" s="48">
        <v>459</v>
      </c>
      <c r="H663" s="48">
        <v>447452.23499999999</v>
      </c>
      <c r="I663" s="48">
        <v>460</v>
      </c>
      <c r="J663" s="48">
        <v>363951.01500000001</v>
      </c>
    </row>
    <row r="664" spans="1:10" x14ac:dyDescent="0.2">
      <c r="A664" s="76" t="s">
        <v>268</v>
      </c>
      <c r="B664" s="76" t="s">
        <v>273</v>
      </c>
      <c r="C664" s="38" t="s">
        <v>97</v>
      </c>
      <c r="D664" s="38" t="s">
        <v>274</v>
      </c>
      <c r="E664" s="48">
        <v>29</v>
      </c>
      <c r="F664" s="48">
        <v>4077.0329999999999</v>
      </c>
      <c r="G664" s="48">
        <v>29</v>
      </c>
      <c r="H664" s="48">
        <v>3854.355</v>
      </c>
      <c r="I664" s="48">
        <v>29</v>
      </c>
      <c r="J664" s="48">
        <v>2249.1419999999998</v>
      </c>
    </row>
    <row r="665" spans="1:10" x14ac:dyDescent="0.2">
      <c r="A665" s="76" t="s">
        <v>268</v>
      </c>
      <c r="B665" s="101" t="s">
        <v>273</v>
      </c>
      <c r="C665" s="38" t="s">
        <v>10</v>
      </c>
      <c r="D665" s="38" t="s">
        <v>274</v>
      </c>
      <c r="E665" s="48">
        <v>178</v>
      </c>
      <c r="F665" s="48">
        <v>8757.0609999999997</v>
      </c>
      <c r="G665" s="48">
        <v>178</v>
      </c>
      <c r="H665" s="48">
        <v>9120.6509999999998</v>
      </c>
      <c r="I665" s="48">
        <v>180</v>
      </c>
      <c r="J665" s="48">
        <v>4704.3190000000004</v>
      </c>
    </row>
    <row r="666" spans="1:10" x14ac:dyDescent="0.2">
      <c r="A666" s="76" t="s">
        <v>269</v>
      </c>
      <c r="B666" s="76" t="s">
        <v>98</v>
      </c>
      <c r="C666" s="38" t="s">
        <v>97</v>
      </c>
      <c r="D666" s="38" t="s">
        <v>100</v>
      </c>
      <c r="E666" s="48">
        <v>181</v>
      </c>
      <c r="F666" s="48">
        <v>169835.65599999999</v>
      </c>
      <c r="G666" s="48">
        <v>179</v>
      </c>
      <c r="H666" s="48">
        <v>139074.609</v>
      </c>
      <c r="I666" s="48">
        <v>180</v>
      </c>
      <c r="J666" s="48">
        <v>144246.109</v>
      </c>
    </row>
    <row r="667" spans="1:10" x14ac:dyDescent="0.2">
      <c r="A667" s="101" t="s">
        <v>269</v>
      </c>
      <c r="B667" s="101" t="s">
        <v>98</v>
      </c>
      <c r="C667" s="38" t="s">
        <v>10</v>
      </c>
      <c r="D667" s="38" t="s">
        <v>100</v>
      </c>
      <c r="E667" s="48">
        <v>1286</v>
      </c>
      <c r="F667" s="48">
        <v>1409841.496</v>
      </c>
      <c r="G667" s="48">
        <v>1287</v>
      </c>
      <c r="H667" s="48">
        <v>1414317.5759999999</v>
      </c>
      <c r="I667" s="48">
        <v>1288</v>
      </c>
      <c r="J667" s="48">
        <v>958994.48199999996</v>
      </c>
    </row>
    <row r="668" spans="1:10" x14ac:dyDescent="0.2">
      <c r="A668" s="76" t="s">
        <v>270</v>
      </c>
      <c r="B668" s="76" t="s">
        <v>98</v>
      </c>
      <c r="C668" s="38" t="s">
        <v>97</v>
      </c>
      <c r="D668" s="38" t="s">
        <v>100</v>
      </c>
      <c r="E668" s="48">
        <v>142</v>
      </c>
      <c r="F668" s="48">
        <v>325203.48499999999</v>
      </c>
      <c r="G668" s="48">
        <v>144</v>
      </c>
      <c r="H668" s="48">
        <v>261459.74</v>
      </c>
      <c r="I668" s="48">
        <v>144</v>
      </c>
      <c r="J668" s="48">
        <v>262248.08999999997</v>
      </c>
    </row>
    <row r="669" spans="1:10" x14ac:dyDescent="0.2">
      <c r="A669" s="101" t="s">
        <v>270</v>
      </c>
      <c r="B669" s="101" t="s">
        <v>98</v>
      </c>
      <c r="C669" s="38" t="s">
        <v>10</v>
      </c>
      <c r="D669" s="38" t="s">
        <v>100</v>
      </c>
      <c r="E669" s="48">
        <v>699</v>
      </c>
      <c r="F669" s="48">
        <v>766157.74199999997</v>
      </c>
      <c r="G669" s="48">
        <v>698</v>
      </c>
      <c r="H669" s="48">
        <v>721817.02099999995</v>
      </c>
      <c r="I669" s="48">
        <v>696</v>
      </c>
      <c r="J669" s="48">
        <v>493613.84700000001</v>
      </c>
    </row>
    <row r="670" spans="1:10" x14ac:dyDescent="0.2">
      <c r="A670" s="76" t="s">
        <v>270</v>
      </c>
      <c r="B670" s="76" t="s">
        <v>273</v>
      </c>
      <c r="C670" s="38" t="s">
        <v>97</v>
      </c>
      <c r="D670" s="38" t="s">
        <v>274</v>
      </c>
      <c r="E670" s="48">
        <v>2</v>
      </c>
      <c r="F670" s="48">
        <v>17447.769</v>
      </c>
      <c r="G670" s="48">
        <v>2</v>
      </c>
      <c r="H670" s="48">
        <v>1900.8530000000001</v>
      </c>
      <c r="I670" s="48">
        <v>2</v>
      </c>
      <c r="J670" s="48">
        <v>14559.782999999999</v>
      </c>
    </row>
    <row r="671" spans="1:10" x14ac:dyDescent="0.2">
      <c r="A671" s="76" t="s">
        <v>271</v>
      </c>
      <c r="B671" s="38" t="s">
        <v>98</v>
      </c>
      <c r="C671" s="38" t="s">
        <v>97</v>
      </c>
      <c r="D671" s="38" t="s">
        <v>100</v>
      </c>
      <c r="E671" s="48">
        <v>27</v>
      </c>
      <c r="F671" s="48">
        <v>44630</v>
      </c>
      <c r="G671" s="48">
        <v>27</v>
      </c>
      <c r="H671" s="48">
        <v>21334.967000000001</v>
      </c>
      <c r="I671" s="48">
        <v>27</v>
      </c>
      <c r="J671" s="48">
        <v>19747</v>
      </c>
    </row>
    <row r="672" spans="1:10" x14ac:dyDescent="0.2">
      <c r="A672" s="101" t="s">
        <v>271</v>
      </c>
      <c r="B672" s="101" t="s">
        <v>98</v>
      </c>
      <c r="C672" s="38" t="s">
        <v>10</v>
      </c>
      <c r="D672" s="38" t="s">
        <v>100</v>
      </c>
      <c r="E672" s="48">
        <v>293</v>
      </c>
      <c r="F672" s="48">
        <v>358048.86900000001</v>
      </c>
      <c r="G672" s="48">
        <v>292</v>
      </c>
      <c r="H672" s="48">
        <v>329293.68199999997</v>
      </c>
      <c r="I672" s="48">
        <v>293</v>
      </c>
      <c r="J672" s="48">
        <v>271437.66700000002</v>
      </c>
    </row>
    <row r="673" spans="1:10" x14ac:dyDescent="0.2">
      <c r="A673" s="76" t="s">
        <v>272</v>
      </c>
      <c r="B673" s="76" t="s">
        <v>98</v>
      </c>
      <c r="C673" s="38" t="s">
        <v>97</v>
      </c>
      <c r="D673" s="38" t="s">
        <v>100</v>
      </c>
      <c r="E673" s="48">
        <v>104</v>
      </c>
      <c r="F673" s="48">
        <v>174746.291</v>
      </c>
      <c r="G673" s="48">
        <v>106</v>
      </c>
      <c r="H673" s="48">
        <v>206828.546</v>
      </c>
      <c r="I673" s="48">
        <v>106</v>
      </c>
      <c r="J673" s="48">
        <v>446006.52299999999</v>
      </c>
    </row>
    <row r="674" spans="1:10" x14ac:dyDescent="0.2">
      <c r="A674" s="101" t="s">
        <v>272</v>
      </c>
      <c r="B674" s="101" t="s">
        <v>98</v>
      </c>
      <c r="C674" s="38" t="s">
        <v>10</v>
      </c>
      <c r="D674" s="38" t="s">
        <v>100</v>
      </c>
      <c r="E674" s="48">
        <v>228</v>
      </c>
      <c r="F674" s="48">
        <v>260389.992</v>
      </c>
      <c r="G674" s="48">
        <v>228</v>
      </c>
      <c r="H674" s="48">
        <v>295503.29800000001</v>
      </c>
      <c r="I674" s="48">
        <v>228</v>
      </c>
      <c r="J674" s="48">
        <v>191932.54800000001</v>
      </c>
    </row>
    <row r="675" spans="1:10" x14ac:dyDescent="0.2">
      <c r="A675" s="76" t="s">
        <v>272</v>
      </c>
      <c r="B675" s="76" t="s">
        <v>273</v>
      </c>
      <c r="C675" s="38" t="s">
        <v>97</v>
      </c>
      <c r="D675" s="38" t="s">
        <v>274</v>
      </c>
      <c r="E675" s="48">
        <v>5</v>
      </c>
      <c r="F675" s="48">
        <v>3164.7579999999998</v>
      </c>
      <c r="G675" s="48">
        <v>5</v>
      </c>
      <c r="H675" s="48">
        <v>3247.9279999999999</v>
      </c>
      <c r="I675" s="48">
        <v>5</v>
      </c>
      <c r="J675" s="48">
        <v>1893.1189999999999</v>
      </c>
    </row>
    <row r="676" spans="1:10" ht="16" thickBot="1" x14ac:dyDescent="0.25">
      <c r="A676" s="77" t="s">
        <v>272</v>
      </c>
      <c r="B676" s="104" t="s">
        <v>273</v>
      </c>
      <c r="C676" s="50" t="s">
        <v>10</v>
      </c>
      <c r="D676" s="50" t="s">
        <v>274</v>
      </c>
      <c r="E676" s="49">
        <v>55</v>
      </c>
      <c r="F676" s="49">
        <v>3199.2130000000002</v>
      </c>
      <c r="G676" s="49">
        <v>55</v>
      </c>
      <c r="H676" s="49">
        <v>3285.154</v>
      </c>
      <c r="I676" s="49">
        <v>54</v>
      </c>
      <c r="J676" s="49">
        <v>1848.2280000000001</v>
      </c>
    </row>
  </sheetData>
  <mergeCells count="5">
    <mergeCell ref="A9:D9"/>
    <mergeCell ref="E9:F9"/>
    <mergeCell ref="G9:H9"/>
    <mergeCell ref="I9:J9"/>
    <mergeCell ref="A1:O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463"/>
  <sheetViews>
    <sheetView topLeftCell="D421" workbookViewId="0">
      <selection activeCell="O440" sqref="O440:Q440"/>
    </sheetView>
  </sheetViews>
  <sheetFormatPr baseColWidth="10" defaultColWidth="9.1640625" defaultRowHeight="15" x14ac:dyDescent="0.2"/>
  <cols>
    <col min="1" max="1" width="12.83203125" style="8" customWidth="1"/>
    <col min="2" max="2" width="20.1640625" style="8" customWidth="1"/>
    <col min="3" max="5" width="12.83203125" style="8" customWidth="1"/>
    <col min="6" max="6" width="3.1640625" style="9" customWidth="1"/>
    <col min="7" max="7" width="12.83203125" style="8" customWidth="1"/>
    <col min="8" max="8" width="20.1640625" style="8" customWidth="1"/>
    <col min="9" max="11" width="12.83203125" style="8" customWidth="1"/>
    <col min="12" max="12" width="3.1640625" style="9" customWidth="1"/>
    <col min="13" max="13" width="12.83203125" style="8" customWidth="1"/>
    <col min="14" max="14" width="20.1640625" style="8" customWidth="1"/>
    <col min="15" max="17" width="12.83203125" style="8" customWidth="1"/>
    <col min="18" max="18" width="3.1640625" style="9" customWidth="1"/>
    <col min="19" max="19" width="12.83203125" style="8" customWidth="1"/>
    <col min="20" max="20" width="20.1640625" style="8" customWidth="1"/>
    <col min="21" max="23" width="12.83203125" style="8" customWidth="1"/>
    <col min="24" max="16384" width="9.1640625" style="8"/>
  </cols>
  <sheetData>
    <row r="1" spans="1:23" ht="16" thickBot="1" x14ac:dyDescent="0.25">
      <c r="A1" s="120" t="s">
        <v>0</v>
      </c>
      <c r="B1" s="121"/>
      <c r="C1" s="121"/>
      <c r="D1" s="121"/>
      <c r="E1" s="121"/>
      <c r="F1" s="121"/>
      <c r="G1" s="121"/>
      <c r="H1" s="121"/>
      <c r="I1" s="121"/>
      <c r="J1" s="121"/>
      <c r="K1" s="122"/>
      <c r="L1" s="27"/>
      <c r="M1" s="28"/>
      <c r="N1" s="28"/>
      <c r="O1" s="28"/>
      <c r="P1" s="28"/>
      <c r="Q1" s="28"/>
      <c r="R1" s="32"/>
    </row>
    <row r="2" spans="1:23" x14ac:dyDescent="0.2">
      <c r="A2" s="5">
        <v>1</v>
      </c>
      <c r="B2" s="2" t="s">
        <v>1</v>
      </c>
      <c r="C2" s="3"/>
      <c r="D2" s="3"/>
      <c r="E2" s="3"/>
      <c r="F2" s="4"/>
      <c r="G2" s="3"/>
      <c r="H2" s="3"/>
      <c r="I2" s="3"/>
      <c r="J2" s="3"/>
      <c r="K2" s="3"/>
      <c r="L2" s="4"/>
      <c r="M2" s="3"/>
      <c r="N2" s="3"/>
      <c r="O2" s="3"/>
      <c r="P2" s="3"/>
      <c r="Q2" s="3"/>
      <c r="R2" s="4"/>
    </row>
    <row r="3" spans="1:23" x14ac:dyDescent="0.2">
      <c r="A3" s="5">
        <v>2</v>
      </c>
      <c r="B3" s="2" t="s">
        <v>2</v>
      </c>
      <c r="C3" s="3"/>
      <c r="D3" s="3"/>
      <c r="E3" s="3"/>
      <c r="F3" s="4"/>
      <c r="G3" s="3"/>
      <c r="H3" s="3"/>
      <c r="I3" s="3"/>
      <c r="J3" s="3"/>
      <c r="K3" s="3"/>
      <c r="L3" s="4"/>
      <c r="M3" s="3"/>
      <c r="N3" s="3"/>
      <c r="O3" s="3"/>
      <c r="P3" s="3"/>
      <c r="Q3" s="3"/>
      <c r="R3" s="4"/>
    </row>
    <row r="4" spans="1:23" x14ac:dyDescent="0.2">
      <c r="A4" s="5">
        <v>3</v>
      </c>
      <c r="B4" s="3" t="s">
        <v>84</v>
      </c>
      <c r="C4" s="3"/>
      <c r="D4" s="3"/>
      <c r="E4" s="3"/>
      <c r="F4" s="4"/>
      <c r="G4" s="3"/>
      <c r="H4" s="3"/>
      <c r="I4" s="3"/>
      <c r="J4" s="3"/>
      <c r="K4" s="3"/>
      <c r="L4" s="4"/>
      <c r="M4" s="3"/>
      <c r="N4" s="3"/>
      <c r="O4" s="3"/>
      <c r="P4" s="3"/>
      <c r="Q4" s="3"/>
      <c r="R4" s="4"/>
    </row>
    <row r="5" spans="1:23" x14ac:dyDescent="0.2">
      <c r="A5" s="5">
        <v>4</v>
      </c>
      <c r="B5" s="2" t="s">
        <v>34</v>
      </c>
      <c r="C5" s="2"/>
      <c r="D5" s="2"/>
      <c r="E5" s="3"/>
      <c r="F5" s="30"/>
      <c r="G5" s="3"/>
      <c r="H5" s="3"/>
      <c r="I5" s="3"/>
      <c r="J5" s="3"/>
      <c r="K5" s="3"/>
      <c r="L5" s="4"/>
      <c r="M5" s="3"/>
      <c r="N5" s="3"/>
      <c r="O5" s="3"/>
      <c r="P5" s="3"/>
      <c r="Q5" s="3"/>
      <c r="R5" s="4"/>
    </row>
    <row r="6" spans="1:23" x14ac:dyDescent="0.2">
      <c r="A6" s="3">
        <v>5</v>
      </c>
      <c r="B6" s="29" t="s">
        <v>5</v>
      </c>
      <c r="C6" s="2"/>
      <c r="D6" s="2"/>
      <c r="E6" s="3"/>
      <c r="F6" s="30"/>
      <c r="G6" s="3"/>
      <c r="H6" s="3"/>
      <c r="I6" s="3"/>
      <c r="J6" s="3"/>
      <c r="K6" s="3"/>
      <c r="L6" s="4"/>
      <c r="M6" s="3"/>
      <c r="N6" s="3"/>
      <c r="O6" s="3"/>
      <c r="P6" s="3"/>
      <c r="Q6" s="3"/>
      <c r="R6" s="4"/>
    </row>
    <row r="7" spans="1:23" x14ac:dyDescent="0.2">
      <c r="A7" s="3">
        <v>6</v>
      </c>
      <c r="B7" s="23" t="s">
        <v>81</v>
      </c>
      <c r="C7" s="2"/>
      <c r="D7" s="2"/>
      <c r="E7" s="3"/>
      <c r="F7" s="30"/>
      <c r="G7" s="3"/>
      <c r="H7" s="3"/>
      <c r="I7" s="3"/>
      <c r="J7" s="3"/>
      <c r="K7" s="3"/>
      <c r="L7" s="4"/>
      <c r="M7" s="3"/>
      <c r="N7" s="3"/>
      <c r="O7" s="3"/>
      <c r="P7" s="3"/>
      <c r="Q7" s="3"/>
      <c r="R7" s="4"/>
    </row>
    <row r="8" spans="1:23" ht="16" thickBot="1" x14ac:dyDescent="0.25"/>
    <row r="9" spans="1:23" ht="90" customHeight="1" thickBot="1" x14ac:dyDescent="0.25">
      <c r="A9" s="126" t="s">
        <v>87</v>
      </c>
      <c r="B9" s="126"/>
      <c r="C9" s="123" t="s">
        <v>35</v>
      </c>
      <c r="D9" s="124"/>
      <c r="E9" s="125"/>
      <c r="F9" s="31"/>
      <c r="G9" s="123" t="s">
        <v>353</v>
      </c>
      <c r="H9" s="124"/>
      <c r="I9" s="124"/>
      <c r="J9" s="124"/>
      <c r="K9" s="125"/>
      <c r="M9" s="123" t="s">
        <v>82</v>
      </c>
      <c r="N9" s="124"/>
      <c r="O9" s="124"/>
      <c r="P9" s="124"/>
      <c r="Q9" s="125"/>
      <c r="S9" s="123" t="s">
        <v>83</v>
      </c>
      <c r="T9" s="124"/>
      <c r="U9" s="124"/>
      <c r="V9" s="124"/>
      <c r="W9" s="125"/>
    </row>
    <row r="10" spans="1:23" ht="16" thickBot="1" x14ac:dyDescent="0.25">
      <c r="A10" s="7" t="s">
        <v>8</v>
      </c>
      <c r="B10" s="7" t="s">
        <v>9</v>
      </c>
      <c r="C10" s="81">
        <v>44681</v>
      </c>
      <c r="D10" s="81">
        <v>44712</v>
      </c>
      <c r="E10" s="81">
        <v>44742</v>
      </c>
      <c r="G10" s="7" t="s">
        <v>8</v>
      </c>
      <c r="H10" s="7" t="s">
        <v>9</v>
      </c>
      <c r="I10" s="81">
        <v>44681</v>
      </c>
      <c r="J10" s="81">
        <v>44712</v>
      </c>
      <c r="K10" s="81">
        <v>44742</v>
      </c>
      <c r="M10" s="7" t="s">
        <v>8</v>
      </c>
      <c r="N10" s="7" t="s">
        <v>9</v>
      </c>
      <c r="O10" s="81">
        <v>44681</v>
      </c>
      <c r="P10" s="81">
        <v>44712</v>
      </c>
      <c r="Q10" s="81">
        <v>44742</v>
      </c>
      <c r="S10" s="7" t="s">
        <v>8</v>
      </c>
      <c r="T10" s="7" t="s">
        <v>9</v>
      </c>
      <c r="U10" s="81">
        <v>44681</v>
      </c>
      <c r="V10" s="81">
        <v>44712</v>
      </c>
      <c r="W10" s="81">
        <v>44742</v>
      </c>
    </row>
    <row r="11" spans="1:23" ht="15" customHeight="1" x14ac:dyDescent="0.2">
      <c r="A11" s="100">
        <v>98002</v>
      </c>
      <c r="B11" s="100" t="s">
        <v>352</v>
      </c>
      <c r="C11" s="47"/>
      <c r="D11" s="47"/>
      <c r="E11" s="47">
        <v>3</v>
      </c>
      <c r="G11" s="100">
        <v>98002</v>
      </c>
      <c r="H11" s="100" t="s">
        <v>352</v>
      </c>
      <c r="I11" s="107"/>
      <c r="J11" s="107"/>
      <c r="K11" s="107">
        <v>13</v>
      </c>
      <c r="M11" s="60">
        <v>98001</v>
      </c>
      <c r="N11" s="37" t="s">
        <v>352</v>
      </c>
      <c r="O11" s="35">
        <v>24</v>
      </c>
      <c r="P11" s="35">
        <v>18</v>
      </c>
      <c r="Q11" s="35">
        <v>20</v>
      </c>
      <c r="S11" s="62">
        <v>98001</v>
      </c>
      <c r="T11" s="37" t="s">
        <v>352</v>
      </c>
      <c r="U11" s="35">
        <v>7</v>
      </c>
      <c r="V11" s="35">
        <v>8</v>
      </c>
      <c r="W11" s="35">
        <v>15</v>
      </c>
    </row>
    <row r="12" spans="1:23" x14ac:dyDescent="0.2">
      <c r="A12" s="76">
        <v>98003</v>
      </c>
      <c r="B12" s="101" t="s">
        <v>352</v>
      </c>
      <c r="C12" s="48"/>
      <c r="D12" s="48"/>
      <c r="E12" s="48">
        <v>1</v>
      </c>
      <c r="G12" s="76">
        <v>98003</v>
      </c>
      <c r="H12" s="101" t="s">
        <v>352</v>
      </c>
      <c r="I12" s="108"/>
      <c r="J12" s="108"/>
      <c r="K12" s="108">
        <v>0</v>
      </c>
      <c r="M12" s="59">
        <v>98001</v>
      </c>
      <c r="N12" s="38" t="s">
        <v>10</v>
      </c>
      <c r="O12" s="36">
        <v>202</v>
      </c>
      <c r="P12" s="36">
        <v>186</v>
      </c>
      <c r="Q12" s="36">
        <v>227</v>
      </c>
      <c r="S12" s="63">
        <v>98001</v>
      </c>
      <c r="T12" s="38" t="s">
        <v>10</v>
      </c>
      <c r="U12" s="36">
        <v>129</v>
      </c>
      <c r="V12" s="36">
        <v>86</v>
      </c>
      <c r="W12" s="36">
        <v>193</v>
      </c>
    </row>
    <row r="13" spans="1:23" x14ac:dyDescent="0.2">
      <c r="A13" s="76">
        <v>98004</v>
      </c>
      <c r="B13" s="101" t="s">
        <v>352</v>
      </c>
      <c r="C13" s="48"/>
      <c r="D13" s="48"/>
      <c r="E13" s="48">
        <v>1</v>
      </c>
      <c r="G13" s="76">
        <v>98032</v>
      </c>
      <c r="H13" s="101" t="s">
        <v>352</v>
      </c>
      <c r="I13" s="108"/>
      <c r="J13" s="108"/>
      <c r="K13" s="108">
        <v>0.5</v>
      </c>
      <c r="M13" s="61">
        <v>98002</v>
      </c>
      <c r="N13" s="38" t="s">
        <v>352</v>
      </c>
      <c r="O13" s="36">
        <v>25</v>
      </c>
      <c r="P13" s="36">
        <v>25</v>
      </c>
      <c r="Q13" s="36">
        <v>23</v>
      </c>
      <c r="S13" s="64">
        <v>98002</v>
      </c>
      <c r="T13" s="38" t="s">
        <v>352</v>
      </c>
      <c r="U13" s="36">
        <v>7</v>
      </c>
      <c r="V13" s="36">
        <v>3</v>
      </c>
      <c r="W13" s="36">
        <v>22</v>
      </c>
    </row>
    <row r="14" spans="1:23" x14ac:dyDescent="0.2">
      <c r="A14" s="76">
        <v>98023</v>
      </c>
      <c r="B14" s="101" t="s">
        <v>10</v>
      </c>
      <c r="C14" s="48"/>
      <c r="D14" s="48"/>
      <c r="E14" s="48">
        <v>1</v>
      </c>
      <c r="G14" s="76">
        <v>98042</v>
      </c>
      <c r="H14" s="101" t="s">
        <v>352</v>
      </c>
      <c r="I14" s="108"/>
      <c r="J14" s="108">
        <v>5</v>
      </c>
      <c r="K14" s="108"/>
      <c r="M14" s="59">
        <v>98002</v>
      </c>
      <c r="N14" s="38" t="s">
        <v>10</v>
      </c>
      <c r="O14" s="36">
        <v>431</v>
      </c>
      <c r="P14" s="36">
        <v>374</v>
      </c>
      <c r="Q14" s="36">
        <v>392</v>
      </c>
      <c r="S14" s="63">
        <v>98002</v>
      </c>
      <c r="T14" s="38" t="s">
        <v>10</v>
      </c>
      <c r="U14" s="36">
        <v>382</v>
      </c>
      <c r="V14" s="36">
        <v>221</v>
      </c>
      <c r="W14" s="36">
        <v>315</v>
      </c>
    </row>
    <row r="15" spans="1:23" x14ac:dyDescent="0.2">
      <c r="A15" s="76">
        <v>98030</v>
      </c>
      <c r="B15" s="101" t="s">
        <v>352</v>
      </c>
      <c r="C15" s="48"/>
      <c r="D15" s="48"/>
      <c r="E15" s="48">
        <v>1</v>
      </c>
      <c r="G15" s="76">
        <v>98118</v>
      </c>
      <c r="H15" s="101" t="s">
        <v>10</v>
      </c>
      <c r="I15" s="108"/>
      <c r="J15" s="108">
        <v>0</v>
      </c>
      <c r="K15" s="108"/>
      <c r="M15" s="61">
        <v>98003</v>
      </c>
      <c r="N15" s="38" t="s">
        <v>352</v>
      </c>
      <c r="O15" s="36">
        <v>14</v>
      </c>
      <c r="P15" s="36">
        <v>29</v>
      </c>
      <c r="Q15" s="36">
        <v>22</v>
      </c>
      <c r="S15" s="64">
        <v>98003</v>
      </c>
      <c r="T15" s="38" t="s">
        <v>352</v>
      </c>
      <c r="U15" s="36">
        <v>6</v>
      </c>
      <c r="V15" s="36">
        <v>3</v>
      </c>
      <c r="W15" s="36">
        <v>16</v>
      </c>
    </row>
    <row r="16" spans="1:23" x14ac:dyDescent="0.2">
      <c r="A16" s="76">
        <v>98031</v>
      </c>
      <c r="B16" s="101" t="s">
        <v>352</v>
      </c>
      <c r="C16" s="48"/>
      <c r="D16" s="48"/>
      <c r="E16" s="48">
        <v>2</v>
      </c>
      <c r="G16" s="76">
        <v>98126</v>
      </c>
      <c r="H16" s="101" t="s">
        <v>10</v>
      </c>
      <c r="I16" s="108"/>
      <c r="J16" s="108"/>
      <c r="K16" s="108">
        <v>4</v>
      </c>
      <c r="M16" s="59">
        <v>98003</v>
      </c>
      <c r="N16" s="38" t="s">
        <v>10</v>
      </c>
      <c r="O16" s="36">
        <v>614</v>
      </c>
      <c r="P16" s="36">
        <v>434</v>
      </c>
      <c r="Q16" s="36">
        <v>505</v>
      </c>
      <c r="S16" s="63">
        <v>98003</v>
      </c>
      <c r="T16" s="38" t="s">
        <v>10</v>
      </c>
      <c r="U16" s="36">
        <v>513</v>
      </c>
      <c r="V16" s="36">
        <v>336</v>
      </c>
      <c r="W16" s="36">
        <v>464</v>
      </c>
    </row>
    <row r="17" spans="1:23" x14ac:dyDescent="0.2">
      <c r="A17" s="76">
        <v>98031</v>
      </c>
      <c r="B17" s="101" t="s">
        <v>10</v>
      </c>
      <c r="C17" s="48"/>
      <c r="D17" s="48"/>
      <c r="E17" s="48">
        <v>1</v>
      </c>
      <c r="G17" s="76">
        <v>98168</v>
      </c>
      <c r="H17" s="101" t="s">
        <v>10</v>
      </c>
      <c r="I17" s="108"/>
      <c r="J17" s="108"/>
      <c r="K17" s="108">
        <v>8</v>
      </c>
      <c r="M17" s="61">
        <v>98004</v>
      </c>
      <c r="N17" s="38" t="s">
        <v>352</v>
      </c>
      <c r="O17" s="36">
        <v>19</v>
      </c>
      <c r="P17" s="36">
        <v>18</v>
      </c>
      <c r="Q17" s="36">
        <v>17</v>
      </c>
      <c r="S17" s="64">
        <v>98004</v>
      </c>
      <c r="T17" s="38" t="s">
        <v>352</v>
      </c>
      <c r="U17" s="36">
        <v>4</v>
      </c>
      <c r="V17" s="36">
        <v>2</v>
      </c>
      <c r="W17" s="36">
        <v>9</v>
      </c>
    </row>
    <row r="18" spans="1:23" x14ac:dyDescent="0.2">
      <c r="A18" s="76">
        <v>98032</v>
      </c>
      <c r="B18" s="101" t="s">
        <v>352</v>
      </c>
      <c r="C18" s="48"/>
      <c r="D18" s="48"/>
      <c r="E18" s="48">
        <v>5</v>
      </c>
      <c r="G18" s="76">
        <v>98178</v>
      </c>
      <c r="H18" s="101" t="s">
        <v>352</v>
      </c>
      <c r="I18" s="108"/>
      <c r="J18" s="108"/>
      <c r="K18" s="108">
        <v>6</v>
      </c>
      <c r="M18" s="59">
        <v>98004</v>
      </c>
      <c r="N18" s="38" t="s">
        <v>10</v>
      </c>
      <c r="O18" s="36">
        <v>127</v>
      </c>
      <c r="P18" s="36">
        <v>133</v>
      </c>
      <c r="Q18" s="36">
        <v>109</v>
      </c>
      <c r="S18" s="63">
        <v>98004</v>
      </c>
      <c r="T18" s="38" t="s">
        <v>10</v>
      </c>
      <c r="U18" s="36">
        <v>61</v>
      </c>
      <c r="V18" s="36">
        <v>71</v>
      </c>
      <c r="W18" s="36">
        <v>111</v>
      </c>
    </row>
    <row r="19" spans="1:23" x14ac:dyDescent="0.2">
      <c r="A19" s="76">
        <v>98042</v>
      </c>
      <c r="B19" s="101" t="s">
        <v>352</v>
      </c>
      <c r="C19" s="48"/>
      <c r="D19" s="48">
        <v>1</v>
      </c>
      <c r="E19" s="48"/>
      <c r="G19" s="76">
        <v>98225</v>
      </c>
      <c r="H19" s="101" t="s">
        <v>10</v>
      </c>
      <c r="I19" s="108"/>
      <c r="J19" s="108"/>
      <c r="K19" s="108">
        <v>6</v>
      </c>
      <c r="M19" s="61">
        <v>98005</v>
      </c>
      <c r="N19" s="38" t="s">
        <v>352</v>
      </c>
      <c r="O19" s="36">
        <v>15</v>
      </c>
      <c r="P19" s="36">
        <v>15</v>
      </c>
      <c r="Q19" s="36">
        <v>9</v>
      </c>
      <c r="S19" s="64">
        <v>98005</v>
      </c>
      <c r="T19" s="38" t="s">
        <v>352</v>
      </c>
      <c r="U19" s="36">
        <v>8</v>
      </c>
      <c r="V19" s="36">
        <v>2</v>
      </c>
      <c r="W19" s="36">
        <v>5</v>
      </c>
    </row>
    <row r="20" spans="1:23" x14ac:dyDescent="0.2">
      <c r="A20" s="76">
        <v>98108</v>
      </c>
      <c r="B20" s="101" t="s">
        <v>10</v>
      </c>
      <c r="C20" s="48"/>
      <c r="D20" s="48"/>
      <c r="E20" s="48">
        <v>1</v>
      </c>
      <c r="G20" s="76">
        <v>98226</v>
      </c>
      <c r="H20" s="101" t="s">
        <v>10</v>
      </c>
      <c r="I20" s="108"/>
      <c r="J20" s="108"/>
      <c r="K20" s="108">
        <v>7</v>
      </c>
      <c r="M20" s="59">
        <v>98005</v>
      </c>
      <c r="N20" s="38" t="s">
        <v>10</v>
      </c>
      <c r="O20" s="36">
        <v>75</v>
      </c>
      <c r="P20" s="36">
        <v>69</v>
      </c>
      <c r="Q20" s="36">
        <v>58</v>
      </c>
      <c r="S20" s="63">
        <v>98005</v>
      </c>
      <c r="T20" s="38" t="s">
        <v>10</v>
      </c>
      <c r="U20" s="36">
        <v>45</v>
      </c>
      <c r="V20" s="36">
        <v>29</v>
      </c>
      <c r="W20" s="36">
        <v>50</v>
      </c>
    </row>
    <row r="21" spans="1:23" x14ac:dyDescent="0.2">
      <c r="A21" s="76">
        <v>98116</v>
      </c>
      <c r="B21" s="101" t="s">
        <v>10</v>
      </c>
      <c r="C21" s="48"/>
      <c r="D21" s="48">
        <v>1</v>
      </c>
      <c r="E21" s="48"/>
      <c r="G21" s="76">
        <v>98229</v>
      </c>
      <c r="H21" s="101" t="s">
        <v>10</v>
      </c>
      <c r="I21" s="108"/>
      <c r="J21" s="108">
        <v>0</v>
      </c>
      <c r="K21" s="108">
        <v>0.33333333333333331</v>
      </c>
      <c r="M21" s="61">
        <v>98006</v>
      </c>
      <c r="N21" s="38" t="s">
        <v>352</v>
      </c>
      <c r="O21" s="36">
        <v>10</v>
      </c>
      <c r="P21" s="36">
        <v>6</v>
      </c>
      <c r="Q21" s="36">
        <v>9</v>
      </c>
      <c r="S21" s="64">
        <v>98006</v>
      </c>
      <c r="T21" s="38" t="s">
        <v>352</v>
      </c>
      <c r="U21" s="36">
        <v>3</v>
      </c>
      <c r="V21" s="36">
        <v>2</v>
      </c>
      <c r="W21" s="36">
        <v>5</v>
      </c>
    </row>
    <row r="22" spans="1:23" x14ac:dyDescent="0.2">
      <c r="A22" s="76">
        <v>98118</v>
      </c>
      <c r="B22" s="101" t="s">
        <v>10</v>
      </c>
      <c r="C22" s="48"/>
      <c r="D22" s="48">
        <v>2</v>
      </c>
      <c r="E22" s="48"/>
      <c r="G22" s="76">
        <v>98310</v>
      </c>
      <c r="H22" s="101" t="s">
        <v>10</v>
      </c>
      <c r="I22" s="108"/>
      <c r="J22" s="108">
        <v>0.5</v>
      </c>
      <c r="K22" s="108">
        <v>1.3333333333333333</v>
      </c>
      <c r="M22" s="59">
        <v>98006</v>
      </c>
      <c r="N22" s="38" t="s">
        <v>10</v>
      </c>
      <c r="O22" s="36">
        <v>121</v>
      </c>
      <c r="P22" s="36">
        <v>97</v>
      </c>
      <c r="Q22" s="36">
        <v>84</v>
      </c>
      <c r="S22" s="63">
        <v>98006</v>
      </c>
      <c r="T22" s="38" t="s">
        <v>10</v>
      </c>
      <c r="U22" s="36">
        <v>58</v>
      </c>
      <c r="V22" s="36">
        <v>46</v>
      </c>
      <c r="W22" s="36">
        <v>65</v>
      </c>
    </row>
    <row r="23" spans="1:23" x14ac:dyDescent="0.2">
      <c r="A23" s="76">
        <v>98126</v>
      </c>
      <c r="B23" s="101" t="s">
        <v>10</v>
      </c>
      <c r="C23" s="48"/>
      <c r="D23" s="48">
        <v>1</v>
      </c>
      <c r="E23" s="48">
        <v>2</v>
      </c>
      <c r="G23" s="76">
        <v>98311</v>
      </c>
      <c r="H23" s="101" t="s">
        <v>10</v>
      </c>
      <c r="I23" s="108"/>
      <c r="J23" s="108">
        <v>1</v>
      </c>
      <c r="K23" s="108">
        <v>1.25</v>
      </c>
      <c r="M23" s="61">
        <v>98007</v>
      </c>
      <c r="N23" s="38" t="s">
        <v>352</v>
      </c>
      <c r="O23" s="36">
        <v>6</v>
      </c>
      <c r="P23" s="36">
        <v>6</v>
      </c>
      <c r="Q23" s="36">
        <v>7</v>
      </c>
      <c r="S23" s="64">
        <v>98007</v>
      </c>
      <c r="T23" s="38" t="s">
        <v>352</v>
      </c>
      <c r="U23" s="36">
        <v>1</v>
      </c>
      <c r="V23" s="36">
        <v>1</v>
      </c>
      <c r="W23" s="36">
        <v>4</v>
      </c>
    </row>
    <row r="24" spans="1:23" x14ac:dyDescent="0.2">
      <c r="A24" s="76">
        <v>98168</v>
      </c>
      <c r="B24" s="101" t="s">
        <v>10</v>
      </c>
      <c r="C24" s="48"/>
      <c r="D24" s="48">
        <v>1</v>
      </c>
      <c r="E24" s="48">
        <v>3</v>
      </c>
      <c r="G24" s="76">
        <v>98312</v>
      </c>
      <c r="H24" s="101" t="s">
        <v>352</v>
      </c>
      <c r="I24" s="108"/>
      <c r="J24" s="108"/>
      <c r="K24" s="108">
        <v>1</v>
      </c>
      <c r="M24" s="59">
        <v>98007</v>
      </c>
      <c r="N24" s="38" t="s">
        <v>10</v>
      </c>
      <c r="O24" s="36">
        <v>168</v>
      </c>
      <c r="P24" s="36">
        <v>121</v>
      </c>
      <c r="Q24" s="36">
        <v>141</v>
      </c>
      <c r="S24" s="63">
        <v>98007</v>
      </c>
      <c r="T24" s="38" t="s">
        <v>10</v>
      </c>
      <c r="U24" s="36">
        <v>91</v>
      </c>
      <c r="V24" s="36">
        <v>83</v>
      </c>
      <c r="W24" s="36">
        <v>120</v>
      </c>
    </row>
    <row r="25" spans="1:23" x14ac:dyDescent="0.2">
      <c r="A25" s="76">
        <v>98178</v>
      </c>
      <c r="B25" s="101" t="s">
        <v>352</v>
      </c>
      <c r="C25" s="48"/>
      <c r="D25" s="48"/>
      <c r="E25" s="48">
        <v>1</v>
      </c>
      <c r="G25" s="76">
        <v>98337</v>
      </c>
      <c r="H25" s="101" t="s">
        <v>10</v>
      </c>
      <c r="I25" s="108"/>
      <c r="J25" s="108"/>
      <c r="K25" s="108">
        <v>0</v>
      </c>
      <c r="M25" s="61">
        <v>98008</v>
      </c>
      <c r="N25" s="38" t="s">
        <v>352</v>
      </c>
      <c r="O25" s="36">
        <v>3</v>
      </c>
      <c r="P25" s="36">
        <v>4</v>
      </c>
      <c r="Q25" s="36">
        <v>2</v>
      </c>
      <c r="S25" s="64">
        <v>98008</v>
      </c>
      <c r="T25" s="38" t="s">
        <v>352</v>
      </c>
      <c r="U25" s="36"/>
      <c r="V25" s="36">
        <v>1</v>
      </c>
      <c r="W25" s="36">
        <v>1</v>
      </c>
    </row>
    <row r="26" spans="1:23" x14ac:dyDescent="0.2">
      <c r="A26" s="76">
        <v>98178</v>
      </c>
      <c r="B26" s="101" t="s">
        <v>10</v>
      </c>
      <c r="C26" s="48"/>
      <c r="D26" s="48"/>
      <c r="E26" s="48">
        <v>1</v>
      </c>
      <c r="G26" s="76">
        <v>98366</v>
      </c>
      <c r="H26" s="101" t="s">
        <v>10</v>
      </c>
      <c r="I26" s="108"/>
      <c r="J26" s="108">
        <v>0</v>
      </c>
      <c r="K26" s="108">
        <v>1</v>
      </c>
      <c r="M26" s="59">
        <v>98008</v>
      </c>
      <c r="N26" s="38" t="s">
        <v>10</v>
      </c>
      <c r="O26" s="36">
        <v>68</v>
      </c>
      <c r="P26" s="36">
        <v>54</v>
      </c>
      <c r="Q26" s="36">
        <v>58</v>
      </c>
      <c r="S26" s="63">
        <v>98008</v>
      </c>
      <c r="T26" s="38" t="s">
        <v>10</v>
      </c>
      <c r="U26" s="36">
        <v>35</v>
      </c>
      <c r="V26" s="36">
        <v>33</v>
      </c>
      <c r="W26" s="36">
        <v>51</v>
      </c>
    </row>
    <row r="27" spans="1:23" x14ac:dyDescent="0.2">
      <c r="A27" s="76">
        <v>98225</v>
      </c>
      <c r="B27" s="101" t="s">
        <v>10</v>
      </c>
      <c r="C27" s="48"/>
      <c r="D27" s="48"/>
      <c r="E27" s="48">
        <v>3</v>
      </c>
      <c r="G27" s="76">
        <v>98367</v>
      </c>
      <c r="H27" s="101" t="s">
        <v>10</v>
      </c>
      <c r="I27" s="108"/>
      <c r="J27" s="108">
        <v>0</v>
      </c>
      <c r="K27" s="108"/>
      <c r="M27" s="61">
        <v>98010</v>
      </c>
      <c r="N27" s="38" t="s">
        <v>352</v>
      </c>
      <c r="O27" s="36">
        <v>1</v>
      </c>
      <c r="P27" s="36">
        <v>2</v>
      </c>
      <c r="Q27" s="36">
        <v>1</v>
      </c>
      <c r="S27" s="64">
        <v>98010</v>
      </c>
      <c r="T27" s="38" t="s">
        <v>352</v>
      </c>
      <c r="U27" s="36"/>
      <c r="V27" s="36">
        <v>1</v>
      </c>
      <c r="W27" s="36"/>
    </row>
    <row r="28" spans="1:23" x14ac:dyDescent="0.2">
      <c r="A28" s="76">
        <v>98226</v>
      </c>
      <c r="B28" s="101" t="s">
        <v>10</v>
      </c>
      <c r="C28" s="48"/>
      <c r="D28" s="48"/>
      <c r="E28" s="48">
        <v>1</v>
      </c>
      <c r="G28" s="76">
        <v>98373</v>
      </c>
      <c r="H28" s="101" t="s">
        <v>10</v>
      </c>
      <c r="I28" s="108"/>
      <c r="J28" s="108"/>
      <c r="K28" s="108">
        <v>1</v>
      </c>
      <c r="M28" s="59">
        <v>98010</v>
      </c>
      <c r="N28" s="38" t="s">
        <v>10</v>
      </c>
      <c r="O28" s="36">
        <v>35</v>
      </c>
      <c r="P28" s="36">
        <v>23</v>
      </c>
      <c r="Q28" s="36">
        <v>21</v>
      </c>
      <c r="S28" s="63">
        <v>98010</v>
      </c>
      <c r="T28" s="38" t="s">
        <v>10</v>
      </c>
      <c r="U28" s="36">
        <v>17</v>
      </c>
      <c r="V28" s="36">
        <v>12</v>
      </c>
      <c r="W28" s="36">
        <v>18</v>
      </c>
    </row>
    <row r="29" spans="1:23" x14ac:dyDescent="0.2">
      <c r="A29" s="76">
        <v>98229</v>
      </c>
      <c r="B29" s="101" t="s">
        <v>10</v>
      </c>
      <c r="C29" s="48"/>
      <c r="D29" s="48">
        <v>1</v>
      </c>
      <c r="E29" s="48">
        <v>3</v>
      </c>
      <c r="G29" s="76">
        <v>98374</v>
      </c>
      <c r="H29" s="101" t="s">
        <v>352</v>
      </c>
      <c r="I29" s="108"/>
      <c r="J29" s="108">
        <v>0</v>
      </c>
      <c r="K29" s="108"/>
      <c r="M29" s="61">
        <v>98011</v>
      </c>
      <c r="N29" s="38" t="s">
        <v>352</v>
      </c>
      <c r="O29" s="36">
        <v>6</v>
      </c>
      <c r="P29" s="36">
        <v>8</v>
      </c>
      <c r="Q29" s="36">
        <v>6</v>
      </c>
      <c r="S29" s="64">
        <v>98011</v>
      </c>
      <c r="T29" s="38" t="s">
        <v>352</v>
      </c>
      <c r="U29" s="36">
        <v>1</v>
      </c>
      <c r="V29" s="36"/>
      <c r="W29" s="36">
        <v>4</v>
      </c>
    </row>
    <row r="30" spans="1:23" x14ac:dyDescent="0.2">
      <c r="A30" s="76">
        <v>98310</v>
      </c>
      <c r="B30" s="101" t="s">
        <v>10</v>
      </c>
      <c r="C30" s="48"/>
      <c r="D30" s="48">
        <v>2</v>
      </c>
      <c r="E30" s="48">
        <v>4</v>
      </c>
      <c r="G30" s="76">
        <v>98380</v>
      </c>
      <c r="H30" s="101" t="s">
        <v>10</v>
      </c>
      <c r="I30" s="108"/>
      <c r="J30" s="108"/>
      <c r="K30" s="108">
        <v>0</v>
      </c>
      <c r="M30" s="59">
        <v>98011</v>
      </c>
      <c r="N30" s="38" t="s">
        <v>10</v>
      </c>
      <c r="O30" s="36">
        <v>114</v>
      </c>
      <c r="P30" s="36">
        <v>92</v>
      </c>
      <c r="Q30" s="36">
        <v>98</v>
      </c>
      <c r="S30" s="63">
        <v>98011</v>
      </c>
      <c r="T30" s="38" t="s">
        <v>10</v>
      </c>
      <c r="U30" s="36">
        <v>95</v>
      </c>
      <c r="V30" s="36">
        <v>71</v>
      </c>
      <c r="W30" s="36">
        <v>69</v>
      </c>
    </row>
    <row r="31" spans="1:23" x14ac:dyDescent="0.2">
      <c r="A31" s="76">
        <v>98311</v>
      </c>
      <c r="B31" s="101" t="s">
        <v>10</v>
      </c>
      <c r="C31" s="48"/>
      <c r="D31" s="48">
        <v>1</v>
      </c>
      <c r="E31" s="48">
        <v>4</v>
      </c>
      <c r="G31" s="76">
        <v>98383</v>
      </c>
      <c r="H31" s="101" t="s">
        <v>352</v>
      </c>
      <c r="I31" s="108"/>
      <c r="J31" s="108"/>
      <c r="K31" s="108">
        <v>0</v>
      </c>
      <c r="M31" s="61">
        <v>98012</v>
      </c>
      <c r="N31" s="38" t="s">
        <v>352</v>
      </c>
      <c r="O31" s="36">
        <v>2</v>
      </c>
      <c r="P31" s="36">
        <v>1</v>
      </c>
      <c r="Q31" s="36"/>
      <c r="S31" s="64">
        <v>98012</v>
      </c>
      <c r="T31" s="38" t="s">
        <v>352</v>
      </c>
      <c r="U31" s="36"/>
      <c r="V31" s="36"/>
      <c r="W31" s="36">
        <v>1</v>
      </c>
    </row>
    <row r="32" spans="1:23" x14ac:dyDescent="0.2">
      <c r="A32" s="76">
        <v>98312</v>
      </c>
      <c r="B32" s="101" t="s">
        <v>352</v>
      </c>
      <c r="C32" s="48"/>
      <c r="D32" s="48"/>
      <c r="E32" s="48">
        <v>2</v>
      </c>
      <c r="G32" s="76">
        <v>98383</v>
      </c>
      <c r="H32" s="101" t="s">
        <v>10</v>
      </c>
      <c r="I32" s="108"/>
      <c r="J32" s="108"/>
      <c r="K32" s="108">
        <v>0</v>
      </c>
      <c r="M32" s="59">
        <v>98012</v>
      </c>
      <c r="N32" s="38" t="s">
        <v>10</v>
      </c>
      <c r="O32" s="36">
        <v>51</v>
      </c>
      <c r="P32" s="36">
        <v>48</v>
      </c>
      <c r="Q32" s="36">
        <v>64</v>
      </c>
      <c r="S32" s="63">
        <v>98012</v>
      </c>
      <c r="T32" s="38" t="s">
        <v>10</v>
      </c>
      <c r="U32" s="36">
        <v>24</v>
      </c>
      <c r="V32" s="36">
        <v>22</v>
      </c>
      <c r="W32" s="36">
        <v>57</v>
      </c>
    </row>
    <row r="33" spans="1:23" x14ac:dyDescent="0.2">
      <c r="A33" s="76">
        <v>98312</v>
      </c>
      <c r="B33" s="101" t="s">
        <v>10</v>
      </c>
      <c r="C33" s="48"/>
      <c r="D33" s="48"/>
      <c r="E33" s="48">
        <v>2</v>
      </c>
      <c r="G33" s="76">
        <v>98387</v>
      </c>
      <c r="H33" s="101" t="s">
        <v>10</v>
      </c>
      <c r="I33" s="108"/>
      <c r="J33" s="108"/>
      <c r="K33" s="108">
        <v>0</v>
      </c>
      <c r="M33" s="61">
        <v>98014</v>
      </c>
      <c r="N33" s="38" t="s">
        <v>352</v>
      </c>
      <c r="O33" s="36">
        <v>3</v>
      </c>
      <c r="P33" s="36">
        <v>6</v>
      </c>
      <c r="Q33" s="36">
        <v>4</v>
      </c>
      <c r="S33" s="64">
        <v>98014</v>
      </c>
      <c r="T33" s="38" t="s">
        <v>352</v>
      </c>
      <c r="U33" s="36"/>
      <c r="V33" s="36"/>
      <c r="W33" s="36">
        <v>6</v>
      </c>
    </row>
    <row r="34" spans="1:23" x14ac:dyDescent="0.2">
      <c r="A34" s="76">
        <v>98321</v>
      </c>
      <c r="B34" s="101" t="s">
        <v>352</v>
      </c>
      <c r="C34" s="48"/>
      <c r="D34" s="48">
        <v>1</v>
      </c>
      <c r="E34" s="48"/>
      <c r="G34" s="76">
        <v>98403</v>
      </c>
      <c r="H34" s="101" t="s">
        <v>10</v>
      </c>
      <c r="I34" s="108"/>
      <c r="J34" s="108">
        <v>1</v>
      </c>
      <c r="K34" s="108"/>
      <c r="M34" s="59">
        <v>98014</v>
      </c>
      <c r="N34" s="38" t="s">
        <v>10</v>
      </c>
      <c r="O34" s="36">
        <v>19</v>
      </c>
      <c r="P34" s="36">
        <v>14</v>
      </c>
      <c r="Q34" s="36">
        <v>23</v>
      </c>
      <c r="S34" s="63">
        <v>98014</v>
      </c>
      <c r="T34" s="38" t="s">
        <v>10</v>
      </c>
      <c r="U34" s="36">
        <v>7</v>
      </c>
      <c r="V34" s="36">
        <v>6</v>
      </c>
      <c r="W34" s="36">
        <v>16</v>
      </c>
    </row>
    <row r="35" spans="1:23" x14ac:dyDescent="0.2">
      <c r="A35" s="76">
        <v>98332</v>
      </c>
      <c r="B35" s="101" t="s">
        <v>10</v>
      </c>
      <c r="C35" s="48"/>
      <c r="D35" s="48"/>
      <c r="E35" s="48">
        <v>1</v>
      </c>
      <c r="G35" s="76">
        <v>98422</v>
      </c>
      <c r="H35" s="101" t="s">
        <v>10</v>
      </c>
      <c r="I35" s="108"/>
      <c r="J35" s="108">
        <v>5</v>
      </c>
      <c r="K35" s="108"/>
      <c r="M35" s="61">
        <v>98019</v>
      </c>
      <c r="N35" s="38" t="s">
        <v>352</v>
      </c>
      <c r="O35" s="36">
        <v>2</v>
      </c>
      <c r="P35" s="36">
        <v>2</v>
      </c>
      <c r="Q35" s="36">
        <v>2</v>
      </c>
      <c r="S35" s="64">
        <v>98019</v>
      </c>
      <c r="T35" s="38" t="s">
        <v>352</v>
      </c>
      <c r="U35" s="36"/>
      <c r="V35" s="36"/>
      <c r="W35" s="36">
        <v>2</v>
      </c>
    </row>
    <row r="36" spans="1:23" x14ac:dyDescent="0.2">
      <c r="A36" s="76">
        <v>98337</v>
      </c>
      <c r="B36" s="101" t="s">
        <v>10</v>
      </c>
      <c r="C36" s="48"/>
      <c r="D36" s="48"/>
      <c r="E36" s="48">
        <v>1</v>
      </c>
      <c r="G36" s="76">
        <v>98446</v>
      </c>
      <c r="H36" s="101" t="s">
        <v>10</v>
      </c>
      <c r="I36" s="108"/>
      <c r="J36" s="108"/>
      <c r="K36" s="108">
        <v>0</v>
      </c>
      <c r="M36" s="59">
        <v>98019</v>
      </c>
      <c r="N36" s="38" t="s">
        <v>10</v>
      </c>
      <c r="O36" s="36">
        <v>39</v>
      </c>
      <c r="P36" s="36">
        <v>28</v>
      </c>
      <c r="Q36" s="36">
        <v>41</v>
      </c>
      <c r="S36" s="63">
        <v>98019</v>
      </c>
      <c r="T36" s="38" t="s">
        <v>10</v>
      </c>
      <c r="U36" s="36">
        <v>11</v>
      </c>
      <c r="V36" s="36">
        <v>7</v>
      </c>
      <c r="W36" s="36">
        <v>30</v>
      </c>
    </row>
    <row r="37" spans="1:23" x14ac:dyDescent="0.2">
      <c r="A37" s="76">
        <v>98366</v>
      </c>
      <c r="B37" s="101" t="s">
        <v>10</v>
      </c>
      <c r="C37" s="48"/>
      <c r="D37" s="48">
        <v>2</v>
      </c>
      <c r="E37" s="48">
        <v>1</v>
      </c>
      <c r="G37" s="76">
        <v>98501</v>
      </c>
      <c r="H37" s="101" t="s">
        <v>10</v>
      </c>
      <c r="I37" s="108"/>
      <c r="J37" s="108"/>
      <c r="K37" s="108">
        <v>0</v>
      </c>
      <c r="M37" s="61">
        <v>98020</v>
      </c>
      <c r="N37" s="38" t="s">
        <v>352</v>
      </c>
      <c r="O37" s="36">
        <v>2</v>
      </c>
      <c r="P37" s="36"/>
      <c r="Q37" s="36"/>
      <c r="S37" s="64">
        <v>98020</v>
      </c>
      <c r="T37" s="38" t="s">
        <v>10</v>
      </c>
      <c r="U37" s="36">
        <v>4</v>
      </c>
      <c r="V37" s="36">
        <v>4</v>
      </c>
      <c r="W37" s="36">
        <v>11</v>
      </c>
    </row>
    <row r="38" spans="1:23" x14ac:dyDescent="0.2">
      <c r="A38" s="76">
        <v>98367</v>
      </c>
      <c r="B38" s="101" t="s">
        <v>10</v>
      </c>
      <c r="C38" s="48"/>
      <c r="D38" s="48">
        <v>2</v>
      </c>
      <c r="E38" s="48"/>
      <c r="G38" s="76">
        <v>98502</v>
      </c>
      <c r="H38" s="101" t="s">
        <v>10</v>
      </c>
      <c r="I38" s="108"/>
      <c r="J38" s="108"/>
      <c r="K38" s="108">
        <v>1</v>
      </c>
      <c r="M38" s="59">
        <v>98020</v>
      </c>
      <c r="N38" s="38" t="s">
        <v>10</v>
      </c>
      <c r="O38" s="36">
        <v>8</v>
      </c>
      <c r="P38" s="36">
        <v>10</v>
      </c>
      <c r="Q38" s="36">
        <v>14</v>
      </c>
      <c r="S38" s="63">
        <v>98021</v>
      </c>
      <c r="T38" s="38" t="s">
        <v>352</v>
      </c>
      <c r="U38" s="36"/>
      <c r="V38" s="36"/>
      <c r="W38" s="36">
        <v>4</v>
      </c>
    </row>
    <row r="39" spans="1:23" x14ac:dyDescent="0.2">
      <c r="A39" s="76">
        <v>98373</v>
      </c>
      <c r="B39" s="101" t="s">
        <v>10</v>
      </c>
      <c r="C39" s="48"/>
      <c r="D39" s="48"/>
      <c r="E39" s="48">
        <v>2</v>
      </c>
      <c r="G39" s="76">
        <v>98503</v>
      </c>
      <c r="H39" s="101" t="s">
        <v>10</v>
      </c>
      <c r="I39" s="108"/>
      <c r="J39" s="108"/>
      <c r="K39" s="108">
        <v>0</v>
      </c>
      <c r="M39" s="61">
        <v>98021</v>
      </c>
      <c r="N39" s="38" t="s">
        <v>352</v>
      </c>
      <c r="O39" s="36">
        <v>7</v>
      </c>
      <c r="P39" s="36">
        <v>3</v>
      </c>
      <c r="Q39" s="36">
        <v>5</v>
      </c>
      <c r="S39" s="64">
        <v>98021</v>
      </c>
      <c r="T39" s="38" t="s">
        <v>10</v>
      </c>
      <c r="U39" s="36">
        <v>17</v>
      </c>
      <c r="V39" s="36">
        <v>10</v>
      </c>
      <c r="W39" s="36">
        <v>28</v>
      </c>
    </row>
    <row r="40" spans="1:23" x14ac:dyDescent="0.2">
      <c r="A40" s="76">
        <v>98374</v>
      </c>
      <c r="B40" s="101" t="s">
        <v>352</v>
      </c>
      <c r="C40" s="48"/>
      <c r="D40" s="48">
        <v>1</v>
      </c>
      <c r="E40" s="48"/>
      <c r="G40" s="76">
        <v>98506</v>
      </c>
      <c r="H40" s="101" t="s">
        <v>10</v>
      </c>
      <c r="I40" s="108"/>
      <c r="J40" s="108"/>
      <c r="K40" s="108">
        <v>0</v>
      </c>
      <c r="M40" s="59">
        <v>98021</v>
      </c>
      <c r="N40" s="38" t="s">
        <v>10</v>
      </c>
      <c r="O40" s="36">
        <v>31</v>
      </c>
      <c r="P40" s="36">
        <v>27</v>
      </c>
      <c r="Q40" s="36">
        <v>28</v>
      </c>
      <c r="S40" s="63">
        <v>98022</v>
      </c>
      <c r="T40" s="38" t="s">
        <v>352</v>
      </c>
      <c r="U40" s="36">
        <v>2</v>
      </c>
      <c r="V40" s="36">
        <v>2</v>
      </c>
      <c r="W40" s="36">
        <v>4</v>
      </c>
    </row>
    <row r="41" spans="1:23" ht="16" thickBot="1" x14ac:dyDescent="0.25">
      <c r="A41" s="76">
        <v>98380</v>
      </c>
      <c r="B41" s="101" t="s">
        <v>10</v>
      </c>
      <c r="C41" s="48"/>
      <c r="D41" s="48"/>
      <c r="E41" s="48">
        <v>1</v>
      </c>
      <c r="G41" s="77">
        <v>98513</v>
      </c>
      <c r="H41" s="104" t="s">
        <v>352</v>
      </c>
      <c r="I41" s="112"/>
      <c r="J41" s="112"/>
      <c r="K41" s="112">
        <v>2</v>
      </c>
      <c r="M41" s="61">
        <v>98022</v>
      </c>
      <c r="N41" s="38" t="s">
        <v>352</v>
      </c>
      <c r="O41" s="36">
        <v>8</v>
      </c>
      <c r="P41" s="36">
        <v>14</v>
      </c>
      <c r="Q41" s="36">
        <v>8</v>
      </c>
      <c r="S41" s="64">
        <v>98022</v>
      </c>
      <c r="T41" s="38" t="s">
        <v>10</v>
      </c>
      <c r="U41" s="36">
        <v>62</v>
      </c>
      <c r="V41" s="36">
        <v>57</v>
      </c>
      <c r="W41" s="36">
        <v>65</v>
      </c>
    </row>
    <row r="42" spans="1:23" x14ac:dyDescent="0.2">
      <c r="A42" s="76">
        <v>98383</v>
      </c>
      <c r="B42" s="101" t="s">
        <v>352</v>
      </c>
      <c r="C42" s="48"/>
      <c r="D42" s="48"/>
      <c r="E42" s="48">
        <v>1</v>
      </c>
      <c r="M42" s="59">
        <v>98022</v>
      </c>
      <c r="N42" s="38" t="s">
        <v>10</v>
      </c>
      <c r="O42" s="36">
        <v>85</v>
      </c>
      <c r="P42" s="36">
        <v>105</v>
      </c>
      <c r="Q42" s="36">
        <v>93</v>
      </c>
      <c r="S42" s="63">
        <v>98023</v>
      </c>
      <c r="T42" s="38" t="s">
        <v>352</v>
      </c>
      <c r="U42" s="36"/>
      <c r="V42" s="36">
        <v>1</v>
      </c>
      <c r="W42" s="36">
        <v>2</v>
      </c>
    </row>
    <row r="43" spans="1:23" x14ac:dyDescent="0.2">
      <c r="A43" s="76">
        <v>98383</v>
      </c>
      <c r="B43" s="101" t="s">
        <v>10</v>
      </c>
      <c r="C43" s="48"/>
      <c r="D43" s="48"/>
      <c r="E43" s="48">
        <v>1</v>
      </c>
      <c r="M43" s="61">
        <v>98023</v>
      </c>
      <c r="N43" s="38" t="s">
        <v>352</v>
      </c>
      <c r="O43" s="36">
        <v>5</v>
      </c>
      <c r="P43" s="36">
        <v>2</v>
      </c>
      <c r="Q43" s="36">
        <v>6</v>
      </c>
      <c r="S43" s="64">
        <v>98023</v>
      </c>
      <c r="T43" s="38" t="s">
        <v>10</v>
      </c>
      <c r="U43" s="36">
        <v>298</v>
      </c>
      <c r="V43" s="36">
        <v>207</v>
      </c>
      <c r="W43" s="36">
        <v>339</v>
      </c>
    </row>
    <row r="44" spans="1:23" x14ac:dyDescent="0.2">
      <c r="A44" s="76">
        <v>98387</v>
      </c>
      <c r="B44" s="101" t="s">
        <v>352</v>
      </c>
      <c r="C44" s="48"/>
      <c r="D44" s="48"/>
      <c r="E44" s="48">
        <v>2</v>
      </c>
      <c r="M44" s="59">
        <v>98023</v>
      </c>
      <c r="N44" s="38" t="s">
        <v>10</v>
      </c>
      <c r="O44" s="36">
        <v>405</v>
      </c>
      <c r="P44" s="36">
        <v>351</v>
      </c>
      <c r="Q44" s="36">
        <v>432</v>
      </c>
      <c r="S44" s="63">
        <v>98024</v>
      </c>
      <c r="T44" s="38" t="s">
        <v>352</v>
      </c>
      <c r="U44" s="36">
        <v>1</v>
      </c>
      <c r="V44" s="36"/>
      <c r="W44" s="36">
        <v>1</v>
      </c>
    </row>
    <row r="45" spans="1:23" x14ac:dyDescent="0.2">
      <c r="A45" s="76">
        <v>98387</v>
      </c>
      <c r="B45" s="101" t="s">
        <v>10</v>
      </c>
      <c r="C45" s="48"/>
      <c r="D45" s="48"/>
      <c r="E45" s="48">
        <v>1</v>
      </c>
      <c r="M45" s="61">
        <v>98024</v>
      </c>
      <c r="N45" s="38" t="s">
        <v>352</v>
      </c>
      <c r="O45" s="36">
        <v>3</v>
      </c>
      <c r="P45" s="36">
        <v>1</v>
      </c>
      <c r="Q45" s="36">
        <v>1</v>
      </c>
      <c r="S45" s="64">
        <v>98024</v>
      </c>
      <c r="T45" s="38" t="s">
        <v>10</v>
      </c>
      <c r="U45" s="36">
        <v>12</v>
      </c>
      <c r="V45" s="36">
        <v>6</v>
      </c>
      <c r="W45" s="36">
        <v>17</v>
      </c>
    </row>
    <row r="46" spans="1:23" x14ac:dyDescent="0.2">
      <c r="A46" s="76">
        <v>98403</v>
      </c>
      <c r="B46" s="101" t="s">
        <v>10</v>
      </c>
      <c r="C46" s="48"/>
      <c r="D46" s="48">
        <v>1</v>
      </c>
      <c r="E46" s="48"/>
      <c r="M46" s="59">
        <v>98024</v>
      </c>
      <c r="N46" s="38" t="s">
        <v>10</v>
      </c>
      <c r="O46" s="36">
        <v>22</v>
      </c>
      <c r="P46" s="36">
        <v>19</v>
      </c>
      <c r="Q46" s="36">
        <v>17</v>
      </c>
      <c r="S46" s="63">
        <v>98026</v>
      </c>
      <c r="T46" s="38" t="s">
        <v>352</v>
      </c>
      <c r="U46" s="36">
        <v>2</v>
      </c>
      <c r="V46" s="36"/>
      <c r="W46" s="36"/>
    </row>
    <row r="47" spans="1:23" x14ac:dyDescent="0.2">
      <c r="A47" s="76">
        <v>98418</v>
      </c>
      <c r="B47" s="101" t="s">
        <v>10</v>
      </c>
      <c r="C47" s="48"/>
      <c r="D47" s="48">
        <v>1</v>
      </c>
      <c r="E47" s="48"/>
      <c r="M47" s="61">
        <v>98026</v>
      </c>
      <c r="N47" s="38" t="s">
        <v>352</v>
      </c>
      <c r="O47" s="36">
        <v>3</v>
      </c>
      <c r="P47" s="36">
        <v>1</v>
      </c>
      <c r="Q47" s="36">
        <v>2</v>
      </c>
      <c r="S47" s="64">
        <v>98026</v>
      </c>
      <c r="T47" s="38" t="s">
        <v>10</v>
      </c>
      <c r="U47" s="36">
        <v>14</v>
      </c>
      <c r="V47" s="36">
        <v>10</v>
      </c>
      <c r="W47" s="36">
        <v>18</v>
      </c>
    </row>
    <row r="48" spans="1:23" x14ac:dyDescent="0.2">
      <c r="A48" s="76">
        <v>98422</v>
      </c>
      <c r="B48" s="101" t="s">
        <v>10</v>
      </c>
      <c r="C48" s="48"/>
      <c r="D48" s="48">
        <v>1</v>
      </c>
      <c r="E48" s="48"/>
      <c r="M48" s="59">
        <v>98026</v>
      </c>
      <c r="N48" s="38" t="s">
        <v>10</v>
      </c>
      <c r="O48" s="36">
        <v>19</v>
      </c>
      <c r="P48" s="36">
        <v>29</v>
      </c>
      <c r="Q48" s="36">
        <v>24</v>
      </c>
      <c r="S48" s="63">
        <v>98027</v>
      </c>
      <c r="T48" s="38" t="s">
        <v>352</v>
      </c>
      <c r="U48" s="36">
        <v>1</v>
      </c>
      <c r="V48" s="36">
        <v>6</v>
      </c>
      <c r="W48" s="36">
        <v>6</v>
      </c>
    </row>
    <row r="49" spans="1:23" x14ac:dyDescent="0.2">
      <c r="A49" s="76">
        <v>98446</v>
      </c>
      <c r="B49" s="101" t="s">
        <v>10</v>
      </c>
      <c r="C49" s="48"/>
      <c r="D49" s="48"/>
      <c r="E49" s="48">
        <v>1</v>
      </c>
      <c r="M49" s="61">
        <v>98027</v>
      </c>
      <c r="N49" s="38" t="s">
        <v>352</v>
      </c>
      <c r="O49" s="36">
        <v>9</v>
      </c>
      <c r="P49" s="36">
        <v>15</v>
      </c>
      <c r="Q49" s="36">
        <v>8</v>
      </c>
      <c r="S49" s="64">
        <v>98027</v>
      </c>
      <c r="T49" s="38" t="s">
        <v>10</v>
      </c>
      <c r="U49" s="36">
        <v>62</v>
      </c>
      <c r="V49" s="36">
        <v>38</v>
      </c>
      <c r="W49" s="36">
        <v>78</v>
      </c>
    </row>
    <row r="50" spans="1:23" x14ac:dyDescent="0.2">
      <c r="A50" s="76">
        <v>98498</v>
      </c>
      <c r="B50" s="101" t="s">
        <v>10</v>
      </c>
      <c r="C50" s="48"/>
      <c r="D50" s="48">
        <v>1</v>
      </c>
      <c r="E50" s="48">
        <v>1</v>
      </c>
      <c r="M50" s="59">
        <v>98027</v>
      </c>
      <c r="N50" s="38" t="s">
        <v>10</v>
      </c>
      <c r="O50" s="36">
        <v>121</v>
      </c>
      <c r="P50" s="36">
        <v>92</v>
      </c>
      <c r="Q50" s="36">
        <v>100</v>
      </c>
      <c r="S50" s="63">
        <v>98028</v>
      </c>
      <c r="T50" s="38" t="s">
        <v>352</v>
      </c>
      <c r="U50" s="36">
        <v>4</v>
      </c>
      <c r="V50" s="36"/>
      <c r="W50" s="36">
        <v>2</v>
      </c>
    </row>
    <row r="51" spans="1:23" x14ac:dyDescent="0.2">
      <c r="A51" s="76">
        <v>98501</v>
      </c>
      <c r="B51" s="101" t="s">
        <v>10</v>
      </c>
      <c r="C51" s="48"/>
      <c r="D51" s="48"/>
      <c r="E51" s="48">
        <v>1</v>
      </c>
      <c r="M51" s="61">
        <v>98028</v>
      </c>
      <c r="N51" s="38" t="s">
        <v>352</v>
      </c>
      <c r="O51" s="36">
        <v>3</v>
      </c>
      <c r="P51" s="36">
        <v>8</v>
      </c>
      <c r="Q51" s="36">
        <v>2</v>
      </c>
      <c r="S51" s="64">
        <v>98028</v>
      </c>
      <c r="T51" s="38" t="s">
        <v>10</v>
      </c>
      <c r="U51" s="36">
        <v>57</v>
      </c>
      <c r="V51" s="36">
        <v>37</v>
      </c>
      <c r="W51" s="36">
        <v>61</v>
      </c>
    </row>
    <row r="52" spans="1:23" x14ac:dyDescent="0.2">
      <c r="A52" s="76">
        <v>98502</v>
      </c>
      <c r="B52" s="101" t="s">
        <v>10</v>
      </c>
      <c r="C52" s="48"/>
      <c r="D52" s="48"/>
      <c r="E52" s="48">
        <v>1</v>
      </c>
      <c r="M52" s="59">
        <v>98028</v>
      </c>
      <c r="N52" s="38" t="s">
        <v>10</v>
      </c>
      <c r="O52" s="36">
        <v>79</v>
      </c>
      <c r="P52" s="36">
        <v>75</v>
      </c>
      <c r="Q52" s="36">
        <v>70</v>
      </c>
      <c r="S52" s="63">
        <v>98029</v>
      </c>
      <c r="T52" s="38" t="s">
        <v>352</v>
      </c>
      <c r="U52" s="36">
        <v>2</v>
      </c>
      <c r="V52" s="36">
        <v>2</v>
      </c>
      <c r="W52" s="36">
        <v>1</v>
      </c>
    </row>
    <row r="53" spans="1:23" x14ac:dyDescent="0.2">
      <c r="A53" s="76">
        <v>98503</v>
      </c>
      <c r="B53" s="101" t="s">
        <v>352</v>
      </c>
      <c r="C53" s="48"/>
      <c r="D53" s="48"/>
      <c r="E53" s="48">
        <v>2</v>
      </c>
      <c r="M53" s="61">
        <v>98029</v>
      </c>
      <c r="N53" s="38" t="s">
        <v>352</v>
      </c>
      <c r="O53" s="36">
        <v>4</v>
      </c>
      <c r="P53" s="36">
        <v>2</v>
      </c>
      <c r="Q53" s="36">
        <v>4</v>
      </c>
      <c r="S53" s="64">
        <v>98029</v>
      </c>
      <c r="T53" s="38" t="s">
        <v>10</v>
      </c>
      <c r="U53" s="36">
        <v>32</v>
      </c>
      <c r="V53" s="36">
        <v>26</v>
      </c>
      <c r="W53" s="36">
        <v>56</v>
      </c>
    </row>
    <row r="54" spans="1:23" x14ac:dyDescent="0.2">
      <c r="A54" s="76">
        <v>98503</v>
      </c>
      <c r="B54" s="101" t="s">
        <v>10</v>
      </c>
      <c r="C54" s="48"/>
      <c r="D54" s="48"/>
      <c r="E54" s="48">
        <v>1</v>
      </c>
      <c r="M54" s="59">
        <v>98029</v>
      </c>
      <c r="N54" s="38" t="s">
        <v>10</v>
      </c>
      <c r="O54" s="36">
        <v>65</v>
      </c>
      <c r="P54" s="36">
        <v>59</v>
      </c>
      <c r="Q54" s="36">
        <v>73</v>
      </c>
      <c r="S54" s="63">
        <v>98030</v>
      </c>
      <c r="T54" s="38" t="s">
        <v>352</v>
      </c>
      <c r="U54" s="36">
        <v>3</v>
      </c>
      <c r="V54" s="36">
        <v>1</v>
      </c>
      <c r="W54" s="36">
        <v>8</v>
      </c>
    </row>
    <row r="55" spans="1:23" x14ac:dyDescent="0.2">
      <c r="A55" s="76">
        <v>98506</v>
      </c>
      <c r="B55" s="101" t="s">
        <v>352</v>
      </c>
      <c r="C55" s="48"/>
      <c r="D55" s="48"/>
      <c r="E55" s="48">
        <v>1</v>
      </c>
      <c r="M55" s="61">
        <v>98030</v>
      </c>
      <c r="N55" s="38" t="s">
        <v>352</v>
      </c>
      <c r="O55" s="36">
        <v>12</v>
      </c>
      <c r="P55" s="36">
        <v>12</v>
      </c>
      <c r="Q55" s="36">
        <v>10</v>
      </c>
      <c r="S55" s="64">
        <v>98030</v>
      </c>
      <c r="T55" s="38" t="s">
        <v>10</v>
      </c>
      <c r="U55" s="36">
        <v>286</v>
      </c>
      <c r="V55" s="36">
        <v>184</v>
      </c>
      <c r="W55" s="36">
        <v>247</v>
      </c>
    </row>
    <row r="56" spans="1:23" x14ac:dyDescent="0.2">
      <c r="A56" s="76">
        <v>98506</v>
      </c>
      <c r="B56" s="101" t="s">
        <v>10</v>
      </c>
      <c r="C56" s="48"/>
      <c r="D56" s="48"/>
      <c r="E56" s="48">
        <v>2</v>
      </c>
      <c r="M56" s="59">
        <v>98030</v>
      </c>
      <c r="N56" s="38" t="s">
        <v>10</v>
      </c>
      <c r="O56" s="36">
        <v>372</v>
      </c>
      <c r="P56" s="36">
        <v>314</v>
      </c>
      <c r="Q56" s="36">
        <v>313</v>
      </c>
      <c r="S56" s="63">
        <v>98031</v>
      </c>
      <c r="T56" s="38" t="s">
        <v>352</v>
      </c>
      <c r="U56" s="36"/>
      <c r="V56" s="36">
        <v>3</v>
      </c>
      <c r="W56" s="36">
        <v>9</v>
      </c>
    </row>
    <row r="57" spans="1:23" x14ac:dyDescent="0.2">
      <c r="A57" s="76">
        <v>98513</v>
      </c>
      <c r="B57" s="101" t="s">
        <v>352</v>
      </c>
      <c r="C57" s="48"/>
      <c r="D57" s="48"/>
      <c r="E57" s="48">
        <v>1</v>
      </c>
      <c r="M57" s="61">
        <v>98031</v>
      </c>
      <c r="N57" s="38" t="s">
        <v>352</v>
      </c>
      <c r="O57" s="36">
        <v>11</v>
      </c>
      <c r="P57" s="36">
        <v>14</v>
      </c>
      <c r="Q57" s="36">
        <v>14</v>
      </c>
      <c r="S57" s="64">
        <v>98031</v>
      </c>
      <c r="T57" s="38" t="s">
        <v>10</v>
      </c>
      <c r="U57" s="36">
        <v>230</v>
      </c>
      <c r="V57" s="36">
        <v>199</v>
      </c>
      <c r="W57" s="36">
        <v>207</v>
      </c>
    </row>
    <row r="58" spans="1:23" ht="16" thickBot="1" x14ac:dyDescent="0.25">
      <c r="A58" s="77">
        <v>98516</v>
      </c>
      <c r="B58" s="104" t="s">
        <v>352</v>
      </c>
      <c r="C58" s="49"/>
      <c r="D58" s="49"/>
      <c r="E58" s="49">
        <v>1</v>
      </c>
      <c r="M58" s="59">
        <v>98031</v>
      </c>
      <c r="N58" s="38" t="s">
        <v>10</v>
      </c>
      <c r="O58" s="36">
        <v>384</v>
      </c>
      <c r="P58" s="36">
        <v>283</v>
      </c>
      <c r="Q58" s="36">
        <v>277</v>
      </c>
      <c r="S58" s="63">
        <v>98032</v>
      </c>
      <c r="T58" s="38" t="s">
        <v>352</v>
      </c>
      <c r="U58" s="36">
        <v>12</v>
      </c>
      <c r="V58" s="36">
        <v>10</v>
      </c>
      <c r="W58" s="36">
        <v>40</v>
      </c>
    </row>
    <row r="59" spans="1:23" ht="16" thickBot="1" x14ac:dyDescent="0.25">
      <c r="A59" s="158" t="s">
        <v>356</v>
      </c>
      <c r="B59" s="159"/>
      <c r="C59" s="159">
        <f>SUMIF($B$11:$B$58,$B$56,C11:C58)</f>
        <v>0</v>
      </c>
      <c r="D59" s="159">
        <f t="shared" ref="D59:E59" si="0">SUMIF($B$11:$B$58,$B$56,D11:D58)</f>
        <v>17</v>
      </c>
      <c r="E59" s="159">
        <f t="shared" si="0"/>
        <v>41</v>
      </c>
      <c r="M59" s="61">
        <v>98032</v>
      </c>
      <c r="N59" s="38" t="s">
        <v>352</v>
      </c>
      <c r="O59" s="36">
        <v>58</v>
      </c>
      <c r="P59" s="36">
        <v>71</v>
      </c>
      <c r="Q59" s="36">
        <v>80</v>
      </c>
      <c r="S59" s="64">
        <v>98032</v>
      </c>
      <c r="T59" s="38" t="s">
        <v>10</v>
      </c>
      <c r="U59" s="36">
        <v>411</v>
      </c>
      <c r="V59" s="36">
        <v>247</v>
      </c>
      <c r="W59" s="36">
        <v>385</v>
      </c>
    </row>
    <row r="60" spans="1:23" x14ac:dyDescent="0.2">
      <c r="M60" s="59">
        <v>98032</v>
      </c>
      <c r="N60" s="38" t="s">
        <v>10</v>
      </c>
      <c r="O60" s="36">
        <v>634</v>
      </c>
      <c r="P60" s="36">
        <v>367</v>
      </c>
      <c r="Q60" s="36">
        <v>488</v>
      </c>
      <c r="S60" s="63">
        <v>98033</v>
      </c>
      <c r="T60" s="38" t="s">
        <v>352</v>
      </c>
      <c r="U60" s="36">
        <v>6</v>
      </c>
      <c r="V60" s="36">
        <v>4</v>
      </c>
      <c r="W60" s="36">
        <v>15</v>
      </c>
    </row>
    <row r="61" spans="1:23" x14ac:dyDescent="0.2">
      <c r="M61" s="61">
        <v>98033</v>
      </c>
      <c r="N61" s="38" t="s">
        <v>352</v>
      </c>
      <c r="O61" s="36">
        <v>18</v>
      </c>
      <c r="P61" s="36">
        <v>14</v>
      </c>
      <c r="Q61" s="36">
        <v>18</v>
      </c>
      <c r="S61" s="64">
        <v>98033</v>
      </c>
      <c r="T61" s="38" t="s">
        <v>10</v>
      </c>
      <c r="U61" s="36">
        <v>74</v>
      </c>
      <c r="V61" s="36">
        <v>55</v>
      </c>
      <c r="W61" s="36">
        <v>84</v>
      </c>
    </row>
    <row r="62" spans="1:23" x14ac:dyDescent="0.2">
      <c r="M62" s="59">
        <v>98033</v>
      </c>
      <c r="N62" s="38" t="s">
        <v>10</v>
      </c>
      <c r="O62" s="36">
        <v>108</v>
      </c>
      <c r="P62" s="36">
        <v>90</v>
      </c>
      <c r="Q62" s="36">
        <v>99</v>
      </c>
      <c r="S62" s="63">
        <v>98034</v>
      </c>
      <c r="T62" s="38" t="s">
        <v>352</v>
      </c>
      <c r="U62" s="36">
        <v>1</v>
      </c>
      <c r="V62" s="36">
        <v>4</v>
      </c>
      <c r="W62" s="36">
        <v>13</v>
      </c>
    </row>
    <row r="63" spans="1:23" x14ac:dyDescent="0.2">
      <c r="M63" s="61">
        <v>98034</v>
      </c>
      <c r="N63" s="38" t="s">
        <v>352</v>
      </c>
      <c r="O63" s="36">
        <v>14</v>
      </c>
      <c r="P63" s="36">
        <v>25</v>
      </c>
      <c r="Q63" s="36">
        <v>14</v>
      </c>
      <c r="S63" s="64">
        <v>98034</v>
      </c>
      <c r="T63" s="38" t="s">
        <v>10</v>
      </c>
      <c r="U63" s="36">
        <v>107</v>
      </c>
      <c r="V63" s="36">
        <v>120</v>
      </c>
      <c r="W63" s="36">
        <v>164</v>
      </c>
    </row>
    <row r="64" spans="1:23" x14ac:dyDescent="0.2">
      <c r="M64" s="59">
        <v>98034</v>
      </c>
      <c r="N64" s="38" t="s">
        <v>10</v>
      </c>
      <c r="O64" s="36">
        <v>183</v>
      </c>
      <c r="P64" s="36">
        <v>184</v>
      </c>
      <c r="Q64" s="36">
        <v>173</v>
      </c>
      <c r="S64" s="63">
        <v>98036</v>
      </c>
      <c r="T64" s="38" t="s">
        <v>352</v>
      </c>
      <c r="U64" s="36">
        <v>1</v>
      </c>
      <c r="V64" s="36">
        <v>1</v>
      </c>
      <c r="W64" s="36">
        <v>3</v>
      </c>
    </row>
    <row r="65" spans="13:23" x14ac:dyDescent="0.2">
      <c r="M65" s="61">
        <v>98036</v>
      </c>
      <c r="N65" s="38" t="s">
        <v>352</v>
      </c>
      <c r="O65" s="36">
        <v>7</v>
      </c>
      <c r="P65" s="36">
        <v>7</v>
      </c>
      <c r="Q65" s="36">
        <v>6</v>
      </c>
      <c r="S65" s="64">
        <v>98036</v>
      </c>
      <c r="T65" s="38" t="s">
        <v>10</v>
      </c>
      <c r="U65" s="36">
        <v>22</v>
      </c>
      <c r="V65" s="36">
        <v>19</v>
      </c>
      <c r="W65" s="36">
        <v>24</v>
      </c>
    </row>
    <row r="66" spans="13:23" x14ac:dyDescent="0.2">
      <c r="M66" s="59">
        <v>98036</v>
      </c>
      <c r="N66" s="38" t="s">
        <v>10</v>
      </c>
      <c r="O66" s="36">
        <v>46</v>
      </c>
      <c r="P66" s="36">
        <v>32</v>
      </c>
      <c r="Q66" s="36">
        <v>34</v>
      </c>
      <c r="S66" s="63">
        <v>98037</v>
      </c>
      <c r="T66" s="38" t="s">
        <v>352</v>
      </c>
      <c r="U66" s="36">
        <v>1</v>
      </c>
      <c r="V66" s="36"/>
      <c r="W66" s="36">
        <v>3</v>
      </c>
    </row>
    <row r="67" spans="13:23" x14ac:dyDescent="0.2">
      <c r="M67" s="61">
        <v>98037</v>
      </c>
      <c r="N67" s="38" t="s">
        <v>352</v>
      </c>
      <c r="O67" s="36">
        <v>4</v>
      </c>
      <c r="P67" s="36">
        <v>5</v>
      </c>
      <c r="Q67" s="36">
        <v>5</v>
      </c>
      <c r="S67" s="64">
        <v>98037</v>
      </c>
      <c r="T67" s="38" t="s">
        <v>10</v>
      </c>
      <c r="U67" s="36">
        <v>20</v>
      </c>
      <c r="V67" s="36">
        <v>14</v>
      </c>
      <c r="W67" s="36">
        <v>31</v>
      </c>
    </row>
    <row r="68" spans="13:23" x14ac:dyDescent="0.2">
      <c r="M68" s="59">
        <v>98037</v>
      </c>
      <c r="N68" s="38" t="s">
        <v>10</v>
      </c>
      <c r="O68" s="36">
        <v>32</v>
      </c>
      <c r="P68" s="36">
        <v>26</v>
      </c>
      <c r="Q68" s="36">
        <v>45</v>
      </c>
      <c r="S68" s="63">
        <v>98038</v>
      </c>
      <c r="T68" s="38" t="s">
        <v>352</v>
      </c>
      <c r="U68" s="36">
        <v>3</v>
      </c>
      <c r="V68" s="36">
        <v>4</v>
      </c>
      <c r="W68" s="36">
        <v>7</v>
      </c>
    </row>
    <row r="69" spans="13:23" x14ac:dyDescent="0.2">
      <c r="M69" s="61">
        <v>98038</v>
      </c>
      <c r="N69" s="38" t="s">
        <v>352</v>
      </c>
      <c r="O69" s="36">
        <v>9</v>
      </c>
      <c r="P69" s="36">
        <v>11</v>
      </c>
      <c r="Q69" s="36">
        <v>9</v>
      </c>
      <c r="S69" s="64">
        <v>98038</v>
      </c>
      <c r="T69" s="38" t="s">
        <v>10</v>
      </c>
      <c r="U69" s="36">
        <v>35</v>
      </c>
      <c r="V69" s="36">
        <v>48</v>
      </c>
      <c r="W69" s="36">
        <v>87</v>
      </c>
    </row>
    <row r="70" spans="13:23" x14ac:dyDescent="0.2">
      <c r="M70" s="59">
        <v>98038</v>
      </c>
      <c r="N70" s="38" t="s">
        <v>10</v>
      </c>
      <c r="O70" s="36">
        <v>93</v>
      </c>
      <c r="P70" s="36">
        <v>136</v>
      </c>
      <c r="Q70" s="36">
        <v>102</v>
      </c>
      <c r="S70" s="63">
        <v>98039</v>
      </c>
      <c r="T70" s="38" t="s">
        <v>10</v>
      </c>
      <c r="U70" s="36">
        <v>2</v>
      </c>
      <c r="V70" s="36">
        <v>2</v>
      </c>
      <c r="W70" s="36">
        <v>4</v>
      </c>
    </row>
    <row r="71" spans="13:23" x14ac:dyDescent="0.2">
      <c r="M71" s="61">
        <v>98039</v>
      </c>
      <c r="N71" s="38" t="s">
        <v>352</v>
      </c>
      <c r="O71" s="33"/>
      <c r="P71" s="36">
        <v>1</v>
      </c>
      <c r="Q71" s="36"/>
      <c r="S71" s="64">
        <v>98040</v>
      </c>
      <c r="T71" s="38" t="s">
        <v>352</v>
      </c>
      <c r="U71" s="33">
        <v>1</v>
      </c>
      <c r="V71" s="33"/>
      <c r="W71" s="36">
        <v>3</v>
      </c>
    </row>
    <row r="72" spans="13:23" x14ac:dyDescent="0.2">
      <c r="M72" s="59">
        <v>98039</v>
      </c>
      <c r="N72" s="38" t="s">
        <v>10</v>
      </c>
      <c r="O72" s="36">
        <v>5</v>
      </c>
      <c r="P72" s="36">
        <v>5</v>
      </c>
      <c r="Q72" s="36">
        <v>3</v>
      </c>
      <c r="S72" s="63">
        <v>98040</v>
      </c>
      <c r="T72" s="38" t="s">
        <v>10</v>
      </c>
      <c r="U72" s="36">
        <v>18</v>
      </c>
      <c r="V72" s="36">
        <v>19</v>
      </c>
      <c r="W72" s="36">
        <v>34</v>
      </c>
    </row>
    <row r="73" spans="13:23" x14ac:dyDescent="0.2">
      <c r="M73" s="61">
        <v>98040</v>
      </c>
      <c r="N73" s="38" t="s">
        <v>352</v>
      </c>
      <c r="O73" s="36">
        <v>1</v>
      </c>
      <c r="P73" s="36">
        <v>3</v>
      </c>
      <c r="Q73" s="36">
        <v>4</v>
      </c>
      <c r="S73" s="64">
        <v>98042</v>
      </c>
      <c r="T73" s="38" t="s">
        <v>352</v>
      </c>
      <c r="U73" s="36"/>
      <c r="V73" s="36">
        <v>2</v>
      </c>
      <c r="W73" s="36">
        <v>6</v>
      </c>
    </row>
    <row r="74" spans="13:23" x14ac:dyDescent="0.2">
      <c r="M74" s="59">
        <v>98040</v>
      </c>
      <c r="N74" s="38" t="s">
        <v>10</v>
      </c>
      <c r="O74" s="36">
        <v>48</v>
      </c>
      <c r="P74" s="36">
        <v>33</v>
      </c>
      <c r="Q74" s="36">
        <v>40</v>
      </c>
      <c r="S74" s="63">
        <v>98042</v>
      </c>
      <c r="T74" s="38" t="s">
        <v>10</v>
      </c>
      <c r="U74" s="36">
        <v>110</v>
      </c>
      <c r="V74" s="36">
        <v>66</v>
      </c>
      <c r="W74" s="36">
        <v>158</v>
      </c>
    </row>
    <row r="75" spans="13:23" x14ac:dyDescent="0.2">
      <c r="M75" s="61">
        <v>98042</v>
      </c>
      <c r="N75" s="38" t="s">
        <v>352</v>
      </c>
      <c r="O75" s="36">
        <v>8</v>
      </c>
      <c r="P75" s="36">
        <v>10</v>
      </c>
      <c r="Q75" s="36">
        <v>9</v>
      </c>
      <c r="S75" s="64">
        <v>98043</v>
      </c>
      <c r="T75" s="38" t="s">
        <v>352</v>
      </c>
      <c r="U75" s="36"/>
      <c r="V75" s="36"/>
      <c r="W75" s="36">
        <v>1</v>
      </c>
    </row>
    <row r="76" spans="13:23" x14ac:dyDescent="0.2">
      <c r="M76" s="59">
        <v>98042</v>
      </c>
      <c r="N76" s="38" t="s">
        <v>10</v>
      </c>
      <c r="O76" s="36">
        <v>236</v>
      </c>
      <c r="P76" s="36">
        <v>191</v>
      </c>
      <c r="Q76" s="36">
        <v>201</v>
      </c>
      <c r="S76" s="63">
        <v>98043</v>
      </c>
      <c r="T76" s="38" t="s">
        <v>10</v>
      </c>
      <c r="U76" s="36">
        <v>9</v>
      </c>
      <c r="V76" s="36">
        <v>15</v>
      </c>
      <c r="W76" s="36">
        <v>18</v>
      </c>
    </row>
    <row r="77" spans="13:23" x14ac:dyDescent="0.2">
      <c r="M77" s="61">
        <v>98043</v>
      </c>
      <c r="N77" s="38" t="s">
        <v>352</v>
      </c>
      <c r="O77" s="36">
        <v>1</v>
      </c>
      <c r="P77" s="36"/>
      <c r="Q77" s="36">
        <v>2</v>
      </c>
      <c r="S77" s="64">
        <v>98045</v>
      </c>
      <c r="T77" s="38" t="s">
        <v>352</v>
      </c>
      <c r="U77" s="36"/>
      <c r="V77" s="36"/>
      <c r="W77" s="36">
        <v>4</v>
      </c>
    </row>
    <row r="78" spans="13:23" x14ac:dyDescent="0.2">
      <c r="M78" s="59">
        <v>98043</v>
      </c>
      <c r="N78" s="38" t="s">
        <v>10</v>
      </c>
      <c r="O78" s="36">
        <v>17</v>
      </c>
      <c r="P78" s="36">
        <v>26</v>
      </c>
      <c r="Q78" s="36">
        <v>20</v>
      </c>
      <c r="S78" s="63">
        <v>98045</v>
      </c>
      <c r="T78" s="38" t="s">
        <v>10</v>
      </c>
      <c r="U78" s="36">
        <v>16</v>
      </c>
      <c r="V78" s="36">
        <v>16</v>
      </c>
      <c r="W78" s="36">
        <v>45</v>
      </c>
    </row>
    <row r="79" spans="13:23" x14ac:dyDescent="0.2">
      <c r="M79" s="61">
        <v>98045</v>
      </c>
      <c r="N79" s="38" t="s">
        <v>352</v>
      </c>
      <c r="O79" s="36">
        <v>3</v>
      </c>
      <c r="P79" s="36">
        <v>4</v>
      </c>
      <c r="Q79" s="36">
        <v>5</v>
      </c>
      <c r="S79" s="64">
        <v>98047</v>
      </c>
      <c r="T79" s="38" t="s">
        <v>352</v>
      </c>
      <c r="U79" s="36"/>
      <c r="V79" s="36">
        <v>2</v>
      </c>
      <c r="W79" s="36">
        <v>5</v>
      </c>
    </row>
    <row r="80" spans="13:23" x14ac:dyDescent="0.2">
      <c r="M80" s="59">
        <v>98045</v>
      </c>
      <c r="N80" s="38" t="s">
        <v>10</v>
      </c>
      <c r="O80" s="36">
        <v>42</v>
      </c>
      <c r="P80" s="36">
        <v>46</v>
      </c>
      <c r="Q80" s="36">
        <v>51</v>
      </c>
      <c r="S80" s="63">
        <v>98047</v>
      </c>
      <c r="T80" s="38" t="s">
        <v>10</v>
      </c>
      <c r="U80" s="36">
        <v>35</v>
      </c>
      <c r="V80" s="36">
        <v>28</v>
      </c>
      <c r="W80" s="36">
        <v>57</v>
      </c>
    </row>
    <row r="81" spans="13:23" x14ac:dyDescent="0.2">
      <c r="M81" s="61">
        <v>98047</v>
      </c>
      <c r="N81" s="38" t="s">
        <v>352</v>
      </c>
      <c r="O81" s="36">
        <v>1</v>
      </c>
      <c r="P81" s="36">
        <v>9</v>
      </c>
      <c r="Q81" s="36">
        <v>3</v>
      </c>
      <c r="S81" s="64">
        <v>98050</v>
      </c>
      <c r="T81" s="38" t="s">
        <v>352</v>
      </c>
      <c r="U81" s="36">
        <v>1</v>
      </c>
      <c r="V81" s="36"/>
      <c r="W81" s="36"/>
    </row>
    <row r="82" spans="13:23" x14ac:dyDescent="0.2">
      <c r="M82" s="59">
        <v>98047</v>
      </c>
      <c r="N82" s="38" t="s">
        <v>10</v>
      </c>
      <c r="O82" s="36">
        <v>57</v>
      </c>
      <c r="P82" s="36">
        <v>57</v>
      </c>
      <c r="Q82" s="36">
        <v>59</v>
      </c>
      <c r="S82" s="63">
        <v>98050</v>
      </c>
      <c r="T82" s="38" t="s">
        <v>10</v>
      </c>
      <c r="U82" s="36"/>
      <c r="V82" s="36"/>
      <c r="W82" s="36">
        <v>1</v>
      </c>
    </row>
    <row r="83" spans="13:23" x14ac:dyDescent="0.2">
      <c r="M83" s="61">
        <v>98050</v>
      </c>
      <c r="N83" s="38" t="s">
        <v>352</v>
      </c>
      <c r="O83" s="36">
        <v>1</v>
      </c>
      <c r="P83" s="36"/>
      <c r="Q83" s="36"/>
      <c r="S83" s="64">
        <v>98051</v>
      </c>
      <c r="T83" s="38" t="s">
        <v>10</v>
      </c>
      <c r="U83" s="33">
        <v>7</v>
      </c>
      <c r="V83" s="33">
        <v>5</v>
      </c>
      <c r="W83" s="36">
        <v>14</v>
      </c>
    </row>
    <row r="84" spans="13:23" x14ac:dyDescent="0.2">
      <c r="M84" s="59">
        <v>98050</v>
      </c>
      <c r="N84" s="38" t="s">
        <v>10</v>
      </c>
      <c r="O84" s="36"/>
      <c r="P84" s="36">
        <v>1</v>
      </c>
      <c r="Q84" s="36">
        <v>1</v>
      </c>
      <c r="S84" s="63">
        <v>98052</v>
      </c>
      <c r="T84" s="38" t="s">
        <v>352</v>
      </c>
      <c r="U84" s="36">
        <v>5</v>
      </c>
      <c r="V84" s="36">
        <v>9</v>
      </c>
      <c r="W84" s="36">
        <v>29</v>
      </c>
    </row>
    <row r="85" spans="13:23" x14ac:dyDescent="0.2">
      <c r="M85" s="61">
        <v>98051</v>
      </c>
      <c r="N85" s="38" t="s">
        <v>352</v>
      </c>
      <c r="O85" s="36"/>
      <c r="P85" s="36">
        <v>1</v>
      </c>
      <c r="Q85" s="36">
        <v>1</v>
      </c>
      <c r="S85" s="64">
        <v>98052</v>
      </c>
      <c r="T85" s="38" t="s">
        <v>10</v>
      </c>
      <c r="U85" s="36">
        <v>126</v>
      </c>
      <c r="V85" s="36">
        <v>109</v>
      </c>
      <c r="W85" s="36">
        <v>148</v>
      </c>
    </row>
    <row r="86" spans="13:23" x14ac:dyDescent="0.2">
      <c r="M86" s="59">
        <v>98051</v>
      </c>
      <c r="N86" s="38" t="s">
        <v>10</v>
      </c>
      <c r="O86" s="36">
        <v>15</v>
      </c>
      <c r="P86" s="36">
        <v>15</v>
      </c>
      <c r="Q86" s="36">
        <v>22</v>
      </c>
      <c r="S86" s="63">
        <v>98053</v>
      </c>
      <c r="T86" s="38" t="s">
        <v>352</v>
      </c>
      <c r="U86" s="36"/>
      <c r="V86" s="36"/>
      <c r="W86" s="36">
        <v>2</v>
      </c>
    </row>
    <row r="87" spans="13:23" x14ac:dyDescent="0.2">
      <c r="M87" s="61">
        <v>98052</v>
      </c>
      <c r="N87" s="38" t="s">
        <v>352</v>
      </c>
      <c r="O87" s="36">
        <v>53</v>
      </c>
      <c r="P87" s="36">
        <v>43</v>
      </c>
      <c r="Q87" s="36">
        <v>50</v>
      </c>
      <c r="S87" s="64">
        <v>98053</v>
      </c>
      <c r="T87" s="38" t="s">
        <v>10</v>
      </c>
      <c r="U87" s="36">
        <v>17</v>
      </c>
      <c r="V87" s="36">
        <v>17</v>
      </c>
      <c r="W87" s="36">
        <v>24</v>
      </c>
    </row>
    <row r="88" spans="13:23" x14ac:dyDescent="0.2">
      <c r="M88" s="59">
        <v>98052</v>
      </c>
      <c r="N88" s="38" t="s">
        <v>10</v>
      </c>
      <c r="O88" s="36">
        <v>208</v>
      </c>
      <c r="P88" s="36">
        <v>156</v>
      </c>
      <c r="Q88" s="36">
        <v>175</v>
      </c>
      <c r="S88" s="63">
        <v>98055</v>
      </c>
      <c r="T88" s="38" t="s">
        <v>352</v>
      </c>
      <c r="U88" s="36"/>
      <c r="V88" s="36"/>
      <c r="W88" s="36">
        <v>1</v>
      </c>
    </row>
    <row r="89" spans="13:23" x14ac:dyDescent="0.2">
      <c r="M89" s="61">
        <v>98053</v>
      </c>
      <c r="N89" s="38" t="s">
        <v>352</v>
      </c>
      <c r="O89" s="36">
        <v>4</v>
      </c>
      <c r="P89" s="36">
        <v>5</v>
      </c>
      <c r="Q89" s="36">
        <v>2</v>
      </c>
      <c r="S89" s="64">
        <v>98055</v>
      </c>
      <c r="T89" s="38" t="s">
        <v>10</v>
      </c>
      <c r="U89" s="36">
        <v>120</v>
      </c>
      <c r="V89" s="36">
        <v>80</v>
      </c>
      <c r="W89" s="36">
        <v>156</v>
      </c>
    </row>
    <row r="90" spans="13:23" x14ac:dyDescent="0.2">
      <c r="M90" s="59">
        <v>98053</v>
      </c>
      <c r="N90" s="38" t="s">
        <v>10</v>
      </c>
      <c r="O90" s="36">
        <v>32</v>
      </c>
      <c r="P90" s="36">
        <v>30</v>
      </c>
      <c r="Q90" s="36">
        <v>28</v>
      </c>
      <c r="S90" s="63">
        <v>98056</v>
      </c>
      <c r="T90" s="38" t="s">
        <v>352</v>
      </c>
      <c r="U90" s="36">
        <v>2</v>
      </c>
      <c r="V90" s="36">
        <v>2</v>
      </c>
      <c r="W90" s="36">
        <v>7</v>
      </c>
    </row>
    <row r="91" spans="13:23" x14ac:dyDescent="0.2">
      <c r="M91" s="61">
        <v>98055</v>
      </c>
      <c r="N91" s="38" t="s">
        <v>352</v>
      </c>
      <c r="O91" s="36">
        <v>1</v>
      </c>
      <c r="P91" s="36">
        <v>4</v>
      </c>
      <c r="Q91" s="36">
        <v>3</v>
      </c>
      <c r="S91" s="64">
        <v>98056</v>
      </c>
      <c r="T91" s="38" t="s">
        <v>10</v>
      </c>
      <c r="U91" s="36">
        <v>159</v>
      </c>
      <c r="V91" s="36">
        <v>113</v>
      </c>
      <c r="W91" s="36">
        <v>164</v>
      </c>
    </row>
    <row r="92" spans="13:23" x14ac:dyDescent="0.2">
      <c r="M92" s="59">
        <v>98055</v>
      </c>
      <c r="N92" s="38" t="s">
        <v>10</v>
      </c>
      <c r="O92" s="36">
        <v>210</v>
      </c>
      <c r="P92" s="36">
        <v>177</v>
      </c>
      <c r="Q92" s="36">
        <v>200</v>
      </c>
      <c r="S92" s="63">
        <v>98057</v>
      </c>
      <c r="T92" s="38" t="s">
        <v>352</v>
      </c>
      <c r="U92" s="36">
        <v>4</v>
      </c>
      <c r="V92" s="36">
        <v>8</v>
      </c>
      <c r="W92" s="36">
        <v>18</v>
      </c>
    </row>
    <row r="93" spans="13:23" x14ac:dyDescent="0.2">
      <c r="M93" s="61">
        <v>98056</v>
      </c>
      <c r="N93" s="38" t="s">
        <v>352</v>
      </c>
      <c r="O93" s="36">
        <v>8</v>
      </c>
      <c r="P93" s="36">
        <v>5</v>
      </c>
      <c r="Q93" s="36">
        <v>11</v>
      </c>
      <c r="S93" s="64">
        <v>98057</v>
      </c>
      <c r="T93" s="38" t="s">
        <v>10</v>
      </c>
      <c r="U93" s="36">
        <v>102</v>
      </c>
      <c r="V93" s="36">
        <v>89</v>
      </c>
      <c r="W93" s="36">
        <v>117</v>
      </c>
    </row>
    <row r="94" spans="13:23" x14ac:dyDescent="0.2">
      <c r="M94" s="59">
        <v>98056</v>
      </c>
      <c r="N94" s="38" t="s">
        <v>10</v>
      </c>
      <c r="O94" s="36">
        <v>249</v>
      </c>
      <c r="P94" s="36">
        <v>212</v>
      </c>
      <c r="Q94" s="36">
        <v>206</v>
      </c>
      <c r="S94" s="63">
        <v>98058</v>
      </c>
      <c r="T94" s="38" t="s">
        <v>352</v>
      </c>
      <c r="U94" s="36">
        <v>2</v>
      </c>
      <c r="V94" s="36"/>
      <c r="W94" s="36">
        <v>4</v>
      </c>
    </row>
    <row r="95" spans="13:23" x14ac:dyDescent="0.2">
      <c r="M95" s="61">
        <v>98057</v>
      </c>
      <c r="N95" s="38" t="s">
        <v>352</v>
      </c>
      <c r="O95" s="36">
        <v>30</v>
      </c>
      <c r="P95" s="36">
        <v>37</v>
      </c>
      <c r="Q95" s="36">
        <v>24</v>
      </c>
      <c r="S95" s="64">
        <v>98058</v>
      </c>
      <c r="T95" s="38" t="s">
        <v>10</v>
      </c>
      <c r="U95" s="36">
        <v>161</v>
      </c>
      <c r="V95" s="36">
        <v>108</v>
      </c>
      <c r="W95" s="36">
        <v>169</v>
      </c>
    </row>
    <row r="96" spans="13:23" x14ac:dyDescent="0.2">
      <c r="M96" s="59">
        <v>98057</v>
      </c>
      <c r="N96" s="38" t="s">
        <v>10</v>
      </c>
      <c r="O96" s="36">
        <v>151</v>
      </c>
      <c r="P96" s="36">
        <v>144</v>
      </c>
      <c r="Q96" s="36">
        <v>133</v>
      </c>
      <c r="S96" s="63">
        <v>98059</v>
      </c>
      <c r="T96" s="38" t="s">
        <v>352</v>
      </c>
      <c r="U96" s="36">
        <v>1</v>
      </c>
      <c r="V96" s="36"/>
      <c r="W96" s="36">
        <v>4</v>
      </c>
    </row>
    <row r="97" spans="13:23" x14ac:dyDescent="0.2">
      <c r="M97" s="61">
        <v>98058</v>
      </c>
      <c r="N97" s="38" t="s">
        <v>352</v>
      </c>
      <c r="O97" s="36">
        <v>1</v>
      </c>
      <c r="P97" s="36">
        <v>5</v>
      </c>
      <c r="Q97" s="36">
        <v>6</v>
      </c>
      <c r="S97" s="64">
        <v>98059</v>
      </c>
      <c r="T97" s="38" t="s">
        <v>10</v>
      </c>
      <c r="U97" s="36">
        <v>86</v>
      </c>
      <c r="V97" s="36">
        <v>67</v>
      </c>
      <c r="W97" s="36">
        <v>117</v>
      </c>
    </row>
    <row r="98" spans="13:23" x14ac:dyDescent="0.2">
      <c r="M98" s="59">
        <v>98058</v>
      </c>
      <c r="N98" s="38" t="s">
        <v>10</v>
      </c>
      <c r="O98" s="36">
        <v>287</v>
      </c>
      <c r="P98" s="36">
        <v>216</v>
      </c>
      <c r="Q98" s="36">
        <v>202</v>
      </c>
      <c r="S98" s="63">
        <v>98065</v>
      </c>
      <c r="T98" s="38" t="s">
        <v>352</v>
      </c>
      <c r="U98" s="36">
        <v>2</v>
      </c>
      <c r="V98" s="36">
        <v>1</v>
      </c>
      <c r="W98" s="36">
        <v>2</v>
      </c>
    </row>
    <row r="99" spans="13:23" x14ac:dyDescent="0.2">
      <c r="M99" s="61">
        <v>98059</v>
      </c>
      <c r="N99" s="38" t="s">
        <v>352</v>
      </c>
      <c r="O99" s="36">
        <v>5</v>
      </c>
      <c r="P99" s="36">
        <v>3</v>
      </c>
      <c r="Q99" s="36">
        <v>9</v>
      </c>
      <c r="S99" s="64">
        <v>98065</v>
      </c>
      <c r="T99" s="38" t="s">
        <v>10</v>
      </c>
      <c r="U99" s="36">
        <v>28</v>
      </c>
      <c r="V99" s="36">
        <v>20</v>
      </c>
      <c r="W99" s="36">
        <v>35</v>
      </c>
    </row>
    <row r="100" spans="13:23" x14ac:dyDescent="0.2">
      <c r="M100" s="59">
        <v>98059</v>
      </c>
      <c r="N100" s="38" t="s">
        <v>10</v>
      </c>
      <c r="O100" s="36">
        <v>164</v>
      </c>
      <c r="P100" s="36">
        <v>126</v>
      </c>
      <c r="Q100" s="36">
        <v>140</v>
      </c>
      <c r="S100" s="63">
        <v>98068</v>
      </c>
      <c r="T100" s="38" t="s">
        <v>10</v>
      </c>
      <c r="U100" s="36"/>
      <c r="V100" s="36">
        <v>1</v>
      </c>
      <c r="W100" s="36">
        <v>4</v>
      </c>
    </row>
    <row r="101" spans="13:23" x14ac:dyDescent="0.2">
      <c r="M101" s="61">
        <v>98065</v>
      </c>
      <c r="N101" s="38" t="s">
        <v>352</v>
      </c>
      <c r="O101" s="36">
        <v>5</v>
      </c>
      <c r="P101" s="36">
        <v>3</v>
      </c>
      <c r="Q101" s="36">
        <v>7</v>
      </c>
      <c r="S101" s="64">
        <v>98070</v>
      </c>
      <c r="T101" s="38" t="s">
        <v>352</v>
      </c>
      <c r="U101" s="36">
        <v>1</v>
      </c>
      <c r="V101" s="36">
        <v>3</v>
      </c>
      <c r="W101" s="36">
        <v>8</v>
      </c>
    </row>
    <row r="102" spans="13:23" x14ac:dyDescent="0.2">
      <c r="M102" s="59">
        <v>98065</v>
      </c>
      <c r="N102" s="38" t="s">
        <v>10</v>
      </c>
      <c r="O102" s="36">
        <v>53</v>
      </c>
      <c r="P102" s="36">
        <v>42</v>
      </c>
      <c r="Q102" s="36">
        <v>43</v>
      </c>
      <c r="S102" s="63">
        <v>98070</v>
      </c>
      <c r="T102" s="38" t="s">
        <v>10</v>
      </c>
      <c r="U102" s="36">
        <v>25</v>
      </c>
      <c r="V102" s="36">
        <v>14</v>
      </c>
      <c r="W102" s="36">
        <v>37</v>
      </c>
    </row>
    <row r="103" spans="13:23" x14ac:dyDescent="0.2">
      <c r="M103" s="61">
        <v>98068</v>
      </c>
      <c r="N103" s="38" t="s">
        <v>352</v>
      </c>
      <c r="O103" s="36">
        <v>2</v>
      </c>
      <c r="P103" s="36"/>
      <c r="Q103" s="36">
        <v>2</v>
      </c>
      <c r="S103" s="64">
        <v>98072</v>
      </c>
      <c r="T103" s="38" t="s">
        <v>352</v>
      </c>
      <c r="U103" s="36">
        <v>10</v>
      </c>
      <c r="V103" s="36">
        <v>1</v>
      </c>
      <c r="W103" s="36">
        <v>13</v>
      </c>
    </row>
    <row r="104" spans="13:23" x14ac:dyDescent="0.2">
      <c r="M104" s="59">
        <v>98068</v>
      </c>
      <c r="N104" s="38" t="s">
        <v>10</v>
      </c>
      <c r="O104" s="36">
        <v>2</v>
      </c>
      <c r="P104" s="36">
        <v>4</v>
      </c>
      <c r="Q104" s="36">
        <v>4</v>
      </c>
      <c r="S104" s="63">
        <v>98072</v>
      </c>
      <c r="T104" s="38" t="s">
        <v>10</v>
      </c>
      <c r="U104" s="36">
        <v>34</v>
      </c>
      <c r="V104" s="36">
        <v>29</v>
      </c>
      <c r="W104" s="36">
        <v>42</v>
      </c>
    </row>
    <row r="105" spans="13:23" x14ac:dyDescent="0.2">
      <c r="M105" s="61">
        <v>98070</v>
      </c>
      <c r="N105" s="38" t="s">
        <v>352</v>
      </c>
      <c r="O105" s="36">
        <v>11</v>
      </c>
      <c r="P105" s="36">
        <v>7</v>
      </c>
      <c r="Q105" s="36">
        <v>9</v>
      </c>
      <c r="S105" s="64">
        <v>98074</v>
      </c>
      <c r="T105" s="38" t="s">
        <v>352</v>
      </c>
      <c r="U105" s="36"/>
      <c r="V105" s="36"/>
      <c r="W105" s="36">
        <v>4</v>
      </c>
    </row>
    <row r="106" spans="13:23" x14ac:dyDescent="0.2">
      <c r="M106" s="59">
        <v>98070</v>
      </c>
      <c r="N106" s="38" t="s">
        <v>10</v>
      </c>
      <c r="O106" s="36">
        <v>56</v>
      </c>
      <c r="P106" s="36">
        <v>40</v>
      </c>
      <c r="Q106" s="36">
        <v>47</v>
      </c>
      <c r="S106" s="63">
        <v>98074</v>
      </c>
      <c r="T106" s="38" t="s">
        <v>10</v>
      </c>
      <c r="U106" s="36">
        <v>10</v>
      </c>
      <c r="V106" s="36">
        <v>11</v>
      </c>
      <c r="W106" s="36">
        <v>23</v>
      </c>
    </row>
    <row r="107" spans="13:23" x14ac:dyDescent="0.2">
      <c r="M107" s="61">
        <v>98072</v>
      </c>
      <c r="N107" s="38" t="s">
        <v>352</v>
      </c>
      <c r="O107" s="36">
        <v>21</v>
      </c>
      <c r="P107" s="36">
        <v>15</v>
      </c>
      <c r="Q107" s="36">
        <v>20</v>
      </c>
      <c r="S107" s="64">
        <v>98075</v>
      </c>
      <c r="T107" s="38" t="s">
        <v>10</v>
      </c>
      <c r="U107" s="36">
        <v>5</v>
      </c>
      <c r="V107" s="36">
        <v>6</v>
      </c>
      <c r="W107" s="36">
        <v>24</v>
      </c>
    </row>
    <row r="108" spans="13:23" x14ac:dyDescent="0.2">
      <c r="M108" s="59">
        <v>98072</v>
      </c>
      <c r="N108" s="38" t="s">
        <v>10</v>
      </c>
      <c r="O108" s="36">
        <v>61</v>
      </c>
      <c r="P108" s="36">
        <v>46</v>
      </c>
      <c r="Q108" s="36">
        <v>59</v>
      </c>
      <c r="S108" s="63">
        <v>98077</v>
      </c>
      <c r="T108" s="38" t="s">
        <v>352</v>
      </c>
      <c r="U108" s="36"/>
      <c r="V108" s="36"/>
      <c r="W108" s="36">
        <v>1</v>
      </c>
    </row>
    <row r="109" spans="13:23" x14ac:dyDescent="0.2">
      <c r="M109" s="61">
        <v>98074</v>
      </c>
      <c r="N109" s="38" t="s">
        <v>352</v>
      </c>
      <c r="O109" s="36">
        <v>3</v>
      </c>
      <c r="P109" s="36">
        <v>2</v>
      </c>
      <c r="Q109" s="36">
        <v>5</v>
      </c>
      <c r="S109" s="64">
        <v>98077</v>
      </c>
      <c r="T109" s="38" t="s">
        <v>10</v>
      </c>
      <c r="U109" s="36">
        <v>11</v>
      </c>
      <c r="V109" s="36">
        <v>6</v>
      </c>
      <c r="W109" s="36">
        <v>12</v>
      </c>
    </row>
    <row r="110" spans="13:23" x14ac:dyDescent="0.2">
      <c r="M110" s="59">
        <v>98074</v>
      </c>
      <c r="N110" s="38" t="s">
        <v>10</v>
      </c>
      <c r="O110" s="36">
        <v>26</v>
      </c>
      <c r="P110" s="36">
        <v>30</v>
      </c>
      <c r="Q110" s="36">
        <v>25</v>
      </c>
      <c r="S110" s="63">
        <v>98087</v>
      </c>
      <c r="T110" s="38" t="s">
        <v>352</v>
      </c>
      <c r="U110" s="36"/>
      <c r="V110" s="36"/>
      <c r="W110" s="36">
        <v>1</v>
      </c>
    </row>
    <row r="111" spans="13:23" x14ac:dyDescent="0.2">
      <c r="M111" s="61">
        <v>98075</v>
      </c>
      <c r="N111" s="38" t="s">
        <v>352</v>
      </c>
      <c r="O111" s="36"/>
      <c r="P111" s="36">
        <v>3</v>
      </c>
      <c r="Q111" s="36">
        <v>1</v>
      </c>
      <c r="S111" s="64">
        <v>98087</v>
      </c>
      <c r="T111" s="38" t="s">
        <v>10</v>
      </c>
      <c r="U111" s="36">
        <v>20</v>
      </c>
      <c r="V111" s="36">
        <v>7</v>
      </c>
      <c r="W111" s="36">
        <v>23</v>
      </c>
    </row>
    <row r="112" spans="13:23" x14ac:dyDescent="0.2">
      <c r="M112" s="59">
        <v>98075</v>
      </c>
      <c r="N112" s="38" t="s">
        <v>10</v>
      </c>
      <c r="O112" s="36">
        <v>19</v>
      </c>
      <c r="P112" s="36">
        <v>15</v>
      </c>
      <c r="Q112" s="36">
        <v>30</v>
      </c>
      <c r="S112" s="63">
        <v>98092</v>
      </c>
      <c r="T112" s="38" t="s">
        <v>352</v>
      </c>
      <c r="U112" s="36"/>
      <c r="V112" s="36">
        <v>2</v>
      </c>
      <c r="W112" s="36">
        <v>10</v>
      </c>
    </row>
    <row r="113" spans="13:23" x14ac:dyDescent="0.2">
      <c r="M113" s="61">
        <v>98077</v>
      </c>
      <c r="N113" s="38" t="s">
        <v>352</v>
      </c>
      <c r="O113" s="36">
        <v>1</v>
      </c>
      <c r="P113" s="36"/>
      <c r="Q113" s="36">
        <v>2</v>
      </c>
      <c r="S113" s="64">
        <v>98092</v>
      </c>
      <c r="T113" s="38" t="s">
        <v>10</v>
      </c>
      <c r="U113" s="36">
        <v>138</v>
      </c>
      <c r="V113" s="36">
        <v>125</v>
      </c>
      <c r="W113" s="36">
        <v>228</v>
      </c>
    </row>
    <row r="114" spans="13:23" x14ac:dyDescent="0.2">
      <c r="M114" s="59">
        <v>98077</v>
      </c>
      <c r="N114" s="38" t="s">
        <v>10</v>
      </c>
      <c r="O114" s="36">
        <v>15</v>
      </c>
      <c r="P114" s="36">
        <v>13</v>
      </c>
      <c r="Q114" s="36">
        <v>23</v>
      </c>
      <c r="S114" s="63">
        <v>98101</v>
      </c>
      <c r="T114" s="38" t="s">
        <v>352</v>
      </c>
      <c r="U114" s="36">
        <v>1</v>
      </c>
      <c r="V114" s="36">
        <v>2</v>
      </c>
      <c r="W114" s="36">
        <v>5</v>
      </c>
    </row>
    <row r="115" spans="13:23" x14ac:dyDescent="0.2">
      <c r="M115" s="61">
        <v>98087</v>
      </c>
      <c r="N115" s="38" t="s">
        <v>352</v>
      </c>
      <c r="O115" s="36">
        <v>2</v>
      </c>
      <c r="P115" s="36">
        <v>3</v>
      </c>
      <c r="Q115" s="36">
        <v>3</v>
      </c>
      <c r="S115" s="64">
        <v>98101</v>
      </c>
      <c r="T115" s="38" t="s">
        <v>10</v>
      </c>
      <c r="U115" s="36"/>
      <c r="V115" s="36">
        <v>2</v>
      </c>
      <c r="W115" s="36">
        <v>2</v>
      </c>
    </row>
    <row r="116" spans="13:23" x14ac:dyDescent="0.2">
      <c r="M116" s="59">
        <v>98087</v>
      </c>
      <c r="N116" s="38" t="s">
        <v>10</v>
      </c>
      <c r="O116" s="36">
        <v>31</v>
      </c>
      <c r="P116" s="36">
        <v>23</v>
      </c>
      <c r="Q116" s="36">
        <v>33</v>
      </c>
      <c r="S116" s="63">
        <v>98102</v>
      </c>
      <c r="T116" s="38" t="s">
        <v>352</v>
      </c>
      <c r="U116" s="36">
        <v>2</v>
      </c>
      <c r="V116" s="36">
        <v>1</v>
      </c>
      <c r="W116" s="36">
        <v>8</v>
      </c>
    </row>
    <row r="117" spans="13:23" x14ac:dyDescent="0.2">
      <c r="M117" s="61">
        <v>98092</v>
      </c>
      <c r="N117" s="38" t="s">
        <v>352</v>
      </c>
      <c r="O117" s="36">
        <v>4</v>
      </c>
      <c r="P117" s="36">
        <v>19</v>
      </c>
      <c r="Q117" s="36">
        <v>4</v>
      </c>
      <c r="S117" s="64">
        <v>98102</v>
      </c>
      <c r="T117" s="38" t="s">
        <v>10</v>
      </c>
      <c r="U117" s="36">
        <v>8</v>
      </c>
      <c r="V117" s="36">
        <v>11</v>
      </c>
      <c r="W117" s="36">
        <v>8</v>
      </c>
    </row>
    <row r="118" spans="13:23" x14ac:dyDescent="0.2">
      <c r="M118" s="59">
        <v>98092</v>
      </c>
      <c r="N118" s="38" t="s">
        <v>10</v>
      </c>
      <c r="O118" s="36">
        <v>268</v>
      </c>
      <c r="P118" s="36">
        <v>296</v>
      </c>
      <c r="Q118" s="36">
        <v>287</v>
      </c>
      <c r="S118" s="63">
        <v>98103</v>
      </c>
      <c r="T118" s="38" t="s">
        <v>352</v>
      </c>
      <c r="U118" s="36"/>
      <c r="V118" s="36">
        <v>2</v>
      </c>
      <c r="W118" s="36">
        <v>5</v>
      </c>
    </row>
    <row r="119" spans="13:23" x14ac:dyDescent="0.2">
      <c r="M119" s="61">
        <v>98101</v>
      </c>
      <c r="N119" s="38" t="s">
        <v>352</v>
      </c>
      <c r="O119" s="36">
        <v>13</v>
      </c>
      <c r="P119" s="36">
        <v>12</v>
      </c>
      <c r="Q119" s="36">
        <v>6</v>
      </c>
      <c r="S119" s="64">
        <v>98103</v>
      </c>
      <c r="T119" s="38" t="s">
        <v>10</v>
      </c>
      <c r="U119" s="36">
        <v>20</v>
      </c>
      <c r="V119" s="36">
        <v>26</v>
      </c>
      <c r="W119" s="36">
        <v>26</v>
      </c>
    </row>
    <row r="120" spans="13:23" x14ac:dyDescent="0.2">
      <c r="M120" s="59">
        <v>98101</v>
      </c>
      <c r="N120" s="38" t="s">
        <v>10</v>
      </c>
      <c r="O120" s="36"/>
      <c r="P120" s="36">
        <v>2</v>
      </c>
      <c r="Q120" s="36">
        <v>2</v>
      </c>
      <c r="S120" s="63">
        <v>98104</v>
      </c>
      <c r="T120" s="38" t="s">
        <v>352</v>
      </c>
      <c r="U120" s="36">
        <v>3</v>
      </c>
      <c r="V120" s="36"/>
      <c r="W120" s="36">
        <v>13</v>
      </c>
    </row>
    <row r="121" spans="13:23" x14ac:dyDescent="0.2">
      <c r="M121" s="61">
        <v>98102</v>
      </c>
      <c r="N121" s="38" t="s">
        <v>352</v>
      </c>
      <c r="O121" s="36">
        <v>9</v>
      </c>
      <c r="P121" s="36">
        <v>12</v>
      </c>
      <c r="Q121" s="36">
        <v>5</v>
      </c>
      <c r="S121" s="64">
        <v>98104</v>
      </c>
      <c r="T121" s="38" t="s">
        <v>10</v>
      </c>
      <c r="U121" s="36">
        <v>4</v>
      </c>
      <c r="V121" s="36">
        <v>2</v>
      </c>
      <c r="W121" s="36">
        <v>1</v>
      </c>
    </row>
    <row r="122" spans="13:23" x14ac:dyDescent="0.2">
      <c r="M122" s="59">
        <v>98102</v>
      </c>
      <c r="N122" s="38" t="s">
        <v>10</v>
      </c>
      <c r="O122" s="36">
        <v>11</v>
      </c>
      <c r="P122" s="36">
        <v>15</v>
      </c>
      <c r="Q122" s="36">
        <v>7</v>
      </c>
      <c r="S122" s="63">
        <v>98105</v>
      </c>
      <c r="T122" s="38" t="s">
        <v>352</v>
      </c>
      <c r="U122" s="36">
        <v>1</v>
      </c>
      <c r="V122" s="36"/>
      <c r="W122" s="36">
        <v>7</v>
      </c>
    </row>
    <row r="123" spans="13:23" x14ac:dyDescent="0.2">
      <c r="M123" s="61">
        <v>98103</v>
      </c>
      <c r="N123" s="38" t="s">
        <v>352</v>
      </c>
      <c r="O123" s="36">
        <v>7</v>
      </c>
      <c r="P123" s="36">
        <v>9</v>
      </c>
      <c r="Q123" s="36">
        <v>5</v>
      </c>
      <c r="S123" s="64">
        <v>98105</v>
      </c>
      <c r="T123" s="38" t="s">
        <v>10</v>
      </c>
      <c r="U123" s="36">
        <v>11</v>
      </c>
      <c r="V123" s="36">
        <v>10</v>
      </c>
      <c r="W123" s="36">
        <v>19</v>
      </c>
    </row>
    <row r="124" spans="13:23" x14ac:dyDescent="0.2">
      <c r="M124" s="59">
        <v>98103</v>
      </c>
      <c r="N124" s="38" t="s">
        <v>10</v>
      </c>
      <c r="O124" s="36">
        <v>32</v>
      </c>
      <c r="P124" s="36">
        <v>45</v>
      </c>
      <c r="Q124" s="36">
        <v>33</v>
      </c>
      <c r="S124" s="63">
        <v>98106</v>
      </c>
      <c r="T124" s="38" t="s">
        <v>352</v>
      </c>
      <c r="U124" s="36">
        <v>1</v>
      </c>
      <c r="V124" s="36"/>
      <c r="W124" s="36">
        <v>4</v>
      </c>
    </row>
    <row r="125" spans="13:23" x14ac:dyDescent="0.2">
      <c r="M125" s="61">
        <v>98104</v>
      </c>
      <c r="N125" s="38" t="s">
        <v>352</v>
      </c>
      <c r="O125" s="36">
        <v>18</v>
      </c>
      <c r="P125" s="36">
        <v>12</v>
      </c>
      <c r="Q125" s="36">
        <v>15</v>
      </c>
      <c r="S125" s="64">
        <v>98106</v>
      </c>
      <c r="T125" s="38" t="s">
        <v>10</v>
      </c>
      <c r="U125" s="36">
        <v>30</v>
      </c>
      <c r="V125" s="36">
        <v>16</v>
      </c>
      <c r="W125" s="36">
        <v>23</v>
      </c>
    </row>
    <row r="126" spans="13:23" x14ac:dyDescent="0.2">
      <c r="M126" s="59">
        <v>98104</v>
      </c>
      <c r="N126" s="38" t="s">
        <v>10</v>
      </c>
      <c r="O126" s="36">
        <v>8</v>
      </c>
      <c r="P126" s="36">
        <v>1</v>
      </c>
      <c r="Q126" s="36">
        <v>4</v>
      </c>
      <c r="S126" s="63">
        <v>98107</v>
      </c>
      <c r="T126" s="38" t="s">
        <v>352</v>
      </c>
      <c r="U126" s="36"/>
      <c r="V126" s="36">
        <v>1</v>
      </c>
      <c r="W126" s="36">
        <v>8</v>
      </c>
    </row>
    <row r="127" spans="13:23" x14ac:dyDescent="0.2">
      <c r="M127" s="61">
        <v>98105</v>
      </c>
      <c r="N127" s="38" t="s">
        <v>352</v>
      </c>
      <c r="O127" s="36">
        <v>7</v>
      </c>
      <c r="P127" s="36">
        <v>11</v>
      </c>
      <c r="Q127" s="36">
        <v>12</v>
      </c>
      <c r="S127" s="64">
        <v>98107</v>
      </c>
      <c r="T127" s="38" t="s">
        <v>10</v>
      </c>
      <c r="U127" s="36">
        <v>6</v>
      </c>
      <c r="V127" s="36">
        <v>11</v>
      </c>
      <c r="W127" s="36">
        <v>17</v>
      </c>
    </row>
    <row r="128" spans="13:23" x14ac:dyDescent="0.2">
      <c r="M128" s="59">
        <v>98105</v>
      </c>
      <c r="N128" s="38" t="s">
        <v>10</v>
      </c>
      <c r="O128" s="36">
        <v>18</v>
      </c>
      <c r="P128" s="36">
        <v>23</v>
      </c>
      <c r="Q128" s="36">
        <v>22</v>
      </c>
      <c r="S128" s="63">
        <v>98108</v>
      </c>
      <c r="T128" s="38" t="s">
        <v>352</v>
      </c>
      <c r="U128" s="36"/>
      <c r="V128" s="36">
        <v>1</v>
      </c>
      <c r="W128" s="36">
        <v>17</v>
      </c>
    </row>
    <row r="129" spans="13:23" x14ac:dyDescent="0.2">
      <c r="M129" s="61">
        <v>98106</v>
      </c>
      <c r="N129" s="38" t="s">
        <v>352</v>
      </c>
      <c r="O129" s="36">
        <v>6</v>
      </c>
      <c r="P129" s="36">
        <v>5</v>
      </c>
      <c r="Q129" s="36">
        <v>3</v>
      </c>
      <c r="S129" s="64">
        <v>98108</v>
      </c>
      <c r="T129" s="38" t="s">
        <v>10</v>
      </c>
      <c r="U129" s="36">
        <v>27</v>
      </c>
      <c r="V129" s="36">
        <v>42</v>
      </c>
      <c r="W129" s="36">
        <v>45</v>
      </c>
    </row>
    <row r="130" spans="13:23" x14ac:dyDescent="0.2">
      <c r="M130" s="59">
        <v>98106</v>
      </c>
      <c r="N130" s="38" t="s">
        <v>10</v>
      </c>
      <c r="O130" s="36">
        <v>35</v>
      </c>
      <c r="P130" s="36">
        <v>26</v>
      </c>
      <c r="Q130" s="36">
        <v>29</v>
      </c>
      <c r="S130" s="63">
        <v>98109</v>
      </c>
      <c r="T130" s="38" t="s">
        <v>352</v>
      </c>
      <c r="U130" s="36"/>
      <c r="V130" s="36">
        <v>3</v>
      </c>
      <c r="W130" s="36">
        <v>5</v>
      </c>
    </row>
    <row r="131" spans="13:23" x14ac:dyDescent="0.2">
      <c r="M131" s="61">
        <v>98107</v>
      </c>
      <c r="N131" s="38" t="s">
        <v>352</v>
      </c>
      <c r="O131" s="36">
        <v>10</v>
      </c>
      <c r="P131" s="36">
        <v>11</v>
      </c>
      <c r="Q131" s="36">
        <v>10</v>
      </c>
      <c r="S131" s="64">
        <v>98109</v>
      </c>
      <c r="T131" s="38" t="s">
        <v>10</v>
      </c>
      <c r="U131" s="36">
        <v>5</v>
      </c>
      <c r="V131" s="36">
        <v>5</v>
      </c>
      <c r="W131" s="36">
        <v>14</v>
      </c>
    </row>
    <row r="132" spans="13:23" x14ac:dyDescent="0.2">
      <c r="M132" s="59">
        <v>98107</v>
      </c>
      <c r="N132" s="38" t="s">
        <v>10</v>
      </c>
      <c r="O132" s="36">
        <v>13</v>
      </c>
      <c r="P132" s="36">
        <v>12</v>
      </c>
      <c r="Q132" s="36">
        <v>17</v>
      </c>
      <c r="S132" s="63">
        <v>98110</v>
      </c>
      <c r="T132" s="38" t="s">
        <v>352</v>
      </c>
      <c r="U132" s="36"/>
      <c r="V132" s="36">
        <v>1</v>
      </c>
      <c r="W132" s="36"/>
    </row>
    <row r="133" spans="13:23" x14ac:dyDescent="0.2">
      <c r="M133" s="61">
        <v>98108</v>
      </c>
      <c r="N133" s="38" t="s">
        <v>352</v>
      </c>
      <c r="O133" s="36">
        <v>20</v>
      </c>
      <c r="P133" s="36">
        <v>11</v>
      </c>
      <c r="Q133" s="36">
        <v>20</v>
      </c>
      <c r="S133" s="64">
        <v>98110</v>
      </c>
      <c r="T133" s="38" t="s">
        <v>10</v>
      </c>
      <c r="U133" s="36">
        <v>14</v>
      </c>
      <c r="V133" s="36">
        <v>17</v>
      </c>
      <c r="W133" s="36">
        <v>35</v>
      </c>
    </row>
    <row r="134" spans="13:23" x14ac:dyDescent="0.2">
      <c r="M134" s="59">
        <v>98108</v>
      </c>
      <c r="N134" s="38" t="s">
        <v>10</v>
      </c>
      <c r="O134" s="36">
        <v>41</v>
      </c>
      <c r="P134" s="36">
        <v>63</v>
      </c>
      <c r="Q134" s="36">
        <v>48</v>
      </c>
      <c r="S134" s="63">
        <v>98112</v>
      </c>
      <c r="T134" s="38" t="s">
        <v>352</v>
      </c>
      <c r="U134" s="36"/>
      <c r="V134" s="36"/>
      <c r="W134" s="36">
        <v>5</v>
      </c>
    </row>
    <row r="135" spans="13:23" x14ac:dyDescent="0.2">
      <c r="M135" s="61">
        <v>98109</v>
      </c>
      <c r="N135" s="38" t="s">
        <v>352</v>
      </c>
      <c r="O135" s="36">
        <v>7</v>
      </c>
      <c r="P135" s="36">
        <v>10</v>
      </c>
      <c r="Q135" s="36">
        <v>11</v>
      </c>
      <c r="S135" s="64">
        <v>98112</v>
      </c>
      <c r="T135" s="38" t="s">
        <v>10</v>
      </c>
      <c r="U135" s="36">
        <v>10</v>
      </c>
      <c r="V135" s="36">
        <v>9</v>
      </c>
      <c r="W135" s="36">
        <v>14</v>
      </c>
    </row>
    <row r="136" spans="13:23" x14ac:dyDescent="0.2">
      <c r="M136" s="59">
        <v>98109</v>
      </c>
      <c r="N136" s="38" t="s">
        <v>10</v>
      </c>
      <c r="O136" s="36">
        <v>7</v>
      </c>
      <c r="P136" s="36">
        <v>7</v>
      </c>
      <c r="Q136" s="36">
        <v>17</v>
      </c>
      <c r="S136" s="63">
        <v>98115</v>
      </c>
      <c r="T136" s="38" t="s">
        <v>352</v>
      </c>
      <c r="U136" s="36">
        <v>2</v>
      </c>
      <c r="V136" s="36">
        <v>3</v>
      </c>
      <c r="W136" s="36">
        <v>7</v>
      </c>
    </row>
    <row r="137" spans="13:23" x14ac:dyDescent="0.2">
      <c r="M137" s="61">
        <v>98110</v>
      </c>
      <c r="N137" s="38" t="s">
        <v>352</v>
      </c>
      <c r="O137" s="36">
        <v>4</v>
      </c>
      <c r="P137" s="36">
        <v>5</v>
      </c>
      <c r="Q137" s="36">
        <v>2</v>
      </c>
      <c r="S137" s="64">
        <v>98115</v>
      </c>
      <c r="T137" s="38" t="s">
        <v>10</v>
      </c>
      <c r="U137" s="36">
        <v>16</v>
      </c>
      <c r="V137" s="36">
        <v>9</v>
      </c>
      <c r="W137" s="36">
        <v>25</v>
      </c>
    </row>
    <row r="138" spans="13:23" x14ac:dyDescent="0.2">
      <c r="M138" s="59">
        <v>98110</v>
      </c>
      <c r="N138" s="38" t="s">
        <v>10</v>
      </c>
      <c r="O138" s="36">
        <v>46</v>
      </c>
      <c r="P138" s="36">
        <v>41</v>
      </c>
      <c r="Q138" s="36">
        <v>41</v>
      </c>
      <c r="S138" s="63">
        <v>98116</v>
      </c>
      <c r="T138" s="38" t="s">
        <v>352</v>
      </c>
      <c r="U138" s="36">
        <v>2</v>
      </c>
      <c r="V138" s="36">
        <v>1</v>
      </c>
      <c r="W138" s="36">
        <v>6</v>
      </c>
    </row>
    <row r="139" spans="13:23" x14ac:dyDescent="0.2">
      <c r="M139" s="61">
        <v>98112</v>
      </c>
      <c r="N139" s="38" t="s">
        <v>352</v>
      </c>
      <c r="O139" s="36">
        <v>4</v>
      </c>
      <c r="P139" s="36">
        <v>5</v>
      </c>
      <c r="Q139" s="36">
        <v>5</v>
      </c>
      <c r="S139" s="64">
        <v>98116</v>
      </c>
      <c r="T139" s="38" t="s">
        <v>10</v>
      </c>
      <c r="U139" s="36">
        <v>7</v>
      </c>
      <c r="V139" s="36">
        <v>10</v>
      </c>
      <c r="W139" s="36">
        <v>12</v>
      </c>
    </row>
    <row r="140" spans="13:23" x14ac:dyDescent="0.2">
      <c r="M140" s="59">
        <v>98112</v>
      </c>
      <c r="N140" s="38" t="s">
        <v>10</v>
      </c>
      <c r="O140" s="36">
        <v>21</v>
      </c>
      <c r="P140" s="36">
        <v>22</v>
      </c>
      <c r="Q140" s="36">
        <v>19</v>
      </c>
      <c r="S140" s="63">
        <v>98117</v>
      </c>
      <c r="T140" s="38" t="s">
        <v>352</v>
      </c>
      <c r="U140" s="36"/>
      <c r="V140" s="36"/>
      <c r="W140" s="36">
        <v>2</v>
      </c>
    </row>
    <row r="141" spans="13:23" x14ac:dyDescent="0.2">
      <c r="M141" s="61">
        <v>98115</v>
      </c>
      <c r="N141" s="38" t="s">
        <v>352</v>
      </c>
      <c r="O141" s="36">
        <v>8</v>
      </c>
      <c r="P141" s="36">
        <v>7</v>
      </c>
      <c r="Q141" s="36">
        <v>8</v>
      </c>
      <c r="S141" s="64">
        <v>98117</v>
      </c>
      <c r="T141" s="38" t="s">
        <v>10</v>
      </c>
      <c r="U141" s="36">
        <v>10</v>
      </c>
      <c r="V141" s="36">
        <v>12</v>
      </c>
      <c r="W141" s="36">
        <v>34</v>
      </c>
    </row>
    <row r="142" spans="13:23" x14ac:dyDescent="0.2">
      <c r="M142" s="59">
        <v>98115</v>
      </c>
      <c r="N142" s="38" t="s">
        <v>10</v>
      </c>
      <c r="O142" s="36">
        <v>33</v>
      </c>
      <c r="P142" s="36">
        <v>25</v>
      </c>
      <c r="Q142" s="36">
        <v>33</v>
      </c>
      <c r="S142" s="63">
        <v>98118</v>
      </c>
      <c r="T142" s="38" t="s">
        <v>352</v>
      </c>
      <c r="U142" s="36">
        <v>5</v>
      </c>
      <c r="V142" s="36">
        <v>2</v>
      </c>
      <c r="W142" s="36">
        <v>12</v>
      </c>
    </row>
    <row r="143" spans="13:23" x14ac:dyDescent="0.2">
      <c r="M143" s="61">
        <v>98116</v>
      </c>
      <c r="N143" s="38" t="s">
        <v>352</v>
      </c>
      <c r="O143" s="36">
        <v>11</v>
      </c>
      <c r="P143" s="36">
        <v>2</v>
      </c>
      <c r="Q143" s="36">
        <v>9</v>
      </c>
      <c r="S143" s="64">
        <v>98118</v>
      </c>
      <c r="T143" s="38" t="s">
        <v>10</v>
      </c>
      <c r="U143" s="36">
        <v>54</v>
      </c>
      <c r="V143" s="36">
        <v>57</v>
      </c>
      <c r="W143" s="36">
        <v>57</v>
      </c>
    </row>
    <row r="144" spans="13:23" x14ac:dyDescent="0.2">
      <c r="M144" s="59">
        <v>98116</v>
      </c>
      <c r="N144" s="38" t="s">
        <v>10</v>
      </c>
      <c r="O144" s="36">
        <v>13</v>
      </c>
      <c r="P144" s="36">
        <v>17</v>
      </c>
      <c r="Q144" s="36">
        <v>14</v>
      </c>
      <c r="S144" s="63">
        <v>98119</v>
      </c>
      <c r="T144" s="38" t="s">
        <v>352</v>
      </c>
      <c r="U144" s="36">
        <v>1</v>
      </c>
      <c r="V144" s="36"/>
      <c r="W144" s="36">
        <v>1</v>
      </c>
    </row>
    <row r="145" spans="13:23" x14ac:dyDescent="0.2">
      <c r="M145" s="61">
        <v>98117</v>
      </c>
      <c r="N145" s="38" t="s">
        <v>352</v>
      </c>
      <c r="O145" s="36">
        <v>2</v>
      </c>
      <c r="P145" s="36">
        <v>2</v>
      </c>
      <c r="Q145" s="36">
        <v>2</v>
      </c>
      <c r="S145" s="64">
        <v>98119</v>
      </c>
      <c r="T145" s="38" t="s">
        <v>10</v>
      </c>
      <c r="U145" s="36">
        <v>3</v>
      </c>
      <c r="V145" s="36">
        <v>8</v>
      </c>
      <c r="W145" s="36">
        <v>14</v>
      </c>
    </row>
    <row r="146" spans="13:23" x14ac:dyDescent="0.2">
      <c r="M146" s="59">
        <v>98117</v>
      </c>
      <c r="N146" s="38" t="s">
        <v>10</v>
      </c>
      <c r="O146" s="36">
        <v>33</v>
      </c>
      <c r="P146" s="36">
        <v>23</v>
      </c>
      <c r="Q146" s="36">
        <v>28</v>
      </c>
      <c r="S146" s="63">
        <v>98121</v>
      </c>
      <c r="T146" s="38" t="s">
        <v>352</v>
      </c>
      <c r="U146" s="36"/>
      <c r="V146" s="36"/>
      <c r="W146" s="36">
        <v>3</v>
      </c>
    </row>
    <row r="147" spans="13:23" x14ac:dyDescent="0.2">
      <c r="M147" s="61">
        <v>98118</v>
      </c>
      <c r="N147" s="38" t="s">
        <v>352</v>
      </c>
      <c r="O147" s="36">
        <v>15</v>
      </c>
      <c r="P147" s="36">
        <v>14</v>
      </c>
      <c r="Q147" s="36">
        <v>14</v>
      </c>
      <c r="S147" s="64">
        <v>98121</v>
      </c>
      <c r="T147" s="38" t="s">
        <v>10</v>
      </c>
      <c r="U147" s="36">
        <v>1</v>
      </c>
      <c r="V147" s="36">
        <v>8</v>
      </c>
      <c r="W147" s="36"/>
    </row>
    <row r="148" spans="13:23" x14ac:dyDescent="0.2">
      <c r="M148" s="59">
        <v>98118</v>
      </c>
      <c r="N148" s="38" t="s">
        <v>10</v>
      </c>
      <c r="O148" s="36">
        <v>79</v>
      </c>
      <c r="P148" s="36">
        <v>91</v>
      </c>
      <c r="Q148" s="36">
        <v>71</v>
      </c>
      <c r="S148" s="63">
        <v>98122</v>
      </c>
      <c r="T148" s="38" t="s">
        <v>352</v>
      </c>
      <c r="U148" s="36">
        <v>1</v>
      </c>
      <c r="V148" s="36">
        <v>4</v>
      </c>
      <c r="W148" s="36">
        <v>7</v>
      </c>
    </row>
    <row r="149" spans="13:23" x14ac:dyDescent="0.2">
      <c r="M149" s="61">
        <v>98119</v>
      </c>
      <c r="N149" s="38" t="s">
        <v>352</v>
      </c>
      <c r="O149" s="36">
        <v>3</v>
      </c>
      <c r="P149" s="36">
        <v>2</v>
      </c>
      <c r="Q149" s="36">
        <v>5</v>
      </c>
      <c r="S149" s="64">
        <v>98122</v>
      </c>
      <c r="T149" s="38" t="s">
        <v>10</v>
      </c>
      <c r="U149" s="36">
        <v>22</v>
      </c>
      <c r="V149" s="36">
        <v>21</v>
      </c>
      <c r="W149" s="36">
        <v>39</v>
      </c>
    </row>
    <row r="150" spans="13:23" x14ac:dyDescent="0.2">
      <c r="M150" s="59">
        <v>98119</v>
      </c>
      <c r="N150" s="38" t="s">
        <v>10</v>
      </c>
      <c r="O150" s="36">
        <v>6</v>
      </c>
      <c r="P150" s="36">
        <v>13</v>
      </c>
      <c r="Q150" s="36">
        <v>16</v>
      </c>
      <c r="S150" s="63">
        <v>98125</v>
      </c>
      <c r="T150" s="38" t="s">
        <v>352</v>
      </c>
      <c r="U150" s="36"/>
      <c r="V150" s="36">
        <v>1</v>
      </c>
      <c r="W150" s="36">
        <v>3</v>
      </c>
    </row>
    <row r="151" spans="13:23" x14ac:dyDescent="0.2">
      <c r="M151" s="61">
        <v>98121</v>
      </c>
      <c r="N151" s="38" t="s">
        <v>352</v>
      </c>
      <c r="O151" s="36">
        <v>12</v>
      </c>
      <c r="P151" s="36">
        <v>5</v>
      </c>
      <c r="Q151" s="36">
        <v>16</v>
      </c>
      <c r="S151" s="64">
        <v>98125</v>
      </c>
      <c r="T151" s="38" t="s">
        <v>10</v>
      </c>
      <c r="U151" s="36">
        <v>31</v>
      </c>
      <c r="V151" s="36">
        <v>10</v>
      </c>
      <c r="W151" s="36">
        <v>8</v>
      </c>
    </row>
    <row r="152" spans="13:23" x14ac:dyDescent="0.2">
      <c r="M152" s="59">
        <v>98121</v>
      </c>
      <c r="N152" s="38" t="s">
        <v>10</v>
      </c>
      <c r="O152" s="36">
        <v>7</v>
      </c>
      <c r="P152" s="36">
        <v>5</v>
      </c>
      <c r="Q152" s="36">
        <v>1</v>
      </c>
      <c r="S152" s="63">
        <v>98126</v>
      </c>
      <c r="T152" s="38" t="s">
        <v>352</v>
      </c>
      <c r="U152" s="36">
        <v>1</v>
      </c>
      <c r="V152" s="36"/>
      <c r="W152" s="36">
        <v>3</v>
      </c>
    </row>
    <row r="153" spans="13:23" x14ac:dyDescent="0.2">
      <c r="M153" s="61">
        <v>98122</v>
      </c>
      <c r="N153" s="38" t="s">
        <v>352</v>
      </c>
      <c r="O153" s="36">
        <v>8</v>
      </c>
      <c r="P153" s="36">
        <v>11</v>
      </c>
      <c r="Q153" s="36">
        <v>13</v>
      </c>
      <c r="S153" s="64">
        <v>98126</v>
      </c>
      <c r="T153" s="38" t="s">
        <v>10</v>
      </c>
      <c r="U153" s="36">
        <v>16</v>
      </c>
      <c r="V153" s="36">
        <v>34</v>
      </c>
      <c r="W153" s="36">
        <v>42</v>
      </c>
    </row>
    <row r="154" spans="13:23" x14ac:dyDescent="0.2">
      <c r="M154" s="59">
        <v>98122</v>
      </c>
      <c r="N154" s="38" t="s">
        <v>10</v>
      </c>
      <c r="O154" s="36">
        <v>34</v>
      </c>
      <c r="P154" s="36">
        <v>32</v>
      </c>
      <c r="Q154" s="36">
        <v>42</v>
      </c>
      <c r="S154" s="63">
        <v>98133</v>
      </c>
      <c r="T154" s="38" t="s">
        <v>352</v>
      </c>
      <c r="U154" s="36">
        <v>2</v>
      </c>
      <c r="V154" s="36">
        <v>1</v>
      </c>
      <c r="W154" s="36">
        <v>5</v>
      </c>
    </row>
    <row r="155" spans="13:23" x14ac:dyDescent="0.2">
      <c r="M155" s="61">
        <v>98125</v>
      </c>
      <c r="N155" s="38" t="s">
        <v>352</v>
      </c>
      <c r="O155" s="36">
        <v>2</v>
      </c>
      <c r="P155" s="36">
        <v>5</v>
      </c>
      <c r="Q155" s="36">
        <v>4</v>
      </c>
      <c r="S155" s="64">
        <v>98133</v>
      </c>
      <c r="T155" s="38" t="s">
        <v>10</v>
      </c>
      <c r="U155" s="36">
        <v>24</v>
      </c>
      <c r="V155" s="36">
        <v>19</v>
      </c>
      <c r="W155" s="36">
        <v>38</v>
      </c>
    </row>
    <row r="156" spans="13:23" x14ac:dyDescent="0.2">
      <c r="M156" s="59">
        <v>98125</v>
      </c>
      <c r="N156" s="38" t="s">
        <v>10</v>
      </c>
      <c r="O156" s="36">
        <v>31</v>
      </c>
      <c r="P156" s="36">
        <v>17</v>
      </c>
      <c r="Q156" s="36">
        <v>22</v>
      </c>
      <c r="S156" s="63">
        <v>98134</v>
      </c>
      <c r="T156" s="38" t="s">
        <v>352</v>
      </c>
      <c r="U156" s="36"/>
      <c r="V156" s="36"/>
      <c r="W156" s="36">
        <v>3</v>
      </c>
    </row>
    <row r="157" spans="13:23" x14ac:dyDescent="0.2">
      <c r="M157" s="61">
        <v>98126</v>
      </c>
      <c r="N157" s="38" t="s">
        <v>352</v>
      </c>
      <c r="O157" s="36">
        <v>3</v>
      </c>
      <c r="P157" s="36">
        <v>5</v>
      </c>
      <c r="Q157" s="36">
        <v>1</v>
      </c>
      <c r="S157" s="64">
        <v>98134</v>
      </c>
      <c r="T157" s="38" t="s">
        <v>10</v>
      </c>
      <c r="U157" s="36">
        <v>1</v>
      </c>
      <c r="V157" s="36">
        <v>1</v>
      </c>
      <c r="W157" s="36"/>
    </row>
    <row r="158" spans="13:23" x14ac:dyDescent="0.2">
      <c r="M158" s="59">
        <v>98126</v>
      </c>
      <c r="N158" s="38" t="s">
        <v>10</v>
      </c>
      <c r="O158" s="36">
        <v>41</v>
      </c>
      <c r="P158" s="36">
        <v>48</v>
      </c>
      <c r="Q158" s="36">
        <v>40</v>
      </c>
      <c r="S158" s="63">
        <v>98136</v>
      </c>
      <c r="T158" s="38" t="s">
        <v>352</v>
      </c>
      <c r="U158" s="36"/>
      <c r="V158" s="36">
        <v>1</v>
      </c>
      <c r="W158" s="36">
        <v>2</v>
      </c>
    </row>
    <row r="159" spans="13:23" x14ac:dyDescent="0.2">
      <c r="M159" s="61">
        <v>98133</v>
      </c>
      <c r="N159" s="38" t="s">
        <v>352</v>
      </c>
      <c r="O159" s="36">
        <v>4</v>
      </c>
      <c r="P159" s="36">
        <v>4</v>
      </c>
      <c r="Q159" s="36">
        <v>10</v>
      </c>
      <c r="S159" s="64">
        <v>98136</v>
      </c>
      <c r="T159" s="38" t="s">
        <v>10</v>
      </c>
      <c r="U159" s="36">
        <v>5</v>
      </c>
      <c r="V159" s="36">
        <v>8</v>
      </c>
      <c r="W159" s="36">
        <v>10</v>
      </c>
    </row>
    <row r="160" spans="13:23" x14ac:dyDescent="0.2">
      <c r="M160" s="59">
        <v>98133</v>
      </c>
      <c r="N160" s="38" t="s">
        <v>10</v>
      </c>
      <c r="O160" s="36">
        <v>47</v>
      </c>
      <c r="P160" s="36">
        <v>30</v>
      </c>
      <c r="Q160" s="36">
        <v>47</v>
      </c>
      <c r="S160" s="63">
        <v>98144</v>
      </c>
      <c r="T160" s="38" t="s">
        <v>352</v>
      </c>
      <c r="U160" s="36"/>
      <c r="V160" s="36"/>
      <c r="W160" s="36">
        <v>8</v>
      </c>
    </row>
    <row r="161" spans="13:23" x14ac:dyDescent="0.2">
      <c r="M161" s="61">
        <v>98134</v>
      </c>
      <c r="N161" s="38" t="s">
        <v>352</v>
      </c>
      <c r="O161" s="36">
        <v>11</v>
      </c>
      <c r="P161" s="36">
        <v>11</v>
      </c>
      <c r="Q161" s="36">
        <v>5</v>
      </c>
      <c r="S161" s="64">
        <v>98144</v>
      </c>
      <c r="T161" s="38" t="s">
        <v>10</v>
      </c>
      <c r="U161" s="36">
        <v>25</v>
      </c>
      <c r="V161" s="36">
        <v>24</v>
      </c>
      <c r="W161" s="36">
        <v>34</v>
      </c>
    </row>
    <row r="162" spans="13:23" x14ac:dyDescent="0.2">
      <c r="M162" s="59">
        <v>98134</v>
      </c>
      <c r="N162" s="38" t="s">
        <v>10</v>
      </c>
      <c r="O162" s="36">
        <v>1</v>
      </c>
      <c r="P162" s="36">
        <v>1</v>
      </c>
      <c r="Q162" s="36">
        <v>1</v>
      </c>
      <c r="S162" s="63">
        <v>98146</v>
      </c>
      <c r="T162" s="38" t="s">
        <v>352</v>
      </c>
      <c r="U162" s="36"/>
      <c r="V162" s="36">
        <v>1</v>
      </c>
      <c r="W162" s="36">
        <v>2</v>
      </c>
    </row>
    <row r="163" spans="13:23" x14ac:dyDescent="0.2">
      <c r="M163" s="61">
        <v>98136</v>
      </c>
      <c r="N163" s="38" t="s">
        <v>352</v>
      </c>
      <c r="O163" s="36">
        <v>1</v>
      </c>
      <c r="P163" s="36">
        <v>2</v>
      </c>
      <c r="Q163" s="36">
        <v>1</v>
      </c>
      <c r="S163" s="64">
        <v>98146</v>
      </c>
      <c r="T163" s="38" t="s">
        <v>10</v>
      </c>
      <c r="U163" s="36">
        <v>18</v>
      </c>
      <c r="V163" s="36">
        <v>13</v>
      </c>
      <c r="W163" s="36">
        <v>29</v>
      </c>
    </row>
    <row r="164" spans="13:23" x14ac:dyDescent="0.2">
      <c r="M164" s="59">
        <v>98136</v>
      </c>
      <c r="N164" s="38" t="s">
        <v>10</v>
      </c>
      <c r="O164" s="36">
        <v>4</v>
      </c>
      <c r="P164" s="36">
        <v>15</v>
      </c>
      <c r="Q164" s="36">
        <v>15</v>
      </c>
      <c r="S164" s="63">
        <v>98148</v>
      </c>
      <c r="T164" s="38" t="s">
        <v>352</v>
      </c>
      <c r="U164" s="36">
        <v>1</v>
      </c>
      <c r="V164" s="36"/>
      <c r="W164" s="36">
        <v>4</v>
      </c>
    </row>
    <row r="165" spans="13:23" x14ac:dyDescent="0.2">
      <c r="M165" s="61">
        <v>98144</v>
      </c>
      <c r="N165" s="38" t="s">
        <v>352</v>
      </c>
      <c r="O165" s="36">
        <v>6</v>
      </c>
      <c r="P165" s="36">
        <v>10</v>
      </c>
      <c r="Q165" s="36">
        <v>11</v>
      </c>
      <c r="S165" s="64">
        <v>98148</v>
      </c>
      <c r="T165" s="38" t="s">
        <v>10</v>
      </c>
      <c r="U165" s="36">
        <v>40</v>
      </c>
      <c r="V165" s="36">
        <v>33</v>
      </c>
      <c r="W165" s="36">
        <v>48</v>
      </c>
    </row>
    <row r="166" spans="13:23" x14ac:dyDescent="0.2">
      <c r="M166" s="59">
        <v>98144</v>
      </c>
      <c r="N166" s="38" t="s">
        <v>10</v>
      </c>
      <c r="O166" s="36">
        <v>46</v>
      </c>
      <c r="P166" s="36">
        <v>45</v>
      </c>
      <c r="Q166" s="36">
        <v>46</v>
      </c>
      <c r="S166" s="63">
        <v>98155</v>
      </c>
      <c r="T166" s="38" t="s">
        <v>352</v>
      </c>
      <c r="U166" s="36">
        <v>1</v>
      </c>
      <c r="V166" s="36">
        <v>1</v>
      </c>
      <c r="W166" s="36"/>
    </row>
    <row r="167" spans="13:23" x14ac:dyDescent="0.2">
      <c r="M167" s="61">
        <v>98146</v>
      </c>
      <c r="N167" s="38" t="s">
        <v>352</v>
      </c>
      <c r="O167" s="36">
        <v>1</v>
      </c>
      <c r="P167" s="36">
        <v>3</v>
      </c>
      <c r="Q167" s="36"/>
      <c r="S167" s="64">
        <v>98155</v>
      </c>
      <c r="T167" s="38" t="s">
        <v>10</v>
      </c>
      <c r="U167" s="36">
        <v>16</v>
      </c>
      <c r="V167" s="36">
        <v>22</v>
      </c>
      <c r="W167" s="36">
        <v>28</v>
      </c>
    </row>
    <row r="168" spans="13:23" x14ac:dyDescent="0.2">
      <c r="M168" s="59">
        <v>98146</v>
      </c>
      <c r="N168" s="38" t="s">
        <v>10</v>
      </c>
      <c r="O168" s="36">
        <v>42</v>
      </c>
      <c r="P168" s="36">
        <v>26</v>
      </c>
      <c r="Q168" s="36">
        <v>30</v>
      </c>
      <c r="S168" s="63">
        <v>98166</v>
      </c>
      <c r="T168" s="38" t="s">
        <v>352</v>
      </c>
      <c r="U168" s="36">
        <v>2</v>
      </c>
      <c r="V168" s="36">
        <v>3</v>
      </c>
      <c r="W168" s="36">
        <v>2</v>
      </c>
    </row>
    <row r="169" spans="13:23" x14ac:dyDescent="0.2">
      <c r="M169" s="61">
        <v>98148</v>
      </c>
      <c r="N169" s="38" t="s">
        <v>352</v>
      </c>
      <c r="O169" s="36">
        <v>1</v>
      </c>
      <c r="P169" s="36">
        <v>4</v>
      </c>
      <c r="Q169" s="36">
        <v>7</v>
      </c>
      <c r="S169" s="64">
        <v>98166</v>
      </c>
      <c r="T169" s="38" t="s">
        <v>10</v>
      </c>
      <c r="U169" s="36">
        <v>30</v>
      </c>
      <c r="V169" s="36">
        <v>26</v>
      </c>
      <c r="W169" s="36">
        <v>44</v>
      </c>
    </row>
    <row r="170" spans="13:23" x14ac:dyDescent="0.2">
      <c r="M170" s="59">
        <v>98148</v>
      </c>
      <c r="N170" s="38" t="s">
        <v>10</v>
      </c>
      <c r="O170" s="36">
        <v>74</v>
      </c>
      <c r="P170" s="36">
        <v>64</v>
      </c>
      <c r="Q170" s="36">
        <v>74</v>
      </c>
      <c r="S170" s="63">
        <v>98168</v>
      </c>
      <c r="T170" s="38" t="s">
        <v>352</v>
      </c>
      <c r="U170" s="36"/>
      <c r="V170" s="36">
        <v>2</v>
      </c>
      <c r="W170" s="36">
        <v>3</v>
      </c>
    </row>
    <row r="171" spans="13:23" x14ac:dyDescent="0.2">
      <c r="M171" s="61">
        <v>98155</v>
      </c>
      <c r="N171" s="38" t="s">
        <v>352</v>
      </c>
      <c r="O171" s="36">
        <v>2</v>
      </c>
      <c r="P171" s="36">
        <v>3</v>
      </c>
      <c r="Q171" s="36">
        <v>3</v>
      </c>
      <c r="S171" s="64">
        <v>98168</v>
      </c>
      <c r="T171" s="38" t="s">
        <v>10</v>
      </c>
      <c r="U171" s="36">
        <v>50</v>
      </c>
      <c r="V171" s="36">
        <v>33</v>
      </c>
      <c r="W171" s="36">
        <v>67</v>
      </c>
    </row>
    <row r="172" spans="13:23" x14ac:dyDescent="0.2">
      <c r="M172" s="59">
        <v>98155</v>
      </c>
      <c r="N172" s="38" t="s">
        <v>10</v>
      </c>
      <c r="O172" s="36">
        <v>42</v>
      </c>
      <c r="P172" s="36">
        <v>33</v>
      </c>
      <c r="Q172" s="36">
        <v>32</v>
      </c>
      <c r="S172" s="63">
        <v>98177</v>
      </c>
      <c r="T172" s="38" t="s">
        <v>10</v>
      </c>
      <c r="U172" s="36">
        <v>13</v>
      </c>
      <c r="V172" s="36">
        <v>15</v>
      </c>
      <c r="W172" s="36">
        <v>19</v>
      </c>
    </row>
    <row r="173" spans="13:23" x14ac:dyDescent="0.2">
      <c r="M173" s="61">
        <v>98166</v>
      </c>
      <c r="N173" s="38" t="s">
        <v>352</v>
      </c>
      <c r="O173" s="36">
        <v>6</v>
      </c>
      <c r="P173" s="36">
        <v>10</v>
      </c>
      <c r="Q173" s="33">
        <v>4</v>
      </c>
      <c r="S173" s="64">
        <v>98178</v>
      </c>
      <c r="T173" s="38" t="s">
        <v>352</v>
      </c>
      <c r="U173" s="36"/>
      <c r="V173" s="36"/>
      <c r="W173" s="33">
        <v>3</v>
      </c>
    </row>
    <row r="174" spans="13:23" x14ac:dyDescent="0.2">
      <c r="M174" s="61">
        <v>98166</v>
      </c>
      <c r="N174" s="38" t="s">
        <v>10</v>
      </c>
      <c r="O174" s="36">
        <v>51</v>
      </c>
      <c r="P174" s="36">
        <v>45</v>
      </c>
      <c r="Q174" s="36">
        <v>48</v>
      </c>
      <c r="S174" s="64">
        <v>98178</v>
      </c>
      <c r="T174" s="38" t="s">
        <v>10</v>
      </c>
      <c r="U174" s="36">
        <v>32</v>
      </c>
      <c r="V174" s="36">
        <v>23</v>
      </c>
      <c r="W174" s="36">
        <v>37</v>
      </c>
    </row>
    <row r="175" spans="13:23" x14ac:dyDescent="0.2">
      <c r="M175" s="59">
        <v>98168</v>
      </c>
      <c r="N175" s="38" t="s">
        <v>352</v>
      </c>
      <c r="O175" s="36">
        <v>10</v>
      </c>
      <c r="P175" s="36">
        <v>4</v>
      </c>
      <c r="Q175" s="36">
        <v>8</v>
      </c>
      <c r="S175" s="63">
        <v>98188</v>
      </c>
      <c r="T175" s="38" t="s">
        <v>352</v>
      </c>
      <c r="U175" s="36">
        <v>4</v>
      </c>
      <c r="V175" s="36">
        <v>5</v>
      </c>
      <c r="W175" s="36">
        <v>17</v>
      </c>
    </row>
    <row r="176" spans="13:23" x14ac:dyDescent="0.2">
      <c r="M176" s="61">
        <v>98168</v>
      </c>
      <c r="N176" s="38" t="s">
        <v>10</v>
      </c>
      <c r="O176" s="36">
        <v>88</v>
      </c>
      <c r="P176" s="36">
        <v>68</v>
      </c>
      <c r="Q176" s="36">
        <v>68</v>
      </c>
      <c r="S176" s="64">
        <v>98188</v>
      </c>
      <c r="T176" s="38" t="s">
        <v>10</v>
      </c>
      <c r="U176" s="36">
        <v>196</v>
      </c>
      <c r="V176" s="36">
        <v>117</v>
      </c>
      <c r="W176" s="36">
        <v>157</v>
      </c>
    </row>
    <row r="177" spans="13:23" x14ac:dyDescent="0.2">
      <c r="M177" s="59">
        <v>98177</v>
      </c>
      <c r="N177" s="38" t="s">
        <v>10</v>
      </c>
      <c r="O177" s="36">
        <v>24</v>
      </c>
      <c r="P177" s="36">
        <v>22</v>
      </c>
      <c r="Q177" s="36">
        <v>26</v>
      </c>
      <c r="S177" s="63">
        <v>98198</v>
      </c>
      <c r="T177" s="38" t="s">
        <v>352</v>
      </c>
      <c r="U177" s="36">
        <v>4</v>
      </c>
      <c r="V177" s="36">
        <v>2</v>
      </c>
      <c r="W177" s="36">
        <v>11</v>
      </c>
    </row>
    <row r="178" spans="13:23" x14ac:dyDescent="0.2">
      <c r="M178" s="61">
        <v>98178</v>
      </c>
      <c r="N178" s="38" t="s">
        <v>352</v>
      </c>
      <c r="O178" s="36">
        <v>3</v>
      </c>
      <c r="P178" s="33">
        <v>4</v>
      </c>
      <c r="Q178" s="33">
        <v>2</v>
      </c>
      <c r="S178" s="64">
        <v>98198</v>
      </c>
      <c r="T178" s="38" t="s">
        <v>10</v>
      </c>
      <c r="U178" s="36">
        <v>294</v>
      </c>
      <c r="V178" s="33">
        <v>185</v>
      </c>
      <c r="W178" s="33">
        <v>274</v>
      </c>
    </row>
    <row r="179" spans="13:23" x14ac:dyDescent="0.2">
      <c r="M179" s="59">
        <v>98178</v>
      </c>
      <c r="N179" s="38" t="s">
        <v>10</v>
      </c>
      <c r="O179" s="36">
        <v>50</v>
      </c>
      <c r="P179" s="36">
        <v>50</v>
      </c>
      <c r="Q179" s="36">
        <v>41</v>
      </c>
      <c r="S179" s="63">
        <v>98199</v>
      </c>
      <c r="T179" s="38" t="s">
        <v>352</v>
      </c>
      <c r="U179" s="36"/>
      <c r="V179" s="36">
        <v>1</v>
      </c>
      <c r="W179" s="36">
        <v>1</v>
      </c>
    </row>
    <row r="180" spans="13:23" x14ac:dyDescent="0.2">
      <c r="M180" s="61">
        <v>98188</v>
      </c>
      <c r="N180" s="38" t="s">
        <v>352</v>
      </c>
      <c r="O180" s="36">
        <v>28</v>
      </c>
      <c r="P180" s="36">
        <v>21</v>
      </c>
      <c r="Q180" s="36">
        <v>28</v>
      </c>
      <c r="S180" s="64">
        <v>98199</v>
      </c>
      <c r="T180" s="38" t="s">
        <v>10</v>
      </c>
      <c r="U180" s="36">
        <v>6</v>
      </c>
      <c r="V180" s="36">
        <v>5</v>
      </c>
      <c r="W180" s="36">
        <v>14</v>
      </c>
    </row>
    <row r="181" spans="13:23" x14ac:dyDescent="0.2">
      <c r="M181" s="59">
        <v>98188</v>
      </c>
      <c r="N181" s="38" t="s">
        <v>10</v>
      </c>
      <c r="O181" s="36">
        <v>252</v>
      </c>
      <c r="P181" s="36">
        <v>182</v>
      </c>
      <c r="Q181" s="36">
        <v>184</v>
      </c>
      <c r="S181" s="63">
        <v>98201</v>
      </c>
      <c r="T181" s="38" t="s">
        <v>352</v>
      </c>
      <c r="U181" s="36">
        <v>1</v>
      </c>
      <c r="V181" s="36">
        <v>1</v>
      </c>
      <c r="W181" s="36">
        <v>3</v>
      </c>
    </row>
    <row r="182" spans="13:23" x14ac:dyDescent="0.2">
      <c r="M182" s="61">
        <v>98198</v>
      </c>
      <c r="N182" s="38" t="s">
        <v>352</v>
      </c>
      <c r="O182" s="36">
        <v>15</v>
      </c>
      <c r="P182" s="36">
        <v>15</v>
      </c>
      <c r="Q182" s="36">
        <v>11</v>
      </c>
      <c r="S182" s="64">
        <v>98201</v>
      </c>
      <c r="T182" s="38" t="s">
        <v>10</v>
      </c>
      <c r="U182" s="36">
        <v>24</v>
      </c>
      <c r="V182" s="36">
        <v>35</v>
      </c>
      <c r="W182" s="36">
        <v>39</v>
      </c>
    </row>
    <row r="183" spans="13:23" x14ac:dyDescent="0.2">
      <c r="M183" s="59">
        <v>98198</v>
      </c>
      <c r="N183" s="38" t="s">
        <v>10</v>
      </c>
      <c r="O183" s="36">
        <v>468</v>
      </c>
      <c r="P183" s="36">
        <v>279</v>
      </c>
      <c r="Q183" s="36">
        <v>327</v>
      </c>
      <c r="S183" s="63">
        <v>98203</v>
      </c>
      <c r="T183" s="38" t="s">
        <v>352</v>
      </c>
      <c r="U183" s="36">
        <v>1</v>
      </c>
      <c r="V183" s="36">
        <v>1</v>
      </c>
      <c r="W183" s="36">
        <v>6</v>
      </c>
    </row>
    <row r="184" spans="13:23" x14ac:dyDescent="0.2">
      <c r="M184" s="61">
        <v>98199</v>
      </c>
      <c r="N184" s="38" t="s">
        <v>352</v>
      </c>
      <c r="O184" s="33">
        <v>3</v>
      </c>
      <c r="P184" s="36">
        <v>2</v>
      </c>
      <c r="Q184" s="33">
        <v>2</v>
      </c>
      <c r="S184" s="64">
        <v>98203</v>
      </c>
      <c r="T184" s="38" t="s">
        <v>10</v>
      </c>
      <c r="U184" s="36">
        <v>28</v>
      </c>
      <c r="V184" s="36">
        <v>26</v>
      </c>
      <c r="W184" s="36">
        <v>36</v>
      </c>
    </row>
    <row r="185" spans="13:23" x14ac:dyDescent="0.2">
      <c r="M185" s="61">
        <v>98199</v>
      </c>
      <c r="N185" s="38" t="s">
        <v>10</v>
      </c>
      <c r="O185" s="36">
        <v>14</v>
      </c>
      <c r="P185" s="36">
        <v>13</v>
      </c>
      <c r="Q185" s="36">
        <v>17</v>
      </c>
      <c r="S185" s="63">
        <v>98204</v>
      </c>
      <c r="T185" s="38" t="s">
        <v>352</v>
      </c>
      <c r="U185" s="36"/>
      <c r="V185" s="36">
        <v>2</v>
      </c>
      <c r="W185" s="36">
        <v>6</v>
      </c>
    </row>
    <row r="186" spans="13:23" x14ac:dyDescent="0.2">
      <c r="M186" s="59">
        <v>98201</v>
      </c>
      <c r="N186" s="38" t="s">
        <v>352</v>
      </c>
      <c r="O186" s="36">
        <v>6</v>
      </c>
      <c r="P186" s="36">
        <v>5</v>
      </c>
      <c r="Q186" s="36">
        <v>6</v>
      </c>
      <c r="S186" s="64">
        <v>98204</v>
      </c>
      <c r="T186" s="38" t="s">
        <v>10</v>
      </c>
      <c r="U186" s="36">
        <v>23</v>
      </c>
      <c r="V186" s="36">
        <v>16</v>
      </c>
      <c r="W186" s="36">
        <v>25</v>
      </c>
    </row>
    <row r="187" spans="13:23" x14ac:dyDescent="0.2">
      <c r="M187" s="61">
        <v>98201</v>
      </c>
      <c r="N187" s="38" t="s">
        <v>10</v>
      </c>
      <c r="O187" s="36">
        <v>31</v>
      </c>
      <c r="P187" s="36">
        <v>56</v>
      </c>
      <c r="Q187" s="36">
        <v>51</v>
      </c>
      <c r="S187" s="63">
        <v>98208</v>
      </c>
      <c r="T187" s="38" t="s">
        <v>10</v>
      </c>
      <c r="U187" s="36">
        <v>25</v>
      </c>
      <c r="V187" s="36">
        <v>23</v>
      </c>
      <c r="W187" s="36">
        <v>37</v>
      </c>
    </row>
    <row r="188" spans="13:23" x14ac:dyDescent="0.2">
      <c r="M188" s="59">
        <v>98203</v>
      </c>
      <c r="N188" s="38" t="s">
        <v>352</v>
      </c>
      <c r="O188" s="36">
        <v>5</v>
      </c>
      <c r="P188" s="36">
        <v>6</v>
      </c>
      <c r="Q188" s="36">
        <v>10</v>
      </c>
      <c r="S188" s="64">
        <v>98220</v>
      </c>
      <c r="T188" s="38" t="s">
        <v>352</v>
      </c>
      <c r="U188" s="36"/>
      <c r="V188" s="36"/>
      <c r="W188" s="36">
        <v>1</v>
      </c>
    </row>
    <row r="189" spans="13:23" x14ac:dyDescent="0.2">
      <c r="M189" s="61">
        <v>98203</v>
      </c>
      <c r="N189" s="38" t="s">
        <v>10</v>
      </c>
      <c r="O189" s="36">
        <v>50</v>
      </c>
      <c r="P189" s="36">
        <v>42</v>
      </c>
      <c r="Q189" s="36">
        <v>42</v>
      </c>
      <c r="S189" s="63">
        <v>98220</v>
      </c>
      <c r="T189" s="38" t="s">
        <v>10</v>
      </c>
      <c r="U189" s="36">
        <v>5</v>
      </c>
      <c r="V189" s="36"/>
      <c r="W189" s="36">
        <v>2</v>
      </c>
    </row>
    <row r="190" spans="13:23" x14ac:dyDescent="0.2">
      <c r="M190" s="59">
        <v>98204</v>
      </c>
      <c r="N190" s="38" t="s">
        <v>352</v>
      </c>
      <c r="O190" s="36">
        <v>6</v>
      </c>
      <c r="P190" s="36">
        <v>6</v>
      </c>
      <c r="Q190" s="36">
        <v>12</v>
      </c>
      <c r="S190" s="64">
        <v>98221</v>
      </c>
      <c r="T190" s="38" t="s">
        <v>352</v>
      </c>
      <c r="U190" s="36">
        <v>1</v>
      </c>
      <c r="V190" s="36">
        <v>1</v>
      </c>
      <c r="W190" s="36">
        <v>8</v>
      </c>
    </row>
    <row r="191" spans="13:23" x14ac:dyDescent="0.2">
      <c r="M191" s="61">
        <v>98204</v>
      </c>
      <c r="N191" s="38" t="s">
        <v>10</v>
      </c>
      <c r="O191" s="36">
        <v>30</v>
      </c>
      <c r="P191" s="36">
        <v>29</v>
      </c>
      <c r="Q191" s="36">
        <v>28</v>
      </c>
      <c r="S191" s="63">
        <v>98221</v>
      </c>
      <c r="T191" s="38" t="s">
        <v>10</v>
      </c>
      <c r="U191" s="36">
        <v>19</v>
      </c>
      <c r="V191" s="36">
        <v>24</v>
      </c>
      <c r="W191" s="36">
        <v>39</v>
      </c>
    </row>
    <row r="192" spans="13:23" x14ac:dyDescent="0.2">
      <c r="M192" s="59">
        <v>98208</v>
      </c>
      <c r="N192" s="38" t="s">
        <v>352</v>
      </c>
      <c r="O192" s="36">
        <v>1</v>
      </c>
      <c r="P192" s="36">
        <v>1</v>
      </c>
      <c r="Q192" s="36">
        <v>2</v>
      </c>
      <c r="S192" s="64">
        <v>98223</v>
      </c>
      <c r="T192" s="38" t="s">
        <v>352</v>
      </c>
      <c r="U192" s="36">
        <v>1</v>
      </c>
      <c r="V192" s="36">
        <v>1</v>
      </c>
      <c r="W192" s="36"/>
    </row>
    <row r="193" spans="13:23" x14ac:dyDescent="0.2">
      <c r="M193" s="61">
        <v>98208</v>
      </c>
      <c r="N193" s="38" t="s">
        <v>10</v>
      </c>
      <c r="O193" s="36">
        <v>37</v>
      </c>
      <c r="P193" s="36">
        <v>42</v>
      </c>
      <c r="Q193" s="36">
        <v>49</v>
      </c>
      <c r="S193" s="63">
        <v>98223</v>
      </c>
      <c r="T193" s="38" t="s">
        <v>10</v>
      </c>
      <c r="U193" s="36">
        <v>4</v>
      </c>
      <c r="V193" s="36"/>
      <c r="W193" s="36">
        <v>2</v>
      </c>
    </row>
    <row r="194" spans="13:23" x14ac:dyDescent="0.2">
      <c r="M194" s="59">
        <v>98220</v>
      </c>
      <c r="N194" s="38" t="s">
        <v>352</v>
      </c>
      <c r="O194" s="36"/>
      <c r="P194" s="36"/>
      <c r="Q194" s="36">
        <v>1</v>
      </c>
      <c r="S194" s="64">
        <v>98224</v>
      </c>
      <c r="T194" s="38" t="s">
        <v>10</v>
      </c>
      <c r="U194" s="36"/>
      <c r="V194" s="36">
        <v>1</v>
      </c>
      <c r="W194" s="36">
        <v>6</v>
      </c>
    </row>
    <row r="195" spans="13:23" x14ac:dyDescent="0.2">
      <c r="M195" s="61">
        <v>98220</v>
      </c>
      <c r="N195" s="38" t="s">
        <v>10</v>
      </c>
      <c r="O195" s="36">
        <v>5</v>
      </c>
      <c r="P195" s="36">
        <v>1</v>
      </c>
      <c r="Q195" s="36">
        <v>4</v>
      </c>
      <c r="S195" s="63">
        <v>98225</v>
      </c>
      <c r="T195" s="38" t="s">
        <v>352</v>
      </c>
      <c r="U195" s="36">
        <v>1</v>
      </c>
      <c r="V195" s="36">
        <v>3</v>
      </c>
      <c r="W195" s="36">
        <v>15</v>
      </c>
    </row>
    <row r="196" spans="13:23" x14ac:dyDescent="0.2">
      <c r="M196" s="59">
        <v>98221</v>
      </c>
      <c r="N196" s="38" t="s">
        <v>352</v>
      </c>
      <c r="O196" s="36">
        <v>3</v>
      </c>
      <c r="P196" s="36">
        <v>9</v>
      </c>
      <c r="Q196" s="36">
        <v>14</v>
      </c>
      <c r="S196" s="64">
        <v>98225</v>
      </c>
      <c r="T196" s="38" t="s">
        <v>10</v>
      </c>
      <c r="U196" s="36">
        <v>159</v>
      </c>
      <c r="V196" s="36">
        <v>84</v>
      </c>
      <c r="W196" s="33">
        <v>104</v>
      </c>
    </row>
    <row r="197" spans="13:23" x14ac:dyDescent="0.2">
      <c r="M197" s="61">
        <v>98221</v>
      </c>
      <c r="N197" s="38" t="s">
        <v>10</v>
      </c>
      <c r="O197" s="36">
        <v>45</v>
      </c>
      <c r="P197" s="36">
        <v>53</v>
      </c>
      <c r="Q197" s="36">
        <v>47</v>
      </c>
      <c r="S197" s="63">
        <v>98226</v>
      </c>
      <c r="T197" s="38" t="s">
        <v>352</v>
      </c>
      <c r="U197" s="36">
        <v>2</v>
      </c>
      <c r="V197" s="36">
        <v>3</v>
      </c>
      <c r="W197" s="36">
        <v>23</v>
      </c>
    </row>
    <row r="198" spans="13:23" x14ac:dyDescent="0.2">
      <c r="M198" s="59">
        <v>98223</v>
      </c>
      <c r="N198" s="38" t="s">
        <v>352</v>
      </c>
      <c r="O198" s="36">
        <v>2</v>
      </c>
      <c r="P198" s="36">
        <v>2</v>
      </c>
      <c r="Q198" s="36"/>
      <c r="S198" s="64">
        <v>98226</v>
      </c>
      <c r="T198" s="38" t="s">
        <v>10</v>
      </c>
      <c r="U198" s="36">
        <v>245</v>
      </c>
      <c r="V198" s="36">
        <v>126</v>
      </c>
      <c r="W198" s="36">
        <v>176</v>
      </c>
    </row>
    <row r="199" spans="13:23" x14ac:dyDescent="0.2">
      <c r="M199" s="61">
        <v>98223</v>
      </c>
      <c r="N199" s="38" t="s">
        <v>10</v>
      </c>
      <c r="O199" s="36">
        <v>4</v>
      </c>
      <c r="P199" s="36">
        <v>1</v>
      </c>
      <c r="Q199" s="36">
        <v>2</v>
      </c>
      <c r="S199" s="63">
        <v>98229</v>
      </c>
      <c r="T199" s="38" t="s">
        <v>352</v>
      </c>
      <c r="U199" s="36">
        <v>1</v>
      </c>
      <c r="V199" s="36"/>
      <c r="W199" s="36">
        <v>5</v>
      </c>
    </row>
    <row r="200" spans="13:23" x14ac:dyDescent="0.2">
      <c r="M200" s="59">
        <v>98224</v>
      </c>
      <c r="N200" s="38" t="s">
        <v>10</v>
      </c>
      <c r="O200" s="36">
        <v>2</v>
      </c>
      <c r="P200" s="36">
        <v>4</v>
      </c>
      <c r="Q200" s="36">
        <v>8</v>
      </c>
      <c r="S200" s="64">
        <v>98229</v>
      </c>
      <c r="T200" s="38" t="s">
        <v>10</v>
      </c>
      <c r="U200" s="36">
        <v>107</v>
      </c>
      <c r="V200" s="36">
        <v>71</v>
      </c>
      <c r="W200" s="36">
        <v>82</v>
      </c>
    </row>
    <row r="201" spans="13:23" x14ac:dyDescent="0.2">
      <c r="M201" s="61">
        <v>98225</v>
      </c>
      <c r="N201" s="38" t="s">
        <v>352</v>
      </c>
      <c r="O201" s="36">
        <v>18</v>
      </c>
      <c r="P201" s="36">
        <v>17</v>
      </c>
      <c r="Q201" s="36">
        <v>23</v>
      </c>
      <c r="S201" s="63">
        <v>98230</v>
      </c>
      <c r="T201" s="38" t="s">
        <v>352</v>
      </c>
      <c r="U201" s="36"/>
      <c r="V201" s="36">
        <v>1</v>
      </c>
      <c r="W201" s="36">
        <v>3</v>
      </c>
    </row>
    <row r="202" spans="13:23" x14ac:dyDescent="0.2">
      <c r="M202" s="59">
        <v>98225</v>
      </c>
      <c r="N202" s="38" t="s">
        <v>10</v>
      </c>
      <c r="O202" s="36">
        <v>176</v>
      </c>
      <c r="P202" s="36">
        <v>131</v>
      </c>
      <c r="Q202" s="36">
        <v>142</v>
      </c>
      <c r="S202" s="64">
        <v>98230</v>
      </c>
      <c r="T202" s="38" t="s">
        <v>10</v>
      </c>
      <c r="U202" s="36">
        <v>36</v>
      </c>
      <c r="V202" s="36">
        <v>34</v>
      </c>
      <c r="W202" s="36">
        <v>40</v>
      </c>
    </row>
    <row r="203" spans="13:23" x14ac:dyDescent="0.2">
      <c r="M203" s="61">
        <v>98226</v>
      </c>
      <c r="N203" s="38" t="s">
        <v>352</v>
      </c>
      <c r="O203" s="36">
        <v>25</v>
      </c>
      <c r="P203" s="36">
        <v>37</v>
      </c>
      <c r="Q203" s="36">
        <v>29</v>
      </c>
      <c r="S203" s="64">
        <v>98232</v>
      </c>
      <c r="T203" s="38" t="s">
        <v>352</v>
      </c>
      <c r="U203" s="36">
        <v>1</v>
      </c>
      <c r="V203" s="36"/>
      <c r="W203" s="36">
        <v>1</v>
      </c>
    </row>
    <row r="204" spans="13:23" x14ac:dyDescent="0.2">
      <c r="M204" s="61">
        <v>98226</v>
      </c>
      <c r="N204" s="38" t="s">
        <v>10</v>
      </c>
      <c r="O204" s="36">
        <v>283</v>
      </c>
      <c r="P204" s="36">
        <v>201</v>
      </c>
      <c r="Q204" s="36">
        <v>230</v>
      </c>
      <c r="S204" s="63">
        <v>98232</v>
      </c>
      <c r="T204" s="38" t="s">
        <v>10</v>
      </c>
      <c r="U204" s="36">
        <v>4</v>
      </c>
      <c r="V204" s="36">
        <v>8</v>
      </c>
      <c r="W204" s="36">
        <v>10</v>
      </c>
    </row>
    <row r="205" spans="13:23" x14ac:dyDescent="0.2">
      <c r="M205" s="59">
        <v>98229</v>
      </c>
      <c r="N205" s="38" t="s">
        <v>352</v>
      </c>
      <c r="O205" s="36">
        <v>4</v>
      </c>
      <c r="P205" s="36">
        <v>5</v>
      </c>
      <c r="Q205" s="36">
        <v>7</v>
      </c>
      <c r="S205" s="64">
        <v>98233</v>
      </c>
      <c r="T205" s="38" t="s">
        <v>352</v>
      </c>
      <c r="U205" s="36">
        <v>2</v>
      </c>
      <c r="V205" s="36">
        <v>3</v>
      </c>
      <c r="W205" s="36">
        <v>2</v>
      </c>
    </row>
    <row r="206" spans="13:23" x14ac:dyDescent="0.2">
      <c r="M206" s="61">
        <v>98229</v>
      </c>
      <c r="N206" s="38" t="s">
        <v>10</v>
      </c>
      <c r="O206" s="36">
        <v>121</v>
      </c>
      <c r="P206" s="36">
        <v>115</v>
      </c>
      <c r="Q206" s="36">
        <v>104</v>
      </c>
      <c r="S206" s="63">
        <v>98233</v>
      </c>
      <c r="T206" s="38" t="s">
        <v>10</v>
      </c>
      <c r="U206" s="36">
        <v>53</v>
      </c>
      <c r="V206" s="36">
        <v>40</v>
      </c>
      <c r="W206" s="36">
        <v>51</v>
      </c>
    </row>
    <row r="207" spans="13:23" x14ac:dyDescent="0.2">
      <c r="M207" s="59">
        <v>98230</v>
      </c>
      <c r="N207" s="38" t="s">
        <v>352</v>
      </c>
      <c r="O207" s="36">
        <v>6</v>
      </c>
      <c r="P207" s="36">
        <v>3</v>
      </c>
      <c r="Q207" s="36">
        <v>3</v>
      </c>
      <c r="S207" s="64">
        <v>98235</v>
      </c>
      <c r="T207" s="38" t="s">
        <v>10</v>
      </c>
      <c r="U207" s="36">
        <v>1</v>
      </c>
      <c r="V207" s="36">
        <v>2</v>
      </c>
      <c r="W207" s="36">
        <v>2</v>
      </c>
    </row>
    <row r="208" spans="13:23" x14ac:dyDescent="0.2">
      <c r="M208" s="61">
        <v>98230</v>
      </c>
      <c r="N208" s="38" t="s">
        <v>10</v>
      </c>
      <c r="O208" s="36">
        <v>59</v>
      </c>
      <c r="P208" s="36">
        <v>62</v>
      </c>
      <c r="Q208" s="36">
        <v>55</v>
      </c>
      <c r="S208" s="63">
        <v>98236</v>
      </c>
      <c r="T208" s="38" t="s">
        <v>352</v>
      </c>
      <c r="U208" s="36">
        <v>1</v>
      </c>
      <c r="V208" s="36"/>
      <c r="W208" s="36">
        <v>1</v>
      </c>
    </row>
    <row r="209" spans="13:23" x14ac:dyDescent="0.2">
      <c r="M209" s="59">
        <v>98232</v>
      </c>
      <c r="N209" s="38" t="s">
        <v>352</v>
      </c>
      <c r="O209" s="36">
        <v>1</v>
      </c>
      <c r="P209" s="36">
        <v>4</v>
      </c>
      <c r="Q209" s="36">
        <v>1</v>
      </c>
      <c r="S209" s="64">
        <v>98236</v>
      </c>
      <c r="T209" s="38" t="s">
        <v>10</v>
      </c>
      <c r="U209" s="36">
        <v>11</v>
      </c>
      <c r="V209" s="36">
        <v>11</v>
      </c>
      <c r="W209" s="36">
        <v>19</v>
      </c>
    </row>
    <row r="210" spans="13:23" x14ac:dyDescent="0.2">
      <c r="M210" s="61">
        <v>98232</v>
      </c>
      <c r="N210" s="38" t="s">
        <v>10</v>
      </c>
      <c r="O210" s="36">
        <v>18</v>
      </c>
      <c r="P210" s="36">
        <v>12</v>
      </c>
      <c r="Q210" s="36">
        <v>15</v>
      </c>
      <c r="S210" s="63">
        <v>98237</v>
      </c>
      <c r="T210" s="38" t="s">
        <v>352</v>
      </c>
      <c r="U210" s="36"/>
      <c r="V210" s="36">
        <v>1</v>
      </c>
      <c r="W210" s="36">
        <v>1</v>
      </c>
    </row>
    <row r="211" spans="13:23" x14ac:dyDescent="0.2">
      <c r="M211" s="59">
        <v>98233</v>
      </c>
      <c r="N211" s="38" t="s">
        <v>352</v>
      </c>
      <c r="O211" s="36">
        <v>5</v>
      </c>
      <c r="P211" s="36">
        <v>9</v>
      </c>
      <c r="Q211" s="36">
        <v>5</v>
      </c>
      <c r="S211" s="64">
        <v>98237</v>
      </c>
      <c r="T211" s="38" t="s">
        <v>10</v>
      </c>
      <c r="U211" s="36">
        <v>26</v>
      </c>
      <c r="V211" s="36">
        <v>31</v>
      </c>
      <c r="W211" s="36">
        <v>28</v>
      </c>
    </row>
    <row r="212" spans="13:23" x14ac:dyDescent="0.2">
      <c r="M212" s="61">
        <v>98233</v>
      </c>
      <c r="N212" s="38" t="s">
        <v>10</v>
      </c>
      <c r="O212" s="36">
        <v>80</v>
      </c>
      <c r="P212" s="36">
        <v>59</v>
      </c>
      <c r="Q212" s="36">
        <v>60</v>
      </c>
      <c r="S212" s="63">
        <v>98238</v>
      </c>
      <c r="T212" s="38" t="s">
        <v>352</v>
      </c>
      <c r="U212" s="36"/>
      <c r="V212" s="36">
        <v>1</v>
      </c>
      <c r="W212" s="36"/>
    </row>
    <row r="213" spans="13:23" x14ac:dyDescent="0.2">
      <c r="M213" s="59">
        <v>98235</v>
      </c>
      <c r="N213" s="38" t="s">
        <v>10</v>
      </c>
      <c r="O213" s="36">
        <v>4</v>
      </c>
      <c r="P213" s="36">
        <v>2</v>
      </c>
      <c r="Q213" s="36">
        <v>3</v>
      </c>
      <c r="S213" s="64">
        <v>98239</v>
      </c>
      <c r="T213" s="38" t="s">
        <v>10</v>
      </c>
      <c r="U213" s="36">
        <v>16</v>
      </c>
      <c r="V213" s="36">
        <v>7</v>
      </c>
      <c r="W213" s="36">
        <v>20</v>
      </c>
    </row>
    <row r="214" spans="13:23" x14ac:dyDescent="0.2">
      <c r="M214" s="61">
        <v>98236</v>
      </c>
      <c r="N214" s="38" t="s">
        <v>352</v>
      </c>
      <c r="O214" s="36">
        <v>4</v>
      </c>
      <c r="P214" s="36">
        <v>1</v>
      </c>
      <c r="Q214" s="36">
        <v>2</v>
      </c>
      <c r="S214" s="63">
        <v>98240</v>
      </c>
      <c r="T214" s="38" t="s">
        <v>352</v>
      </c>
      <c r="U214" s="36">
        <v>1</v>
      </c>
      <c r="V214" s="36">
        <v>1</v>
      </c>
      <c r="W214" s="36">
        <v>1</v>
      </c>
    </row>
    <row r="215" spans="13:23" x14ac:dyDescent="0.2">
      <c r="M215" s="59">
        <v>98236</v>
      </c>
      <c r="N215" s="38" t="s">
        <v>10</v>
      </c>
      <c r="O215" s="36">
        <v>18</v>
      </c>
      <c r="P215" s="36">
        <v>27</v>
      </c>
      <c r="Q215" s="36">
        <v>30</v>
      </c>
      <c r="S215" s="64">
        <v>98240</v>
      </c>
      <c r="T215" s="38" t="s">
        <v>10</v>
      </c>
      <c r="U215" s="36">
        <v>4</v>
      </c>
      <c r="V215" s="36">
        <v>6</v>
      </c>
      <c r="W215" s="36">
        <v>8</v>
      </c>
    </row>
    <row r="216" spans="13:23" x14ac:dyDescent="0.2">
      <c r="M216" s="61">
        <v>98237</v>
      </c>
      <c r="N216" s="38" t="s">
        <v>352</v>
      </c>
      <c r="O216" s="36">
        <v>4</v>
      </c>
      <c r="P216" s="36">
        <v>2</v>
      </c>
      <c r="Q216" s="36">
        <v>2</v>
      </c>
      <c r="S216" s="64">
        <v>98244</v>
      </c>
      <c r="T216" s="38" t="s">
        <v>352</v>
      </c>
      <c r="U216" s="36"/>
      <c r="V216" s="36"/>
      <c r="W216" s="36">
        <v>2</v>
      </c>
    </row>
    <row r="217" spans="13:23" x14ac:dyDescent="0.2">
      <c r="M217" s="61">
        <v>98237</v>
      </c>
      <c r="N217" s="38" t="s">
        <v>10</v>
      </c>
      <c r="O217" s="36">
        <v>39</v>
      </c>
      <c r="P217" s="36">
        <v>51</v>
      </c>
      <c r="Q217" s="36">
        <v>38</v>
      </c>
      <c r="S217" s="63">
        <v>98244</v>
      </c>
      <c r="T217" s="38" t="s">
        <v>10</v>
      </c>
      <c r="U217" s="36">
        <v>17</v>
      </c>
      <c r="V217" s="36">
        <v>10</v>
      </c>
      <c r="W217" s="36">
        <v>11</v>
      </c>
    </row>
    <row r="218" spans="13:23" x14ac:dyDescent="0.2">
      <c r="M218" s="59">
        <v>98238</v>
      </c>
      <c r="N218" s="38" t="s">
        <v>352</v>
      </c>
      <c r="O218" s="36"/>
      <c r="P218" s="36">
        <v>2</v>
      </c>
      <c r="Q218" s="36"/>
      <c r="S218" s="64">
        <v>98247</v>
      </c>
      <c r="T218" s="38" t="s">
        <v>352</v>
      </c>
      <c r="U218" s="36"/>
      <c r="V218" s="36"/>
      <c r="W218" s="36">
        <v>1</v>
      </c>
    </row>
    <row r="219" spans="13:23" x14ac:dyDescent="0.2">
      <c r="M219" s="61">
        <v>98239</v>
      </c>
      <c r="N219" s="38" t="s">
        <v>352</v>
      </c>
      <c r="O219" s="36">
        <v>1</v>
      </c>
      <c r="P219" s="36">
        <v>1</v>
      </c>
      <c r="Q219" s="36"/>
      <c r="S219" s="63">
        <v>98247</v>
      </c>
      <c r="T219" s="38" t="s">
        <v>10</v>
      </c>
      <c r="U219" s="36">
        <v>26</v>
      </c>
      <c r="V219" s="36">
        <v>22</v>
      </c>
      <c r="W219" s="36">
        <v>31</v>
      </c>
    </row>
    <row r="220" spans="13:23" x14ac:dyDescent="0.2">
      <c r="M220" s="59">
        <v>98239</v>
      </c>
      <c r="N220" s="38" t="s">
        <v>10</v>
      </c>
      <c r="O220" s="36">
        <v>31</v>
      </c>
      <c r="P220" s="36">
        <v>20</v>
      </c>
      <c r="Q220" s="36">
        <v>24</v>
      </c>
      <c r="S220" s="64">
        <v>98248</v>
      </c>
      <c r="T220" s="38" t="s">
        <v>352</v>
      </c>
      <c r="U220" s="36">
        <v>5</v>
      </c>
      <c r="V220" s="36">
        <v>3</v>
      </c>
      <c r="W220" s="33">
        <v>16</v>
      </c>
    </row>
    <row r="221" spans="13:23" x14ac:dyDescent="0.2">
      <c r="M221" s="61">
        <v>98240</v>
      </c>
      <c r="N221" s="38" t="s">
        <v>352</v>
      </c>
      <c r="O221" s="36">
        <v>1</v>
      </c>
      <c r="P221" s="36">
        <v>2</v>
      </c>
      <c r="Q221" s="33">
        <v>1</v>
      </c>
      <c r="S221" s="64">
        <v>98248</v>
      </c>
      <c r="T221" s="38" t="s">
        <v>10</v>
      </c>
      <c r="U221" s="36">
        <v>70</v>
      </c>
      <c r="V221" s="36">
        <v>60</v>
      </c>
      <c r="W221" s="36">
        <v>79</v>
      </c>
    </row>
    <row r="222" spans="13:23" x14ac:dyDescent="0.2">
      <c r="M222" s="61">
        <v>98240</v>
      </c>
      <c r="N222" s="38" t="s">
        <v>10</v>
      </c>
      <c r="O222" s="36">
        <v>4</v>
      </c>
      <c r="P222" s="36">
        <v>11</v>
      </c>
      <c r="Q222" s="36">
        <v>10</v>
      </c>
      <c r="S222" s="63">
        <v>98249</v>
      </c>
      <c r="T222" s="38" t="s">
        <v>352</v>
      </c>
      <c r="U222" s="36">
        <v>1</v>
      </c>
      <c r="V222" s="36"/>
      <c r="W222" s="36">
        <v>2</v>
      </c>
    </row>
    <row r="223" spans="13:23" x14ac:dyDescent="0.2">
      <c r="M223" s="59">
        <v>98244</v>
      </c>
      <c r="N223" s="38" t="s">
        <v>352</v>
      </c>
      <c r="O223" s="36">
        <v>1</v>
      </c>
      <c r="P223" s="36">
        <v>1</v>
      </c>
      <c r="Q223" s="36">
        <v>4</v>
      </c>
      <c r="S223" s="64">
        <v>98249</v>
      </c>
      <c r="T223" s="38" t="s">
        <v>10</v>
      </c>
      <c r="U223" s="36">
        <v>18</v>
      </c>
      <c r="V223" s="36">
        <v>3</v>
      </c>
      <c r="W223" s="36">
        <v>18</v>
      </c>
    </row>
    <row r="224" spans="13:23" x14ac:dyDescent="0.2">
      <c r="M224" s="61">
        <v>98244</v>
      </c>
      <c r="N224" s="38" t="s">
        <v>10</v>
      </c>
      <c r="O224" s="36">
        <v>38</v>
      </c>
      <c r="P224" s="36">
        <v>18</v>
      </c>
      <c r="Q224" s="36">
        <v>18</v>
      </c>
      <c r="S224" s="63">
        <v>98251</v>
      </c>
      <c r="T224" s="38" t="s">
        <v>10</v>
      </c>
      <c r="U224" s="36">
        <v>5</v>
      </c>
      <c r="V224" s="36">
        <v>2</v>
      </c>
      <c r="W224" s="36">
        <v>1</v>
      </c>
    </row>
    <row r="225" spans="13:23" x14ac:dyDescent="0.2">
      <c r="M225" s="59">
        <v>98247</v>
      </c>
      <c r="N225" s="38" t="s">
        <v>352</v>
      </c>
      <c r="O225" s="36">
        <v>1</v>
      </c>
      <c r="P225" s="36">
        <v>1</v>
      </c>
      <c r="Q225" s="36">
        <v>2</v>
      </c>
      <c r="S225" s="64">
        <v>98252</v>
      </c>
      <c r="T225" s="38" t="s">
        <v>10</v>
      </c>
      <c r="U225" s="36">
        <v>1</v>
      </c>
      <c r="V225" s="36">
        <v>3</v>
      </c>
      <c r="W225" s="36">
        <v>5</v>
      </c>
    </row>
    <row r="226" spans="13:23" x14ac:dyDescent="0.2">
      <c r="M226" s="61">
        <v>98247</v>
      </c>
      <c r="N226" s="38" t="s">
        <v>10</v>
      </c>
      <c r="O226" s="36">
        <v>54</v>
      </c>
      <c r="P226" s="36">
        <v>41</v>
      </c>
      <c r="Q226" s="36">
        <v>46</v>
      </c>
      <c r="S226" s="63">
        <v>98253</v>
      </c>
      <c r="T226" s="38" t="s">
        <v>10</v>
      </c>
      <c r="U226" s="36">
        <v>2</v>
      </c>
      <c r="V226" s="36">
        <v>3</v>
      </c>
      <c r="W226" s="36">
        <v>4</v>
      </c>
    </row>
    <row r="227" spans="13:23" x14ac:dyDescent="0.2">
      <c r="M227" s="59">
        <v>98248</v>
      </c>
      <c r="N227" s="38" t="s">
        <v>352</v>
      </c>
      <c r="O227" s="36">
        <v>15</v>
      </c>
      <c r="P227" s="36">
        <v>25</v>
      </c>
      <c r="Q227" s="36">
        <v>20</v>
      </c>
      <c r="S227" s="64">
        <v>98255</v>
      </c>
      <c r="T227" s="38" t="s">
        <v>10</v>
      </c>
      <c r="U227" s="36">
        <v>3</v>
      </c>
      <c r="V227" s="36">
        <v>6</v>
      </c>
      <c r="W227" s="36">
        <v>6</v>
      </c>
    </row>
    <row r="228" spans="13:23" x14ac:dyDescent="0.2">
      <c r="M228" s="61">
        <v>98248</v>
      </c>
      <c r="N228" s="38" t="s">
        <v>10</v>
      </c>
      <c r="O228" s="36">
        <v>98</v>
      </c>
      <c r="P228" s="36">
        <v>122</v>
      </c>
      <c r="Q228" s="36">
        <v>86</v>
      </c>
      <c r="S228" s="63">
        <v>98257</v>
      </c>
      <c r="T228" s="38" t="s">
        <v>10</v>
      </c>
      <c r="U228" s="36">
        <v>10</v>
      </c>
      <c r="V228" s="36">
        <v>14</v>
      </c>
      <c r="W228" s="36">
        <v>20</v>
      </c>
    </row>
    <row r="229" spans="13:23" x14ac:dyDescent="0.2">
      <c r="M229" s="59">
        <v>98249</v>
      </c>
      <c r="N229" s="38" t="s">
        <v>352</v>
      </c>
      <c r="O229" s="36">
        <v>1</v>
      </c>
      <c r="P229" s="36">
        <v>6</v>
      </c>
      <c r="Q229" s="36">
        <v>4</v>
      </c>
      <c r="S229" s="64">
        <v>98258</v>
      </c>
      <c r="T229" s="38" t="s">
        <v>352</v>
      </c>
      <c r="U229" s="36"/>
      <c r="V229" s="36">
        <v>1</v>
      </c>
      <c r="W229" s="36"/>
    </row>
    <row r="230" spans="13:23" x14ac:dyDescent="0.2">
      <c r="M230" s="61">
        <v>98249</v>
      </c>
      <c r="N230" s="38" t="s">
        <v>10</v>
      </c>
      <c r="O230" s="36">
        <v>21</v>
      </c>
      <c r="P230" s="36">
        <v>14</v>
      </c>
      <c r="Q230" s="36">
        <v>19</v>
      </c>
      <c r="S230" s="63">
        <v>98258</v>
      </c>
      <c r="T230" s="38" t="s">
        <v>10</v>
      </c>
      <c r="U230" s="36">
        <v>23</v>
      </c>
      <c r="V230" s="36">
        <v>19</v>
      </c>
      <c r="W230" s="36">
        <v>45</v>
      </c>
    </row>
    <row r="231" spans="13:23" x14ac:dyDescent="0.2">
      <c r="M231" s="59">
        <v>98251</v>
      </c>
      <c r="N231" s="38" t="s">
        <v>10</v>
      </c>
      <c r="O231" s="36">
        <v>4</v>
      </c>
      <c r="P231" s="36">
        <v>4</v>
      </c>
      <c r="Q231" s="36">
        <v>2</v>
      </c>
      <c r="S231" s="64">
        <v>98260</v>
      </c>
      <c r="T231" s="38" t="s">
        <v>352</v>
      </c>
      <c r="U231" s="36"/>
      <c r="V231" s="36"/>
      <c r="W231" s="36">
        <v>1</v>
      </c>
    </row>
    <row r="232" spans="13:23" x14ac:dyDescent="0.2">
      <c r="M232" s="61">
        <v>98252</v>
      </c>
      <c r="N232" s="38" t="s">
        <v>352</v>
      </c>
      <c r="O232" s="36">
        <v>1</v>
      </c>
      <c r="P232" s="36"/>
      <c r="Q232" s="36">
        <v>1</v>
      </c>
      <c r="S232" s="63">
        <v>98260</v>
      </c>
      <c r="T232" s="38" t="s">
        <v>10</v>
      </c>
      <c r="U232" s="36">
        <v>11</v>
      </c>
      <c r="V232" s="36">
        <v>10</v>
      </c>
      <c r="W232" s="36">
        <v>15</v>
      </c>
    </row>
    <row r="233" spans="13:23" x14ac:dyDescent="0.2">
      <c r="M233" s="59">
        <v>98252</v>
      </c>
      <c r="N233" s="38" t="s">
        <v>10</v>
      </c>
      <c r="O233" s="36">
        <v>6</v>
      </c>
      <c r="P233" s="36">
        <v>6</v>
      </c>
      <c r="Q233" s="36">
        <v>7</v>
      </c>
      <c r="S233" s="64">
        <v>98262</v>
      </c>
      <c r="T233" s="38" t="s">
        <v>10</v>
      </c>
      <c r="U233" s="33"/>
      <c r="V233" s="36">
        <v>1</v>
      </c>
      <c r="W233" s="36">
        <v>3</v>
      </c>
    </row>
    <row r="234" spans="13:23" x14ac:dyDescent="0.2">
      <c r="M234" s="61">
        <v>98253</v>
      </c>
      <c r="N234" s="38" t="s">
        <v>10</v>
      </c>
      <c r="O234" s="33">
        <v>3</v>
      </c>
      <c r="P234" s="36">
        <v>7</v>
      </c>
      <c r="Q234" s="36">
        <v>9</v>
      </c>
      <c r="S234" s="63">
        <v>98263</v>
      </c>
      <c r="T234" s="38" t="s">
        <v>10</v>
      </c>
      <c r="U234" s="36">
        <v>1</v>
      </c>
      <c r="V234" s="36">
        <v>4</v>
      </c>
      <c r="W234" s="36">
        <v>2</v>
      </c>
    </row>
    <row r="235" spans="13:23" x14ac:dyDescent="0.2">
      <c r="M235" s="59">
        <v>98255</v>
      </c>
      <c r="N235" s="38" t="s">
        <v>10</v>
      </c>
      <c r="O235" s="36">
        <v>7</v>
      </c>
      <c r="P235" s="36">
        <v>6</v>
      </c>
      <c r="Q235" s="36">
        <v>7</v>
      </c>
      <c r="S235" s="64">
        <v>98264</v>
      </c>
      <c r="T235" s="38" t="s">
        <v>352</v>
      </c>
      <c r="U235" s="36"/>
      <c r="V235" s="33">
        <v>1</v>
      </c>
      <c r="W235" s="36">
        <v>5</v>
      </c>
    </row>
    <row r="236" spans="13:23" x14ac:dyDescent="0.2">
      <c r="M236" s="61">
        <v>98257</v>
      </c>
      <c r="N236" s="38" t="s">
        <v>352</v>
      </c>
      <c r="O236" s="36">
        <v>3</v>
      </c>
      <c r="P236" s="36">
        <v>2</v>
      </c>
      <c r="Q236" s="36">
        <v>4</v>
      </c>
      <c r="S236" s="63">
        <v>98264</v>
      </c>
      <c r="T236" s="38" t="s">
        <v>10</v>
      </c>
      <c r="U236" s="36">
        <v>29</v>
      </c>
      <c r="V236" s="36">
        <v>43</v>
      </c>
      <c r="W236" s="36">
        <v>49</v>
      </c>
    </row>
    <row r="237" spans="13:23" x14ac:dyDescent="0.2">
      <c r="M237" s="59">
        <v>98257</v>
      </c>
      <c r="N237" s="38" t="s">
        <v>10</v>
      </c>
      <c r="O237" s="36">
        <v>19</v>
      </c>
      <c r="P237" s="36">
        <v>26</v>
      </c>
      <c r="Q237" s="36">
        <v>22</v>
      </c>
      <c r="S237" s="64">
        <v>98266</v>
      </c>
      <c r="T237" s="38" t="s">
        <v>10</v>
      </c>
      <c r="U237" s="36">
        <v>43</v>
      </c>
      <c r="V237" s="36">
        <v>35</v>
      </c>
      <c r="W237" s="33">
        <v>38</v>
      </c>
    </row>
    <row r="238" spans="13:23" x14ac:dyDescent="0.2">
      <c r="M238" s="61">
        <v>98258</v>
      </c>
      <c r="N238" s="38" t="s">
        <v>352</v>
      </c>
      <c r="O238" s="36">
        <v>1</v>
      </c>
      <c r="P238" s="36">
        <v>1</v>
      </c>
      <c r="Q238" s="36">
        <v>1</v>
      </c>
      <c r="S238" s="63">
        <v>98267</v>
      </c>
      <c r="T238" s="38" t="s">
        <v>10</v>
      </c>
      <c r="U238" s="36">
        <v>4</v>
      </c>
      <c r="V238" s="36">
        <v>4</v>
      </c>
      <c r="W238" s="36">
        <v>7</v>
      </c>
    </row>
    <row r="239" spans="13:23" x14ac:dyDescent="0.2">
      <c r="M239" s="59">
        <v>98258</v>
      </c>
      <c r="N239" s="38" t="s">
        <v>10</v>
      </c>
      <c r="O239" s="36">
        <v>46</v>
      </c>
      <c r="P239" s="36">
        <v>44</v>
      </c>
      <c r="Q239" s="36">
        <v>56</v>
      </c>
      <c r="S239" s="64">
        <v>98270</v>
      </c>
      <c r="T239" s="38" t="s">
        <v>352</v>
      </c>
      <c r="U239" s="36">
        <v>2</v>
      </c>
      <c r="V239" s="36">
        <v>1</v>
      </c>
      <c r="W239" s="36">
        <v>5</v>
      </c>
    </row>
    <row r="240" spans="13:23" x14ac:dyDescent="0.2">
      <c r="M240" s="61">
        <v>98260</v>
      </c>
      <c r="N240" s="38" t="s">
        <v>352</v>
      </c>
      <c r="O240" s="36">
        <v>1</v>
      </c>
      <c r="P240" s="36">
        <v>6</v>
      </c>
      <c r="Q240" s="36">
        <v>3</v>
      </c>
      <c r="S240" s="63">
        <v>98270</v>
      </c>
      <c r="T240" s="38" t="s">
        <v>10</v>
      </c>
      <c r="U240" s="36">
        <v>43</v>
      </c>
      <c r="V240" s="36">
        <v>40</v>
      </c>
      <c r="W240" s="36">
        <v>62</v>
      </c>
    </row>
    <row r="241" spans="13:23" x14ac:dyDescent="0.2">
      <c r="M241" s="59">
        <v>98260</v>
      </c>
      <c r="N241" s="38" t="s">
        <v>10</v>
      </c>
      <c r="O241" s="36">
        <v>23</v>
      </c>
      <c r="P241" s="36">
        <v>17</v>
      </c>
      <c r="Q241" s="36">
        <v>25</v>
      </c>
      <c r="S241" s="64">
        <v>98271</v>
      </c>
      <c r="T241" s="38" t="s">
        <v>10</v>
      </c>
      <c r="U241" s="36">
        <v>9</v>
      </c>
      <c r="V241" s="36">
        <v>6</v>
      </c>
      <c r="W241" s="36">
        <v>14</v>
      </c>
    </row>
    <row r="242" spans="13:23" x14ac:dyDescent="0.2">
      <c r="M242" s="61">
        <v>98262</v>
      </c>
      <c r="N242" s="38" t="s">
        <v>10</v>
      </c>
      <c r="O242" s="36">
        <v>1</v>
      </c>
      <c r="P242" s="36">
        <v>3</v>
      </c>
      <c r="Q242" s="36">
        <v>3</v>
      </c>
      <c r="S242" s="63">
        <v>98272</v>
      </c>
      <c r="T242" s="38" t="s">
        <v>352</v>
      </c>
      <c r="U242" s="36">
        <v>1</v>
      </c>
      <c r="V242" s="36"/>
      <c r="W242" s="36">
        <v>1</v>
      </c>
    </row>
    <row r="243" spans="13:23" x14ac:dyDescent="0.2">
      <c r="M243" s="59">
        <v>98263</v>
      </c>
      <c r="N243" s="38" t="s">
        <v>10</v>
      </c>
      <c r="O243" s="36"/>
      <c r="P243" s="36">
        <v>4</v>
      </c>
      <c r="Q243" s="36">
        <v>2</v>
      </c>
      <c r="S243" s="64">
        <v>98272</v>
      </c>
      <c r="T243" s="38" t="s">
        <v>10</v>
      </c>
      <c r="U243" s="36">
        <v>10</v>
      </c>
      <c r="V243" s="36">
        <v>2</v>
      </c>
      <c r="W243" s="36">
        <v>13</v>
      </c>
    </row>
    <row r="244" spans="13:23" x14ac:dyDescent="0.2">
      <c r="M244" s="61">
        <v>98264</v>
      </c>
      <c r="N244" s="38" t="s">
        <v>352</v>
      </c>
      <c r="O244" s="36">
        <v>3</v>
      </c>
      <c r="P244" s="36">
        <v>9</v>
      </c>
      <c r="Q244" s="36">
        <v>8</v>
      </c>
      <c r="S244" s="63">
        <v>98273</v>
      </c>
      <c r="T244" s="38" t="s">
        <v>352</v>
      </c>
      <c r="U244" s="36">
        <v>3</v>
      </c>
      <c r="V244" s="36">
        <v>3</v>
      </c>
      <c r="W244" s="36">
        <v>14</v>
      </c>
    </row>
    <row r="245" spans="13:23" x14ac:dyDescent="0.2">
      <c r="M245" s="59">
        <v>98264</v>
      </c>
      <c r="N245" s="38" t="s">
        <v>10</v>
      </c>
      <c r="O245" s="36">
        <v>56</v>
      </c>
      <c r="P245" s="36">
        <v>70</v>
      </c>
      <c r="Q245" s="36">
        <v>63</v>
      </c>
      <c r="S245" s="64">
        <v>98273</v>
      </c>
      <c r="T245" s="38" t="s">
        <v>10</v>
      </c>
      <c r="U245" s="36">
        <v>77</v>
      </c>
      <c r="V245" s="36">
        <v>68</v>
      </c>
      <c r="W245" s="36">
        <v>81</v>
      </c>
    </row>
    <row r="246" spans="13:23" x14ac:dyDescent="0.2">
      <c r="M246" s="61">
        <v>98266</v>
      </c>
      <c r="N246" s="38" t="s">
        <v>10</v>
      </c>
      <c r="O246" s="36">
        <v>65</v>
      </c>
      <c r="P246" s="36">
        <v>46</v>
      </c>
      <c r="Q246" s="36">
        <v>43</v>
      </c>
      <c r="S246" s="63">
        <v>98274</v>
      </c>
      <c r="T246" s="38" t="s">
        <v>352</v>
      </c>
      <c r="U246" s="36"/>
      <c r="V246" s="36"/>
      <c r="W246" s="36">
        <v>6</v>
      </c>
    </row>
    <row r="247" spans="13:23" x14ac:dyDescent="0.2">
      <c r="M247" s="59">
        <v>98267</v>
      </c>
      <c r="N247" s="38" t="s">
        <v>10</v>
      </c>
      <c r="O247" s="36">
        <v>5</v>
      </c>
      <c r="P247" s="36">
        <v>8</v>
      </c>
      <c r="Q247" s="36">
        <v>10</v>
      </c>
      <c r="S247" s="64">
        <v>98274</v>
      </c>
      <c r="T247" s="38" t="s">
        <v>10</v>
      </c>
      <c r="U247" s="36">
        <v>21</v>
      </c>
      <c r="V247" s="36">
        <v>22</v>
      </c>
      <c r="W247" s="36">
        <v>40</v>
      </c>
    </row>
    <row r="248" spans="13:23" x14ac:dyDescent="0.2">
      <c r="M248" s="61">
        <v>98270</v>
      </c>
      <c r="N248" s="38" t="s">
        <v>352</v>
      </c>
      <c r="O248" s="36">
        <v>2</v>
      </c>
      <c r="P248" s="36">
        <v>7</v>
      </c>
      <c r="Q248" s="36">
        <v>8</v>
      </c>
      <c r="S248" s="64">
        <v>98275</v>
      </c>
      <c r="T248" s="38" t="s">
        <v>352</v>
      </c>
      <c r="U248" s="36">
        <v>1</v>
      </c>
      <c r="V248" s="36"/>
      <c r="W248" s="36">
        <v>3</v>
      </c>
    </row>
    <row r="249" spans="13:23" x14ac:dyDescent="0.2">
      <c r="M249" s="61">
        <v>98270</v>
      </c>
      <c r="N249" s="38" t="s">
        <v>10</v>
      </c>
      <c r="O249" s="36">
        <v>70</v>
      </c>
      <c r="P249" s="36">
        <v>73</v>
      </c>
      <c r="Q249" s="36">
        <v>71</v>
      </c>
      <c r="S249" s="64">
        <v>98275</v>
      </c>
      <c r="T249" s="38" t="s">
        <v>10</v>
      </c>
      <c r="U249" s="36">
        <v>8</v>
      </c>
      <c r="V249" s="36">
        <v>3</v>
      </c>
      <c r="W249" s="36">
        <v>7</v>
      </c>
    </row>
    <row r="250" spans="13:23" x14ac:dyDescent="0.2">
      <c r="M250" s="61">
        <v>98271</v>
      </c>
      <c r="N250" s="38" t="s">
        <v>352</v>
      </c>
      <c r="O250" s="36">
        <v>2</v>
      </c>
      <c r="P250" s="36">
        <v>1</v>
      </c>
      <c r="Q250" s="36"/>
      <c r="S250" s="63">
        <v>98276</v>
      </c>
      <c r="T250" s="38" t="s">
        <v>352</v>
      </c>
      <c r="U250" s="36"/>
      <c r="V250" s="36"/>
      <c r="W250" s="36">
        <v>1</v>
      </c>
    </row>
    <row r="251" spans="13:23" x14ac:dyDescent="0.2">
      <c r="M251" s="59">
        <v>98271</v>
      </c>
      <c r="N251" s="38" t="s">
        <v>10</v>
      </c>
      <c r="O251" s="36">
        <v>17</v>
      </c>
      <c r="P251" s="36">
        <v>12</v>
      </c>
      <c r="Q251" s="36">
        <v>17</v>
      </c>
      <c r="S251" s="64">
        <v>98276</v>
      </c>
      <c r="T251" s="38" t="s">
        <v>10</v>
      </c>
      <c r="U251" s="36"/>
      <c r="V251" s="36">
        <v>4</v>
      </c>
      <c r="W251" s="36">
        <v>2</v>
      </c>
    </row>
    <row r="252" spans="13:23" x14ac:dyDescent="0.2">
      <c r="M252" s="61">
        <v>98272</v>
      </c>
      <c r="N252" s="38" t="s">
        <v>352</v>
      </c>
      <c r="O252" s="36">
        <v>2</v>
      </c>
      <c r="P252" s="36">
        <v>1</v>
      </c>
      <c r="Q252" s="36">
        <v>1</v>
      </c>
      <c r="S252" s="63">
        <v>98277</v>
      </c>
      <c r="T252" s="38" t="s">
        <v>352</v>
      </c>
      <c r="U252" s="36">
        <v>6</v>
      </c>
      <c r="V252" s="36">
        <v>1</v>
      </c>
      <c r="W252" s="36">
        <v>13</v>
      </c>
    </row>
    <row r="253" spans="13:23" x14ac:dyDescent="0.2">
      <c r="M253" s="59">
        <v>98272</v>
      </c>
      <c r="N253" s="38" t="s">
        <v>10</v>
      </c>
      <c r="O253" s="36">
        <v>18</v>
      </c>
      <c r="P253" s="36">
        <v>9</v>
      </c>
      <c r="Q253" s="36">
        <v>16</v>
      </c>
      <c r="S253" s="64">
        <v>98277</v>
      </c>
      <c r="T253" s="38" t="s">
        <v>10</v>
      </c>
      <c r="U253" s="33">
        <v>121</v>
      </c>
      <c r="V253" s="36">
        <v>91</v>
      </c>
      <c r="W253" s="33">
        <v>161</v>
      </c>
    </row>
    <row r="254" spans="13:23" x14ac:dyDescent="0.2">
      <c r="M254" s="61">
        <v>98273</v>
      </c>
      <c r="N254" s="38" t="s">
        <v>352</v>
      </c>
      <c r="O254" s="36">
        <v>23</v>
      </c>
      <c r="P254" s="36">
        <v>11</v>
      </c>
      <c r="Q254" s="33">
        <v>16</v>
      </c>
      <c r="S254" s="63">
        <v>98281</v>
      </c>
      <c r="T254" s="38" t="s">
        <v>352</v>
      </c>
      <c r="U254" s="36"/>
      <c r="V254" s="36"/>
      <c r="W254" s="36">
        <v>1</v>
      </c>
    </row>
    <row r="255" spans="13:23" x14ac:dyDescent="0.2">
      <c r="M255" s="59">
        <v>98273</v>
      </c>
      <c r="N255" s="38" t="s">
        <v>10</v>
      </c>
      <c r="O255" s="36">
        <v>107</v>
      </c>
      <c r="P255" s="36">
        <v>109</v>
      </c>
      <c r="Q255" s="36">
        <v>104</v>
      </c>
      <c r="S255" s="64">
        <v>98281</v>
      </c>
      <c r="T255" s="38" t="s">
        <v>10</v>
      </c>
      <c r="U255" s="36">
        <v>6</v>
      </c>
      <c r="V255" s="36">
        <v>6</v>
      </c>
      <c r="W255" s="36">
        <v>5</v>
      </c>
    </row>
    <row r="256" spans="13:23" x14ac:dyDescent="0.2">
      <c r="M256" s="61">
        <v>98274</v>
      </c>
      <c r="N256" s="38" t="s">
        <v>352</v>
      </c>
      <c r="O256" s="36">
        <v>3</v>
      </c>
      <c r="P256" s="36">
        <v>7</v>
      </c>
      <c r="Q256" s="36">
        <v>5</v>
      </c>
      <c r="S256" s="63">
        <v>98283</v>
      </c>
      <c r="T256" s="38" t="s">
        <v>352</v>
      </c>
      <c r="U256" s="36"/>
      <c r="V256" s="36">
        <v>1</v>
      </c>
      <c r="W256" s="36">
        <v>2</v>
      </c>
    </row>
    <row r="257" spans="13:23" x14ac:dyDescent="0.2">
      <c r="M257" s="59">
        <v>98274</v>
      </c>
      <c r="N257" s="38" t="s">
        <v>10</v>
      </c>
      <c r="O257" s="36">
        <v>54</v>
      </c>
      <c r="P257" s="36">
        <v>50</v>
      </c>
      <c r="Q257" s="36">
        <v>56</v>
      </c>
      <c r="S257" s="64">
        <v>98283</v>
      </c>
      <c r="T257" s="38" t="s">
        <v>10</v>
      </c>
      <c r="U257" s="36">
        <v>8</v>
      </c>
      <c r="V257" s="36"/>
      <c r="W257" s="36">
        <v>3</v>
      </c>
    </row>
    <row r="258" spans="13:23" x14ac:dyDescent="0.2">
      <c r="M258" s="61">
        <v>98275</v>
      </c>
      <c r="N258" s="38" t="s">
        <v>352</v>
      </c>
      <c r="O258" s="36">
        <v>7</v>
      </c>
      <c r="P258" s="36">
        <v>3</v>
      </c>
      <c r="Q258" s="36">
        <v>5</v>
      </c>
      <c r="S258" s="63">
        <v>98284</v>
      </c>
      <c r="T258" s="38" t="s">
        <v>352</v>
      </c>
      <c r="U258" s="36"/>
      <c r="V258" s="36"/>
      <c r="W258" s="36">
        <v>5</v>
      </c>
    </row>
    <row r="259" spans="13:23" x14ac:dyDescent="0.2">
      <c r="M259" s="59">
        <v>98275</v>
      </c>
      <c r="N259" s="38" t="s">
        <v>10</v>
      </c>
      <c r="O259" s="36">
        <v>20</v>
      </c>
      <c r="P259" s="36">
        <v>9</v>
      </c>
      <c r="Q259" s="36">
        <v>11</v>
      </c>
      <c r="S259" s="64">
        <v>98284</v>
      </c>
      <c r="T259" s="38" t="s">
        <v>10</v>
      </c>
      <c r="U259" s="36">
        <v>94</v>
      </c>
      <c r="V259" s="36">
        <v>64</v>
      </c>
      <c r="W259" s="36">
        <v>101</v>
      </c>
    </row>
    <row r="260" spans="13:23" x14ac:dyDescent="0.2">
      <c r="M260" s="61">
        <v>98276</v>
      </c>
      <c r="N260" s="38" t="s">
        <v>352</v>
      </c>
      <c r="O260" s="36">
        <v>2</v>
      </c>
      <c r="P260" s="36"/>
      <c r="Q260" s="36">
        <v>1</v>
      </c>
      <c r="S260" s="63">
        <v>98288</v>
      </c>
      <c r="T260" s="38" t="s">
        <v>10</v>
      </c>
      <c r="U260" s="36">
        <v>1</v>
      </c>
      <c r="V260" s="36">
        <v>2</v>
      </c>
      <c r="W260" s="36">
        <v>2</v>
      </c>
    </row>
    <row r="261" spans="13:23" x14ac:dyDescent="0.2">
      <c r="M261" s="59">
        <v>98276</v>
      </c>
      <c r="N261" s="38" t="s">
        <v>10</v>
      </c>
      <c r="O261" s="36">
        <v>1</v>
      </c>
      <c r="P261" s="36">
        <v>4</v>
      </c>
      <c r="Q261" s="36">
        <v>3</v>
      </c>
      <c r="S261" s="64">
        <v>98290</v>
      </c>
      <c r="T261" s="38" t="s">
        <v>352</v>
      </c>
      <c r="U261" s="36">
        <v>1</v>
      </c>
      <c r="V261" s="36"/>
      <c r="W261" s="36">
        <v>1</v>
      </c>
    </row>
    <row r="262" spans="13:23" x14ac:dyDescent="0.2">
      <c r="M262" s="61">
        <v>98277</v>
      </c>
      <c r="N262" s="38" t="s">
        <v>352</v>
      </c>
      <c r="O262" s="36">
        <v>17</v>
      </c>
      <c r="P262" s="36">
        <v>12</v>
      </c>
      <c r="Q262" s="36">
        <v>15</v>
      </c>
      <c r="S262" s="63">
        <v>98290</v>
      </c>
      <c r="T262" s="38" t="s">
        <v>10</v>
      </c>
      <c r="U262" s="36">
        <v>5</v>
      </c>
      <c r="V262" s="36">
        <v>5</v>
      </c>
      <c r="W262" s="36">
        <v>14</v>
      </c>
    </row>
    <row r="263" spans="13:23" x14ac:dyDescent="0.2">
      <c r="M263" s="59">
        <v>98277</v>
      </c>
      <c r="N263" s="38" t="s">
        <v>10</v>
      </c>
      <c r="O263" s="36">
        <v>186</v>
      </c>
      <c r="P263" s="36">
        <v>166</v>
      </c>
      <c r="Q263" s="36">
        <v>190</v>
      </c>
      <c r="S263" s="64">
        <v>98292</v>
      </c>
      <c r="T263" s="38" t="s">
        <v>10</v>
      </c>
      <c r="U263" s="36">
        <v>1</v>
      </c>
      <c r="V263" s="36">
        <v>1</v>
      </c>
      <c r="W263" s="36">
        <v>4</v>
      </c>
    </row>
    <row r="264" spans="13:23" x14ac:dyDescent="0.2">
      <c r="M264" s="61">
        <v>98278</v>
      </c>
      <c r="N264" s="38" t="s">
        <v>352</v>
      </c>
      <c r="O264" s="36"/>
      <c r="P264" s="36"/>
      <c r="Q264" s="36">
        <v>1</v>
      </c>
      <c r="S264" s="63">
        <v>98294</v>
      </c>
      <c r="T264" s="38" t="s">
        <v>10</v>
      </c>
      <c r="U264" s="36">
        <v>7</v>
      </c>
      <c r="V264" s="36">
        <v>1</v>
      </c>
      <c r="W264" s="36">
        <v>9</v>
      </c>
    </row>
    <row r="265" spans="13:23" x14ac:dyDescent="0.2">
      <c r="M265" s="59">
        <v>98281</v>
      </c>
      <c r="N265" s="38" t="s">
        <v>352</v>
      </c>
      <c r="O265" s="36">
        <v>1</v>
      </c>
      <c r="P265" s="36"/>
      <c r="Q265" s="36">
        <v>1</v>
      </c>
      <c r="S265" s="64">
        <v>98295</v>
      </c>
      <c r="T265" s="38" t="s">
        <v>352</v>
      </c>
      <c r="U265" s="36">
        <v>1</v>
      </c>
      <c r="V265" s="36"/>
      <c r="W265" s="36"/>
    </row>
    <row r="266" spans="13:23" x14ac:dyDescent="0.2">
      <c r="M266" s="61">
        <v>98281</v>
      </c>
      <c r="N266" s="38" t="s">
        <v>10</v>
      </c>
      <c r="O266" s="36">
        <v>13</v>
      </c>
      <c r="P266" s="36">
        <v>8</v>
      </c>
      <c r="Q266" s="36">
        <v>7</v>
      </c>
      <c r="S266" s="63">
        <v>98295</v>
      </c>
      <c r="T266" s="38" t="s">
        <v>10</v>
      </c>
      <c r="U266" s="36">
        <v>4</v>
      </c>
      <c r="V266" s="36">
        <v>2</v>
      </c>
      <c r="W266" s="36">
        <v>5</v>
      </c>
    </row>
    <row r="267" spans="13:23" x14ac:dyDescent="0.2">
      <c r="M267" s="59">
        <v>98283</v>
      </c>
      <c r="N267" s="38" t="s">
        <v>352</v>
      </c>
      <c r="O267" s="36">
        <v>5</v>
      </c>
      <c r="P267" s="36">
        <v>6</v>
      </c>
      <c r="Q267" s="36">
        <v>3</v>
      </c>
      <c r="S267" s="64">
        <v>98296</v>
      </c>
      <c r="T267" s="38" t="s">
        <v>10</v>
      </c>
      <c r="U267" s="36"/>
      <c r="V267" s="36">
        <v>4</v>
      </c>
      <c r="W267" s="36">
        <v>18</v>
      </c>
    </row>
    <row r="268" spans="13:23" x14ac:dyDescent="0.2">
      <c r="M268" s="61">
        <v>98283</v>
      </c>
      <c r="N268" s="38" t="s">
        <v>10</v>
      </c>
      <c r="O268" s="36">
        <v>11</v>
      </c>
      <c r="P268" s="36">
        <v>4</v>
      </c>
      <c r="Q268" s="36">
        <v>4</v>
      </c>
      <c r="S268" s="63">
        <v>98310</v>
      </c>
      <c r="T268" s="38" t="s">
        <v>352</v>
      </c>
      <c r="U268" s="36"/>
      <c r="V268" s="36"/>
      <c r="W268" s="36">
        <v>4</v>
      </c>
    </row>
    <row r="269" spans="13:23" x14ac:dyDescent="0.2">
      <c r="M269" s="59">
        <v>98284</v>
      </c>
      <c r="N269" s="38" t="s">
        <v>352</v>
      </c>
      <c r="O269" s="36">
        <v>3</v>
      </c>
      <c r="P269" s="36">
        <v>6</v>
      </c>
      <c r="Q269" s="36">
        <v>9</v>
      </c>
      <c r="S269" s="64">
        <v>98310</v>
      </c>
      <c r="T269" s="38" t="s">
        <v>10</v>
      </c>
      <c r="U269" s="36">
        <v>120</v>
      </c>
      <c r="V269" s="36">
        <v>111</v>
      </c>
      <c r="W269" s="36">
        <v>98</v>
      </c>
    </row>
    <row r="270" spans="13:23" x14ac:dyDescent="0.2">
      <c r="M270" s="61">
        <v>98284</v>
      </c>
      <c r="N270" s="38" t="s">
        <v>10</v>
      </c>
      <c r="O270" s="36">
        <v>178</v>
      </c>
      <c r="P270" s="36">
        <v>96</v>
      </c>
      <c r="Q270" s="36">
        <v>145</v>
      </c>
      <c r="S270" s="63">
        <v>98311</v>
      </c>
      <c r="T270" s="38" t="s">
        <v>352</v>
      </c>
      <c r="U270" s="36"/>
      <c r="V270" s="36">
        <v>2</v>
      </c>
      <c r="W270" s="36">
        <v>2</v>
      </c>
    </row>
    <row r="271" spans="13:23" x14ac:dyDescent="0.2">
      <c r="M271" s="59">
        <v>98288</v>
      </c>
      <c r="N271" s="38" t="s">
        <v>352</v>
      </c>
      <c r="O271" s="36"/>
      <c r="P271" s="36"/>
      <c r="Q271" s="36">
        <v>1</v>
      </c>
      <c r="S271" s="64">
        <v>98311</v>
      </c>
      <c r="T271" s="38" t="s">
        <v>10</v>
      </c>
      <c r="U271" s="36">
        <v>103</v>
      </c>
      <c r="V271" s="33">
        <v>61</v>
      </c>
      <c r="W271" s="36">
        <v>105</v>
      </c>
    </row>
    <row r="272" spans="13:23" x14ac:dyDescent="0.2">
      <c r="M272" s="61">
        <v>98288</v>
      </c>
      <c r="N272" s="38" t="s">
        <v>10</v>
      </c>
      <c r="O272" s="36">
        <v>3</v>
      </c>
      <c r="P272" s="36">
        <v>4</v>
      </c>
      <c r="Q272" s="36">
        <v>2</v>
      </c>
      <c r="S272" s="63">
        <v>98312</v>
      </c>
      <c r="T272" s="38" t="s">
        <v>352</v>
      </c>
      <c r="U272" s="36">
        <v>5</v>
      </c>
      <c r="V272" s="36">
        <v>1</v>
      </c>
      <c r="W272" s="36">
        <v>7</v>
      </c>
    </row>
    <row r="273" spans="13:23" x14ac:dyDescent="0.2">
      <c r="M273" s="59">
        <v>98290</v>
      </c>
      <c r="N273" s="38" t="s">
        <v>352</v>
      </c>
      <c r="O273" s="36">
        <v>1</v>
      </c>
      <c r="P273" s="36"/>
      <c r="Q273" s="36">
        <v>4</v>
      </c>
      <c r="S273" s="64">
        <v>98312</v>
      </c>
      <c r="T273" s="38" t="s">
        <v>10</v>
      </c>
      <c r="U273" s="36">
        <v>209</v>
      </c>
      <c r="V273" s="36">
        <v>147</v>
      </c>
      <c r="W273" s="36">
        <v>187</v>
      </c>
    </row>
    <row r="274" spans="13:23" x14ac:dyDescent="0.2">
      <c r="M274" s="61">
        <v>98290</v>
      </c>
      <c r="N274" s="38" t="s">
        <v>10</v>
      </c>
      <c r="O274" s="36">
        <v>14</v>
      </c>
      <c r="P274" s="36">
        <v>16</v>
      </c>
      <c r="Q274" s="36">
        <v>16</v>
      </c>
      <c r="S274" s="63">
        <v>98321</v>
      </c>
      <c r="T274" s="38" t="s">
        <v>352</v>
      </c>
      <c r="U274" s="36">
        <v>2</v>
      </c>
      <c r="V274" s="36">
        <v>2</v>
      </c>
      <c r="W274" s="36">
        <v>3</v>
      </c>
    </row>
    <row r="275" spans="13:23" x14ac:dyDescent="0.2">
      <c r="M275" s="59">
        <v>98292</v>
      </c>
      <c r="N275" s="38" t="s">
        <v>352</v>
      </c>
      <c r="O275" s="36">
        <v>1</v>
      </c>
      <c r="P275" s="36"/>
      <c r="Q275" s="36">
        <v>1</v>
      </c>
      <c r="S275" s="64">
        <v>98321</v>
      </c>
      <c r="T275" s="38" t="s">
        <v>10</v>
      </c>
      <c r="U275" s="36">
        <v>43</v>
      </c>
      <c r="V275" s="36">
        <v>36</v>
      </c>
      <c r="W275" s="36">
        <v>65</v>
      </c>
    </row>
    <row r="276" spans="13:23" x14ac:dyDescent="0.2">
      <c r="M276" s="61">
        <v>98292</v>
      </c>
      <c r="N276" s="38" t="s">
        <v>10</v>
      </c>
      <c r="O276" s="36">
        <v>3</v>
      </c>
      <c r="P276" s="36">
        <v>3</v>
      </c>
      <c r="Q276" s="36">
        <v>3</v>
      </c>
      <c r="S276" s="63">
        <v>98323</v>
      </c>
      <c r="T276" s="38" t="s">
        <v>10</v>
      </c>
      <c r="U276" s="36">
        <v>3</v>
      </c>
      <c r="V276" s="36">
        <v>1</v>
      </c>
      <c r="W276" s="36">
        <v>4</v>
      </c>
    </row>
    <row r="277" spans="13:23" x14ac:dyDescent="0.2">
      <c r="M277" s="59">
        <v>98294</v>
      </c>
      <c r="N277" s="38" t="s">
        <v>10</v>
      </c>
      <c r="O277" s="36">
        <v>13</v>
      </c>
      <c r="P277" s="36">
        <v>8</v>
      </c>
      <c r="Q277" s="36">
        <v>12</v>
      </c>
      <c r="S277" s="64">
        <v>98327</v>
      </c>
      <c r="T277" s="38" t="s">
        <v>352</v>
      </c>
      <c r="U277" s="36"/>
      <c r="V277" s="36">
        <v>1</v>
      </c>
      <c r="W277" s="36"/>
    </row>
    <row r="278" spans="13:23" x14ac:dyDescent="0.2">
      <c r="M278" s="61">
        <v>98295</v>
      </c>
      <c r="N278" s="38" t="s">
        <v>352</v>
      </c>
      <c r="O278" s="36">
        <v>2</v>
      </c>
      <c r="P278" s="36"/>
      <c r="Q278" s="33"/>
      <c r="S278" s="64">
        <v>98327</v>
      </c>
      <c r="T278" s="38" t="s">
        <v>10</v>
      </c>
      <c r="U278" s="36">
        <v>15</v>
      </c>
      <c r="V278" s="36">
        <v>15</v>
      </c>
      <c r="W278" s="36">
        <v>18</v>
      </c>
    </row>
    <row r="279" spans="13:23" x14ac:dyDescent="0.2">
      <c r="M279" s="59">
        <v>98295</v>
      </c>
      <c r="N279" s="38" t="s">
        <v>10</v>
      </c>
      <c r="O279" s="36">
        <v>6</v>
      </c>
      <c r="P279" s="36">
        <v>5</v>
      </c>
      <c r="Q279" s="36">
        <v>6</v>
      </c>
      <c r="S279" s="63">
        <v>98328</v>
      </c>
      <c r="T279" s="38" t="s">
        <v>10</v>
      </c>
      <c r="U279" s="36">
        <v>3</v>
      </c>
      <c r="V279" s="36">
        <v>2</v>
      </c>
      <c r="W279" s="36">
        <v>1</v>
      </c>
    </row>
    <row r="280" spans="13:23" x14ac:dyDescent="0.2">
      <c r="M280" s="61">
        <v>98296</v>
      </c>
      <c r="N280" s="38" t="s">
        <v>352</v>
      </c>
      <c r="O280" s="36"/>
      <c r="P280" s="36">
        <v>1</v>
      </c>
      <c r="Q280" s="36"/>
      <c r="S280" s="64">
        <v>98329</v>
      </c>
      <c r="T280" s="38" t="s">
        <v>10</v>
      </c>
      <c r="U280" s="33">
        <v>1</v>
      </c>
      <c r="V280" s="36"/>
      <c r="W280" s="33"/>
    </row>
    <row r="281" spans="13:23" x14ac:dyDescent="0.2">
      <c r="M281" s="59">
        <v>98296</v>
      </c>
      <c r="N281" s="38" t="s">
        <v>10</v>
      </c>
      <c r="O281" s="36">
        <v>13</v>
      </c>
      <c r="P281" s="36">
        <v>13</v>
      </c>
      <c r="Q281" s="36">
        <v>19</v>
      </c>
      <c r="S281" s="63">
        <v>98332</v>
      </c>
      <c r="T281" s="38" t="s">
        <v>10</v>
      </c>
      <c r="U281" s="36">
        <v>1</v>
      </c>
      <c r="V281" s="36">
        <v>3</v>
      </c>
      <c r="W281" s="36">
        <v>15</v>
      </c>
    </row>
    <row r="282" spans="13:23" x14ac:dyDescent="0.2">
      <c r="M282" s="61">
        <v>98310</v>
      </c>
      <c r="N282" s="38" t="s">
        <v>352</v>
      </c>
      <c r="O282" s="33">
        <v>2</v>
      </c>
      <c r="P282" s="36">
        <v>3</v>
      </c>
      <c r="Q282" s="33">
        <v>8</v>
      </c>
      <c r="S282" s="64">
        <v>98335</v>
      </c>
      <c r="T282" s="38" t="s">
        <v>352</v>
      </c>
      <c r="U282" s="36">
        <v>1</v>
      </c>
      <c r="V282" s="36"/>
      <c r="W282" s="36"/>
    </row>
    <row r="283" spans="13:23" x14ac:dyDescent="0.2">
      <c r="M283" s="59">
        <v>98310</v>
      </c>
      <c r="N283" s="38" t="s">
        <v>10</v>
      </c>
      <c r="O283" s="36">
        <v>171</v>
      </c>
      <c r="P283" s="36">
        <v>161</v>
      </c>
      <c r="Q283" s="36">
        <v>134</v>
      </c>
      <c r="S283" s="63">
        <v>98335</v>
      </c>
      <c r="T283" s="38" t="s">
        <v>10</v>
      </c>
      <c r="U283" s="36">
        <v>4</v>
      </c>
      <c r="V283" s="36">
        <v>9</v>
      </c>
      <c r="W283" s="36">
        <v>11</v>
      </c>
    </row>
    <row r="284" spans="13:23" x14ac:dyDescent="0.2">
      <c r="M284" s="61">
        <v>98311</v>
      </c>
      <c r="N284" s="38" t="s">
        <v>352</v>
      </c>
      <c r="O284" s="36">
        <v>1</v>
      </c>
      <c r="P284" s="36">
        <v>3</v>
      </c>
      <c r="Q284" s="36">
        <v>3</v>
      </c>
      <c r="S284" s="64">
        <v>98337</v>
      </c>
      <c r="T284" s="38" t="s">
        <v>352</v>
      </c>
      <c r="U284" s="36">
        <v>1</v>
      </c>
      <c r="V284" s="36"/>
      <c r="W284" s="36">
        <v>3</v>
      </c>
    </row>
    <row r="285" spans="13:23" x14ac:dyDescent="0.2">
      <c r="M285" s="59">
        <v>98311</v>
      </c>
      <c r="N285" s="38" t="s">
        <v>10</v>
      </c>
      <c r="O285" s="36">
        <v>163</v>
      </c>
      <c r="P285" s="36">
        <v>118</v>
      </c>
      <c r="Q285" s="36">
        <v>118</v>
      </c>
      <c r="S285" s="63">
        <v>98337</v>
      </c>
      <c r="T285" s="38" t="s">
        <v>10</v>
      </c>
      <c r="U285" s="36">
        <v>61</v>
      </c>
      <c r="V285" s="36">
        <v>38</v>
      </c>
      <c r="W285" s="36">
        <v>62</v>
      </c>
    </row>
    <row r="286" spans="13:23" x14ac:dyDescent="0.2">
      <c r="M286" s="61">
        <v>98312</v>
      </c>
      <c r="N286" s="38" t="s">
        <v>352</v>
      </c>
      <c r="O286" s="36">
        <v>15</v>
      </c>
      <c r="P286" s="36">
        <v>9</v>
      </c>
      <c r="Q286" s="36">
        <v>9</v>
      </c>
      <c r="S286" s="64">
        <v>98338</v>
      </c>
      <c r="T286" s="38" t="s">
        <v>352</v>
      </c>
      <c r="U286" s="36">
        <v>3</v>
      </c>
      <c r="V286" s="33"/>
      <c r="W286" s="33">
        <v>1</v>
      </c>
    </row>
    <row r="287" spans="13:23" x14ac:dyDescent="0.2">
      <c r="M287" s="59">
        <v>98312</v>
      </c>
      <c r="N287" s="38" t="s">
        <v>10</v>
      </c>
      <c r="O287" s="36">
        <v>300</v>
      </c>
      <c r="P287" s="36">
        <v>233</v>
      </c>
      <c r="Q287" s="36">
        <v>213</v>
      </c>
      <c r="S287" s="63">
        <v>98338</v>
      </c>
      <c r="T287" s="38" t="s">
        <v>10</v>
      </c>
      <c r="U287" s="36">
        <v>52</v>
      </c>
      <c r="V287" s="36">
        <v>27</v>
      </c>
      <c r="W287" s="36">
        <v>68</v>
      </c>
    </row>
    <row r="288" spans="13:23" x14ac:dyDescent="0.2">
      <c r="M288" s="61">
        <v>98321</v>
      </c>
      <c r="N288" s="38" t="s">
        <v>352</v>
      </c>
      <c r="O288" s="36">
        <v>8</v>
      </c>
      <c r="P288" s="33">
        <v>9</v>
      </c>
      <c r="Q288" s="36">
        <v>7</v>
      </c>
      <c r="S288" s="64">
        <v>98340</v>
      </c>
      <c r="T288" s="38" t="s">
        <v>352</v>
      </c>
      <c r="U288" s="36">
        <v>1</v>
      </c>
      <c r="V288" s="36"/>
      <c r="W288" s="36"/>
    </row>
    <row r="289" spans="13:23" x14ac:dyDescent="0.2">
      <c r="M289" s="59">
        <v>98321</v>
      </c>
      <c r="N289" s="38" t="s">
        <v>10</v>
      </c>
      <c r="O289" s="36">
        <v>87</v>
      </c>
      <c r="P289" s="36">
        <v>69</v>
      </c>
      <c r="Q289" s="36">
        <v>90</v>
      </c>
      <c r="S289" s="63">
        <v>98340</v>
      </c>
      <c r="T289" s="38" t="s">
        <v>10</v>
      </c>
      <c r="U289" s="36">
        <v>2</v>
      </c>
      <c r="V289" s="36">
        <v>4</v>
      </c>
      <c r="W289" s="36">
        <v>3</v>
      </c>
    </row>
    <row r="290" spans="13:23" x14ac:dyDescent="0.2">
      <c r="M290" s="61">
        <v>98323</v>
      </c>
      <c r="N290" s="38" t="s">
        <v>352</v>
      </c>
      <c r="O290" s="36"/>
      <c r="P290" s="36">
        <v>1</v>
      </c>
      <c r="Q290" s="36">
        <v>1</v>
      </c>
      <c r="S290" s="64">
        <v>98342</v>
      </c>
      <c r="T290" s="38" t="s">
        <v>10</v>
      </c>
      <c r="U290" s="36">
        <v>3</v>
      </c>
      <c r="V290" s="36">
        <v>2</v>
      </c>
      <c r="W290" s="36">
        <v>7</v>
      </c>
    </row>
    <row r="291" spans="13:23" x14ac:dyDescent="0.2">
      <c r="M291" s="59">
        <v>98323</v>
      </c>
      <c r="N291" s="38" t="s">
        <v>10</v>
      </c>
      <c r="O291" s="36">
        <v>5</v>
      </c>
      <c r="P291" s="36">
        <v>2</v>
      </c>
      <c r="Q291" s="36">
        <v>6</v>
      </c>
      <c r="S291" s="63">
        <v>98345</v>
      </c>
      <c r="T291" s="38" t="s">
        <v>10</v>
      </c>
      <c r="U291" s="36">
        <v>1</v>
      </c>
      <c r="V291" s="36">
        <v>1</v>
      </c>
      <c r="W291" s="36">
        <v>3</v>
      </c>
    </row>
    <row r="292" spans="13:23" x14ac:dyDescent="0.2">
      <c r="M292" s="61">
        <v>98327</v>
      </c>
      <c r="N292" s="38" t="s">
        <v>352</v>
      </c>
      <c r="O292" s="36">
        <v>1</v>
      </c>
      <c r="P292" s="36">
        <v>2</v>
      </c>
      <c r="Q292" s="36">
        <v>1</v>
      </c>
      <c r="S292" s="64">
        <v>98346</v>
      </c>
      <c r="T292" s="38" t="s">
        <v>352</v>
      </c>
      <c r="U292" s="36"/>
      <c r="V292" s="36"/>
      <c r="W292" s="36">
        <v>4</v>
      </c>
    </row>
    <row r="293" spans="13:23" x14ac:dyDescent="0.2">
      <c r="M293" s="59">
        <v>98327</v>
      </c>
      <c r="N293" s="38" t="s">
        <v>10</v>
      </c>
      <c r="O293" s="36">
        <v>30</v>
      </c>
      <c r="P293" s="36">
        <v>27</v>
      </c>
      <c r="Q293" s="36">
        <v>24</v>
      </c>
      <c r="S293" s="63">
        <v>98346</v>
      </c>
      <c r="T293" s="38" t="s">
        <v>10</v>
      </c>
      <c r="U293" s="36">
        <v>15</v>
      </c>
      <c r="V293" s="36">
        <v>25</v>
      </c>
      <c r="W293" s="36">
        <v>46</v>
      </c>
    </row>
    <row r="294" spans="13:23" x14ac:dyDescent="0.2">
      <c r="M294" s="61">
        <v>98328</v>
      </c>
      <c r="N294" s="38" t="s">
        <v>10</v>
      </c>
      <c r="O294" s="36">
        <v>6</v>
      </c>
      <c r="P294" s="36">
        <v>4</v>
      </c>
      <c r="Q294" s="36">
        <v>2</v>
      </c>
      <c r="S294" s="64">
        <v>98354</v>
      </c>
      <c r="T294" s="38" t="s">
        <v>352</v>
      </c>
      <c r="U294" s="36"/>
      <c r="V294" s="36"/>
      <c r="W294" s="36">
        <v>2</v>
      </c>
    </row>
    <row r="295" spans="13:23" x14ac:dyDescent="0.2">
      <c r="M295" s="59">
        <v>98329</v>
      </c>
      <c r="N295" s="38" t="s">
        <v>10</v>
      </c>
      <c r="O295" s="36"/>
      <c r="P295" s="36"/>
      <c r="Q295" s="36">
        <v>1</v>
      </c>
      <c r="S295" s="63">
        <v>98354</v>
      </c>
      <c r="T295" s="38" t="s">
        <v>10</v>
      </c>
      <c r="U295" s="36">
        <v>3</v>
      </c>
      <c r="V295" s="36">
        <v>4</v>
      </c>
      <c r="W295" s="36">
        <v>6</v>
      </c>
    </row>
    <row r="296" spans="13:23" x14ac:dyDescent="0.2">
      <c r="M296" s="61">
        <v>98332</v>
      </c>
      <c r="N296" s="38" t="s">
        <v>352</v>
      </c>
      <c r="O296" s="36">
        <v>1</v>
      </c>
      <c r="P296" s="36"/>
      <c r="Q296" s="36"/>
      <c r="S296" s="64">
        <v>98359</v>
      </c>
      <c r="T296" s="38" t="s">
        <v>352</v>
      </c>
      <c r="U296" s="36"/>
      <c r="V296" s="36"/>
      <c r="W296" s="36">
        <v>3</v>
      </c>
    </row>
    <row r="297" spans="13:23" x14ac:dyDescent="0.2">
      <c r="M297" s="59">
        <v>98332</v>
      </c>
      <c r="N297" s="38" t="s">
        <v>10</v>
      </c>
      <c r="O297" s="36">
        <v>10</v>
      </c>
      <c r="P297" s="36">
        <v>10</v>
      </c>
      <c r="Q297" s="36">
        <v>15</v>
      </c>
      <c r="S297" s="63">
        <v>98359</v>
      </c>
      <c r="T297" s="38" t="s">
        <v>10</v>
      </c>
      <c r="U297" s="36">
        <v>14</v>
      </c>
      <c r="V297" s="36">
        <v>12</v>
      </c>
      <c r="W297" s="36">
        <v>19</v>
      </c>
    </row>
    <row r="298" spans="13:23" x14ac:dyDescent="0.2">
      <c r="M298" s="61">
        <v>98335</v>
      </c>
      <c r="N298" s="38" t="s">
        <v>352</v>
      </c>
      <c r="O298" s="36">
        <v>2</v>
      </c>
      <c r="P298" s="36">
        <v>1</v>
      </c>
      <c r="Q298" s="36"/>
      <c r="S298" s="64">
        <v>98360</v>
      </c>
      <c r="T298" s="38" t="s">
        <v>352</v>
      </c>
      <c r="U298" s="36"/>
      <c r="V298" s="36">
        <v>2</v>
      </c>
      <c r="W298" s="36">
        <v>2</v>
      </c>
    </row>
    <row r="299" spans="13:23" x14ac:dyDescent="0.2">
      <c r="M299" s="59">
        <v>98335</v>
      </c>
      <c r="N299" s="38" t="s">
        <v>10</v>
      </c>
      <c r="O299" s="36">
        <v>21</v>
      </c>
      <c r="P299" s="36">
        <v>12</v>
      </c>
      <c r="Q299" s="36">
        <v>15</v>
      </c>
      <c r="S299" s="63">
        <v>98360</v>
      </c>
      <c r="T299" s="38" t="s">
        <v>10</v>
      </c>
      <c r="U299" s="36">
        <v>32</v>
      </c>
      <c r="V299" s="36">
        <v>20</v>
      </c>
      <c r="W299" s="36">
        <v>45</v>
      </c>
    </row>
    <row r="300" spans="13:23" x14ac:dyDescent="0.2">
      <c r="M300" s="61">
        <v>98337</v>
      </c>
      <c r="N300" s="38" t="s">
        <v>352</v>
      </c>
      <c r="O300" s="36">
        <v>4</v>
      </c>
      <c r="P300" s="36">
        <v>1</v>
      </c>
      <c r="Q300" s="36">
        <v>4</v>
      </c>
      <c r="S300" s="64">
        <v>98366</v>
      </c>
      <c r="T300" s="38" t="s">
        <v>352</v>
      </c>
      <c r="U300" s="36">
        <v>3</v>
      </c>
      <c r="V300" s="36">
        <v>3</v>
      </c>
      <c r="W300" s="36">
        <v>12</v>
      </c>
    </row>
    <row r="301" spans="13:23" x14ac:dyDescent="0.2">
      <c r="M301" s="59">
        <v>98337</v>
      </c>
      <c r="N301" s="38" t="s">
        <v>10</v>
      </c>
      <c r="O301" s="36">
        <v>87</v>
      </c>
      <c r="P301" s="36">
        <v>61</v>
      </c>
      <c r="Q301" s="36">
        <v>76</v>
      </c>
      <c r="S301" s="64">
        <v>98366</v>
      </c>
      <c r="T301" s="38" t="s">
        <v>10</v>
      </c>
      <c r="U301" s="33">
        <v>171</v>
      </c>
      <c r="V301" s="36">
        <v>122</v>
      </c>
      <c r="W301" s="36">
        <v>184</v>
      </c>
    </row>
    <row r="302" spans="13:23" x14ac:dyDescent="0.2">
      <c r="M302" s="61">
        <v>98338</v>
      </c>
      <c r="N302" s="38" t="s">
        <v>352</v>
      </c>
      <c r="O302" s="36">
        <v>6</v>
      </c>
      <c r="P302" s="36">
        <v>1</v>
      </c>
      <c r="Q302" s="36">
        <v>5</v>
      </c>
      <c r="S302" s="64">
        <v>98367</v>
      </c>
      <c r="T302" s="38" t="s">
        <v>352</v>
      </c>
      <c r="U302" s="33">
        <v>2</v>
      </c>
      <c r="V302" s="36">
        <v>10</v>
      </c>
      <c r="W302" s="33">
        <v>2</v>
      </c>
    </row>
    <row r="303" spans="13:23" x14ac:dyDescent="0.2">
      <c r="M303" s="61">
        <v>98338</v>
      </c>
      <c r="N303" s="38" t="s">
        <v>10</v>
      </c>
      <c r="O303" s="36">
        <v>90</v>
      </c>
      <c r="P303" s="36">
        <v>68</v>
      </c>
      <c r="Q303" s="36">
        <v>84</v>
      </c>
      <c r="S303" s="63">
        <v>98367</v>
      </c>
      <c r="T303" s="38" t="s">
        <v>10</v>
      </c>
      <c r="U303" s="36">
        <v>74</v>
      </c>
      <c r="V303" s="36">
        <v>50</v>
      </c>
      <c r="W303" s="36">
        <v>93</v>
      </c>
    </row>
    <row r="304" spans="13:23" x14ac:dyDescent="0.2">
      <c r="M304" s="61">
        <v>98340</v>
      </c>
      <c r="N304" s="38" t="s">
        <v>352</v>
      </c>
      <c r="O304" s="36">
        <v>3</v>
      </c>
      <c r="P304" s="36"/>
      <c r="Q304" s="36">
        <v>1</v>
      </c>
      <c r="S304" s="64">
        <v>98370</v>
      </c>
      <c r="T304" s="38" t="s">
        <v>352</v>
      </c>
      <c r="U304" s="36">
        <v>2</v>
      </c>
      <c r="V304" s="33">
        <v>4</v>
      </c>
      <c r="W304" s="33">
        <v>3</v>
      </c>
    </row>
    <row r="305" spans="13:23" x14ac:dyDescent="0.2">
      <c r="M305" s="59">
        <v>98340</v>
      </c>
      <c r="N305" s="38" t="s">
        <v>10</v>
      </c>
      <c r="O305" s="36">
        <v>9</v>
      </c>
      <c r="P305" s="36">
        <v>9</v>
      </c>
      <c r="Q305" s="36">
        <v>7</v>
      </c>
      <c r="S305" s="63">
        <v>98370</v>
      </c>
      <c r="T305" s="38" t="s">
        <v>10</v>
      </c>
      <c r="U305" s="36">
        <v>56</v>
      </c>
      <c r="V305" s="36">
        <v>45</v>
      </c>
      <c r="W305" s="36">
        <v>95</v>
      </c>
    </row>
    <row r="306" spans="13:23" x14ac:dyDescent="0.2">
      <c r="M306" s="61">
        <v>98342</v>
      </c>
      <c r="N306" s="38" t="s">
        <v>10</v>
      </c>
      <c r="O306" s="36">
        <v>9</v>
      </c>
      <c r="P306" s="33">
        <v>3</v>
      </c>
      <c r="Q306" s="33">
        <v>8</v>
      </c>
      <c r="S306" s="64">
        <v>98371</v>
      </c>
      <c r="T306" s="38" t="s">
        <v>352</v>
      </c>
      <c r="U306" s="36">
        <v>2</v>
      </c>
      <c r="V306" s="36">
        <v>1</v>
      </c>
      <c r="W306" s="36">
        <v>6</v>
      </c>
    </row>
    <row r="307" spans="13:23" x14ac:dyDescent="0.2">
      <c r="M307" s="59">
        <v>98345</v>
      </c>
      <c r="N307" s="38" t="s">
        <v>10</v>
      </c>
      <c r="O307" s="36">
        <v>3</v>
      </c>
      <c r="P307" s="36">
        <v>3</v>
      </c>
      <c r="Q307" s="36">
        <v>5</v>
      </c>
      <c r="S307" s="63">
        <v>98371</v>
      </c>
      <c r="T307" s="38" t="s">
        <v>10</v>
      </c>
      <c r="U307" s="36">
        <v>96</v>
      </c>
      <c r="V307" s="36">
        <v>76</v>
      </c>
      <c r="W307" s="36">
        <v>107</v>
      </c>
    </row>
    <row r="308" spans="13:23" x14ac:dyDescent="0.2">
      <c r="M308" s="61">
        <v>98346</v>
      </c>
      <c r="N308" s="38" t="s">
        <v>352</v>
      </c>
      <c r="O308" s="36">
        <v>1</v>
      </c>
      <c r="P308" s="36">
        <v>9</v>
      </c>
      <c r="Q308" s="36">
        <v>4</v>
      </c>
      <c r="S308" s="64">
        <v>98372</v>
      </c>
      <c r="T308" s="38" t="s">
        <v>352</v>
      </c>
      <c r="U308" s="36">
        <v>3</v>
      </c>
      <c r="V308" s="36">
        <v>1</v>
      </c>
      <c r="W308" s="36">
        <v>5</v>
      </c>
    </row>
    <row r="309" spans="13:23" x14ac:dyDescent="0.2">
      <c r="M309" s="59">
        <v>98346</v>
      </c>
      <c r="N309" s="38" t="s">
        <v>10</v>
      </c>
      <c r="O309" s="36">
        <v>49</v>
      </c>
      <c r="P309" s="36">
        <v>61</v>
      </c>
      <c r="Q309" s="36">
        <v>62</v>
      </c>
      <c r="S309" s="63">
        <v>98372</v>
      </c>
      <c r="T309" s="38" t="s">
        <v>10</v>
      </c>
      <c r="U309" s="36">
        <v>126</v>
      </c>
      <c r="V309" s="36">
        <v>118</v>
      </c>
      <c r="W309" s="36">
        <v>170</v>
      </c>
    </row>
    <row r="310" spans="13:23" x14ac:dyDescent="0.2">
      <c r="M310" s="61">
        <v>98354</v>
      </c>
      <c r="N310" s="38" t="s">
        <v>352</v>
      </c>
      <c r="O310" s="36">
        <v>2</v>
      </c>
      <c r="P310" s="36">
        <v>3</v>
      </c>
      <c r="Q310" s="36">
        <v>2</v>
      </c>
      <c r="S310" s="64">
        <v>98373</v>
      </c>
      <c r="T310" s="38" t="s">
        <v>352</v>
      </c>
      <c r="U310" s="36">
        <v>2</v>
      </c>
      <c r="V310" s="33">
        <v>1</v>
      </c>
      <c r="W310" s="36">
        <v>7</v>
      </c>
    </row>
    <row r="311" spans="13:23" x14ac:dyDescent="0.2">
      <c r="M311" s="59">
        <v>98354</v>
      </c>
      <c r="N311" s="38" t="s">
        <v>10</v>
      </c>
      <c r="O311" s="36">
        <v>5</v>
      </c>
      <c r="P311" s="36">
        <v>8</v>
      </c>
      <c r="Q311" s="36">
        <v>4</v>
      </c>
      <c r="S311" s="63">
        <v>98373</v>
      </c>
      <c r="T311" s="38" t="s">
        <v>10</v>
      </c>
      <c r="U311" s="36">
        <v>120</v>
      </c>
      <c r="V311" s="36">
        <v>109</v>
      </c>
      <c r="W311" s="36">
        <v>120</v>
      </c>
    </row>
    <row r="312" spans="13:23" x14ac:dyDescent="0.2">
      <c r="M312" s="61">
        <v>98359</v>
      </c>
      <c r="N312" s="38" t="s">
        <v>352</v>
      </c>
      <c r="O312" s="36">
        <v>1</v>
      </c>
      <c r="P312" s="36">
        <v>2</v>
      </c>
      <c r="Q312" s="36">
        <v>3</v>
      </c>
      <c r="S312" s="64">
        <v>98374</v>
      </c>
      <c r="T312" s="38" t="s">
        <v>352</v>
      </c>
      <c r="U312" s="36">
        <v>3</v>
      </c>
      <c r="V312" s="36">
        <v>3</v>
      </c>
      <c r="W312" s="36">
        <v>3</v>
      </c>
    </row>
    <row r="313" spans="13:23" x14ac:dyDescent="0.2">
      <c r="M313" s="59">
        <v>98359</v>
      </c>
      <c r="N313" s="38" t="s">
        <v>10</v>
      </c>
      <c r="O313" s="36">
        <v>35</v>
      </c>
      <c r="P313" s="36">
        <v>21</v>
      </c>
      <c r="Q313" s="36">
        <v>18</v>
      </c>
      <c r="S313" s="64">
        <v>98374</v>
      </c>
      <c r="T313" s="38" t="s">
        <v>10</v>
      </c>
      <c r="U313" s="33">
        <v>187</v>
      </c>
      <c r="V313" s="33">
        <v>113</v>
      </c>
      <c r="W313" s="36">
        <v>211</v>
      </c>
    </row>
    <row r="314" spans="13:23" x14ac:dyDescent="0.2">
      <c r="M314" s="61">
        <v>98360</v>
      </c>
      <c r="N314" s="38" t="s">
        <v>352</v>
      </c>
      <c r="O314" s="36">
        <v>8</v>
      </c>
      <c r="P314" s="36">
        <v>2</v>
      </c>
      <c r="Q314" s="36">
        <v>4</v>
      </c>
      <c r="S314" s="64">
        <v>98375</v>
      </c>
      <c r="T314" s="38" t="s">
        <v>352</v>
      </c>
      <c r="U314" s="33"/>
      <c r="V314" s="36"/>
      <c r="W314" s="33">
        <v>2</v>
      </c>
    </row>
    <row r="315" spans="13:23" x14ac:dyDescent="0.2">
      <c r="M315" s="61">
        <v>98360</v>
      </c>
      <c r="N315" s="38" t="s">
        <v>10</v>
      </c>
      <c r="O315" s="33">
        <v>69</v>
      </c>
      <c r="P315" s="33">
        <v>54</v>
      </c>
      <c r="Q315" s="36">
        <v>68</v>
      </c>
      <c r="S315" s="63">
        <v>98375</v>
      </c>
      <c r="T315" s="38" t="s">
        <v>10</v>
      </c>
      <c r="U315" s="36">
        <v>90</v>
      </c>
      <c r="V315" s="36">
        <v>59</v>
      </c>
      <c r="W315" s="36">
        <v>100</v>
      </c>
    </row>
    <row r="316" spans="13:23" x14ac:dyDescent="0.2">
      <c r="M316" s="61">
        <v>98366</v>
      </c>
      <c r="N316" s="38" t="s">
        <v>352</v>
      </c>
      <c r="O316" s="33">
        <v>13</v>
      </c>
      <c r="P316" s="36">
        <v>9</v>
      </c>
      <c r="Q316" s="33">
        <v>15</v>
      </c>
      <c r="S316" s="64">
        <v>98380</v>
      </c>
      <c r="T316" s="38" t="s">
        <v>352</v>
      </c>
      <c r="U316" s="36"/>
      <c r="V316" s="36"/>
      <c r="W316" s="36">
        <v>2</v>
      </c>
    </row>
    <row r="317" spans="13:23" x14ac:dyDescent="0.2">
      <c r="M317" s="59">
        <v>98366</v>
      </c>
      <c r="N317" s="38" t="s">
        <v>10</v>
      </c>
      <c r="O317" s="36">
        <v>262</v>
      </c>
      <c r="P317" s="36">
        <v>230</v>
      </c>
      <c r="Q317" s="36">
        <v>229</v>
      </c>
      <c r="S317" s="63">
        <v>98380</v>
      </c>
      <c r="T317" s="38" t="s">
        <v>10</v>
      </c>
      <c r="U317" s="36">
        <v>9</v>
      </c>
      <c r="V317" s="36">
        <v>18</v>
      </c>
      <c r="W317" s="36">
        <v>17</v>
      </c>
    </row>
    <row r="318" spans="13:23" x14ac:dyDescent="0.2">
      <c r="M318" s="61">
        <v>98367</v>
      </c>
      <c r="N318" s="38" t="s">
        <v>352</v>
      </c>
      <c r="O318" s="36">
        <v>14</v>
      </c>
      <c r="P318" s="36">
        <v>4</v>
      </c>
      <c r="Q318" s="36">
        <v>6</v>
      </c>
      <c r="S318" s="64">
        <v>98383</v>
      </c>
      <c r="T318" s="38" t="s">
        <v>352</v>
      </c>
      <c r="U318" s="33">
        <v>2</v>
      </c>
      <c r="V318" s="36">
        <v>2</v>
      </c>
      <c r="W318" s="33">
        <v>3</v>
      </c>
    </row>
    <row r="319" spans="13:23" x14ac:dyDescent="0.2">
      <c r="M319" s="59">
        <v>98367</v>
      </c>
      <c r="N319" s="38" t="s">
        <v>10</v>
      </c>
      <c r="O319" s="36">
        <v>151</v>
      </c>
      <c r="P319" s="36">
        <v>119</v>
      </c>
      <c r="Q319" s="36">
        <v>129</v>
      </c>
      <c r="S319" s="63">
        <v>98383</v>
      </c>
      <c r="T319" s="38" t="s">
        <v>10</v>
      </c>
      <c r="U319" s="36">
        <v>50</v>
      </c>
      <c r="V319" s="36">
        <v>47</v>
      </c>
      <c r="W319" s="33">
        <v>78</v>
      </c>
    </row>
    <row r="320" spans="13:23" x14ac:dyDescent="0.2">
      <c r="M320" s="61">
        <v>98370</v>
      </c>
      <c r="N320" s="38" t="s">
        <v>352</v>
      </c>
      <c r="O320" s="33">
        <v>6</v>
      </c>
      <c r="P320" s="36">
        <v>12</v>
      </c>
      <c r="Q320" s="33">
        <v>6</v>
      </c>
      <c r="S320" s="64">
        <v>98385</v>
      </c>
      <c r="T320" s="38" t="s">
        <v>352</v>
      </c>
      <c r="U320" s="36"/>
      <c r="V320" s="36"/>
      <c r="W320" s="36">
        <v>1</v>
      </c>
    </row>
    <row r="321" spans="13:23" x14ac:dyDescent="0.2">
      <c r="M321" s="59">
        <v>98370</v>
      </c>
      <c r="N321" s="38" t="s">
        <v>10</v>
      </c>
      <c r="O321" s="36">
        <v>115</v>
      </c>
      <c r="P321" s="36">
        <v>120</v>
      </c>
      <c r="Q321" s="36">
        <v>116</v>
      </c>
      <c r="S321" s="63">
        <v>98385</v>
      </c>
      <c r="T321" s="38" t="s">
        <v>10</v>
      </c>
      <c r="U321" s="36">
        <v>1</v>
      </c>
      <c r="V321" s="36">
        <v>1</v>
      </c>
      <c r="W321" s="36">
        <v>5</v>
      </c>
    </row>
    <row r="322" spans="13:23" x14ac:dyDescent="0.2">
      <c r="M322" s="61">
        <v>98371</v>
      </c>
      <c r="N322" s="38" t="s">
        <v>352</v>
      </c>
      <c r="O322" s="36">
        <v>8</v>
      </c>
      <c r="P322" s="36">
        <v>8</v>
      </c>
      <c r="Q322" s="36">
        <v>10</v>
      </c>
      <c r="S322" s="64">
        <v>98387</v>
      </c>
      <c r="T322" s="38" t="s">
        <v>352</v>
      </c>
      <c r="U322" s="36"/>
      <c r="V322" s="36">
        <v>1</v>
      </c>
      <c r="W322" s="36">
        <v>2</v>
      </c>
    </row>
    <row r="323" spans="13:23" x14ac:dyDescent="0.2">
      <c r="M323" s="59">
        <v>98371</v>
      </c>
      <c r="N323" s="38" t="s">
        <v>10</v>
      </c>
      <c r="O323" s="36">
        <v>150</v>
      </c>
      <c r="P323" s="36">
        <v>149</v>
      </c>
      <c r="Q323" s="36">
        <v>136</v>
      </c>
      <c r="S323" s="63">
        <v>98387</v>
      </c>
      <c r="T323" s="38" t="s">
        <v>10</v>
      </c>
      <c r="U323" s="36">
        <v>79</v>
      </c>
      <c r="V323" s="36">
        <v>53</v>
      </c>
      <c r="W323" s="36">
        <v>80</v>
      </c>
    </row>
    <row r="324" spans="13:23" x14ac:dyDescent="0.2">
      <c r="M324" s="61">
        <v>98372</v>
      </c>
      <c r="N324" s="38" t="s">
        <v>352</v>
      </c>
      <c r="O324" s="36">
        <v>11</v>
      </c>
      <c r="P324" s="36">
        <v>14</v>
      </c>
      <c r="Q324" s="36">
        <v>6</v>
      </c>
      <c r="S324" s="64">
        <v>98388</v>
      </c>
      <c r="T324" s="38" t="s">
        <v>10</v>
      </c>
      <c r="U324" s="36">
        <v>6</v>
      </c>
      <c r="V324" s="36">
        <v>2</v>
      </c>
      <c r="W324" s="36">
        <v>5</v>
      </c>
    </row>
    <row r="325" spans="13:23" x14ac:dyDescent="0.2">
      <c r="M325" s="59">
        <v>98372</v>
      </c>
      <c r="N325" s="38" t="s">
        <v>10</v>
      </c>
      <c r="O325" s="36">
        <v>231</v>
      </c>
      <c r="P325" s="36">
        <v>188</v>
      </c>
      <c r="Q325" s="36">
        <v>193</v>
      </c>
      <c r="S325" s="63">
        <v>98390</v>
      </c>
      <c r="T325" s="38" t="s">
        <v>352</v>
      </c>
      <c r="U325" s="36">
        <v>4</v>
      </c>
      <c r="V325" s="36">
        <v>4</v>
      </c>
      <c r="W325" s="36">
        <v>10</v>
      </c>
    </row>
    <row r="326" spans="13:23" x14ac:dyDescent="0.2">
      <c r="M326" s="61">
        <v>98373</v>
      </c>
      <c r="N326" s="38" t="s">
        <v>352</v>
      </c>
      <c r="O326" s="36">
        <v>16</v>
      </c>
      <c r="P326" s="36">
        <v>7</v>
      </c>
      <c r="Q326" s="36">
        <v>10</v>
      </c>
      <c r="S326" s="64">
        <v>98390</v>
      </c>
      <c r="T326" s="38" t="s">
        <v>10</v>
      </c>
      <c r="U326" s="36">
        <v>79</v>
      </c>
      <c r="V326" s="36">
        <v>65</v>
      </c>
      <c r="W326" s="36">
        <v>71</v>
      </c>
    </row>
    <row r="327" spans="13:23" x14ac:dyDescent="0.2">
      <c r="M327" s="59">
        <v>98373</v>
      </c>
      <c r="N327" s="38" t="s">
        <v>10</v>
      </c>
      <c r="O327" s="36">
        <v>181</v>
      </c>
      <c r="P327" s="36">
        <v>158</v>
      </c>
      <c r="Q327" s="36">
        <v>136</v>
      </c>
      <c r="S327" s="63">
        <v>98391</v>
      </c>
      <c r="T327" s="38" t="s">
        <v>352</v>
      </c>
      <c r="U327" s="36">
        <v>2</v>
      </c>
      <c r="V327" s="36">
        <v>1</v>
      </c>
      <c r="W327" s="36">
        <v>4</v>
      </c>
    </row>
    <row r="328" spans="13:23" x14ac:dyDescent="0.2">
      <c r="M328" s="61">
        <v>98374</v>
      </c>
      <c r="N328" s="38" t="s">
        <v>352</v>
      </c>
      <c r="O328" s="36">
        <v>6</v>
      </c>
      <c r="P328" s="36">
        <v>4</v>
      </c>
      <c r="Q328" s="36">
        <v>6</v>
      </c>
      <c r="S328" s="64">
        <v>98391</v>
      </c>
      <c r="T328" s="38" t="s">
        <v>10</v>
      </c>
      <c r="U328" s="36">
        <v>128</v>
      </c>
      <c r="V328" s="36">
        <v>103</v>
      </c>
      <c r="W328" s="36">
        <v>205</v>
      </c>
    </row>
    <row r="329" spans="13:23" x14ac:dyDescent="0.2">
      <c r="M329" s="59">
        <v>98374</v>
      </c>
      <c r="N329" s="38" t="s">
        <v>10</v>
      </c>
      <c r="O329" s="36">
        <v>221</v>
      </c>
      <c r="P329" s="36">
        <v>239</v>
      </c>
      <c r="Q329" s="36">
        <v>232</v>
      </c>
      <c r="S329" s="63">
        <v>98392</v>
      </c>
      <c r="T329" s="38" t="s">
        <v>352</v>
      </c>
      <c r="U329" s="36"/>
      <c r="V329" s="36"/>
      <c r="W329" s="36">
        <v>1</v>
      </c>
    </row>
    <row r="330" spans="13:23" x14ac:dyDescent="0.2">
      <c r="M330" s="61">
        <v>98375</v>
      </c>
      <c r="N330" s="38" t="s">
        <v>352</v>
      </c>
      <c r="O330" s="36">
        <v>3</v>
      </c>
      <c r="P330" s="36">
        <v>4</v>
      </c>
      <c r="Q330" s="36">
        <v>6</v>
      </c>
      <c r="S330" s="64">
        <v>98392</v>
      </c>
      <c r="T330" s="38" t="s">
        <v>10</v>
      </c>
      <c r="U330" s="36">
        <v>7</v>
      </c>
      <c r="V330" s="36">
        <v>12</v>
      </c>
      <c r="W330" s="36">
        <v>18</v>
      </c>
    </row>
    <row r="331" spans="13:23" x14ac:dyDescent="0.2">
      <c r="M331" s="59">
        <v>98375</v>
      </c>
      <c r="N331" s="38" t="s">
        <v>10</v>
      </c>
      <c r="O331" s="36">
        <v>132</v>
      </c>
      <c r="P331" s="36">
        <v>130</v>
      </c>
      <c r="Q331" s="36">
        <v>138</v>
      </c>
      <c r="S331" s="63">
        <v>98396</v>
      </c>
      <c r="T331" s="38" t="s">
        <v>352</v>
      </c>
      <c r="U331" s="36">
        <v>1</v>
      </c>
      <c r="V331" s="36"/>
      <c r="W331" s="36"/>
    </row>
    <row r="332" spans="13:23" x14ac:dyDescent="0.2">
      <c r="M332" s="61">
        <v>98380</v>
      </c>
      <c r="N332" s="38" t="s">
        <v>352</v>
      </c>
      <c r="O332" s="36"/>
      <c r="P332" s="36">
        <v>1</v>
      </c>
      <c r="Q332" s="36">
        <v>2</v>
      </c>
      <c r="S332" s="64">
        <v>98396</v>
      </c>
      <c r="T332" s="38" t="s">
        <v>10</v>
      </c>
      <c r="U332" s="36">
        <v>2</v>
      </c>
      <c r="V332" s="36">
        <v>1</v>
      </c>
      <c r="W332" s="36">
        <v>4</v>
      </c>
    </row>
    <row r="333" spans="13:23" x14ac:dyDescent="0.2">
      <c r="M333" s="59">
        <v>98380</v>
      </c>
      <c r="N333" s="38" t="s">
        <v>10</v>
      </c>
      <c r="O333" s="36">
        <v>32</v>
      </c>
      <c r="P333" s="36">
        <v>38</v>
      </c>
      <c r="Q333" s="36">
        <v>27</v>
      </c>
      <c r="S333" s="63">
        <v>98402</v>
      </c>
      <c r="T333" s="38" t="s">
        <v>352</v>
      </c>
      <c r="U333" s="36"/>
      <c r="V333" s="36"/>
      <c r="W333" s="36">
        <v>3</v>
      </c>
    </row>
    <row r="334" spans="13:23" x14ac:dyDescent="0.2">
      <c r="M334" s="61">
        <v>98383</v>
      </c>
      <c r="N334" s="38" t="s">
        <v>352</v>
      </c>
      <c r="O334" s="36">
        <v>5</v>
      </c>
      <c r="P334" s="36">
        <v>7</v>
      </c>
      <c r="Q334" s="36">
        <v>2</v>
      </c>
      <c r="S334" s="64">
        <v>98402</v>
      </c>
      <c r="T334" s="38" t="s">
        <v>10</v>
      </c>
      <c r="U334" s="36"/>
      <c r="V334" s="36"/>
      <c r="W334" s="36">
        <v>3</v>
      </c>
    </row>
    <row r="335" spans="13:23" x14ac:dyDescent="0.2">
      <c r="M335" s="59">
        <v>98383</v>
      </c>
      <c r="N335" s="38" t="s">
        <v>10</v>
      </c>
      <c r="O335" s="36">
        <v>82</v>
      </c>
      <c r="P335" s="36">
        <v>89</v>
      </c>
      <c r="Q335" s="36">
        <v>84</v>
      </c>
      <c r="S335" s="63">
        <v>98403</v>
      </c>
      <c r="T335" s="38" t="s">
        <v>352</v>
      </c>
      <c r="U335" s="36"/>
      <c r="V335" s="36"/>
      <c r="W335" s="36">
        <v>1</v>
      </c>
    </row>
    <row r="336" spans="13:23" x14ac:dyDescent="0.2">
      <c r="M336" s="61">
        <v>98385</v>
      </c>
      <c r="N336" s="38" t="s">
        <v>352</v>
      </c>
      <c r="O336" s="36"/>
      <c r="P336" s="36">
        <v>1</v>
      </c>
      <c r="Q336" s="36">
        <v>1</v>
      </c>
      <c r="S336" s="64">
        <v>98403</v>
      </c>
      <c r="T336" s="38" t="s">
        <v>10</v>
      </c>
      <c r="U336" s="36">
        <v>6</v>
      </c>
      <c r="V336" s="36">
        <v>7</v>
      </c>
      <c r="W336" s="36">
        <v>13</v>
      </c>
    </row>
    <row r="337" spans="13:23" x14ac:dyDescent="0.2">
      <c r="M337" s="59">
        <v>98385</v>
      </c>
      <c r="N337" s="38" t="s">
        <v>10</v>
      </c>
      <c r="O337" s="36">
        <v>5</v>
      </c>
      <c r="P337" s="36">
        <v>4</v>
      </c>
      <c r="Q337" s="36">
        <v>3</v>
      </c>
      <c r="S337" s="63">
        <v>98404</v>
      </c>
      <c r="T337" s="38" t="s">
        <v>352</v>
      </c>
      <c r="U337" s="36"/>
      <c r="V337" s="36"/>
      <c r="W337" s="36">
        <v>2</v>
      </c>
    </row>
    <row r="338" spans="13:23" x14ac:dyDescent="0.2">
      <c r="M338" s="61">
        <v>98387</v>
      </c>
      <c r="N338" s="38" t="s">
        <v>352</v>
      </c>
      <c r="O338" s="36">
        <v>1</v>
      </c>
      <c r="P338" s="36">
        <v>6</v>
      </c>
      <c r="Q338" s="36">
        <v>1</v>
      </c>
      <c r="S338" s="64">
        <v>98404</v>
      </c>
      <c r="T338" s="38" t="s">
        <v>10</v>
      </c>
      <c r="U338" s="36">
        <v>61</v>
      </c>
      <c r="V338" s="36">
        <v>38</v>
      </c>
      <c r="W338" s="36">
        <v>37</v>
      </c>
    </row>
    <row r="339" spans="13:23" x14ac:dyDescent="0.2">
      <c r="M339" s="59">
        <v>98387</v>
      </c>
      <c r="N339" s="38" t="s">
        <v>10</v>
      </c>
      <c r="O339" s="36">
        <v>128</v>
      </c>
      <c r="P339" s="36">
        <v>117</v>
      </c>
      <c r="Q339" s="36">
        <v>97</v>
      </c>
      <c r="S339" s="63">
        <v>98405</v>
      </c>
      <c r="T339" s="38" t="s">
        <v>352</v>
      </c>
      <c r="U339" s="36"/>
      <c r="V339" s="36"/>
      <c r="W339" s="36">
        <v>4</v>
      </c>
    </row>
    <row r="340" spans="13:23" x14ac:dyDescent="0.2">
      <c r="M340" s="61">
        <v>98388</v>
      </c>
      <c r="N340" s="38" t="s">
        <v>10</v>
      </c>
      <c r="O340" s="36">
        <v>10</v>
      </c>
      <c r="P340" s="36">
        <v>3</v>
      </c>
      <c r="Q340" s="36">
        <v>5</v>
      </c>
      <c r="S340" s="64">
        <v>98405</v>
      </c>
      <c r="T340" s="38" t="s">
        <v>10</v>
      </c>
      <c r="U340" s="36">
        <v>49</v>
      </c>
      <c r="V340" s="36">
        <v>31</v>
      </c>
      <c r="W340" s="36">
        <v>44</v>
      </c>
    </row>
    <row r="341" spans="13:23" x14ac:dyDescent="0.2">
      <c r="M341" s="59">
        <v>98390</v>
      </c>
      <c r="N341" s="38" t="s">
        <v>352</v>
      </c>
      <c r="O341" s="36">
        <v>21</v>
      </c>
      <c r="P341" s="36">
        <v>11</v>
      </c>
      <c r="Q341" s="36">
        <v>12</v>
      </c>
      <c r="S341" s="63">
        <v>98406</v>
      </c>
      <c r="T341" s="38" t="s">
        <v>10</v>
      </c>
      <c r="U341" s="36">
        <v>11</v>
      </c>
      <c r="V341" s="36">
        <v>19</v>
      </c>
      <c r="W341" s="36">
        <v>27</v>
      </c>
    </row>
    <row r="342" spans="13:23" x14ac:dyDescent="0.2">
      <c r="M342" s="61">
        <v>98390</v>
      </c>
      <c r="N342" s="38" t="s">
        <v>10</v>
      </c>
      <c r="O342" s="36">
        <v>118</v>
      </c>
      <c r="P342" s="36">
        <v>101</v>
      </c>
      <c r="Q342" s="36">
        <v>87</v>
      </c>
      <c r="S342" s="64">
        <v>98407</v>
      </c>
      <c r="T342" s="38" t="s">
        <v>352</v>
      </c>
      <c r="U342" s="36"/>
      <c r="V342" s="36"/>
      <c r="W342" s="33">
        <v>2</v>
      </c>
    </row>
    <row r="343" spans="13:23" x14ac:dyDescent="0.2">
      <c r="M343" s="59">
        <v>98391</v>
      </c>
      <c r="N343" s="38" t="s">
        <v>352</v>
      </c>
      <c r="O343" s="36">
        <v>7</v>
      </c>
      <c r="P343" s="36">
        <v>6</v>
      </c>
      <c r="Q343" s="36">
        <v>4</v>
      </c>
      <c r="S343" s="63">
        <v>98407</v>
      </c>
      <c r="T343" s="38" t="s">
        <v>10</v>
      </c>
      <c r="U343" s="36">
        <v>13</v>
      </c>
      <c r="V343" s="36">
        <v>8</v>
      </c>
      <c r="W343" s="36">
        <v>11</v>
      </c>
    </row>
    <row r="344" spans="13:23" x14ac:dyDescent="0.2">
      <c r="M344" s="61">
        <v>98391</v>
      </c>
      <c r="N344" s="38" t="s">
        <v>10</v>
      </c>
      <c r="O344" s="36">
        <v>270</v>
      </c>
      <c r="P344" s="36">
        <v>233</v>
      </c>
      <c r="Q344" s="33">
        <v>253</v>
      </c>
      <c r="S344" s="64">
        <v>98408</v>
      </c>
      <c r="T344" s="38" t="s">
        <v>352</v>
      </c>
      <c r="U344" s="36"/>
      <c r="V344" s="36">
        <v>1</v>
      </c>
      <c r="W344" s="36"/>
    </row>
    <row r="345" spans="13:23" x14ac:dyDescent="0.2">
      <c r="M345" s="59">
        <v>98392</v>
      </c>
      <c r="N345" s="38" t="s">
        <v>352</v>
      </c>
      <c r="O345" s="36">
        <v>1</v>
      </c>
      <c r="P345" s="36">
        <v>2</v>
      </c>
      <c r="Q345" s="36"/>
      <c r="S345" s="63">
        <v>98408</v>
      </c>
      <c r="T345" s="38" t="s">
        <v>10</v>
      </c>
      <c r="U345" s="36">
        <v>33</v>
      </c>
      <c r="V345" s="36">
        <v>29</v>
      </c>
      <c r="W345" s="36">
        <v>35</v>
      </c>
    </row>
    <row r="346" spans="13:23" x14ac:dyDescent="0.2">
      <c r="M346" s="61">
        <v>98392</v>
      </c>
      <c r="N346" s="38" t="s">
        <v>10</v>
      </c>
      <c r="O346" s="36">
        <v>16</v>
      </c>
      <c r="P346" s="36">
        <v>25</v>
      </c>
      <c r="Q346" s="36">
        <v>19</v>
      </c>
      <c r="S346" s="64">
        <v>98409</v>
      </c>
      <c r="T346" s="38" t="s">
        <v>352</v>
      </c>
      <c r="U346" s="36">
        <v>3</v>
      </c>
      <c r="V346" s="36"/>
      <c r="W346" s="36">
        <v>4</v>
      </c>
    </row>
    <row r="347" spans="13:23" x14ac:dyDescent="0.2">
      <c r="M347" s="59">
        <v>98396</v>
      </c>
      <c r="N347" s="38" t="s">
        <v>352</v>
      </c>
      <c r="O347" s="36">
        <v>1</v>
      </c>
      <c r="P347" s="36"/>
      <c r="Q347" s="36"/>
      <c r="S347" s="63">
        <v>98409</v>
      </c>
      <c r="T347" s="38" t="s">
        <v>10</v>
      </c>
      <c r="U347" s="36">
        <v>33</v>
      </c>
      <c r="V347" s="36">
        <v>36</v>
      </c>
      <c r="W347" s="36">
        <v>32</v>
      </c>
    </row>
    <row r="348" spans="13:23" x14ac:dyDescent="0.2">
      <c r="M348" s="61">
        <v>98396</v>
      </c>
      <c r="N348" s="38" t="s">
        <v>10</v>
      </c>
      <c r="O348" s="36">
        <v>3</v>
      </c>
      <c r="P348" s="36">
        <v>2</v>
      </c>
      <c r="Q348" s="36">
        <v>8</v>
      </c>
      <c r="S348" s="64">
        <v>98418</v>
      </c>
      <c r="T348" s="38" t="s">
        <v>352</v>
      </c>
      <c r="U348" s="36"/>
      <c r="V348" s="36"/>
      <c r="W348" s="36">
        <v>1</v>
      </c>
    </row>
    <row r="349" spans="13:23" x14ac:dyDescent="0.2">
      <c r="M349" s="59">
        <v>98402</v>
      </c>
      <c r="N349" s="38" t="s">
        <v>352</v>
      </c>
      <c r="O349" s="36">
        <v>4</v>
      </c>
      <c r="P349" s="36">
        <v>1</v>
      </c>
      <c r="Q349" s="36">
        <v>5</v>
      </c>
      <c r="S349" s="63">
        <v>98418</v>
      </c>
      <c r="T349" s="38" t="s">
        <v>10</v>
      </c>
      <c r="U349" s="36">
        <v>28</v>
      </c>
      <c r="V349" s="36">
        <v>16</v>
      </c>
      <c r="W349" s="36">
        <v>22</v>
      </c>
    </row>
    <row r="350" spans="13:23" x14ac:dyDescent="0.2">
      <c r="M350" s="61">
        <v>98402</v>
      </c>
      <c r="N350" s="38" t="s">
        <v>10</v>
      </c>
      <c r="O350" s="36"/>
      <c r="P350" s="36">
        <v>1</v>
      </c>
      <c r="Q350" s="36">
        <v>3</v>
      </c>
      <c r="S350" s="64">
        <v>98421</v>
      </c>
      <c r="T350" s="38" t="s">
        <v>352</v>
      </c>
      <c r="U350" s="33">
        <v>1</v>
      </c>
      <c r="V350" s="33"/>
      <c r="W350" s="36">
        <v>4</v>
      </c>
    </row>
    <row r="351" spans="13:23" x14ac:dyDescent="0.2">
      <c r="M351" s="59">
        <v>98403</v>
      </c>
      <c r="N351" s="38" t="s">
        <v>352</v>
      </c>
      <c r="O351" s="36">
        <v>1</v>
      </c>
      <c r="P351" s="36">
        <v>2</v>
      </c>
      <c r="Q351" s="36">
        <v>1</v>
      </c>
      <c r="S351" s="63">
        <v>98422</v>
      </c>
      <c r="T351" s="38" t="s">
        <v>10</v>
      </c>
      <c r="U351" s="36">
        <v>12</v>
      </c>
      <c r="V351" s="36">
        <v>12</v>
      </c>
      <c r="W351" s="36">
        <v>23</v>
      </c>
    </row>
    <row r="352" spans="13:23" x14ac:dyDescent="0.2">
      <c r="M352" s="61">
        <v>98403</v>
      </c>
      <c r="N352" s="38" t="s">
        <v>10</v>
      </c>
      <c r="O352" s="33">
        <v>11</v>
      </c>
      <c r="P352" s="33">
        <v>13</v>
      </c>
      <c r="Q352" s="36">
        <v>15</v>
      </c>
      <c r="S352" s="64">
        <v>98424</v>
      </c>
      <c r="T352" s="38" t="s">
        <v>352</v>
      </c>
      <c r="U352" s="36">
        <v>1</v>
      </c>
      <c r="V352" s="36"/>
      <c r="W352" s="36">
        <v>4</v>
      </c>
    </row>
    <row r="353" spans="13:23" x14ac:dyDescent="0.2">
      <c r="M353" s="59">
        <v>98404</v>
      </c>
      <c r="N353" s="38" t="s">
        <v>352</v>
      </c>
      <c r="O353" s="36">
        <v>7</v>
      </c>
      <c r="P353" s="36">
        <v>5</v>
      </c>
      <c r="Q353" s="36">
        <v>2</v>
      </c>
      <c r="S353" s="63">
        <v>98424</v>
      </c>
      <c r="T353" s="38" t="s">
        <v>10</v>
      </c>
      <c r="U353" s="36">
        <v>8</v>
      </c>
      <c r="V353" s="36">
        <v>4</v>
      </c>
      <c r="W353" s="36">
        <v>15</v>
      </c>
    </row>
    <row r="354" spans="13:23" x14ac:dyDescent="0.2">
      <c r="M354" s="61">
        <v>98404</v>
      </c>
      <c r="N354" s="38" t="s">
        <v>10</v>
      </c>
      <c r="O354" s="36">
        <v>83</v>
      </c>
      <c r="P354" s="36">
        <v>58</v>
      </c>
      <c r="Q354" s="36">
        <v>49</v>
      </c>
      <c r="S354" s="64">
        <v>98439</v>
      </c>
      <c r="T354" s="38" t="s">
        <v>352</v>
      </c>
      <c r="U354" s="36">
        <v>1</v>
      </c>
      <c r="V354" s="36">
        <v>1</v>
      </c>
      <c r="W354" s="36">
        <v>5</v>
      </c>
    </row>
    <row r="355" spans="13:23" x14ac:dyDescent="0.2">
      <c r="M355" s="59">
        <v>98405</v>
      </c>
      <c r="N355" s="38" t="s">
        <v>352</v>
      </c>
      <c r="O355" s="36">
        <v>8</v>
      </c>
      <c r="P355" s="36">
        <v>5</v>
      </c>
      <c r="Q355" s="36">
        <v>5</v>
      </c>
      <c r="S355" s="63">
        <v>98439</v>
      </c>
      <c r="T355" s="38" t="s">
        <v>10</v>
      </c>
      <c r="U355" s="36">
        <v>67</v>
      </c>
      <c r="V355" s="36">
        <v>53</v>
      </c>
      <c r="W355" s="36">
        <v>63</v>
      </c>
    </row>
    <row r="356" spans="13:23" x14ac:dyDescent="0.2">
      <c r="M356" s="61">
        <v>98405</v>
      </c>
      <c r="N356" s="38" t="s">
        <v>10</v>
      </c>
      <c r="O356" s="36">
        <v>70</v>
      </c>
      <c r="P356" s="36">
        <v>58</v>
      </c>
      <c r="Q356" s="36">
        <v>41</v>
      </c>
      <c r="S356" s="64">
        <v>98443</v>
      </c>
      <c r="T356" s="38" t="s">
        <v>10</v>
      </c>
      <c r="U356" s="33">
        <v>1</v>
      </c>
      <c r="V356" s="36">
        <v>2</v>
      </c>
      <c r="W356" s="36">
        <v>2</v>
      </c>
    </row>
    <row r="357" spans="13:23" x14ac:dyDescent="0.2">
      <c r="M357" s="59">
        <v>98406</v>
      </c>
      <c r="N357" s="38" t="s">
        <v>352</v>
      </c>
      <c r="O357" s="36">
        <v>3</v>
      </c>
      <c r="P357" s="36"/>
      <c r="Q357" s="36">
        <v>2</v>
      </c>
      <c r="S357" s="63">
        <v>98444</v>
      </c>
      <c r="T357" s="38" t="s">
        <v>352</v>
      </c>
      <c r="U357" s="36"/>
      <c r="V357" s="36">
        <v>1</v>
      </c>
      <c r="W357" s="36">
        <v>4</v>
      </c>
    </row>
    <row r="358" spans="13:23" x14ac:dyDescent="0.2">
      <c r="M358" s="61">
        <v>98406</v>
      </c>
      <c r="N358" s="38" t="s">
        <v>10</v>
      </c>
      <c r="O358" s="36">
        <v>23</v>
      </c>
      <c r="P358" s="36">
        <v>37</v>
      </c>
      <c r="Q358" s="36">
        <v>32</v>
      </c>
      <c r="S358" s="64">
        <v>98444</v>
      </c>
      <c r="T358" s="38" t="s">
        <v>10</v>
      </c>
      <c r="U358" s="36">
        <v>6</v>
      </c>
      <c r="V358" s="36">
        <v>19</v>
      </c>
      <c r="W358" s="36">
        <v>24</v>
      </c>
    </row>
    <row r="359" spans="13:23" x14ac:dyDescent="0.2">
      <c r="M359" s="59">
        <v>98407</v>
      </c>
      <c r="N359" s="38" t="s">
        <v>352</v>
      </c>
      <c r="O359" s="36">
        <v>1</v>
      </c>
      <c r="P359" s="36">
        <v>2</v>
      </c>
      <c r="Q359" s="36">
        <v>1</v>
      </c>
      <c r="S359" s="64">
        <v>98445</v>
      </c>
      <c r="T359" s="38" t="s">
        <v>10</v>
      </c>
      <c r="U359" s="36">
        <v>35</v>
      </c>
      <c r="V359" s="36">
        <v>24</v>
      </c>
      <c r="W359" s="36">
        <v>40</v>
      </c>
    </row>
    <row r="360" spans="13:23" x14ac:dyDescent="0.2">
      <c r="M360" s="61">
        <v>98407</v>
      </c>
      <c r="N360" s="38" t="s">
        <v>10</v>
      </c>
      <c r="O360" s="36">
        <v>25</v>
      </c>
      <c r="P360" s="36">
        <v>18</v>
      </c>
      <c r="Q360" s="36">
        <v>21</v>
      </c>
      <c r="S360" s="63">
        <v>98446</v>
      </c>
      <c r="T360" s="38" t="s">
        <v>10</v>
      </c>
      <c r="U360" s="36">
        <v>27</v>
      </c>
      <c r="V360" s="36">
        <v>15</v>
      </c>
      <c r="W360" s="36">
        <v>18</v>
      </c>
    </row>
    <row r="361" spans="13:23" x14ac:dyDescent="0.2">
      <c r="M361" s="61">
        <v>98408</v>
      </c>
      <c r="N361" s="38" t="s">
        <v>352</v>
      </c>
      <c r="O361" s="36">
        <v>1</v>
      </c>
      <c r="P361" s="36">
        <v>1</v>
      </c>
      <c r="Q361" s="36">
        <v>1</v>
      </c>
      <c r="S361" s="64">
        <v>98465</v>
      </c>
      <c r="T361" s="38" t="s">
        <v>10</v>
      </c>
      <c r="U361" s="36">
        <v>3</v>
      </c>
      <c r="V361" s="36">
        <v>1</v>
      </c>
      <c r="W361" s="36">
        <v>5</v>
      </c>
    </row>
    <row r="362" spans="13:23" x14ac:dyDescent="0.2">
      <c r="M362" s="59">
        <v>98408</v>
      </c>
      <c r="N362" s="38" t="s">
        <v>10</v>
      </c>
      <c r="O362" s="36">
        <v>52</v>
      </c>
      <c r="P362" s="36">
        <v>52</v>
      </c>
      <c r="Q362" s="36">
        <v>39</v>
      </c>
      <c r="S362" s="63">
        <v>98466</v>
      </c>
      <c r="T362" s="38" t="s">
        <v>352</v>
      </c>
      <c r="U362" s="36"/>
      <c r="V362" s="36"/>
      <c r="W362" s="36">
        <v>1</v>
      </c>
    </row>
    <row r="363" spans="13:23" x14ac:dyDescent="0.2">
      <c r="M363" s="61">
        <v>98409</v>
      </c>
      <c r="N363" s="38" t="s">
        <v>352</v>
      </c>
      <c r="O363" s="36">
        <v>9</v>
      </c>
      <c r="P363" s="36">
        <v>8</v>
      </c>
      <c r="Q363" s="36">
        <v>10</v>
      </c>
      <c r="S363" s="64">
        <v>98466</v>
      </c>
      <c r="T363" s="38" t="s">
        <v>10</v>
      </c>
      <c r="U363" s="36">
        <v>19</v>
      </c>
      <c r="V363" s="36">
        <v>6</v>
      </c>
      <c r="W363" s="36">
        <v>17</v>
      </c>
    </row>
    <row r="364" spans="13:23" x14ac:dyDescent="0.2">
      <c r="M364" s="59">
        <v>98409</v>
      </c>
      <c r="N364" s="38" t="s">
        <v>10</v>
      </c>
      <c r="O364" s="36">
        <v>50</v>
      </c>
      <c r="P364" s="36">
        <v>55</v>
      </c>
      <c r="Q364" s="36">
        <v>39</v>
      </c>
      <c r="S364" s="63">
        <v>98467</v>
      </c>
      <c r="T364" s="38" t="s">
        <v>352</v>
      </c>
      <c r="U364" s="36"/>
      <c r="V364" s="36"/>
      <c r="W364" s="36">
        <v>1</v>
      </c>
    </row>
    <row r="365" spans="13:23" x14ac:dyDescent="0.2">
      <c r="M365" s="61">
        <v>98418</v>
      </c>
      <c r="N365" s="38" t="s">
        <v>352</v>
      </c>
      <c r="O365" s="36">
        <v>3</v>
      </c>
      <c r="P365" s="36">
        <v>2</v>
      </c>
      <c r="Q365" s="36">
        <v>3</v>
      </c>
      <c r="S365" s="64">
        <v>98467</v>
      </c>
      <c r="T365" s="38" t="s">
        <v>10</v>
      </c>
      <c r="U365" s="36">
        <v>5</v>
      </c>
      <c r="V365" s="36">
        <v>5</v>
      </c>
      <c r="W365" s="36">
        <v>11</v>
      </c>
    </row>
    <row r="366" spans="13:23" x14ac:dyDescent="0.2">
      <c r="M366" s="59">
        <v>98418</v>
      </c>
      <c r="N366" s="38" t="s">
        <v>10</v>
      </c>
      <c r="O366" s="36">
        <v>37</v>
      </c>
      <c r="P366" s="36">
        <v>31</v>
      </c>
      <c r="Q366" s="36">
        <v>28</v>
      </c>
      <c r="S366" s="63">
        <v>98498</v>
      </c>
      <c r="T366" s="38" t="s">
        <v>352</v>
      </c>
      <c r="U366" s="36">
        <v>1</v>
      </c>
      <c r="V366" s="36">
        <v>6</v>
      </c>
      <c r="W366" s="36">
        <v>2</v>
      </c>
    </row>
    <row r="367" spans="13:23" x14ac:dyDescent="0.2">
      <c r="M367" s="61">
        <v>98421</v>
      </c>
      <c r="N367" s="38" t="s">
        <v>352</v>
      </c>
      <c r="O367" s="36">
        <v>6</v>
      </c>
      <c r="P367" s="36">
        <v>2</v>
      </c>
      <c r="Q367" s="36">
        <v>4</v>
      </c>
      <c r="S367" s="64">
        <v>98498</v>
      </c>
      <c r="T367" s="38" t="s">
        <v>10</v>
      </c>
      <c r="U367" s="36">
        <v>145</v>
      </c>
      <c r="V367" s="36">
        <v>82</v>
      </c>
      <c r="W367" s="36">
        <v>133</v>
      </c>
    </row>
    <row r="368" spans="13:23" x14ac:dyDescent="0.2">
      <c r="M368" s="59">
        <v>98422</v>
      </c>
      <c r="N368" s="38" t="s">
        <v>352</v>
      </c>
      <c r="O368" s="36"/>
      <c r="P368" s="36">
        <v>2</v>
      </c>
      <c r="Q368" s="36"/>
      <c r="S368" s="63">
        <v>98499</v>
      </c>
      <c r="T368" s="38" t="s">
        <v>352</v>
      </c>
      <c r="U368" s="36"/>
      <c r="V368" s="36">
        <v>3</v>
      </c>
      <c r="W368" s="36">
        <v>7</v>
      </c>
    </row>
    <row r="369" spans="13:23" x14ac:dyDescent="0.2">
      <c r="M369" s="61">
        <v>98422</v>
      </c>
      <c r="N369" s="38" t="s">
        <v>10</v>
      </c>
      <c r="O369" s="36">
        <v>30</v>
      </c>
      <c r="P369" s="36">
        <v>21</v>
      </c>
      <c r="Q369" s="36">
        <v>32</v>
      </c>
      <c r="S369" s="64">
        <v>98499</v>
      </c>
      <c r="T369" s="38" t="s">
        <v>10</v>
      </c>
      <c r="U369" s="36">
        <v>29</v>
      </c>
      <c r="V369" s="36">
        <v>31</v>
      </c>
      <c r="W369" s="36">
        <v>37</v>
      </c>
    </row>
    <row r="370" spans="13:23" x14ac:dyDescent="0.2">
      <c r="M370" s="59">
        <v>98424</v>
      </c>
      <c r="N370" s="38" t="s">
        <v>352</v>
      </c>
      <c r="O370" s="36">
        <v>5</v>
      </c>
      <c r="P370" s="36">
        <v>3</v>
      </c>
      <c r="Q370" s="36">
        <v>5</v>
      </c>
      <c r="S370" s="63">
        <v>98501</v>
      </c>
      <c r="T370" s="38" t="s">
        <v>352</v>
      </c>
      <c r="U370" s="36">
        <v>4</v>
      </c>
      <c r="V370" s="36">
        <v>4</v>
      </c>
      <c r="W370" s="36">
        <v>19</v>
      </c>
    </row>
    <row r="371" spans="13:23" x14ac:dyDescent="0.2">
      <c r="M371" s="61">
        <v>98424</v>
      </c>
      <c r="N371" s="38" t="s">
        <v>10</v>
      </c>
      <c r="O371" s="36">
        <v>13</v>
      </c>
      <c r="P371" s="36">
        <v>16</v>
      </c>
      <c r="Q371" s="36">
        <v>16</v>
      </c>
      <c r="S371" s="64">
        <v>98501</v>
      </c>
      <c r="T371" s="38" t="s">
        <v>10</v>
      </c>
      <c r="U371" s="36">
        <v>161</v>
      </c>
      <c r="V371" s="36">
        <v>142</v>
      </c>
      <c r="W371" s="36">
        <v>160</v>
      </c>
    </row>
    <row r="372" spans="13:23" x14ac:dyDescent="0.2">
      <c r="M372" s="59">
        <v>98439</v>
      </c>
      <c r="N372" s="38" t="s">
        <v>352</v>
      </c>
      <c r="O372" s="36">
        <v>2</v>
      </c>
      <c r="P372" s="36">
        <v>1</v>
      </c>
      <c r="Q372" s="36">
        <v>5</v>
      </c>
      <c r="S372" s="63">
        <v>98502</v>
      </c>
      <c r="T372" s="38" t="s">
        <v>10</v>
      </c>
      <c r="U372" s="36">
        <v>165</v>
      </c>
      <c r="V372" s="36">
        <v>146</v>
      </c>
      <c r="W372" s="36">
        <v>160</v>
      </c>
    </row>
    <row r="373" spans="13:23" x14ac:dyDescent="0.2">
      <c r="M373" s="61">
        <v>98439</v>
      </c>
      <c r="N373" s="38" t="s">
        <v>10</v>
      </c>
      <c r="O373" s="36">
        <v>92</v>
      </c>
      <c r="P373" s="36">
        <v>75</v>
      </c>
      <c r="Q373" s="36">
        <v>65</v>
      </c>
      <c r="S373" s="64">
        <v>98503</v>
      </c>
      <c r="T373" s="38" t="s">
        <v>352</v>
      </c>
      <c r="U373" s="36">
        <v>3</v>
      </c>
      <c r="V373" s="36">
        <v>1</v>
      </c>
      <c r="W373" s="36">
        <v>8</v>
      </c>
    </row>
    <row r="374" spans="13:23" x14ac:dyDescent="0.2">
      <c r="M374" s="59">
        <v>98443</v>
      </c>
      <c r="N374" s="38" t="s">
        <v>10</v>
      </c>
      <c r="O374" s="36">
        <v>2</v>
      </c>
      <c r="P374" s="36">
        <v>2</v>
      </c>
      <c r="Q374" s="36">
        <v>1</v>
      </c>
      <c r="S374" s="63">
        <v>98503</v>
      </c>
      <c r="T374" s="38" t="s">
        <v>10</v>
      </c>
      <c r="U374" s="36">
        <v>188</v>
      </c>
      <c r="V374" s="36">
        <v>130</v>
      </c>
      <c r="W374" s="36">
        <v>187</v>
      </c>
    </row>
    <row r="375" spans="13:23" x14ac:dyDescent="0.2">
      <c r="M375" s="61">
        <v>98444</v>
      </c>
      <c r="N375" s="38" t="s">
        <v>352</v>
      </c>
      <c r="O375" s="36">
        <v>4</v>
      </c>
      <c r="P375" s="36">
        <v>4</v>
      </c>
      <c r="Q375" s="36">
        <v>6</v>
      </c>
      <c r="S375" s="64">
        <v>98506</v>
      </c>
      <c r="T375" s="38" t="s">
        <v>352</v>
      </c>
      <c r="U375" s="36">
        <v>3</v>
      </c>
      <c r="V375" s="36">
        <v>4</v>
      </c>
      <c r="W375" s="36">
        <v>5</v>
      </c>
    </row>
    <row r="376" spans="13:23" x14ac:dyDescent="0.2">
      <c r="M376" s="59">
        <v>98444</v>
      </c>
      <c r="N376" s="38" t="s">
        <v>10</v>
      </c>
      <c r="O376" s="36">
        <v>21</v>
      </c>
      <c r="P376" s="36">
        <v>30</v>
      </c>
      <c r="Q376" s="36">
        <v>32</v>
      </c>
      <c r="S376" s="63">
        <v>98506</v>
      </c>
      <c r="T376" s="38" t="s">
        <v>10</v>
      </c>
      <c r="U376" s="36">
        <v>58</v>
      </c>
      <c r="V376" s="36">
        <v>48</v>
      </c>
      <c r="W376" s="36">
        <v>81</v>
      </c>
    </row>
    <row r="377" spans="13:23" x14ac:dyDescent="0.2">
      <c r="M377" s="61">
        <v>98445</v>
      </c>
      <c r="N377" s="38" t="s">
        <v>352</v>
      </c>
      <c r="O377" s="36"/>
      <c r="P377" s="36"/>
      <c r="Q377" s="36">
        <v>1</v>
      </c>
      <c r="S377" s="64">
        <v>98512</v>
      </c>
      <c r="T377" s="38" t="s">
        <v>352</v>
      </c>
      <c r="U377" s="36">
        <v>1</v>
      </c>
      <c r="V377" s="36">
        <v>2</v>
      </c>
      <c r="W377" s="36">
        <v>3</v>
      </c>
    </row>
    <row r="378" spans="13:23" x14ac:dyDescent="0.2">
      <c r="M378" s="59">
        <v>98445</v>
      </c>
      <c r="N378" s="38" t="s">
        <v>10</v>
      </c>
      <c r="O378" s="36">
        <v>49</v>
      </c>
      <c r="P378" s="36">
        <v>49</v>
      </c>
      <c r="Q378" s="36">
        <v>49</v>
      </c>
      <c r="S378" s="63">
        <v>98512</v>
      </c>
      <c r="T378" s="38" t="s">
        <v>10</v>
      </c>
      <c r="U378" s="36">
        <v>115</v>
      </c>
      <c r="V378" s="36">
        <v>73</v>
      </c>
      <c r="W378" s="36">
        <v>148</v>
      </c>
    </row>
    <row r="379" spans="13:23" x14ac:dyDescent="0.2">
      <c r="M379" s="61">
        <v>98446</v>
      </c>
      <c r="N379" s="38" t="s">
        <v>10</v>
      </c>
      <c r="O379" s="36">
        <v>31</v>
      </c>
      <c r="P379" s="36">
        <v>22</v>
      </c>
      <c r="Q379" s="36">
        <v>22</v>
      </c>
      <c r="S379" s="64">
        <v>98513</v>
      </c>
      <c r="T379" s="38" t="s">
        <v>352</v>
      </c>
      <c r="U379" s="36">
        <v>1</v>
      </c>
      <c r="V379" s="36"/>
      <c r="W379" s="36">
        <v>2</v>
      </c>
    </row>
    <row r="380" spans="13:23" x14ac:dyDescent="0.2">
      <c r="M380" s="59">
        <v>98465</v>
      </c>
      <c r="N380" s="38" t="s">
        <v>10</v>
      </c>
      <c r="O380" s="36">
        <v>7</v>
      </c>
      <c r="P380" s="36">
        <v>3</v>
      </c>
      <c r="Q380" s="36">
        <v>6</v>
      </c>
      <c r="S380" s="63">
        <v>98513</v>
      </c>
      <c r="T380" s="38" t="s">
        <v>10</v>
      </c>
      <c r="U380" s="36">
        <v>104</v>
      </c>
      <c r="V380" s="36">
        <v>62</v>
      </c>
      <c r="W380" s="36">
        <v>136</v>
      </c>
    </row>
    <row r="381" spans="13:23" x14ac:dyDescent="0.2">
      <c r="M381" s="61">
        <v>98466</v>
      </c>
      <c r="N381" s="38" t="s">
        <v>352</v>
      </c>
      <c r="O381" s="36">
        <v>1</v>
      </c>
      <c r="P381" s="36"/>
      <c r="Q381" s="36">
        <v>2</v>
      </c>
      <c r="S381" s="64">
        <v>98516</v>
      </c>
      <c r="T381" s="38" t="s">
        <v>352</v>
      </c>
      <c r="U381" s="36">
        <v>1</v>
      </c>
      <c r="V381" s="36">
        <v>4</v>
      </c>
      <c r="W381" s="36">
        <v>8</v>
      </c>
    </row>
    <row r="382" spans="13:23" x14ac:dyDescent="0.2">
      <c r="M382" s="59">
        <v>98466</v>
      </c>
      <c r="N382" s="38" t="s">
        <v>10</v>
      </c>
      <c r="O382" s="36">
        <v>29</v>
      </c>
      <c r="P382" s="36">
        <v>17</v>
      </c>
      <c r="Q382" s="36">
        <v>21</v>
      </c>
      <c r="S382" s="63">
        <v>98516</v>
      </c>
      <c r="T382" s="38" t="s">
        <v>10</v>
      </c>
      <c r="U382" s="36">
        <v>106</v>
      </c>
      <c r="V382" s="36">
        <v>71</v>
      </c>
      <c r="W382" s="36">
        <v>110</v>
      </c>
    </row>
    <row r="383" spans="13:23" x14ac:dyDescent="0.2">
      <c r="M383" s="61">
        <v>98467</v>
      </c>
      <c r="N383" s="38" t="s">
        <v>352</v>
      </c>
      <c r="O383" s="36"/>
      <c r="P383" s="36"/>
      <c r="Q383" s="36">
        <v>1</v>
      </c>
      <c r="S383" s="64">
        <v>98530</v>
      </c>
      <c r="T383" s="38" t="s">
        <v>10</v>
      </c>
      <c r="U383" s="36">
        <v>2</v>
      </c>
      <c r="V383" s="36">
        <v>7</v>
      </c>
      <c r="W383" s="36">
        <v>5</v>
      </c>
    </row>
    <row r="384" spans="13:23" x14ac:dyDescent="0.2">
      <c r="M384" s="59">
        <v>98467</v>
      </c>
      <c r="N384" s="38" t="s">
        <v>10</v>
      </c>
      <c r="O384" s="36">
        <v>11</v>
      </c>
      <c r="P384" s="36">
        <v>13</v>
      </c>
      <c r="Q384" s="36">
        <v>19</v>
      </c>
      <c r="S384" s="64">
        <v>98531</v>
      </c>
      <c r="T384" s="38" t="s">
        <v>352</v>
      </c>
      <c r="U384" s="33">
        <v>1</v>
      </c>
      <c r="V384" s="33">
        <v>1</v>
      </c>
      <c r="W384" s="36">
        <v>2</v>
      </c>
    </row>
    <row r="385" spans="13:23" x14ac:dyDescent="0.2">
      <c r="M385" s="61">
        <v>98498</v>
      </c>
      <c r="N385" s="38" t="s">
        <v>352</v>
      </c>
      <c r="O385" s="36">
        <v>7</v>
      </c>
      <c r="P385" s="36">
        <v>6</v>
      </c>
      <c r="Q385" s="36">
        <v>8</v>
      </c>
      <c r="S385" s="64">
        <v>98531</v>
      </c>
      <c r="T385" s="38" t="s">
        <v>10</v>
      </c>
      <c r="U385" s="36">
        <v>33</v>
      </c>
      <c r="V385" s="36">
        <v>34</v>
      </c>
      <c r="W385" s="36">
        <v>19</v>
      </c>
    </row>
    <row r="386" spans="13:23" x14ac:dyDescent="0.2">
      <c r="M386" s="61">
        <v>98498</v>
      </c>
      <c r="N386" s="38" t="s">
        <v>10</v>
      </c>
      <c r="O386" s="33">
        <v>229</v>
      </c>
      <c r="P386" s="36">
        <v>164</v>
      </c>
      <c r="Q386" s="36">
        <v>147</v>
      </c>
      <c r="S386" s="63">
        <v>98532</v>
      </c>
      <c r="T386" s="38" t="s">
        <v>10</v>
      </c>
      <c r="U386" s="36">
        <v>6</v>
      </c>
      <c r="V386" s="36">
        <v>3</v>
      </c>
      <c r="W386" s="36">
        <v>8</v>
      </c>
    </row>
    <row r="387" spans="13:23" x14ac:dyDescent="0.2">
      <c r="M387" s="61">
        <v>98499</v>
      </c>
      <c r="N387" s="38" t="s">
        <v>352</v>
      </c>
      <c r="O387" s="36">
        <v>10</v>
      </c>
      <c r="P387" s="36">
        <v>11</v>
      </c>
      <c r="Q387" s="36">
        <v>10</v>
      </c>
      <c r="S387" s="64">
        <v>98558</v>
      </c>
      <c r="T387" s="38" t="s">
        <v>10</v>
      </c>
      <c r="U387" s="36">
        <v>2</v>
      </c>
      <c r="V387" s="36">
        <v>2</v>
      </c>
      <c r="W387" s="36">
        <v>2</v>
      </c>
    </row>
    <row r="388" spans="13:23" x14ac:dyDescent="0.2">
      <c r="M388" s="59">
        <v>98499</v>
      </c>
      <c r="N388" s="38" t="s">
        <v>10</v>
      </c>
      <c r="O388" s="36">
        <v>53</v>
      </c>
      <c r="P388" s="36">
        <v>37</v>
      </c>
      <c r="Q388" s="36">
        <v>43</v>
      </c>
      <c r="S388" s="64">
        <v>98576</v>
      </c>
      <c r="T388" s="38" t="s">
        <v>352</v>
      </c>
      <c r="U388" s="36">
        <v>1</v>
      </c>
      <c r="V388" s="36"/>
      <c r="W388" s="36">
        <v>1</v>
      </c>
    </row>
    <row r="389" spans="13:23" x14ac:dyDescent="0.2">
      <c r="M389" s="61">
        <v>98501</v>
      </c>
      <c r="N389" s="38" t="s">
        <v>352</v>
      </c>
      <c r="O389" s="36">
        <v>22</v>
      </c>
      <c r="P389" s="36">
        <v>32</v>
      </c>
      <c r="Q389" s="36">
        <v>19</v>
      </c>
      <c r="S389" s="63">
        <v>98576</v>
      </c>
      <c r="T389" s="38" t="s">
        <v>10</v>
      </c>
      <c r="U389" s="36">
        <v>24</v>
      </c>
      <c r="V389" s="36">
        <v>11</v>
      </c>
      <c r="W389" s="36">
        <v>23</v>
      </c>
    </row>
    <row r="390" spans="13:23" x14ac:dyDescent="0.2">
      <c r="M390" s="61">
        <v>98501</v>
      </c>
      <c r="N390" s="38" t="s">
        <v>10</v>
      </c>
      <c r="O390" s="36">
        <v>251</v>
      </c>
      <c r="P390" s="36">
        <v>226</v>
      </c>
      <c r="Q390" s="36">
        <v>214</v>
      </c>
      <c r="S390" s="64">
        <v>98579</v>
      </c>
      <c r="T390" s="38" t="s">
        <v>352</v>
      </c>
      <c r="U390" s="36"/>
      <c r="V390" s="33"/>
      <c r="W390" s="36">
        <v>2</v>
      </c>
    </row>
    <row r="391" spans="13:23" x14ac:dyDescent="0.2">
      <c r="M391" s="59">
        <v>98502</v>
      </c>
      <c r="N391" s="38" t="s">
        <v>352</v>
      </c>
      <c r="O391" s="36">
        <v>9</v>
      </c>
      <c r="P391" s="36">
        <v>7</v>
      </c>
      <c r="Q391" s="36">
        <v>11</v>
      </c>
      <c r="S391" s="63">
        <v>98579</v>
      </c>
      <c r="T391" s="38" t="s">
        <v>10</v>
      </c>
      <c r="U391" s="36">
        <v>47</v>
      </c>
      <c r="V391" s="36">
        <v>25</v>
      </c>
      <c r="W391" s="36">
        <v>48</v>
      </c>
    </row>
    <row r="392" spans="13:23" x14ac:dyDescent="0.2">
      <c r="M392" s="61">
        <v>98502</v>
      </c>
      <c r="N392" s="38" t="s">
        <v>10</v>
      </c>
      <c r="O392" s="36">
        <v>274</v>
      </c>
      <c r="P392" s="36">
        <v>225</v>
      </c>
      <c r="Q392" s="36">
        <v>178</v>
      </c>
      <c r="S392" s="64">
        <v>98580</v>
      </c>
      <c r="T392" s="38" t="s">
        <v>352</v>
      </c>
      <c r="U392" s="33"/>
      <c r="V392" s="33">
        <v>2</v>
      </c>
      <c r="W392" s="36">
        <v>4</v>
      </c>
    </row>
    <row r="393" spans="13:23" x14ac:dyDescent="0.2">
      <c r="M393" s="59">
        <v>98503</v>
      </c>
      <c r="N393" s="38" t="s">
        <v>352</v>
      </c>
      <c r="O393" s="36">
        <v>9</v>
      </c>
      <c r="P393" s="36">
        <v>9</v>
      </c>
      <c r="Q393" s="36">
        <v>8</v>
      </c>
      <c r="S393" s="63">
        <v>98580</v>
      </c>
      <c r="T393" s="38" t="s">
        <v>10</v>
      </c>
      <c r="U393" s="36">
        <v>17</v>
      </c>
      <c r="V393" s="36">
        <v>11</v>
      </c>
      <c r="W393" s="36">
        <v>37</v>
      </c>
    </row>
    <row r="394" spans="13:23" x14ac:dyDescent="0.2">
      <c r="M394" s="61">
        <v>98503</v>
      </c>
      <c r="N394" s="38" t="s">
        <v>10</v>
      </c>
      <c r="O394" s="33">
        <v>286</v>
      </c>
      <c r="P394" s="33">
        <v>250</v>
      </c>
      <c r="Q394" s="36">
        <v>219</v>
      </c>
      <c r="S394" s="64">
        <v>98589</v>
      </c>
      <c r="T394" s="38" t="s">
        <v>352</v>
      </c>
      <c r="U394" s="36">
        <v>2</v>
      </c>
      <c r="V394" s="36"/>
      <c r="W394" s="33">
        <v>5</v>
      </c>
    </row>
    <row r="395" spans="13:23" x14ac:dyDescent="0.2">
      <c r="M395" s="59">
        <v>98506</v>
      </c>
      <c r="N395" s="38" t="s">
        <v>352</v>
      </c>
      <c r="O395" s="36">
        <v>10</v>
      </c>
      <c r="P395" s="36">
        <v>9</v>
      </c>
      <c r="Q395" s="36">
        <v>11</v>
      </c>
      <c r="S395" s="63">
        <v>98589</v>
      </c>
      <c r="T395" s="38" t="s">
        <v>10</v>
      </c>
      <c r="U395" s="36">
        <v>43</v>
      </c>
      <c r="V395" s="36">
        <v>24</v>
      </c>
      <c r="W395" s="36">
        <v>41</v>
      </c>
    </row>
    <row r="396" spans="13:23" x14ac:dyDescent="0.2">
      <c r="M396" s="61">
        <v>98506</v>
      </c>
      <c r="N396" s="38" t="s">
        <v>10</v>
      </c>
      <c r="O396" s="36">
        <v>114</v>
      </c>
      <c r="P396" s="36">
        <v>85</v>
      </c>
      <c r="Q396" s="36">
        <v>102</v>
      </c>
      <c r="S396" s="64">
        <v>98591</v>
      </c>
      <c r="T396" s="38" t="s">
        <v>10</v>
      </c>
      <c r="U396" s="36"/>
      <c r="V396" s="36">
        <v>1</v>
      </c>
      <c r="W396" s="36">
        <v>1</v>
      </c>
    </row>
    <row r="397" spans="13:23" x14ac:dyDescent="0.2">
      <c r="M397" s="59">
        <v>98512</v>
      </c>
      <c r="N397" s="38" t="s">
        <v>352</v>
      </c>
      <c r="O397" s="36">
        <v>11</v>
      </c>
      <c r="P397" s="36">
        <v>10</v>
      </c>
      <c r="Q397" s="36">
        <v>11</v>
      </c>
      <c r="S397" s="63">
        <v>98596</v>
      </c>
      <c r="T397" s="38" t="s">
        <v>10</v>
      </c>
      <c r="U397" s="36">
        <v>1</v>
      </c>
      <c r="V397" s="36">
        <v>1</v>
      </c>
      <c r="W397" s="36">
        <v>2</v>
      </c>
    </row>
    <row r="398" spans="13:23" x14ac:dyDescent="0.2">
      <c r="M398" s="61">
        <v>98512</v>
      </c>
      <c r="N398" s="38" t="s">
        <v>10</v>
      </c>
      <c r="O398" s="36">
        <v>188</v>
      </c>
      <c r="P398" s="36">
        <v>176</v>
      </c>
      <c r="Q398" s="36">
        <v>146</v>
      </c>
      <c r="S398" s="64">
        <v>98597</v>
      </c>
      <c r="T398" s="38" t="s">
        <v>352</v>
      </c>
      <c r="U398" s="36">
        <v>3</v>
      </c>
      <c r="V398" s="33">
        <v>1</v>
      </c>
      <c r="W398" s="33">
        <v>10</v>
      </c>
    </row>
    <row r="399" spans="13:23" x14ac:dyDescent="0.2">
      <c r="M399" s="59">
        <v>98513</v>
      </c>
      <c r="N399" s="38" t="s">
        <v>352</v>
      </c>
      <c r="O399" s="36">
        <v>4</v>
      </c>
      <c r="P399" s="36">
        <v>4</v>
      </c>
      <c r="Q399" s="36">
        <v>8</v>
      </c>
      <c r="S399" s="63">
        <v>98597</v>
      </c>
      <c r="T399" s="38" t="s">
        <v>10</v>
      </c>
      <c r="U399" s="36">
        <v>84</v>
      </c>
      <c r="V399" s="36">
        <v>65</v>
      </c>
      <c r="W399" s="36">
        <v>143</v>
      </c>
    </row>
    <row r="400" spans="13:23" x14ac:dyDescent="0.2">
      <c r="M400" s="61">
        <v>98513</v>
      </c>
      <c r="N400" s="38" t="s">
        <v>10</v>
      </c>
      <c r="O400" s="36">
        <v>189</v>
      </c>
      <c r="P400" s="33">
        <v>157</v>
      </c>
      <c r="Q400" s="33">
        <v>161</v>
      </c>
      <c r="S400" s="64">
        <v>98922</v>
      </c>
      <c r="T400" s="38" t="s">
        <v>352</v>
      </c>
      <c r="U400" s="36">
        <v>1</v>
      </c>
      <c r="V400" s="36">
        <v>2</v>
      </c>
      <c r="W400" s="36">
        <v>3</v>
      </c>
    </row>
    <row r="401" spans="13:23" x14ac:dyDescent="0.2">
      <c r="M401" s="59">
        <v>98516</v>
      </c>
      <c r="N401" s="38" t="s">
        <v>352</v>
      </c>
      <c r="O401" s="36">
        <v>13</v>
      </c>
      <c r="P401" s="36">
        <v>11</v>
      </c>
      <c r="Q401" s="36">
        <v>12</v>
      </c>
      <c r="S401" s="63">
        <v>98922</v>
      </c>
      <c r="T401" s="38" t="s">
        <v>10</v>
      </c>
      <c r="U401" s="36">
        <v>24</v>
      </c>
      <c r="V401" s="36">
        <v>12</v>
      </c>
      <c r="W401" s="36">
        <v>39</v>
      </c>
    </row>
    <row r="402" spans="13:23" x14ac:dyDescent="0.2">
      <c r="M402" s="61">
        <v>98516</v>
      </c>
      <c r="N402" s="38" t="s">
        <v>10</v>
      </c>
      <c r="O402" s="36">
        <v>153</v>
      </c>
      <c r="P402" s="36">
        <v>137</v>
      </c>
      <c r="Q402" s="36">
        <v>126</v>
      </c>
      <c r="S402" s="64">
        <v>98925</v>
      </c>
      <c r="T402" s="38" t="s">
        <v>352</v>
      </c>
      <c r="U402" s="36"/>
      <c r="V402" s="36">
        <v>1</v>
      </c>
      <c r="W402" s="36"/>
    </row>
    <row r="403" spans="13:23" x14ac:dyDescent="0.2">
      <c r="M403" s="59">
        <v>98530</v>
      </c>
      <c r="N403" s="38" t="s">
        <v>10</v>
      </c>
      <c r="O403" s="36">
        <v>11</v>
      </c>
      <c r="P403" s="36">
        <v>5</v>
      </c>
      <c r="Q403" s="36">
        <v>8</v>
      </c>
      <c r="S403" s="63">
        <v>98925</v>
      </c>
      <c r="T403" s="38" t="s">
        <v>10</v>
      </c>
      <c r="U403" s="36">
        <v>3</v>
      </c>
      <c r="V403" s="36">
        <v>4</v>
      </c>
      <c r="W403" s="36">
        <v>5</v>
      </c>
    </row>
    <row r="404" spans="13:23" x14ac:dyDescent="0.2">
      <c r="M404" s="61">
        <v>98531</v>
      </c>
      <c r="N404" s="38" t="s">
        <v>352</v>
      </c>
      <c r="O404" s="36">
        <v>5</v>
      </c>
      <c r="P404" s="36">
        <v>4</v>
      </c>
      <c r="Q404" s="36">
        <v>4</v>
      </c>
      <c r="S404" s="64">
        <v>98926</v>
      </c>
      <c r="T404" s="38" t="s">
        <v>352</v>
      </c>
      <c r="U404" s="36">
        <v>2</v>
      </c>
      <c r="V404" s="36">
        <v>1</v>
      </c>
      <c r="W404" s="36">
        <v>3</v>
      </c>
    </row>
    <row r="405" spans="13:23" x14ac:dyDescent="0.2">
      <c r="M405" s="59">
        <v>98531</v>
      </c>
      <c r="N405" s="38" t="s">
        <v>10</v>
      </c>
      <c r="O405" s="36">
        <v>53</v>
      </c>
      <c r="P405" s="36">
        <v>41</v>
      </c>
      <c r="Q405" s="36">
        <v>33</v>
      </c>
      <c r="S405" s="63">
        <v>98926</v>
      </c>
      <c r="T405" s="38" t="s">
        <v>10</v>
      </c>
      <c r="U405" s="36">
        <v>12</v>
      </c>
      <c r="V405" s="36">
        <v>14</v>
      </c>
      <c r="W405" s="36">
        <v>23</v>
      </c>
    </row>
    <row r="406" spans="13:23" x14ac:dyDescent="0.2">
      <c r="M406" s="61">
        <v>98532</v>
      </c>
      <c r="N406" s="38" t="s">
        <v>352</v>
      </c>
      <c r="O406" s="36"/>
      <c r="P406" s="36">
        <v>1</v>
      </c>
      <c r="Q406" s="36">
        <v>1</v>
      </c>
      <c r="S406" s="64">
        <v>98934</v>
      </c>
      <c r="T406" s="38" t="s">
        <v>352</v>
      </c>
      <c r="U406" s="36">
        <v>1</v>
      </c>
      <c r="V406" s="36"/>
      <c r="W406" s="36"/>
    </row>
    <row r="407" spans="13:23" x14ac:dyDescent="0.2">
      <c r="M407" s="59">
        <v>98532</v>
      </c>
      <c r="N407" s="38" t="s">
        <v>10</v>
      </c>
      <c r="O407" s="36">
        <v>11</v>
      </c>
      <c r="P407" s="36">
        <v>4</v>
      </c>
      <c r="Q407" s="36">
        <v>9</v>
      </c>
      <c r="S407" s="63">
        <v>98934</v>
      </c>
      <c r="T407" s="38" t="s">
        <v>10</v>
      </c>
      <c r="U407" s="36">
        <v>16</v>
      </c>
      <c r="V407" s="36">
        <v>6</v>
      </c>
      <c r="W407" s="36">
        <v>6</v>
      </c>
    </row>
    <row r="408" spans="13:23" x14ac:dyDescent="0.2">
      <c r="M408" s="61">
        <v>98558</v>
      </c>
      <c r="N408" s="38" t="s">
        <v>10</v>
      </c>
      <c r="O408" s="36">
        <v>3</v>
      </c>
      <c r="P408" s="36">
        <v>2</v>
      </c>
      <c r="Q408" s="36">
        <v>3</v>
      </c>
      <c r="S408" s="64">
        <v>98940</v>
      </c>
      <c r="T408" s="38" t="s">
        <v>10</v>
      </c>
      <c r="U408" s="36">
        <v>1</v>
      </c>
      <c r="V408" s="36">
        <v>3</v>
      </c>
      <c r="W408" s="36">
        <v>1</v>
      </c>
    </row>
    <row r="409" spans="13:23" x14ac:dyDescent="0.2">
      <c r="M409" s="59">
        <v>98576</v>
      </c>
      <c r="N409" s="38" t="s">
        <v>352</v>
      </c>
      <c r="O409" s="36">
        <v>1</v>
      </c>
      <c r="P409" s="36">
        <v>1</v>
      </c>
      <c r="Q409" s="36">
        <v>1</v>
      </c>
      <c r="S409" s="63">
        <v>98941</v>
      </c>
      <c r="T409" s="38" t="s">
        <v>10</v>
      </c>
      <c r="U409" s="36">
        <v>1</v>
      </c>
      <c r="V409" s="36">
        <v>1</v>
      </c>
      <c r="W409" s="36">
        <v>6</v>
      </c>
    </row>
    <row r="410" spans="13:23" x14ac:dyDescent="0.2">
      <c r="M410" s="61">
        <v>98576</v>
      </c>
      <c r="N410" s="38" t="s">
        <v>10</v>
      </c>
      <c r="O410" s="36">
        <v>34</v>
      </c>
      <c r="P410" s="36">
        <v>20</v>
      </c>
      <c r="Q410" s="36">
        <v>34</v>
      </c>
      <c r="S410" s="64">
        <v>98943</v>
      </c>
      <c r="T410" s="38" t="s">
        <v>10</v>
      </c>
      <c r="U410" s="36">
        <v>4</v>
      </c>
      <c r="V410" s="36">
        <v>2</v>
      </c>
      <c r="W410" s="36">
        <v>5</v>
      </c>
    </row>
    <row r="411" spans="13:23" x14ac:dyDescent="0.2">
      <c r="M411" s="59">
        <v>98579</v>
      </c>
      <c r="N411" s="38" t="s">
        <v>352</v>
      </c>
      <c r="O411" s="36">
        <v>4</v>
      </c>
      <c r="P411" s="36">
        <v>1</v>
      </c>
      <c r="Q411" s="36">
        <v>2</v>
      </c>
      <c r="S411" s="63">
        <v>98946</v>
      </c>
      <c r="T411" s="38" t="s">
        <v>352</v>
      </c>
      <c r="U411" s="36">
        <v>1</v>
      </c>
      <c r="V411" s="36"/>
      <c r="W411" s="36">
        <v>2</v>
      </c>
    </row>
    <row r="412" spans="13:23" x14ac:dyDescent="0.2">
      <c r="M412" s="61">
        <v>98579</v>
      </c>
      <c r="N412" s="38" t="s">
        <v>10</v>
      </c>
      <c r="O412" s="36">
        <v>84</v>
      </c>
      <c r="P412" s="36">
        <v>64</v>
      </c>
      <c r="Q412" s="36">
        <v>68</v>
      </c>
      <c r="S412" s="64">
        <v>98946</v>
      </c>
      <c r="T412" s="38" t="s">
        <v>10</v>
      </c>
      <c r="U412" s="36">
        <v>2</v>
      </c>
      <c r="V412" s="36">
        <v>1</v>
      </c>
      <c r="W412" s="36">
        <v>2</v>
      </c>
    </row>
    <row r="413" spans="13:23" x14ac:dyDescent="0.2">
      <c r="M413" s="59">
        <v>98580</v>
      </c>
      <c r="N413" s="38" t="s">
        <v>352</v>
      </c>
      <c r="O413" s="36">
        <v>7</v>
      </c>
      <c r="P413" s="36">
        <v>4</v>
      </c>
      <c r="Q413" s="36">
        <v>5</v>
      </c>
      <c r="S413" s="63"/>
      <c r="T413" s="38" t="s">
        <v>352</v>
      </c>
      <c r="U413" s="36">
        <v>2</v>
      </c>
      <c r="V413" s="36">
        <v>3</v>
      </c>
      <c r="W413" s="36">
        <v>3</v>
      </c>
    </row>
    <row r="414" spans="13:23" ht="16" thickBot="1" x14ac:dyDescent="0.25">
      <c r="M414" s="61">
        <v>98580</v>
      </c>
      <c r="N414" s="38" t="s">
        <v>10</v>
      </c>
      <c r="O414" s="36">
        <v>42</v>
      </c>
      <c r="P414" s="36">
        <v>33</v>
      </c>
      <c r="Q414" s="36">
        <v>58</v>
      </c>
      <c r="S414" s="64"/>
      <c r="T414" s="38" t="s">
        <v>10</v>
      </c>
      <c r="U414" s="36">
        <v>10</v>
      </c>
      <c r="V414" s="36">
        <v>8</v>
      </c>
      <c r="W414" s="36">
        <v>4</v>
      </c>
    </row>
    <row r="415" spans="13:23" x14ac:dyDescent="0.2">
      <c r="M415" s="59">
        <v>98589</v>
      </c>
      <c r="N415" s="38" t="s">
        <v>352</v>
      </c>
      <c r="O415" s="36">
        <v>4</v>
      </c>
      <c r="P415" s="36">
        <v>4</v>
      </c>
      <c r="Q415" s="36">
        <v>8</v>
      </c>
      <c r="S415" s="84"/>
      <c r="T415" s="39"/>
      <c r="U415" s="45"/>
      <c r="V415" s="45"/>
      <c r="W415" s="45"/>
    </row>
    <row r="416" spans="13:23" x14ac:dyDescent="0.2">
      <c r="M416" s="61">
        <v>98589</v>
      </c>
      <c r="N416" s="38" t="s">
        <v>10</v>
      </c>
      <c r="O416" s="36">
        <v>66</v>
      </c>
      <c r="P416" s="36">
        <v>53</v>
      </c>
      <c r="Q416" s="36">
        <v>47</v>
      </c>
      <c r="S416" s="68"/>
      <c r="T416" s="41"/>
      <c r="U416" s="46"/>
      <c r="V416" s="46"/>
      <c r="W416" s="46"/>
    </row>
    <row r="417" spans="13:23" x14ac:dyDescent="0.2">
      <c r="M417" s="59">
        <v>98591</v>
      </c>
      <c r="N417" s="38" t="s">
        <v>10</v>
      </c>
      <c r="O417" s="36">
        <v>1</v>
      </c>
      <c r="P417" s="36">
        <v>1</v>
      </c>
      <c r="Q417" s="36">
        <v>1</v>
      </c>
      <c r="S417" s="67"/>
      <c r="T417" s="41"/>
      <c r="U417" s="46"/>
      <c r="V417" s="46"/>
      <c r="W417" s="46"/>
    </row>
    <row r="418" spans="13:23" x14ac:dyDescent="0.2">
      <c r="M418" s="61">
        <v>98596</v>
      </c>
      <c r="N418" s="38" t="s">
        <v>352</v>
      </c>
      <c r="O418" s="36">
        <v>1</v>
      </c>
      <c r="P418" s="36"/>
      <c r="Q418" s="36"/>
      <c r="S418" s="68"/>
      <c r="T418" s="41"/>
      <c r="U418" s="46"/>
      <c r="V418" s="46"/>
      <c r="W418" s="46"/>
    </row>
    <row r="419" spans="13:23" x14ac:dyDescent="0.2">
      <c r="M419" s="59">
        <v>98596</v>
      </c>
      <c r="N419" s="38" t="s">
        <v>10</v>
      </c>
      <c r="O419" s="36"/>
      <c r="P419" s="36">
        <v>3</v>
      </c>
      <c r="Q419" s="36">
        <v>2</v>
      </c>
      <c r="S419" s="67"/>
      <c r="T419" s="41"/>
      <c r="U419" s="46"/>
      <c r="V419" s="46"/>
      <c r="W419" s="46"/>
    </row>
    <row r="420" spans="13:23" x14ac:dyDescent="0.2">
      <c r="M420" s="61">
        <v>98597</v>
      </c>
      <c r="N420" s="38" t="s">
        <v>352</v>
      </c>
      <c r="O420" s="36">
        <v>8</v>
      </c>
      <c r="P420" s="36">
        <v>10</v>
      </c>
      <c r="Q420" s="36">
        <v>12</v>
      </c>
      <c r="S420" s="68"/>
      <c r="T420" s="41"/>
      <c r="U420" s="46"/>
      <c r="V420" s="46"/>
      <c r="W420" s="46"/>
    </row>
    <row r="421" spans="13:23" x14ac:dyDescent="0.2">
      <c r="M421" s="61">
        <v>98597</v>
      </c>
      <c r="N421" s="38" t="s">
        <v>10</v>
      </c>
      <c r="O421" s="36">
        <v>162</v>
      </c>
      <c r="P421" s="36">
        <v>154</v>
      </c>
      <c r="Q421" s="36">
        <v>193</v>
      </c>
      <c r="S421" s="67"/>
      <c r="T421" s="41"/>
      <c r="U421" s="46"/>
      <c r="V421" s="46"/>
      <c r="W421" s="46"/>
    </row>
    <row r="422" spans="13:23" x14ac:dyDescent="0.2">
      <c r="M422" s="59">
        <v>98922</v>
      </c>
      <c r="N422" s="38" t="s">
        <v>352</v>
      </c>
      <c r="O422" s="36">
        <v>7</v>
      </c>
      <c r="P422" s="36">
        <v>10</v>
      </c>
      <c r="Q422" s="36">
        <v>8</v>
      </c>
      <c r="S422" s="67"/>
      <c r="T422" s="41"/>
      <c r="U422" s="46"/>
      <c r="V422" s="46"/>
      <c r="W422" s="46"/>
    </row>
    <row r="423" spans="13:23" x14ac:dyDescent="0.2">
      <c r="M423" s="61">
        <v>98922</v>
      </c>
      <c r="N423" s="38" t="s">
        <v>10</v>
      </c>
      <c r="O423" s="36">
        <v>45</v>
      </c>
      <c r="P423" s="36">
        <v>38</v>
      </c>
      <c r="Q423" s="36">
        <v>48</v>
      </c>
      <c r="S423" s="68"/>
      <c r="T423" s="41"/>
      <c r="U423" s="46"/>
      <c r="V423" s="46"/>
      <c r="W423" s="46"/>
    </row>
    <row r="424" spans="13:23" x14ac:dyDescent="0.2">
      <c r="M424" s="59">
        <v>98925</v>
      </c>
      <c r="N424" s="38" t="s">
        <v>352</v>
      </c>
      <c r="O424" s="36">
        <v>1</v>
      </c>
      <c r="P424" s="36">
        <v>1</v>
      </c>
      <c r="Q424" s="36"/>
      <c r="S424" s="67"/>
      <c r="T424" s="41"/>
      <c r="U424" s="46"/>
      <c r="V424" s="46"/>
      <c r="W424" s="46"/>
    </row>
    <row r="425" spans="13:23" x14ac:dyDescent="0.2">
      <c r="M425" s="61">
        <v>98925</v>
      </c>
      <c r="N425" s="38" t="s">
        <v>10</v>
      </c>
      <c r="O425" s="36">
        <v>8</v>
      </c>
      <c r="P425" s="36">
        <v>7</v>
      </c>
      <c r="Q425" s="36">
        <v>7</v>
      </c>
      <c r="S425" s="68"/>
      <c r="T425" s="41"/>
      <c r="U425" s="46"/>
      <c r="V425" s="46"/>
      <c r="W425" s="46"/>
    </row>
    <row r="426" spans="13:23" x14ac:dyDescent="0.2">
      <c r="M426" s="61">
        <v>98926</v>
      </c>
      <c r="N426" s="38" t="s">
        <v>352</v>
      </c>
      <c r="O426" s="33">
        <v>5</v>
      </c>
      <c r="P426" s="33">
        <v>8</v>
      </c>
      <c r="Q426" s="36">
        <v>5</v>
      </c>
      <c r="S426" s="67"/>
      <c r="T426" s="41"/>
      <c r="U426" s="46"/>
      <c r="V426" s="46"/>
      <c r="W426" s="46"/>
    </row>
    <row r="427" spans="13:23" x14ac:dyDescent="0.2">
      <c r="M427" s="61">
        <v>98926</v>
      </c>
      <c r="N427" s="38" t="s">
        <v>10</v>
      </c>
      <c r="O427" s="36">
        <v>35</v>
      </c>
      <c r="P427" s="36">
        <v>37</v>
      </c>
      <c r="Q427" s="36">
        <v>38</v>
      </c>
      <c r="S427" s="68"/>
      <c r="T427" s="41"/>
      <c r="U427" s="46"/>
      <c r="V427" s="46"/>
      <c r="W427" s="46"/>
    </row>
    <row r="428" spans="13:23" x14ac:dyDescent="0.2">
      <c r="M428" s="59">
        <v>98934</v>
      </c>
      <c r="N428" s="38" t="s">
        <v>352</v>
      </c>
      <c r="O428" s="36">
        <v>3</v>
      </c>
      <c r="P428" s="36">
        <v>2</v>
      </c>
      <c r="Q428" s="36"/>
      <c r="S428" s="67"/>
      <c r="T428" s="41"/>
      <c r="U428" s="46"/>
      <c r="V428" s="46"/>
      <c r="W428" s="43"/>
    </row>
    <row r="429" spans="13:23" x14ac:dyDescent="0.2">
      <c r="M429" s="61">
        <v>98934</v>
      </c>
      <c r="N429" s="38" t="s">
        <v>10</v>
      </c>
      <c r="O429" s="36">
        <v>19</v>
      </c>
      <c r="P429" s="36">
        <v>11</v>
      </c>
      <c r="Q429" s="36">
        <v>7</v>
      </c>
      <c r="S429" s="68"/>
      <c r="T429" s="41"/>
      <c r="U429" s="46"/>
      <c r="V429" s="46"/>
      <c r="W429" s="46"/>
    </row>
    <row r="430" spans="13:23" x14ac:dyDescent="0.2">
      <c r="M430" s="59">
        <v>98940</v>
      </c>
      <c r="N430" s="38" t="s">
        <v>352</v>
      </c>
      <c r="O430" s="36"/>
      <c r="P430" s="36">
        <v>2</v>
      </c>
      <c r="Q430" s="36">
        <v>1</v>
      </c>
      <c r="S430" s="67"/>
      <c r="T430" s="41"/>
      <c r="U430" s="46"/>
      <c r="V430" s="46"/>
      <c r="W430" s="46"/>
    </row>
    <row r="431" spans="13:23" x14ac:dyDescent="0.2">
      <c r="M431" s="61">
        <v>98940</v>
      </c>
      <c r="N431" s="38" t="s">
        <v>10</v>
      </c>
      <c r="O431" s="36">
        <v>5</v>
      </c>
      <c r="P431" s="36">
        <v>5</v>
      </c>
      <c r="Q431" s="36">
        <v>7</v>
      </c>
      <c r="S431" s="68"/>
      <c r="T431" s="41"/>
      <c r="U431" s="46"/>
      <c r="V431" s="46"/>
      <c r="W431" s="46"/>
    </row>
    <row r="432" spans="13:23" x14ac:dyDescent="0.2">
      <c r="M432" s="59">
        <v>98941</v>
      </c>
      <c r="N432" s="38" t="s">
        <v>352</v>
      </c>
      <c r="O432" s="36">
        <v>1</v>
      </c>
      <c r="P432" s="36"/>
      <c r="Q432" s="36">
        <v>1</v>
      </c>
      <c r="S432" s="67"/>
      <c r="T432" s="41"/>
      <c r="U432" s="46"/>
      <c r="V432" s="46"/>
      <c r="W432" s="46"/>
    </row>
    <row r="433" spans="13:23" x14ac:dyDescent="0.2">
      <c r="M433" s="61">
        <v>98941</v>
      </c>
      <c r="N433" s="38" t="s">
        <v>10</v>
      </c>
      <c r="O433" s="36">
        <v>7</v>
      </c>
      <c r="P433" s="36">
        <v>12</v>
      </c>
      <c r="Q433" s="36">
        <v>7</v>
      </c>
      <c r="S433" s="68"/>
      <c r="T433" s="41"/>
      <c r="U433" s="46"/>
      <c r="V433" s="46"/>
      <c r="W433" s="46"/>
    </row>
    <row r="434" spans="13:23" x14ac:dyDescent="0.2">
      <c r="M434" s="59">
        <v>98943</v>
      </c>
      <c r="N434" s="38" t="s">
        <v>352</v>
      </c>
      <c r="O434" s="36"/>
      <c r="P434" s="36">
        <v>1</v>
      </c>
      <c r="Q434" s="36"/>
      <c r="S434" s="67"/>
      <c r="T434" s="41"/>
      <c r="U434" s="46"/>
      <c r="V434" s="46"/>
      <c r="W434" s="46"/>
    </row>
    <row r="435" spans="13:23" x14ac:dyDescent="0.2">
      <c r="M435" s="61">
        <v>98943</v>
      </c>
      <c r="N435" s="38" t="s">
        <v>10</v>
      </c>
      <c r="O435" s="36">
        <v>5</v>
      </c>
      <c r="P435" s="36">
        <v>5</v>
      </c>
      <c r="Q435" s="36">
        <v>9</v>
      </c>
      <c r="S435" s="68"/>
      <c r="T435" s="41"/>
      <c r="U435" s="46"/>
      <c r="V435" s="46"/>
      <c r="W435" s="46"/>
    </row>
    <row r="436" spans="13:23" x14ac:dyDescent="0.2">
      <c r="M436" s="61">
        <v>98946</v>
      </c>
      <c r="N436" s="38" t="s">
        <v>352</v>
      </c>
      <c r="O436" s="36">
        <v>2</v>
      </c>
      <c r="P436" s="36">
        <v>2</v>
      </c>
      <c r="Q436" s="36">
        <v>2</v>
      </c>
      <c r="S436" s="40"/>
      <c r="T436" s="41"/>
      <c r="U436" s="46"/>
      <c r="V436" s="46"/>
      <c r="W436" s="46"/>
    </row>
    <row r="437" spans="13:23" x14ac:dyDescent="0.2">
      <c r="M437" s="59">
        <v>98946</v>
      </c>
      <c r="N437" s="38" t="s">
        <v>10</v>
      </c>
      <c r="O437" s="36">
        <v>4</v>
      </c>
      <c r="P437" s="36">
        <v>1</v>
      </c>
      <c r="Q437" s="36">
        <v>4</v>
      </c>
      <c r="S437" s="43"/>
      <c r="T437" s="41"/>
      <c r="U437" s="46"/>
      <c r="V437" s="46"/>
      <c r="W437" s="46"/>
    </row>
    <row r="438" spans="13:23" x14ac:dyDescent="0.2">
      <c r="M438" s="61"/>
      <c r="N438" s="38" t="s">
        <v>352</v>
      </c>
      <c r="O438" s="36">
        <v>8</v>
      </c>
      <c r="P438" s="36">
        <v>9</v>
      </c>
      <c r="Q438" s="36">
        <v>3</v>
      </c>
      <c r="S438" s="41"/>
      <c r="T438" s="41"/>
      <c r="U438" s="46"/>
      <c r="V438" s="46"/>
      <c r="W438" s="46"/>
    </row>
    <row r="439" spans="13:23" ht="16" thickBot="1" x14ac:dyDescent="0.25">
      <c r="M439" s="113"/>
      <c r="N439" s="50" t="s">
        <v>10</v>
      </c>
      <c r="O439" s="110">
        <v>22</v>
      </c>
      <c r="P439" s="110">
        <v>22</v>
      </c>
      <c r="Q439" s="110">
        <v>8</v>
      </c>
      <c r="S439" s="40"/>
      <c r="T439" s="41"/>
      <c r="U439" s="46"/>
      <c r="V439" s="46"/>
      <c r="W439" s="46"/>
    </row>
    <row r="440" spans="13:23" x14ac:dyDescent="0.2">
      <c r="M440" s="70"/>
      <c r="N440" s="41"/>
      <c r="O440" s="160">
        <f>SUMIF($N$11:$N$439,$N$439,O11:O439)</f>
        <v>17171</v>
      </c>
      <c r="P440" s="160">
        <f t="shared" ref="P440:Q440" si="1">SUMIF($N$11:$N$439,$N$439,P11:P439)</f>
        <v>14576</v>
      </c>
      <c r="Q440" s="160">
        <f t="shared" si="1"/>
        <v>15038</v>
      </c>
      <c r="S440" s="43"/>
      <c r="T440" s="41"/>
      <c r="U440" s="46"/>
      <c r="V440" s="46"/>
      <c r="W440" s="46"/>
    </row>
    <row r="441" spans="13:23" x14ac:dyDescent="0.2">
      <c r="M441" s="71"/>
      <c r="N441" s="41"/>
      <c r="O441" s="46"/>
      <c r="P441" s="46"/>
      <c r="Q441" s="46"/>
      <c r="S441" s="40"/>
      <c r="T441" s="41"/>
      <c r="U441" s="46"/>
      <c r="V441" s="46"/>
      <c r="W441" s="46"/>
    </row>
    <row r="442" spans="13:23" x14ac:dyDescent="0.2">
      <c r="M442" s="70"/>
      <c r="N442" s="41"/>
      <c r="O442" s="46"/>
      <c r="P442" s="46"/>
      <c r="Q442" s="46"/>
      <c r="S442" s="43"/>
      <c r="T442" s="41"/>
      <c r="U442" s="46"/>
      <c r="V442" s="46"/>
      <c r="W442" s="46"/>
    </row>
    <row r="443" spans="13:23" x14ac:dyDescent="0.2">
      <c r="M443" s="71"/>
      <c r="N443" s="41"/>
      <c r="O443" s="46"/>
      <c r="P443" s="46"/>
      <c r="Q443" s="46"/>
      <c r="S443" s="43"/>
      <c r="T443" s="41"/>
      <c r="U443" s="3"/>
      <c r="V443" s="3"/>
      <c r="W443" s="3"/>
    </row>
    <row r="444" spans="13:23" x14ac:dyDescent="0.2">
      <c r="M444" s="70"/>
      <c r="N444" s="41"/>
      <c r="O444" s="46"/>
      <c r="P444" s="46"/>
      <c r="Q444" s="46"/>
      <c r="S444" s="40"/>
      <c r="T444" s="41"/>
      <c r="U444" s="3"/>
      <c r="V444" s="3"/>
      <c r="W444" s="3"/>
    </row>
    <row r="445" spans="13:23" x14ac:dyDescent="0.2">
      <c r="M445" s="71"/>
      <c r="N445" s="41"/>
      <c r="O445" s="46"/>
      <c r="P445" s="46"/>
      <c r="Q445" s="46"/>
      <c r="S445" s="43"/>
      <c r="T445" s="41"/>
      <c r="U445" s="3"/>
      <c r="V445" s="3"/>
      <c r="W445" s="3"/>
    </row>
    <row r="446" spans="13:23" x14ac:dyDescent="0.2">
      <c r="M446" s="70"/>
      <c r="N446" s="41"/>
      <c r="O446" s="46"/>
      <c r="P446" s="46"/>
      <c r="Q446" s="46"/>
      <c r="S446" s="40"/>
      <c r="T446" s="41"/>
      <c r="U446" s="3"/>
      <c r="V446" s="3"/>
      <c r="W446" s="3"/>
    </row>
    <row r="447" spans="13:23" x14ac:dyDescent="0.2">
      <c r="M447" s="71"/>
      <c r="N447" s="41"/>
      <c r="O447" s="46"/>
      <c r="P447" s="46"/>
      <c r="Q447" s="46"/>
      <c r="S447" s="43"/>
      <c r="T447" s="41"/>
      <c r="U447" s="3"/>
      <c r="V447" s="3"/>
      <c r="W447" s="3"/>
    </row>
    <row r="448" spans="13:23" x14ac:dyDescent="0.2">
      <c r="M448" s="43"/>
      <c r="N448" s="41"/>
      <c r="O448" s="46"/>
      <c r="P448" s="46"/>
      <c r="Q448" s="46"/>
      <c r="S448" s="40"/>
      <c r="T448" s="41"/>
      <c r="U448" s="3"/>
      <c r="V448" s="3"/>
      <c r="W448" s="3"/>
    </row>
    <row r="449" spans="13:23" x14ac:dyDescent="0.2">
      <c r="M449" s="41"/>
      <c r="N449" s="41"/>
      <c r="O449" s="46"/>
      <c r="P449" s="46"/>
      <c r="Q449" s="46"/>
      <c r="S449" s="43"/>
      <c r="T449" s="41"/>
      <c r="U449" s="3"/>
      <c r="V449" s="3"/>
      <c r="W449" s="3"/>
    </row>
    <row r="450" spans="13:23" x14ac:dyDescent="0.2">
      <c r="M450" s="40"/>
      <c r="N450" s="41"/>
      <c r="O450" s="46"/>
      <c r="P450" s="46"/>
      <c r="Q450" s="46"/>
      <c r="S450" s="40"/>
      <c r="T450" s="41"/>
      <c r="U450" s="3"/>
      <c r="V450" s="3"/>
      <c r="W450" s="3"/>
    </row>
    <row r="451" spans="13:23" x14ac:dyDescent="0.2">
      <c r="M451" s="43"/>
      <c r="N451" s="41"/>
      <c r="O451" s="46"/>
      <c r="P451" s="46"/>
      <c r="Q451" s="46"/>
      <c r="S451" s="43"/>
      <c r="T451" s="41"/>
      <c r="U451" s="3"/>
      <c r="V451" s="3"/>
      <c r="W451" s="3"/>
    </row>
    <row r="452" spans="13:23" x14ac:dyDescent="0.2">
      <c r="M452" s="40"/>
      <c r="N452" s="41"/>
      <c r="O452" s="46"/>
      <c r="P452" s="46"/>
      <c r="Q452" s="46"/>
      <c r="S452" s="40"/>
      <c r="T452" s="41"/>
      <c r="U452" s="3"/>
      <c r="V452" s="3"/>
      <c r="W452" s="3"/>
    </row>
    <row r="453" spans="13:23" x14ac:dyDescent="0.2">
      <c r="M453" s="43"/>
      <c r="N453" s="41"/>
      <c r="O453" s="46"/>
      <c r="P453" s="46"/>
      <c r="Q453" s="46"/>
      <c r="S453" s="43"/>
      <c r="T453" s="41"/>
      <c r="U453" s="3"/>
      <c r="V453" s="3"/>
      <c r="W453" s="3"/>
    </row>
    <row r="454" spans="13:23" x14ac:dyDescent="0.2">
      <c r="M454" s="40"/>
      <c r="N454" s="41"/>
      <c r="O454" s="42"/>
      <c r="P454" s="42"/>
      <c r="Q454" s="42"/>
      <c r="S454" s="40"/>
      <c r="T454" s="41"/>
      <c r="U454" s="3"/>
      <c r="V454" s="3"/>
      <c r="W454" s="3"/>
    </row>
    <row r="455" spans="13:23" x14ac:dyDescent="0.2">
      <c r="M455" s="43"/>
      <c r="N455" s="41"/>
      <c r="O455" s="42"/>
      <c r="P455" s="42"/>
      <c r="Q455" s="42"/>
      <c r="S455" s="43"/>
      <c r="T455" s="41"/>
      <c r="U455" s="3"/>
      <c r="V455" s="3"/>
      <c r="W455" s="3"/>
    </row>
    <row r="456" spans="13:23" x14ac:dyDescent="0.2">
      <c r="M456" s="40"/>
      <c r="N456" s="41"/>
      <c r="O456" s="42"/>
      <c r="P456" s="42"/>
      <c r="Q456" s="42"/>
    </row>
    <row r="457" spans="13:23" x14ac:dyDescent="0.2">
      <c r="M457" s="43"/>
      <c r="N457" s="41"/>
      <c r="O457" s="42"/>
      <c r="P457" s="42"/>
      <c r="Q457" s="42"/>
    </row>
    <row r="458" spans="13:23" x14ac:dyDescent="0.2">
      <c r="M458" s="40"/>
      <c r="N458" s="41"/>
      <c r="O458" s="42"/>
      <c r="P458" s="42"/>
      <c r="Q458" s="42"/>
    </row>
    <row r="459" spans="13:23" x14ac:dyDescent="0.2">
      <c r="M459" s="43"/>
      <c r="N459" s="41"/>
      <c r="O459" s="42"/>
      <c r="P459" s="42"/>
      <c r="Q459" s="42"/>
    </row>
    <row r="460" spans="13:23" x14ac:dyDescent="0.2">
      <c r="M460" s="40"/>
      <c r="N460" s="41"/>
      <c r="O460" s="42"/>
      <c r="P460" s="42"/>
      <c r="Q460" s="42"/>
    </row>
    <row r="461" spans="13:23" x14ac:dyDescent="0.2">
      <c r="M461" s="43"/>
      <c r="N461" s="41"/>
      <c r="O461" s="42"/>
      <c r="P461" s="42"/>
      <c r="Q461" s="42"/>
    </row>
    <row r="462" spans="13:23" x14ac:dyDescent="0.2">
      <c r="M462" s="40"/>
      <c r="N462" s="41"/>
      <c r="O462" s="42"/>
      <c r="P462" s="42"/>
      <c r="Q462" s="42"/>
    </row>
    <row r="463" spans="13:23" x14ac:dyDescent="0.2">
      <c r="M463" s="43"/>
      <c r="N463" s="41"/>
      <c r="O463" s="42"/>
      <c r="P463" s="42"/>
      <c r="Q463" s="42"/>
    </row>
  </sheetData>
  <mergeCells count="6">
    <mergeCell ref="S9:W9"/>
    <mergeCell ref="A9:B9"/>
    <mergeCell ref="C9:E9"/>
    <mergeCell ref="G9:K9"/>
    <mergeCell ref="A1:K1"/>
    <mergeCell ref="M9:Q9"/>
  </mergeCells>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4"/>
  <sheetViews>
    <sheetView workbookViewId="0">
      <selection sqref="A1:H1"/>
    </sheetView>
  </sheetViews>
  <sheetFormatPr baseColWidth="10" defaultColWidth="9.1640625" defaultRowHeight="15" x14ac:dyDescent="0.2"/>
  <cols>
    <col min="1" max="1" width="12.83203125" style="8" customWidth="1"/>
    <col min="2" max="2" width="20.1640625" style="8" customWidth="1"/>
    <col min="3" max="8" width="12.83203125" style="8" customWidth="1"/>
    <col min="9" max="9" width="3.1640625" style="9" customWidth="1"/>
    <col min="10" max="10" width="12.83203125" style="8" customWidth="1"/>
    <col min="11" max="11" width="20.1640625" style="8" customWidth="1"/>
    <col min="12" max="17" width="12.83203125" style="8" customWidth="1"/>
    <col min="18" max="18" width="3.1640625" style="9" customWidth="1"/>
    <col min="19" max="19" width="12.83203125" style="8" customWidth="1"/>
    <col min="20" max="20" width="20.1640625" style="8" customWidth="1"/>
    <col min="21" max="26" width="12.83203125" style="8" customWidth="1"/>
    <col min="27" max="16384" width="9.1640625" style="8"/>
  </cols>
  <sheetData>
    <row r="1" spans="1:26" ht="16" thickBot="1" x14ac:dyDescent="0.25">
      <c r="A1" s="120" t="s">
        <v>0</v>
      </c>
      <c r="B1" s="121"/>
      <c r="C1" s="121"/>
      <c r="D1" s="121"/>
      <c r="E1" s="121"/>
      <c r="F1" s="121"/>
      <c r="G1" s="121"/>
      <c r="H1" s="122"/>
      <c r="I1" s="27"/>
      <c r="J1" s="28"/>
      <c r="K1" s="28"/>
      <c r="L1" s="28"/>
      <c r="M1" s="28"/>
      <c r="N1" s="28"/>
      <c r="O1" s="28"/>
      <c r="P1" s="28"/>
    </row>
    <row r="2" spans="1:26" x14ac:dyDescent="0.2">
      <c r="A2" s="5">
        <v>1</v>
      </c>
      <c r="B2" s="2" t="s">
        <v>1</v>
      </c>
      <c r="C2" s="3"/>
      <c r="D2" s="3"/>
      <c r="E2" s="3"/>
      <c r="F2" s="3"/>
      <c r="G2" s="3"/>
      <c r="H2" s="3"/>
      <c r="I2" s="4"/>
      <c r="J2" s="3"/>
      <c r="K2" s="3"/>
      <c r="L2" s="3"/>
      <c r="M2" s="3"/>
      <c r="N2" s="3"/>
      <c r="O2" s="3"/>
      <c r="P2" s="3"/>
      <c r="R2" s="4"/>
    </row>
    <row r="3" spans="1:26" x14ac:dyDescent="0.2">
      <c r="A3" s="5">
        <v>2</v>
      </c>
      <c r="B3" s="2" t="s">
        <v>2</v>
      </c>
      <c r="C3" s="3"/>
      <c r="D3" s="3"/>
      <c r="E3" s="3"/>
      <c r="F3" s="3"/>
      <c r="G3" s="3"/>
      <c r="H3" s="3"/>
      <c r="I3" s="4"/>
      <c r="J3" s="3"/>
      <c r="K3" s="3"/>
      <c r="L3" s="3"/>
      <c r="M3" s="3"/>
      <c r="N3" s="3"/>
      <c r="O3" s="3"/>
      <c r="P3" s="3"/>
      <c r="R3" s="4"/>
    </row>
    <row r="4" spans="1:26" ht="16" thickBot="1" x14ac:dyDescent="0.25"/>
    <row r="5" spans="1:26" ht="30" customHeight="1" thickBot="1" x14ac:dyDescent="0.25">
      <c r="A5" s="134" t="s">
        <v>88</v>
      </c>
      <c r="B5" s="134"/>
      <c r="C5" s="123" t="s">
        <v>25</v>
      </c>
      <c r="D5" s="124"/>
      <c r="E5" s="125"/>
      <c r="F5" s="123" t="s">
        <v>27</v>
      </c>
      <c r="G5" s="124"/>
      <c r="H5" s="125"/>
      <c r="J5" s="133" t="s">
        <v>28</v>
      </c>
      <c r="K5" s="133"/>
      <c r="L5" s="133"/>
      <c r="M5" s="133"/>
      <c r="N5" s="133"/>
      <c r="O5" s="133" t="s">
        <v>29</v>
      </c>
      <c r="P5" s="133"/>
      <c r="Q5" s="133"/>
      <c r="S5" s="133" t="s">
        <v>31</v>
      </c>
      <c r="T5" s="133"/>
      <c r="U5" s="133"/>
      <c r="V5" s="133"/>
      <c r="W5" s="133"/>
      <c r="X5" s="133" t="s">
        <v>32</v>
      </c>
      <c r="Y5" s="133"/>
      <c r="Z5" s="133"/>
    </row>
    <row r="6" spans="1:26" ht="16" thickBot="1" x14ac:dyDescent="0.25">
      <c r="A6" s="7" t="s">
        <v>8</v>
      </c>
      <c r="B6" s="7" t="s">
        <v>9</v>
      </c>
      <c r="C6" s="81">
        <v>44681</v>
      </c>
      <c r="D6" s="81">
        <v>44712</v>
      </c>
      <c r="E6" s="81">
        <v>44742</v>
      </c>
      <c r="F6" s="81">
        <v>44681</v>
      </c>
      <c r="G6" s="81">
        <v>44712</v>
      </c>
      <c r="H6" s="81">
        <v>44742</v>
      </c>
      <c r="J6" s="7" t="s">
        <v>8</v>
      </c>
      <c r="K6" s="7" t="s">
        <v>9</v>
      </c>
      <c r="L6" s="81">
        <v>44681</v>
      </c>
      <c r="M6" s="81">
        <v>44712</v>
      </c>
      <c r="N6" s="81">
        <v>44742</v>
      </c>
      <c r="O6" s="81">
        <v>44681</v>
      </c>
      <c r="P6" s="81">
        <v>44712</v>
      </c>
      <c r="Q6" s="81">
        <v>44742</v>
      </c>
      <c r="S6" s="7" t="s">
        <v>8</v>
      </c>
      <c r="T6" s="7" t="s">
        <v>9</v>
      </c>
      <c r="U6" s="81">
        <v>44681</v>
      </c>
      <c r="V6" s="81">
        <v>44712</v>
      </c>
      <c r="W6" s="81">
        <v>44742</v>
      </c>
      <c r="X6" s="81">
        <v>44681</v>
      </c>
      <c r="Y6" s="81">
        <v>44712</v>
      </c>
      <c r="Z6" s="81">
        <v>44742</v>
      </c>
    </row>
    <row r="7" spans="1:26" ht="15" customHeight="1" x14ac:dyDescent="0.2">
      <c r="A7" s="127" t="s">
        <v>26</v>
      </c>
      <c r="B7" s="128"/>
      <c r="C7" s="128"/>
      <c r="D7" s="128"/>
      <c r="E7" s="128"/>
      <c r="F7" s="128"/>
      <c r="G7" s="128"/>
      <c r="H7" s="129"/>
      <c r="J7" s="127" t="s">
        <v>30</v>
      </c>
      <c r="K7" s="128"/>
      <c r="L7" s="128"/>
      <c r="M7" s="128"/>
      <c r="N7" s="128"/>
      <c r="O7" s="128"/>
      <c r="P7" s="128"/>
      <c r="Q7" s="129"/>
      <c r="S7" s="127" t="s">
        <v>33</v>
      </c>
      <c r="T7" s="128"/>
      <c r="U7" s="128"/>
      <c r="V7" s="128"/>
      <c r="W7" s="128"/>
      <c r="X7" s="128"/>
      <c r="Y7" s="128"/>
      <c r="Z7" s="129"/>
    </row>
    <row r="8" spans="1:26" ht="16" thickBot="1" x14ac:dyDescent="0.25">
      <c r="A8" s="130"/>
      <c r="B8" s="131"/>
      <c r="C8" s="131"/>
      <c r="D8" s="131"/>
      <c r="E8" s="131"/>
      <c r="F8" s="131"/>
      <c r="G8" s="131"/>
      <c r="H8" s="132"/>
      <c r="J8" s="130"/>
      <c r="K8" s="131"/>
      <c r="L8" s="131"/>
      <c r="M8" s="131"/>
      <c r="N8" s="131"/>
      <c r="O8" s="131"/>
      <c r="P8" s="131"/>
      <c r="Q8" s="132"/>
      <c r="S8" s="130"/>
      <c r="T8" s="131"/>
      <c r="U8" s="131"/>
      <c r="V8" s="131"/>
      <c r="W8" s="131"/>
      <c r="X8" s="131"/>
      <c r="Y8" s="131"/>
      <c r="Z8" s="132"/>
    </row>
    <row r="14" spans="1:26" x14ac:dyDescent="0.2">
      <c r="E14" s="8" t="s">
        <v>79</v>
      </c>
    </row>
  </sheetData>
  <mergeCells count="11">
    <mergeCell ref="J7:Q8"/>
    <mergeCell ref="A1:H1"/>
    <mergeCell ref="S5:W5"/>
    <mergeCell ref="X5:Z5"/>
    <mergeCell ref="S7:Z8"/>
    <mergeCell ref="A5:B5"/>
    <mergeCell ref="C5:E5"/>
    <mergeCell ref="F5:H5"/>
    <mergeCell ref="A7:H8"/>
    <mergeCell ref="J5:N5"/>
    <mergeCell ref="O5:Q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400"/>
  <sheetViews>
    <sheetView zoomScale="115" workbookViewId="0">
      <selection activeCell="C400" sqref="C400:E400"/>
    </sheetView>
  </sheetViews>
  <sheetFormatPr baseColWidth="10" defaultColWidth="9.1640625" defaultRowHeight="15" x14ac:dyDescent="0.2"/>
  <cols>
    <col min="1" max="1" width="12.83203125" style="8" customWidth="1"/>
    <col min="2" max="2" width="20.1640625" style="8" customWidth="1"/>
    <col min="3" max="5" width="12.83203125" style="8" customWidth="1"/>
    <col min="6" max="6" width="3.1640625" style="9" customWidth="1"/>
    <col min="7" max="7" width="12.83203125" style="8" customWidth="1"/>
    <col min="8" max="8" width="20.1640625" style="8" customWidth="1"/>
    <col min="9" max="11" width="12.83203125" style="8" customWidth="1"/>
    <col min="12" max="12" width="3.1640625" style="9" customWidth="1"/>
    <col min="13" max="13" width="12.83203125" style="8" customWidth="1"/>
    <col min="14" max="14" width="20.1640625" style="8" customWidth="1"/>
    <col min="15" max="17" width="12.83203125" style="8" customWidth="1"/>
    <col min="18" max="18" width="3.1640625" style="9" customWidth="1"/>
    <col min="19" max="19" width="12.83203125" style="8" customWidth="1"/>
    <col min="20" max="20" width="20.1640625" style="8" customWidth="1"/>
    <col min="21" max="23" width="12.83203125" style="8" customWidth="1"/>
    <col min="24" max="16384" width="9.1640625" style="8"/>
  </cols>
  <sheetData>
    <row r="1" spans="1:23" ht="16" thickBot="1" x14ac:dyDescent="0.25">
      <c r="A1" s="120" t="s">
        <v>0</v>
      </c>
      <c r="B1" s="121"/>
      <c r="C1" s="121"/>
      <c r="D1" s="121"/>
      <c r="E1" s="121"/>
      <c r="F1" s="121"/>
      <c r="G1" s="121"/>
      <c r="H1" s="121"/>
      <c r="I1" s="122"/>
    </row>
    <row r="2" spans="1:23" x14ac:dyDescent="0.2">
      <c r="A2" s="1">
        <v>1</v>
      </c>
      <c r="B2" s="2" t="s">
        <v>1</v>
      </c>
      <c r="C2" s="3"/>
      <c r="D2" s="3"/>
      <c r="E2" s="3"/>
      <c r="F2" s="4"/>
      <c r="G2" s="3"/>
      <c r="H2" s="3"/>
      <c r="I2" s="3"/>
    </row>
    <row r="3" spans="1:23" x14ac:dyDescent="0.2">
      <c r="A3" s="5">
        <v>2</v>
      </c>
      <c r="B3" s="2" t="s">
        <v>2</v>
      </c>
      <c r="C3" s="3"/>
      <c r="D3" s="3"/>
      <c r="E3" s="3"/>
      <c r="F3" s="4"/>
      <c r="G3" s="3"/>
      <c r="H3" s="3"/>
      <c r="I3" s="3"/>
    </row>
    <row r="4" spans="1:23" x14ac:dyDescent="0.2">
      <c r="A4" s="5">
        <v>3</v>
      </c>
      <c r="B4" s="3" t="s">
        <v>3</v>
      </c>
      <c r="C4" s="3"/>
      <c r="D4" s="3"/>
      <c r="E4" s="3"/>
      <c r="F4" s="4"/>
      <c r="G4" s="3"/>
      <c r="H4" s="3"/>
      <c r="I4" s="3"/>
    </row>
    <row r="5" spans="1:23" x14ac:dyDescent="0.2">
      <c r="A5" s="5">
        <v>4</v>
      </c>
      <c r="B5" s="2" t="s">
        <v>4</v>
      </c>
      <c r="C5" s="3"/>
      <c r="D5" s="3"/>
      <c r="E5" s="3"/>
      <c r="F5" s="4"/>
      <c r="G5" s="3"/>
      <c r="H5" s="3"/>
      <c r="I5" s="3"/>
    </row>
    <row r="6" spans="1:23" x14ac:dyDescent="0.2">
      <c r="A6" s="5">
        <v>5</v>
      </c>
      <c r="B6" s="3" t="s">
        <v>5</v>
      </c>
      <c r="C6" s="3"/>
      <c r="D6" s="3"/>
      <c r="E6" s="3"/>
      <c r="F6" s="4"/>
      <c r="G6" s="3"/>
      <c r="H6" s="3"/>
      <c r="I6" s="3"/>
    </row>
    <row r="7" spans="1:23" x14ac:dyDescent="0.2">
      <c r="A7" s="3">
        <v>6</v>
      </c>
      <c r="B7" s="6" t="s">
        <v>6</v>
      </c>
      <c r="C7" s="3"/>
      <c r="D7" s="3"/>
      <c r="E7" s="3"/>
      <c r="F7" s="4"/>
      <c r="G7" s="3"/>
      <c r="H7" s="3"/>
      <c r="I7" s="3"/>
      <c r="J7"/>
    </row>
    <row r="8" spans="1:23" ht="16" thickBot="1" x14ac:dyDescent="0.25"/>
    <row r="9" spans="1:23" ht="41.25" customHeight="1" thickBot="1" x14ac:dyDescent="0.25">
      <c r="A9" s="126" t="s">
        <v>90</v>
      </c>
      <c r="B9" s="126"/>
      <c r="C9" s="123" t="s">
        <v>7</v>
      </c>
      <c r="D9" s="124"/>
      <c r="E9" s="125"/>
      <c r="G9" s="133" t="s">
        <v>11</v>
      </c>
      <c r="H9" s="133"/>
      <c r="I9" s="133"/>
      <c r="J9" s="133"/>
      <c r="K9" s="133"/>
      <c r="M9" s="133" t="s">
        <v>12</v>
      </c>
      <c r="N9" s="133"/>
      <c r="O9" s="133"/>
      <c r="P9" s="133"/>
      <c r="Q9" s="133"/>
      <c r="S9" s="133" t="s">
        <v>13</v>
      </c>
      <c r="T9" s="133"/>
      <c r="U9" s="133"/>
      <c r="V9" s="133"/>
      <c r="W9" s="133"/>
    </row>
    <row r="10" spans="1:23" ht="16" thickBot="1" x14ac:dyDescent="0.25">
      <c r="A10" s="18" t="s">
        <v>8</v>
      </c>
      <c r="B10" s="18" t="s">
        <v>9</v>
      </c>
      <c r="C10" s="81">
        <v>44681</v>
      </c>
      <c r="D10" s="81">
        <v>44712</v>
      </c>
      <c r="E10" s="81">
        <v>44742</v>
      </c>
      <c r="G10" s="18" t="s">
        <v>8</v>
      </c>
      <c r="H10" s="18" t="s">
        <v>9</v>
      </c>
      <c r="I10" s="81">
        <v>44681</v>
      </c>
      <c r="J10" s="81">
        <v>44712</v>
      </c>
      <c r="K10" s="81">
        <v>44742</v>
      </c>
      <c r="M10" s="18" t="s">
        <v>8</v>
      </c>
      <c r="N10" s="18" t="s">
        <v>9</v>
      </c>
      <c r="O10" s="81">
        <v>44681</v>
      </c>
      <c r="P10" s="81">
        <v>44712</v>
      </c>
      <c r="Q10" s="81">
        <v>44742</v>
      </c>
      <c r="S10" s="18" t="s">
        <v>8</v>
      </c>
      <c r="T10" s="18" t="s">
        <v>9</v>
      </c>
      <c r="U10" s="81">
        <v>44681</v>
      </c>
      <c r="V10" s="81">
        <v>44712</v>
      </c>
      <c r="W10" s="81">
        <v>44742</v>
      </c>
    </row>
    <row r="11" spans="1:23" x14ac:dyDescent="0.2">
      <c r="A11" s="85">
        <v>98001</v>
      </c>
      <c r="B11" s="37" t="s">
        <v>352</v>
      </c>
      <c r="C11" s="51">
        <v>4</v>
      </c>
      <c r="D11" s="35">
        <v>7</v>
      </c>
      <c r="E11" s="35">
        <v>10</v>
      </c>
      <c r="G11" s="85">
        <v>98001</v>
      </c>
      <c r="H11" s="37" t="s">
        <v>352</v>
      </c>
      <c r="I11" s="51">
        <v>0</v>
      </c>
      <c r="J11" s="35">
        <v>1</v>
      </c>
      <c r="K11" s="35">
        <v>4</v>
      </c>
      <c r="M11" s="85">
        <v>98001</v>
      </c>
      <c r="N11" s="37" t="s">
        <v>352</v>
      </c>
      <c r="O11" s="90">
        <v>6</v>
      </c>
      <c r="P11" s="90">
        <v>7</v>
      </c>
      <c r="Q11" s="90">
        <v>9</v>
      </c>
      <c r="S11" s="85">
        <v>98001</v>
      </c>
      <c r="T11" s="37" t="s">
        <v>352</v>
      </c>
      <c r="U11" s="35">
        <v>1</v>
      </c>
      <c r="V11" s="35">
        <v>0</v>
      </c>
      <c r="W11" s="35">
        <v>2</v>
      </c>
    </row>
    <row r="12" spans="1:23" x14ac:dyDescent="0.2">
      <c r="A12" s="59">
        <v>98001</v>
      </c>
      <c r="B12" s="38" t="s">
        <v>10</v>
      </c>
      <c r="C12" s="36">
        <v>147</v>
      </c>
      <c r="D12" s="36">
        <v>154</v>
      </c>
      <c r="E12" s="36">
        <v>162</v>
      </c>
      <c r="G12" s="59">
        <v>98001</v>
      </c>
      <c r="H12" s="38" t="s">
        <v>10</v>
      </c>
      <c r="I12" s="36">
        <v>12</v>
      </c>
      <c r="J12" s="36">
        <v>14</v>
      </c>
      <c r="K12" s="36">
        <v>17</v>
      </c>
      <c r="M12" s="59">
        <v>98001</v>
      </c>
      <c r="N12" s="38" t="s">
        <v>10</v>
      </c>
      <c r="O12" s="82">
        <v>97</v>
      </c>
      <c r="P12" s="82">
        <v>119</v>
      </c>
      <c r="Q12" s="82">
        <v>106</v>
      </c>
      <c r="S12" s="86">
        <v>98001</v>
      </c>
      <c r="T12" s="38" t="s">
        <v>10</v>
      </c>
      <c r="U12" s="33">
        <v>29</v>
      </c>
      <c r="V12" s="36">
        <v>37</v>
      </c>
      <c r="W12" s="33">
        <v>31</v>
      </c>
    </row>
    <row r="13" spans="1:23" x14ac:dyDescent="0.2">
      <c r="A13" s="86">
        <v>98002</v>
      </c>
      <c r="B13" s="38" t="s">
        <v>352</v>
      </c>
      <c r="C13" s="36">
        <v>8</v>
      </c>
      <c r="D13" s="36">
        <v>8</v>
      </c>
      <c r="E13" s="36">
        <v>8</v>
      </c>
      <c r="G13" s="86">
        <v>98002</v>
      </c>
      <c r="H13" s="38" t="s">
        <v>352</v>
      </c>
      <c r="I13" s="36">
        <v>1</v>
      </c>
      <c r="J13" s="36">
        <v>0</v>
      </c>
      <c r="K13" s="36">
        <v>1</v>
      </c>
      <c r="M13" s="86">
        <v>98002</v>
      </c>
      <c r="N13" s="38" t="s">
        <v>352</v>
      </c>
      <c r="O13" s="36">
        <v>9</v>
      </c>
      <c r="P13" s="36">
        <v>7</v>
      </c>
      <c r="Q13" s="36">
        <v>9</v>
      </c>
      <c r="S13" s="59">
        <v>98002</v>
      </c>
      <c r="T13" s="38" t="s">
        <v>352</v>
      </c>
      <c r="U13" s="36">
        <v>3</v>
      </c>
      <c r="V13" s="36">
        <v>2</v>
      </c>
      <c r="W13" s="36">
        <v>2</v>
      </c>
    </row>
    <row r="14" spans="1:23" x14ac:dyDescent="0.2">
      <c r="A14" s="59">
        <v>98002</v>
      </c>
      <c r="B14" s="38" t="s">
        <v>10</v>
      </c>
      <c r="C14" s="36">
        <v>227</v>
      </c>
      <c r="D14" s="36">
        <v>244</v>
      </c>
      <c r="E14" s="36">
        <v>263</v>
      </c>
      <c r="G14" s="86">
        <v>98002</v>
      </c>
      <c r="H14" s="38" t="s">
        <v>10</v>
      </c>
      <c r="I14" s="33">
        <v>20</v>
      </c>
      <c r="J14" s="36">
        <v>28</v>
      </c>
      <c r="K14" s="33">
        <v>31</v>
      </c>
      <c r="M14" s="59">
        <v>98002</v>
      </c>
      <c r="N14" s="38" t="s">
        <v>10</v>
      </c>
      <c r="O14" s="36">
        <v>173</v>
      </c>
      <c r="P14" s="36">
        <v>199</v>
      </c>
      <c r="Q14" s="36">
        <v>169</v>
      </c>
      <c r="S14" s="86">
        <v>98002</v>
      </c>
      <c r="T14" s="38" t="s">
        <v>10</v>
      </c>
      <c r="U14" s="33">
        <v>48</v>
      </c>
      <c r="V14" s="33">
        <v>59</v>
      </c>
      <c r="W14" s="36">
        <v>60</v>
      </c>
    </row>
    <row r="15" spans="1:23" x14ac:dyDescent="0.2">
      <c r="A15" s="86">
        <v>98003</v>
      </c>
      <c r="B15" s="38" t="s">
        <v>352</v>
      </c>
      <c r="C15" s="36">
        <v>13</v>
      </c>
      <c r="D15" s="36">
        <v>15</v>
      </c>
      <c r="E15" s="36">
        <v>13</v>
      </c>
      <c r="G15" s="59">
        <v>98003</v>
      </c>
      <c r="H15" s="38" t="s">
        <v>352</v>
      </c>
      <c r="I15" s="36">
        <v>0</v>
      </c>
      <c r="J15" s="36">
        <v>1</v>
      </c>
      <c r="K15" s="36">
        <v>0</v>
      </c>
      <c r="M15" s="86">
        <v>98003</v>
      </c>
      <c r="N15" s="38" t="s">
        <v>352</v>
      </c>
      <c r="O15" s="36">
        <v>7</v>
      </c>
      <c r="P15" s="36">
        <v>5</v>
      </c>
      <c r="Q15" s="36">
        <v>8</v>
      </c>
      <c r="S15" s="59">
        <v>98003</v>
      </c>
      <c r="T15" s="38" t="s">
        <v>352</v>
      </c>
      <c r="U15" s="36">
        <v>2</v>
      </c>
      <c r="V15" s="36">
        <v>1</v>
      </c>
      <c r="W15" s="36">
        <v>1</v>
      </c>
    </row>
    <row r="16" spans="1:23" x14ac:dyDescent="0.2">
      <c r="A16" s="59">
        <v>98003</v>
      </c>
      <c r="B16" s="38" t="s">
        <v>10</v>
      </c>
      <c r="C16" s="36">
        <v>320</v>
      </c>
      <c r="D16" s="36">
        <v>320</v>
      </c>
      <c r="E16" s="36">
        <v>353</v>
      </c>
      <c r="G16" s="86">
        <v>98003</v>
      </c>
      <c r="H16" s="38" t="s">
        <v>10</v>
      </c>
      <c r="I16" s="33">
        <v>38</v>
      </c>
      <c r="J16" s="36">
        <v>42</v>
      </c>
      <c r="K16" s="33">
        <v>41</v>
      </c>
      <c r="M16" s="59">
        <v>98003</v>
      </c>
      <c r="N16" s="38" t="s">
        <v>10</v>
      </c>
      <c r="O16" s="36">
        <v>259</v>
      </c>
      <c r="P16" s="36">
        <v>268</v>
      </c>
      <c r="Q16" s="36">
        <v>239</v>
      </c>
      <c r="S16" s="86">
        <v>98003</v>
      </c>
      <c r="T16" s="38" t="s">
        <v>10</v>
      </c>
      <c r="U16" s="33">
        <v>73</v>
      </c>
      <c r="V16" s="33">
        <v>78</v>
      </c>
      <c r="W16" s="36">
        <v>81</v>
      </c>
    </row>
    <row r="17" spans="1:23" x14ac:dyDescent="0.2">
      <c r="A17" s="86">
        <v>98004</v>
      </c>
      <c r="B17" s="38" t="s">
        <v>352</v>
      </c>
      <c r="C17" s="36">
        <v>3</v>
      </c>
      <c r="D17" s="36">
        <v>1</v>
      </c>
      <c r="E17" s="36">
        <v>5</v>
      </c>
      <c r="G17" s="59">
        <v>98004</v>
      </c>
      <c r="H17" s="38" t="s">
        <v>352</v>
      </c>
      <c r="I17" s="36">
        <v>0</v>
      </c>
      <c r="J17" s="36">
        <v>0</v>
      </c>
      <c r="K17" s="36">
        <v>1</v>
      </c>
      <c r="M17" s="86">
        <v>98004</v>
      </c>
      <c r="N17" s="38" t="s">
        <v>352</v>
      </c>
      <c r="O17" s="36">
        <v>2</v>
      </c>
      <c r="P17" s="36">
        <v>4</v>
      </c>
      <c r="Q17" s="33">
        <v>2</v>
      </c>
      <c r="S17" s="59">
        <v>98004</v>
      </c>
      <c r="T17" s="38" t="s">
        <v>352</v>
      </c>
      <c r="U17" s="36">
        <v>1</v>
      </c>
      <c r="V17" s="36">
        <v>3</v>
      </c>
      <c r="W17" s="36">
        <v>0</v>
      </c>
    </row>
    <row r="18" spans="1:23" x14ac:dyDescent="0.2">
      <c r="A18" s="59">
        <v>98004</v>
      </c>
      <c r="B18" s="38" t="s">
        <v>10</v>
      </c>
      <c r="C18" s="36">
        <v>45</v>
      </c>
      <c r="D18" s="36">
        <v>48</v>
      </c>
      <c r="E18" s="36">
        <v>57</v>
      </c>
      <c r="G18" s="86">
        <v>98004</v>
      </c>
      <c r="H18" s="38" t="s">
        <v>10</v>
      </c>
      <c r="I18" s="33">
        <v>5</v>
      </c>
      <c r="J18" s="36">
        <v>4</v>
      </c>
      <c r="K18" s="36">
        <v>11</v>
      </c>
      <c r="M18" s="59">
        <v>98004</v>
      </c>
      <c r="N18" s="38" t="s">
        <v>10</v>
      </c>
      <c r="O18" s="36">
        <v>37</v>
      </c>
      <c r="P18" s="36">
        <v>38</v>
      </c>
      <c r="Q18" s="36">
        <v>50</v>
      </c>
      <c r="S18" s="86">
        <v>98004</v>
      </c>
      <c r="T18" s="38" t="s">
        <v>10</v>
      </c>
      <c r="U18" s="36">
        <v>9</v>
      </c>
      <c r="V18" s="36">
        <v>13</v>
      </c>
      <c r="W18" s="36">
        <v>13</v>
      </c>
    </row>
    <row r="19" spans="1:23" x14ac:dyDescent="0.2">
      <c r="A19" s="86">
        <v>98005</v>
      </c>
      <c r="B19" s="38" t="s">
        <v>352</v>
      </c>
      <c r="C19" s="36">
        <v>4</v>
      </c>
      <c r="D19" s="36">
        <v>4</v>
      </c>
      <c r="E19" s="36">
        <v>5</v>
      </c>
      <c r="G19" s="86">
        <v>98005</v>
      </c>
      <c r="H19" s="38" t="s">
        <v>352</v>
      </c>
      <c r="I19" s="33">
        <v>2</v>
      </c>
      <c r="J19" s="36">
        <v>1</v>
      </c>
      <c r="K19" s="33">
        <v>0</v>
      </c>
      <c r="M19" s="86">
        <v>98005</v>
      </c>
      <c r="N19" s="38" t="s">
        <v>352</v>
      </c>
      <c r="O19" s="33">
        <v>2</v>
      </c>
      <c r="P19" s="36">
        <v>3</v>
      </c>
      <c r="Q19" s="36">
        <v>1</v>
      </c>
      <c r="S19" s="86">
        <v>98005</v>
      </c>
      <c r="T19" s="38" t="s">
        <v>10</v>
      </c>
      <c r="U19" s="36">
        <v>8</v>
      </c>
      <c r="V19" s="36">
        <v>8</v>
      </c>
      <c r="W19" s="36">
        <v>3</v>
      </c>
    </row>
    <row r="20" spans="1:23" x14ac:dyDescent="0.2">
      <c r="A20" s="59">
        <v>98005</v>
      </c>
      <c r="B20" s="38" t="s">
        <v>10</v>
      </c>
      <c r="C20" s="36">
        <v>33</v>
      </c>
      <c r="D20" s="36">
        <v>35</v>
      </c>
      <c r="E20" s="36">
        <v>32</v>
      </c>
      <c r="G20" s="59">
        <v>98005</v>
      </c>
      <c r="H20" s="38" t="s">
        <v>10</v>
      </c>
      <c r="I20" s="36">
        <v>2</v>
      </c>
      <c r="J20" s="36">
        <v>2</v>
      </c>
      <c r="K20" s="36">
        <v>2</v>
      </c>
      <c r="M20" s="59">
        <v>98005</v>
      </c>
      <c r="N20" s="38" t="s">
        <v>10</v>
      </c>
      <c r="O20" s="36">
        <v>20</v>
      </c>
      <c r="P20" s="36">
        <v>21</v>
      </c>
      <c r="Q20" s="36">
        <v>18</v>
      </c>
      <c r="S20" s="86">
        <v>98006</v>
      </c>
      <c r="T20" s="38" t="s">
        <v>10</v>
      </c>
      <c r="U20" s="33">
        <v>6</v>
      </c>
      <c r="V20" s="36">
        <v>10</v>
      </c>
      <c r="W20" s="36">
        <v>13</v>
      </c>
    </row>
    <row r="21" spans="1:23" x14ac:dyDescent="0.2">
      <c r="A21" s="86">
        <v>98006</v>
      </c>
      <c r="B21" s="38" t="s">
        <v>352</v>
      </c>
      <c r="C21" s="36">
        <v>2</v>
      </c>
      <c r="D21" s="36">
        <v>1</v>
      </c>
      <c r="E21" s="36">
        <v>0</v>
      </c>
      <c r="G21" s="86">
        <v>98006</v>
      </c>
      <c r="H21" s="38" t="s">
        <v>10</v>
      </c>
      <c r="I21" s="36">
        <v>5</v>
      </c>
      <c r="J21" s="36">
        <v>2</v>
      </c>
      <c r="K21" s="36">
        <v>5</v>
      </c>
      <c r="M21" s="86">
        <v>98006</v>
      </c>
      <c r="N21" s="38" t="s">
        <v>352</v>
      </c>
      <c r="O21" s="36">
        <v>2</v>
      </c>
      <c r="P21" s="36">
        <v>0</v>
      </c>
      <c r="Q21" s="36">
        <v>2</v>
      </c>
      <c r="S21" s="86">
        <v>98007</v>
      </c>
      <c r="T21" s="38" t="s">
        <v>10</v>
      </c>
      <c r="U21" s="36">
        <v>8</v>
      </c>
      <c r="V21" s="36">
        <v>9</v>
      </c>
      <c r="W21" s="36">
        <v>6</v>
      </c>
    </row>
    <row r="22" spans="1:23" x14ac:dyDescent="0.2">
      <c r="A22" s="59">
        <v>98006</v>
      </c>
      <c r="B22" s="38" t="s">
        <v>10</v>
      </c>
      <c r="C22" s="36">
        <v>51</v>
      </c>
      <c r="D22" s="36">
        <v>48</v>
      </c>
      <c r="E22" s="36">
        <v>59</v>
      </c>
      <c r="G22" s="86">
        <v>98007</v>
      </c>
      <c r="H22" s="38" t="s">
        <v>352</v>
      </c>
      <c r="I22" s="36">
        <v>0</v>
      </c>
      <c r="J22" s="36">
        <v>1</v>
      </c>
      <c r="K22" s="36">
        <v>0</v>
      </c>
      <c r="M22" s="59">
        <v>98006</v>
      </c>
      <c r="N22" s="38" t="s">
        <v>10</v>
      </c>
      <c r="O22" s="36">
        <v>37</v>
      </c>
      <c r="P22" s="36">
        <v>40</v>
      </c>
      <c r="Q22" s="36">
        <v>43</v>
      </c>
      <c r="S22" s="86">
        <v>98008</v>
      </c>
      <c r="T22" s="38" t="s">
        <v>10</v>
      </c>
      <c r="U22" s="33">
        <v>12</v>
      </c>
      <c r="V22" s="36">
        <v>6</v>
      </c>
      <c r="W22" s="33">
        <v>9</v>
      </c>
    </row>
    <row r="23" spans="1:23" x14ac:dyDescent="0.2">
      <c r="A23" s="86">
        <v>98007</v>
      </c>
      <c r="B23" s="38" t="s">
        <v>352</v>
      </c>
      <c r="C23" s="36">
        <v>2</v>
      </c>
      <c r="D23" s="36">
        <v>2</v>
      </c>
      <c r="E23" s="36">
        <v>1</v>
      </c>
      <c r="G23" s="86">
        <v>98007</v>
      </c>
      <c r="H23" s="38" t="s">
        <v>10</v>
      </c>
      <c r="I23" s="36">
        <v>6</v>
      </c>
      <c r="J23" s="36">
        <v>4</v>
      </c>
      <c r="K23" s="36">
        <v>8</v>
      </c>
      <c r="M23" s="86">
        <v>98007</v>
      </c>
      <c r="N23" s="38" t="s">
        <v>352</v>
      </c>
      <c r="O23" s="36">
        <v>0</v>
      </c>
      <c r="P23" s="36">
        <v>0</v>
      </c>
      <c r="Q23" s="36">
        <v>1</v>
      </c>
      <c r="S23" s="59">
        <v>98010</v>
      </c>
      <c r="T23" s="38" t="s">
        <v>10</v>
      </c>
      <c r="U23" s="33">
        <v>4</v>
      </c>
      <c r="V23" s="36">
        <v>6</v>
      </c>
      <c r="W23" s="36">
        <v>5</v>
      </c>
    </row>
    <row r="24" spans="1:23" x14ac:dyDescent="0.2">
      <c r="A24" s="59">
        <v>98007</v>
      </c>
      <c r="B24" s="38" t="s">
        <v>10</v>
      </c>
      <c r="C24" s="36">
        <v>37</v>
      </c>
      <c r="D24" s="36">
        <v>43</v>
      </c>
      <c r="E24" s="36">
        <v>54</v>
      </c>
      <c r="G24" s="86">
        <v>98008</v>
      </c>
      <c r="H24" s="38" t="s">
        <v>10</v>
      </c>
      <c r="I24" s="36">
        <v>5</v>
      </c>
      <c r="J24" s="36">
        <v>2</v>
      </c>
      <c r="K24" s="36">
        <v>4</v>
      </c>
      <c r="M24" s="59">
        <v>98007</v>
      </c>
      <c r="N24" s="38" t="s">
        <v>10</v>
      </c>
      <c r="O24" s="36">
        <v>37</v>
      </c>
      <c r="P24" s="36">
        <v>48</v>
      </c>
      <c r="Q24" s="36">
        <v>35</v>
      </c>
      <c r="S24" s="86">
        <v>98011</v>
      </c>
      <c r="T24" s="38" t="s">
        <v>352</v>
      </c>
      <c r="U24" s="36">
        <v>1</v>
      </c>
      <c r="V24" s="36">
        <v>0</v>
      </c>
      <c r="W24" s="36">
        <v>2</v>
      </c>
    </row>
    <row r="25" spans="1:23" x14ac:dyDescent="0.2">
      <c r="A25" s="86">
        <v>98008</v>
      </c>
      <c r="B25" s="38" t="s">
        <v>352</v>
      </c>
      <c r="C25" s="36">
        <v>1</v>
      </c>
      <c r="D25" s="36">
        <v>1</v>
      </c>
      <c r="E25" s="36">
        <v>1</v>
      </c>
      <c r="G25" s="86">
        <v>98010</v>
      </c>
      <c r="H25" s="38" t="s">
        <v>10</v>
      </c>
      <c r="I25" s="36">
        <v>2</v>
      </c>
      <c r="J25" s="36">
        <v>3</v>
      </c>
      <c r="K25" s="36">
        <v>2</v>
      </c>
      <c r="M25" s="86">
        <v>98008</v>
      </c>
      <c r="N25" s="38" t="s">
        <v>10</v>
      </c>
      <c r="O25" s="33">
        <v>23</v>
      </c>
      <c r="P25" s="36">
        <v>26</v>
      </c>
      <c r="Q25" s="33">
        <v>22</v>
      </c>
      <c r="S25" s="86">
        <v>98011</v>
      </c>
      <c r="T25" s="38" t="s">
        <v>10</v>
      </c>
      <c r="U25" s="36">
        <v>8</v>
      </c>
      <c r="V25" s="36">
        <v>8</v>
      </c>
      <c r="W25" s="33">
        <v>10</v>
      </c>
    </row>
    <row r="26" spans="1:23" x14ac:dyDescent="0.2">
      <c r="A26" s="86">
        <v>98008</v>
      </c>
      <c r="B26" s="38" t="s">
        <v>10</v>
      </c>
      <c r="C26" s="36">
        <v>31</v>
      </c>
      <c r="D26" s="36">
        <v>33</v>
      </c>
      <c r="E26" s="36">
        <v>36</v>
      </c>
      <c r="G26" s="86">
        <v>98011</v>
      </c>
      <c r="H26" s="38" t="s">
        <v>352</v>
      </c>
      <c r="I26" s="33">
        <v>3</v>
      </c>
      <c r="J26" s="36">
        <v>0</v>
      </c>
      <c r="K26" s="36">
        <v>0</v>
      </c>
      <c r="M26" s="59">
        <v>98010</v>
      </c>
      <c r="N26" s="38" t="s">
        <v>352</v>
      </c>
      <c r="O26" s="36">
        <v>0</v>
      </c>
      <c r="P26" s="36">
        <v>1</v>
      </c>
      <c r="Q26" s="36">
        <v>0</v>
      </c>
      <c r="S26" s="86">
        <v>98012</v>
      </c>
      <c r="T26" s="38" t="s">
        <v>10</v>
      </c>
      <c r="U26" s="33">
        <v>6</v>
      </c>
      <c r="V26" s="33">
        <v>6</v>
      </c>
      <c r="W26" s="36">
        <v>7</v>
      </c>
    </row>
    <row r="27" spans="1:23" x14ac:dyDescent="0.2">
      <c r="A27" s="86">
        <v>98010</v>
      </c>
      <c r="B27" s="38" t="s">
        <v>352</v>
      </c>
      <c r="C27" s="33">
        <v>0</v>
      </c>
      <c r="D27" s="36">
        <v>0</v>
      </c>
      <c r="E27" s="36">
        <v>1</v>
      </c>
      <c r="G27" s="86">
        <v>98011</v>
      </c>
      <c r="H27" s="38" t="s">
        <v>10</v>
      </c>
      <c r="I27" s="33">
        <v>4</v>
      </c>
      <c r="J27" s="33">
        <v>2</v>
      </c>
      <c r="K27" s="36">
        <v>5</v>
      </c>
      <c r="M27" s="86">
        <v>98010</v>
      </c>
      <c r="N27" s="38" t="s">
        <v>10</v>
      </c>
      <c r="O27" s="33">
        <v>13</v>
      </c>
      <c r="P27" s="33">
        <v>23</v>
      </c>
      <c r="Q27" s="36">
        <v>15</v>
      </c>
      <c r="S27" s="86">
        <v>98014</v>
      </c>
      <c r="T27" s="38" t="s">
        <v>10</v>
      </c>
      <c r="U27" s="36">
        <v>5</v>
      </c>
      <c r="V27" s="33">
        <v>2</v>
      </c>
      <c r="W27" s="33">
        <v>7</v>
      </c>
    </row>
    <row r="28" spans="1:23" x14ac:dyDescent="0.2">
      <c r="A28" s="59">
        <v>98010</v>
      </c>
      <c r="B28" s="38" t="s">
        <v>10</v>
      </c>
      <c r="C28" s="36">
        <v>18</v>
      </c>
      <c r="D28" s="36">
        <v>23</v>
      </c>
      <c r="E28" s="36">
        <v>28</v>
      </c>
      <c r="G28" s="59">
        <v>98012</v>
      </c>
      <c r="H28" s="38" t="s">
        <v>10</v>
      </c>
      <c r="I28" s="33">
        <v>3</v>
      </c>
      <c r="J28" s="36">
        <v>4</v>
      </c>
      <c r="K28" s="36">
        <v>2</v>
      </c>
      <c r="M28" s="59">
        <v>98011</v>
      </c>
      <c r="N28" s="38" t="s">
        <v>352</v>
      </c>
      <c r="O28" s="36">
        <v>2</v>
      </c>
      <c r="P28" s="36">
        <v>0</v>
      </c>
      <c r="Q28" s="36">
        <v>2</v>
      </c>
      <c r="S28" s="86">
        <v>98019</v>
      </c>
      <c r="T28" s="38" t="s">
        <v>352</v>
      </c>
      <c r="U28" s="36">
        <v>0</v>
      </c>
      <c r="V28" s="36">
        <v>1</v>
      </c>
      <c r="W28" s="36">
        <v>0</v>
      </c>
    </row>
    <row r="29" spans="1:23" x14ac:dyDescent="0.2">
      <c r="A29" s="86">
        <v>98011</v>
      </c>
      <c r="B29" s="38" t="s">
        <v>352</v>
      </c>
      <c r="C29" s="36">
        <v>4</v>
      </c>
      <c r="D29" s="36">
        <v>2</v>
      </c>
      <c r="E29" s="36">
        <v>0</v>
      </c>
      <c r="G29" s="86">
        <v>98014</v>
      </c>
      <c r="H29" s="38" t="s">
        <v>10</v>
      </c>
      <c r="I29" s="36">
        <v>3</v>
      </c>
      <c r="J29" s="33">
        <v>1</v>
      </c>
      <c r="K29" s="33">
        <v>3</v>
      </c>
      <c r="M29" s="86">
        <v>98011</v>
      </c>
      <c r="N29" s="38" t="s">
        <v>10</v>
      </c>
      <c r="O29" s="36">
        <v>46</v>
      </c>
      <c r="P29" s="36">
        <v>41</v>
      </c>
      <c r="Q29" s="33">
        <v>45</v>
      </c>
      <c r="S29" s="86">
        <v>98019</v>
      </c>
      <c r="T29" s="38" t="s">
        <v>10</v>
      </c>
      <c r="U29" s="36">
        <v>2</v>
      </c>
      <c r="V29" s="36">
        <v>9</v>
      </c>
      <c r="W29" s="36">
        <v>5</v>
      </c>
    </row>
    <row r="30" spans="1:23" x14ac:dyDescent="0.2">
      <c r="A30" s="59">
        <v>98011</v>
      </c>
      <c r="B30" s="38" t="s">
        <v>10</v>
      </c>
      <c r="C30" s="36">
        <v>50</v>
      </c>
      <c r="D30" s="36">
        <v>65</v>
      </c>
      <c r="E30" s="36">
        <v>71</v>
      </c>
      <c r="G30" s="86">
        <v>98019</v>
      </c>
      <c r="H30" s="38" t="s">
        <v>10</v>
      </c>
      <c r="I30" s="36">
        <v>6</v>
      </c>
      <c r="J30" s="33">
        <v>0</v>
      </c>
      <c r="K30" s="33">
        <v>4</v>
      </c>
      <c r="M30" s="59">
        <v>98012</v>
      </c>
      <c r="N30" s="38" t="s">
        <v>352</v>
      </c>
      <c r="O30" s="36">
        <v>0</v>
      </c>
      <c r="P30" s="36">
        <v>1</v>
      </c>
      <c r="Q30" s="36">
        <v>0</v>
      </c>
      <c r="S30" s="86">
        <v>98020</v>
      </c>
      <c r="T30" s="38" t="s">
        <v>352</v>
      </c>
      <c r="U30" s="33">
        <v>0</v>
      </c>
      <c r="V30" s="36">
        <v>2</v>
      </c>
      <c r="W30" s="33">
        <v>0</v>
      </c>
    </row>
    <row r="31" spans="1:23" x14ac:dyDescent="0.2">
      <c r="A31" s="86">
        <v>98012</v>
      </c>
      <c r="B31" s="38" t="s">
        <v>352</v>
      </c>
      <c r="C31" s="36">
        <v>0</v>
      </c>
      <c r="D31" s="36">
        <v>0</v>
      </c>
      <c r="E31" s="36">
        <v>1</v>
      </c>
      <c r="G31" s="59">
        <v>98021</v>
      </c>
      <c r="H31" s="38" t="s">
        <v>352</v>
      </c>
      <c r="I31" s="36">
        <v>0</v>
      </c>
      <c r="J31" s="36">
        <v>1</v>
      </c>
      <c r="K31" s="36">
        <v>0</v>
      </c>
      <c r="M31" s="86">
        <v>98012</v>
      </c>
      <c r="N31" s="38" t="s">
        <v>10</v>
      </c>
      <c r="O31" s="36">
        <v>31</v>
      </c>
      <c r="P31" s="33">
        <v>35</v>
      </c>
      <c r="Q31" s="33">
        <v>36</v>
      </c>
      <c r="S31" s="86">
        <v>98020</v>
      </c>
      <c r="T31" s="38" t="s">
        <v>10</v>
      </c>
      <c r="U31" s="36">
        <v>0</v>
      </c>
      <c r="V31" s="36">
        <v>0</v>
      </c>
      <c r="W31" s="33">
        <v>1</v>
      </c>
    </row>
    <row r="32" spans="1:23" x14ac:dyDescent="0.2">
      <c r="A32" s="59">
        <v>98012</v>
      </c>
      <c r="B32" s="38" t="s">
        <v>10</v>
      </c>
      <c r="C32" s="36">
        <v>32</v>
      </c>
      <c r="D32" s="36">
        <v>31</v>
      </c>
      <c r="E32" s="36">
        <v>40</v>
      </c>
      <c r="G32" s="86">
        <v>98021</v>
      </c>
      <c r="H32" s="38" t="s">
        <v>10</v>
      </c>
      <c r="I32" s="36">
        <v>2</v>
      </c>
      <c r="J32" s="36">
        <v>1</v>
      </c>
      <c r="K32" s="36">
        <v>2</v>
      </c>
      <c r="M32" s="59">
        <v>98014</v>
      </c>
      <c r="N32" s="38" t="s">
        <v>352</v>
      </c>
      <c r="O32" s="36">
        <v>1</v>
      </c>
      <c r="P32" s="36">
        <v>3</v>
      </c>
      <c r="Q32" s="36">
        <v>0</v>
      </c>
      <c r="S32" s="86">
        <v>98021</v>
      </c>
      <c r="T32" s="38" t="s">
        <v>10</v>
      </c>
      <c r="U32" s="33">
        <v>1</v>
      </c>
      <c r="V32" s="33">
        <v>1</v>
      </c>
      <c r="W32" s="36">
        <v>1</v>
      </c>
    </row>
    <row r="33" spans="1:23" x14ac:dyDescent="0.2">
      <c r="A33" s="86">
        <v>98014</v>
      </c>
      <c r="B33" s="38" t="s">
        <v>352</v>
      </c>
      <c r="C33" s="36">
        <v>1</v>
      </c>
      <c r="D33" s="36">
        <v>0</v>
      </c>
      <c r="E33" s="36">
        <v>2</v>
      </c>
      <c r="G33" s="86">
        <v>98022</v>
      </c>
      <c r="H33" s="38" t="s">
        <v>352</v>
      </c>
      <c r="I33" s="36">
        <v>1</v>
      </c>
      <c r="J33" s="36">
        <v>0</v>
      </c>
      <c r="K33" s="33">
        <v>0</v>
      </c>
      <c r="M33" s="86">
        <v>98014</v>
      </c>
      <c r="N33" s="38" t="s">
        <v>10</v>
      </c>
      <c r="O33" s="36">
        <v>13</v>
      </c>
      <c r="P33" s="36">
        <v>14</v>
      </c>
      <c r="Q33" s="36">
        <v>13</v>
      </c>
      <c r="S33" s="86">
        <v>98022</v>
      </c>
      <c r="T33" s="38" t="s">
        <v>352</v>
      </c>
      <c r="U33" s="33">
        <v>1</v>
      </c>
      <c r="V33" s="36">
        <v>1</v>
      </c>
      <c r="W33" s="36">
        <v>1</v>
      </c>
    </row>
    <row r="34" spans="1:23" x14ac:dyDescent="0.2">
      <c r="A34" s="86">
        <v>98014</v>
      </c>
      <c r="B34" s="38" t="s">
        <v>10</v>
      </c>
      <c r="C34" s="33">
        <v>19</v>
      </c>
      <c r="D34" s="36">
        <v>20</v>
      </c>
      <c r="E34" s="36">
        <v>24</v>
      </c>
      <c r="G34" s="86">
        <v>98022</v>
      </c>
      <c r="H34" s="38" t="s">
        <v>10</v>
      </c>
      <c r="I34" s="36">
        <v>9</v>
      </c>
      <c r="J34" s="33">
        <v>7</v>
      </c>
      <c r="K34" s="36">
        <v>11</v>
      </c>
      <c r="M34" s="86">
        <v>98019</v>
      </c>
      <c r="N34" s="38" t="s">
        <v>352</v>
      </c>
      <c r="O34" s="33">
        <v>2</v>
      </c>
      <c r="P34" s="36">
        <v>2</v>
      </c>
      <c r="Q34" s="36">
        <v>3</v>
      </c>
      <c r="S34" s="86">
        <v>98022</v>
      </c>
      <c r="T34" s="38" t="s">
        <v>10</v>
      </c>
      <c r="U34" s="36">
        <v>13</v>
      </c>
      <c r="V34" s="36">
        <v>18</v>
      </c>
      <c r="W34" s="36">
        <v>18</v>
      </c>
    </row>
    <row r="35" spans="1:23" x14ac:dyDescent="0.2">
      <c r="A35" s="59">
        <v>98019</v>
      </c>
      <c r="B35" s="38" t="s">
        <v>352</v>
      </c>
      <c r="C35" s="36">
        <v>3</v>
      </c>
      <c r="D35" s="36">
        <v>4</v>
      </c>
      <c r="E35" s="36">
        <v>4</v>
      </c>
      <c r="G35" s="59">
        <v>98023</v>
      </c>
      <c r="H35" s="38" t="s">
        <v>10</v>
      </c>
      <c r="I35" s="36">
        <v>36</v>
      </c>
      <c r="J35" s="36">
        <v>35</v>
      </c>
      <c r="K35" s="36">
        <v>29</v>
      </c>
      <c r="M35" s="59">
        <v>98019</v>
      </c>
      <c r="N35" s="38" t="s">
        <v>10</v>
      </c>
      <c r="O35" s="36">
        <v>15</v>
      </c>
      <c r="P35" s="36">
        <v>25</v>
      </c>
      <c r="Q35" s="36">
        <v>13</v>
      </c>
      <c r="S35" s="86">
        <v>98023</v>
      </c>
      <c r="T35" s="38" t="s">
        <v>10</v>
      </c>
      <c r="U35" s="36">
        <v>77</v>
      </c>
      <c r="V35" s="36">
        <v>74</v>
      </c>
      <c r="W35" s="36">
        <v>78</v>
      </c>
    </row>
    <row r="36" spans="1:23" x14ac:dyDescent="0.2">
      <c r="A36" s="86">
        <v>98019</v>
      </c>
      <c r="B36" s="38" t="s">
        <v>10</v>
      </c>
      <c r="C36" s="36">
        <v>37</v>
      </c>
      <c r="D36" s="36">
        <v>25</v>
      </c>
      <c r="E36" s="36">
        <v>34</v>
      </c>
      <c r="G36" s="86">
        <v>98024</v>
      </c>
      <c r="H36" s="38" t="s">
        <v>10</v>
      </c>
      <c r="I36" s="36">
        <v>0</v>
      </c>
      <c r="J36" s="33">
        <v>2</v>
      </c>
      <c r="K36" s="33">
        <v>0</v>
      </c>
      <c r="M36" s="86">
        <v>98020</v>
      </c>
      <c r="N36" s="38" t="s">
        <v>352</v>
      </c>
      <c r="O36" s="36">
        <v>0</v>
      </c>
      <c r="P36" s="33">
        <v>2</v>
      </c>
      <c r="Q36" s="33">
        <v>0</v>
      </c>
      <c r="S36" s="86">
        <v>98024</v>
      </c>
      <c r="T36" s="38" t="s">
        <v>10</v>
      </c>
      <c r="U36" s="36">
        <v>2</v>
      </c>
      <c r="V36" s="36">
        <v>2</v>
      </c>
      <c r="W36" s="36">
        <v>2</v>
      </c>
    </row>
    <row r="37" spans="1:23" x14ac:dyDescent="0.2">
      <c r="A37" s="86">
        <v>98020</v>
      </c>
      <c r="B37" s="38" t="s">
        <v>352</v>
      </c>
      <c r="C37" s="36">
        <v>2</v>
      </c>
      <c r="D37" s="36">
        <v>0</v>
      </c>
      <c r="E37" s="36">
        <v>2</v>
      </c>
      <c r="G37" s="59">
        <v>98026</v>
      </c>
      <c r="H37" s="38" t="s">
        <v>10</v>
      </c>
      <c r="I37" s="36">
        <v>1</v>
      </c>
      <c r="J37" s="36">
        <v>2</v>
      </c>
      <c r="K37" s="36">
        <v>1</v>
      </c>
      <c r="M37" s="59">
        <v>98020</v>
      </c>
      <c r="N37" s="38" t="s">
        <v>10</v>
      </c>
      <c r="O37" s="36">
        <v>1</v>
      </c>
      <c r="P37" s="36">
        <v>0</v>
      </c>
      <c r="Q37" s="33">
        <v>2</v>
      </c>
      <c r="S37" s="86">
        <v>98026</v>
      </c>
      <c r="T37" s="38" t="s">
        <v>10</v>
      </c>
      <c r="U37" s="36">
        <v>3</v>
      </c>
      <c r="V37" s="36">
        <v>3</v>
      </c>
      <c r="W37" s="36">
        <v>5</v>
      </c>
    </row>
    <row r="38" spans="1:23" x14ac:dyDescent="0.2">
      <c r="A38" s="59">
        <v>98020</v>
      </c>
      <c r="B38" s="38" t="s">
        <v>10</v>
      </c>
      <c r="C38" s="36">
        <v>3</v>
      </c>
      <c r="D38" s="36">
        <v>2</v>
      </c>
      <c r="E38" s="36">
        <v>1</v>
      </c>
      <c r="G38" s="86">
        <v>98027</v>
      </c>
      <c r="H38" s="38" t="s">
        <v>352</v>
      </c>
      <c r="I38" s="36">
        <v>0</v>
      </c>
      <c r="J38" s="36">
        <v>0</v>
      </c>
      <c r="K38" s="36">
        <v>1</v>
      </c>
      <c r="M38" s="86">
        <v>98021</v>
      </c>
      <c r="N38" s="38" t="s">
        <v>352</v>
      </c>
      <c r="O38" s="36">
        <v>1</v>
      </c>
      <c r="P38" s="36">
        <v>1</v>
      </c>
      <c r="Q38" s="36">
        <v>1</v>
      </c>
      <c r="S38" s="86">
        <v>98027</v>
      </c>
      <c r="T38" s="38" t="s">
        <v>352</v>
      </c>
      <c r="U38" s="36">
        <v>0</v>
      </c>
      <c r="V38" s="36">
        <v>1</v>
      </c>
      <c r="W38" s="36">
        <v>1</v>
      </c>
    </row>
    <row r="39" spans="1:23" x14ac:dyDescent="0.2">
      <c r="A39" s="86">
        <v>98021</v>
      </c>
      <c r="B39" s="38" t="s">
        <v>10</v>
      </c>
      <c r="C39" s="36">
        <v>8</v>
      </c>
      <c r="D39" s="36">
        <v>7</v>
      </c>
      <c r="E39" s="36">
        <v>10</v>
      </c>
      <c r="G39" s="86">
        <v>98027</v>
      </c>
      <c r="H39" s="38" t="s">
        <v>10</v>
      </c>
      <c r="I39" s="36">
        <v>7</v>
      </c>
      <c r="J39" s="36">
        <v>6</v>
      </c>
      <c r="K39" s="36">
        <v>4</v>
      </c>
      <c r="M39" s="86">
        <v>98021</v>
      </c>
      <c r="N39" s="38" t="s">
        <v>10</v>
      </c>
      <c r="O39" s="36">
        <v>6</v>
      </c>
      <c r="P39" s="33">
        <v>10</v>
      </c>
      <c r="Q39" s="36">
        <v>12</v>
      </c>
      <c r="S39" s="86">
        <v>98027</v>
      </c>
      <c r="T39" s="38" t="s">
        <v>10</v>
      </c>
      <c r="U39" s="36">
        <v>7</v>
      </c>
      <c r="V39" s="36">
        <v>10</v>
      </c>
      <c r="W39" s="36">
        <v>6</v>
      </c>
    </row>
    <row r="40" spans="1:23" x14ac:dyDescent="0.2">
      <c r="A40" s="86">
        <v>98022</v>
      </c>
      <c r="B40" s="38" t="s">
        <v>352</v>
      </c>
      <c r="C40" s="36">
        <v>10</v>
      </c>
      <c r="D40" s="36">
        <v>7</v>
      </c>
      <c r="E40" s="36">
        <v>8</v>
      </c>
      <c r="G40" s="86">
        <v>98028</v>
      </c>
      <c r="H40" s="38" t="s">
        <v>352</v>
      </c>
      <c r="I40" s="36">
        <v>0</v>
      </c>
      <c r="J40" s="36">
        <v>1</v>
      </c>
      <c r="K40" s="36">
        <v>0</v>
      </c>
      <c r="M40" s="59">
        <v>98022</v>
      </c>
      <c r="N40" s="38" t="s">
        <v>352</v>
      </c>
      <c r="O40" s="36">
        <v>2</v>
      </c>
      <c r="P40" s="36">
        <v>2</v>
      </c>
      <c r="Q40" s="36">
        <v>7</v>
      </c>
      <c r="S40" s="86">
        <v>98028</v>
      </c>
      <c r="T40" s="38" t="s">
        <v>352</v>
      </c>
      <c r="U40" s="36">
        <v>0</v>
      </c>
      <c r="V40" s="36">
        <v>1</v>
      </c>
      <c r="W40" s="33">
        <v>0</v>
      </c>
    </row>
    <row r="41" spans="1:23" x14ac:dyDescent="0.2">
      <c r="A41" s="86">
        <v>98022</v>
      </c>
      <c r="B41" s="38" t="s">
        <v>10</v>
      </c>
      <c r="C41" s="36">
        <v>86</v>
      </c>
      <c r="D41" s="36">
        <v>80</v>
      </c>
      <c r="E41" s="36">
        <v>84</v>
      </c>
      <c r="G41" s="86">
        <v>98028</v>
      </c>
      <c r="H41" s="38" t="s">
        <v>10</v>
      </c>
      <c r="I41" s="36">
        <v>5</v>
      </c>
      <c r="J41" s="33">
        <v>6</v>
      </c>
      <c r="K41" s="36">
        <v>8</v>
      </c>
      <c r="M41" s="86">
        <v>98022</v>
      </c>
      <c r="N41" s="38" t="s">
        <v>10</v>
      </c>
      <c r="O41" s="33">
        <v>54</v>
      </c>
      <c r="P41" s="36">
        <v>54</v>
      </c>
      <c r="Q41" s="33">
        <v>67</v>
      </c>
      <c r="S41" s="86">
        <v>98028</v>
      </c>
      <c r="T41" s="38" t="s">
        <v>10</v>
      </c>
      <c r="U41" s="33">
        <v>10</v>
      </c>
      <c r="V41" s="36">
        <v>13</v>
      </c>
      <c r="W41" s="36">
        <v>10</v>
      </c>
    </row>
    <row r="42" spans="1:23" x14ac:dyDescent="0.2">
      <c r="A42" s="86">
        <v>98023</v>
      </c>
      <c r="B42" s="38" t="s">
        <v>352</v>
      </c>
      <c r="C42" s="36">
        <v>1</v>
      </c>
      <c r="D42" s="36">
        <v>1</v>
      </c>
      <c r="E42" s="36">
        <v>1</v>
      </c>
      <c r="G42" s="59">
        <v>98029</v>
      </c>
      <c r="H42" s="38" t="s">
        <v>10</v>
      </c>
      <c r="I42" s="36">
        <v>5</v>
      </c>
      <c r="J42" s="36">
        <v>5</v>
      </c>
      <c r="K42" s="36">
        <v>4</v>
      </c>
      <c r="M42" s="59">
        <v>98023</v>
      </c>
      <c r="N42" s="38" t="s">
        <v>352</v>
      </c>
      <c r="O42" s="36">
        <v>2</v>
      </c>
      <c r="P42" s="36">
        <v>1</v>
      </c>
      <c r="Q42" s="36">
        <v>0</v>
      </c>
      <c r="S42" s="86">
        <v>98029</v>
      </c>
      <c r="T42" s="38" t="s">
        <v>10</v>
      </c>
      <c r="U42" s="36">
        <v>15</v>
      </c>
      <c r="V42" s="36">
        <v>9</v>
      </c>
      <c r="W42" s="36">
        <v>22</v>
      </c>
    </row>
    <row r="43" spans="1:23" x14ac:dyDescent="0.2">
      <c r="A43" s="59">
        <v>98023</v>
      </c>
      <c r="B43" s="38" t="s">
        <v>10</v>
      </c>
      <c r="C43" s="36">
        <v>301</v>
      </c>
      <c r="D43" s="36">
        <v>346</v>
      </c>
      <c r="E43" s="36">
        <v>357</v>
      </c>
      <c r="G43" s="86">
        <v>98030</v>
      </c>
      <c r="H43" s="38" t="s">
        <v>352</v>
      </c>
      <c r="I43" s="36">
        <v>0</v>
      </c>
      <c r="J43" s="36">
        <v>1</v>
      </c>
      <c r="K43" s="36">
        <v>1</v>
      </c>
      <c r="M43" s="86">
        <v>98023</v>
      </c>
      <c r="N43" s="38" t="s">
        <v>10</v>
      </c>
      <c r="O43" s="36">
        <v>276</v>
      </c>
      <c r="P43" s="36">
        <v>256</v>
      </c>
      <c r="Q43" s="36">
        <v>249</v>
      </c>
      <c r="S43" s="86">
        <v>98030</v>
      </c>
      <c r="T43" s="38" t="s">
        <v>352</v>
      </c>
      <c r="U43" s="33">
        <v>1</v>
      </c>
      <c r="V43" s="36">
        <v>2</v>
      </c>
      <c r="W43" s="33">
        <v>1</v>
      </c>
    </row>
    <row r="44" spans="1:23" x14ac:dyDescent="0.2">
      <c r="A44" s="86">
        <v>98024</v>
      </c>
      <c r="B44" s="38" t="s">
        <v>10</v>
      </c>
      <c r="C44" s="36">
        <v>9</v>
      </c>
      <c r="D44" s="36">
        <v>10</v>
      </c>
      <c r="E44" s="36">
        <v>8</v>
      </c>
      <c r="G44" s="86">
        <v>98030</v>
      </c>
      <c r="H44" s="38" t="s">
        <v>10</v>
      </c>
      <c r="I44" s="36">
        <v>24</v>
      </c>
      <c r="J44" s="36">
        <v>33</v>
      </c>
      <c r="K44" s="36">
        <v>14</v>
      </c>
      <c r="M44" s="86">
        <v>98024</v>
      </c>
      <c r="N44" s="38" t="s">
        <v>10</v>
      </c>
      <c r="O44" s="36">
        <v>8</v>
      </c>
      <c r="P44" s="36">
        <v>6</v>
      </c>
      <c r="Q44" s="36">
        <v>8</v>
      </c>
      <c r="S44" s="86">
        <v>98030</v>
      </c>
      <c r="T44" s="38" t="s">
        <v>10</v>
      </c>
      <c r="U44" s="33">
        <v>46</v>
      </c>
      <c r="V44" s="33">
        <v>49</v>
      </c>
      <c r="W44" s="36">
        <v>45</v>
      </c>
    </row>
    <row r="45" spans="1:23" x14ac:dyDescent="0.2">
      <c r="A45" s="59">
        <v>98026</v>
      </c>
      <c r="B45" s="38" t="s">
        <v>10</v>
      </c>
      <c r="C45" s="36">
        <v>12</v>
      </c>
      <c r="D45" s="36">
        <v>13</v>
      </c>
      <c r="E45" s="36">
        <v>23</v>
      </c>
      <c r="G45" s="86">
        <v>98031</v>
      </c>
      <c r="H45" s="38" t="s">
        <v>10</v>
      </c>
      <c r="I45" s="36">
        <v>24</v>
      </c>
      <c r="J45" s="36">
        <v>16</v>
      </c>
      <c r="K45" s="33">
        <v>28</v>
      </c>
      <c r="M45" s="86">
        <v>98026</v>
      </c>
      <c r="N45" s="38" t="s">
        <v>10</v>
      </c>
      <c r="O45" s="36">
        <v>16</v>
      </c>
      <c r="P45" s="36">
        <v>18</v>
      </c>
      <c r="Q45" s="36">
        <v>10</v>
      </c>
      <c r="S45" s="86">
        <v>98031</v>
      </c>
      <c r="T45" s="38" t="s">
        <v>352</v>
      </c>
      <c r="U45" s="33">
        <v>1</v>
      </c>
      <c r="V45" s="36">
        <v>1</v>
      </c>
      <c r="W45" s="33">
        <v>0</v>
      </c>
    </row>
    <row r="46" spans="1:23" x14ac:dyDescent="0.2">
      <c r="A46" s="86">
        <v>98027</v>
      </c>
      <c r="B46" s="38" t="s">
        <v>352</v>
      </c>
      <c r="C46" s="36">
        <v>5</v>
      </c>
      <c r="D46" s="36">
        <v>5</v>
      </c>
      <c r="E46" s="36">
        <v>7</v>
      </c>
      <c r="G46" s="59">
        <v>98032</v>
      </c>
      <c r="H46" s="38" t="s">
        <v>352</v>
      </c>
      <c r="I46" s="33">
        <v>0</v>
      </c>
      <c r="J46" s="36">
        <v>0</v>
      </c>
      <c r="K46" s="33">
        <v>1</v>
      </c>
      <c r="M46" s="59">
        <v>98027</v>
      </c>
      <c r="N46" s="38" t="s">
        <v>352</v>
      </c>
      <c r="O46" s="36">
        <v>1</v>
      </c>
      <c r="P46" s="36">
        <v>3</v>
      </c>
      <c r="Q46" s="36">
        <v>2</v>
      </c>
      <c r="S46" s="59">
        <v>98031</v>
      </c>
      <c r="T46" s="38" t="s">
        <v>10</v>
      </c>
      <c r="U46" s="36">
        <v>35</v>
      </c>
      <c r="V46" s="36">
        <v>43</v>
      </c>
      <c r="W46" s="36">
        <v>44</v>
      </c>
    </row>
    <row r="47" spans="1:23" x14ac:dyDescent="0.2">
      <c r="A47" s="86">
        <v>98027</v>
      </c>
      <c r="B47" s="38" t="s">
        <v>10</v>
      </c>
      <c r="C47" s="36">
        <v>48</v>
      </c>
      <c r="D47" s="36">
        <v>53</v>
      </c>
      <c r="E47" s="36">
        <v>59</v>
      </c>
      <c r="G47" s="86">
        <v>98032</v>
      </c>
      <c r="H47" s="38" t="s">
        <v>10</v>
      </c>
      <c r="I47" s="33">
        <v>21</v>
      </c>
      <c r="J47" s="33">
        <v>28</v>
      </c>
      <c r="K47" s="36">
        <v>28</v>
      </c>
      <c r="M47" s="86">
        <v>98027</v>
      </c>
      <c r="N47" s="38" t="s">
        <v>10</v>
      </c>
      <c r="O47" s="33">
        <v>36</v>
      </c>
      <c r="P47" s="36">
        <v>42</v>
      </c>
      <c r="Q47" s="36">
        <v>37</v>
      </c>
      <c r="S47" s="86">
        <v>98032</v>
      </c>
      <c r="T47" s="38" t="s">
        <v>352</v>
      </c>
      <c r="U47" s="36">
        <v>5</v>
      </c>
      <c r="V47" s="36">
        <v>4</v>
      </c>
      <c r="W47" s="36">
        <v>2</v>
      </c>
    </row>
    <row r="48" spans="1:23" x14ac:dyDescent="0.2">
      <c r="A48" s="59">
        <v>98028</v>
      </c>
      <c r="B48" s="38" t="s">
        <v>352</v>
      </c>
      <c r="C48" s="36">
        <v>1</v>
      </c>
      <c r="D48" s="36">
        <v>0</v>
      </c>
      <c r="E48" s="36">
        <v>1</v>
      </c>
      <c r="G48" s="59">
        <v>98033</v>
      </c>
      <c r="H48" s="38" t="s">
        <v>352</v>
      </c>
      <c r="I48" s="36">
        <v>0</v>
      </c>
      <c r="J48" s="33">
        <v>1</v>
      </c>
      <c r="K48" s="33">
        <v>0</v>
      </c>
      <c r="M48" s="59">
        <v>98028</v>
      </c>
      <c r="N48" s="38" t="s">
        <v>352</v>
      </c>
      <c r="O48" s="36">
        <v>0</v>
      </c>
      <c r="P48" s="36">
        <v>2</v>
      </c>
      <c r="Q48" s="36">
        <v>0</v>
      </c>
      <c r="S48" s="86">
        <v>98032</v>
      </c>
      <c r="T48" s="38" t="s">
        <v>10</v>
      </c>
      <c r="U48" s="36">
        <v>51</v>
      </c>
      <c r="V48" s="36">
        <v>62</v>
      </c>
      <c r="W48" s="36">
        <v>49</v>
      </c>
    </row>
    <row r="49" spans="1:23" x14ac:dyDescent="0.2">
      <c r="A49" s="86">
        <v>98028</v>
      </c>
      <c r="B49" s="38" t="s">
        <v>10</v>
      </c>
      <c r="C49" s="36">
        <v>46</v>
      </c>
      <c r="D49" s="36">
        <v>47</v>
      </c>
      <c r="E49" s="36">
        <v>55</v>
      </c>
      <c r="G49" s="86">
        <v>98033</v>
      </c>
      <c r="H49" s="38" t="s">
        <v>10</v>
      </c>
      <c r="I49" s="36">
        <v>7</v>
      </c>
      <c r="J49" s="36">
        <v>13</v>
      </c>
      <c r="K49" s="36">
        <v>2</v>
      </c>
      <c r="M49" s="86">
        <v>98028</v>
      </c>
      <c r="N49" s="38" t="s">
        <v>10</v>
      </c>
      <c r="O49" s="36">
        <v>33</v>
      </c>
      <c r="P49" s="36">
        <v>37</v>
      </c>
      <c r="Q49" s="36">
        <v>33</v>
      </c>
      <c r="S49" s="86">
        <v>98033</v>
      </c>
      <c r="T49" s="38" t="s">
        <v>352</v>
      </c>
      <c r="U49" s="33">
        <v>1</v>
      </c>
      <c r="V49" s="36">
        <v>0</v>
      </c>
      <c r="W49" s="33">
        <v>0</v>
      </c>
    </row>
    <row r="50" spans="1:23" x14ac:dyDescent="0.2">
      <c r="A50" s="59">
        <v>98029</v>
      </c>
      <c r="B50" s="38" t="s">
        <v>352</v>
      </c>
      <c r="C50" s="36">
        <v>2</v>
      </c>
      <c r="D50" s="36">
        <v>2</v>
      </c>
      <c r="E50" s="36">
        <v>2</v>
      </c>
      <c r="G50" s="86">
        <v>98034</v>
      </c>
      <c r="H50" s="38" t="s">
        <v>10</v>
      </c>
      <c r="I50" s="33">
        <v>14</v>
      </c>
      <c r="J50" s="36">
        <v>21</v>
      </c>
      <c r="K50" s="33">
        <v>18</v>
      </c>
      <c r="M50" s="86">
        <v>98029</v>
      </c>
      <c r="N50" s="38" t="s">
        <v>10</v>
      </c>
      <c r="O50" s="36">
        <v>31</v>
      </c>
      <c r="P50" s="36">
        <v>48</v>
      </c>
      <c r="Q50" s="36">
        <v>50</v>
      </c>
      <c r="S50" s="59">
        <v>98033</v>
      </c>
      <c r="T50" s="38" t="s">
        <v>10</v>
      </c>
      <c r="U50" s="36">
        <v>8</v>
      </c>
      <c r="V50" s="36">
        <v>12</v>
      </c>
      <c r="W50" s="36">
        <v>8</v>
      </c>
    </row>
    <row r="51" spans="1:23" x14ac:dyDescent="0.2">
      <c r="A51" s="86">
        <v>98029</v>
      </c>
      <c r="B51" s="38" t="s">
        <v>10</v>
      </c>
      <c r="C51" s="36">
        <v>52</v>
      </c>
      <c r="D51" s="36">
        <v>55</v>
      </c>
      <c r="E51" s="36">
        <v>62</v>
      </c>
      <c r="G51" s="59">
        <v>98036</v>
      </c>
      <c r="H51" s="38" t="s">
        <v>10</v>
      </c>
      <c r="I51" s="36">
        <v>1</v>
      </c>
      <c r="J51" s="36">
        <v>0</v>
      </c>
      <c r="K51" s="33">
        <v>2</v>
      </c>
      <c r="M51" s="59">
        <v>98030</v>
      </c>
      <c r="N51" s="38" t="s">
        <v>352</v>
      </c>
      <c r="O51" s="36">
        <v>3</v>
      </c>
      <c r="P51" s="36">
        <v>6</v>
      </c>
      <c r="Q51" s="36">
        <v>2</v>
      </c>
      <c r="S51" s="86">
        <v>98034</v>
      </c>
      <c r="T51" s="38" t="s">
        <v>352</v>
      </c>
      <c r="U51" s="36">
        <v>0</v>
      </c>
      <c r="V51" s="36">
        <v>0</v>
      </c>
      <c r="W51" s="36">
        <v>1</v>
      </c>
    </row>
    <row r="52" spans="1:23" x14ac:dyDescent="0.2">
      <c r="A52" s="59">
        <v>98030</v>
      </c>
      <c r="B52" s="38" t="s">
        <v>352</v>
      </c>
      <c r="C52" s="36">
        <v>4</v>
      </c>
      <c r="D52" s="36">
        <v>5</v>
      </c>
      <c r="E52" s="36">
        <v>7</v>
      </c>
      <c r="G52" s="86">
        <v>98037</v>
      </c>
      <c r="H52" s="38" t="s">
        <v>10</v>
      </c>
      <c r="I52" s="33">
        <v>2</v>
      </c>
      <c r="J52" s="36">
        <v>0</v>
      </c>
      <c r="K52" s="36">
        <v>0</v>
      </c>
      <c r="M52" s="86">
        <v>98030</v>
      </c>
      <c r="N52" s="38" t="s">
        <v>10</v>
      </c>
      <c r="O52" s="36">
        <v>149</v>
      </c>
      <c r="P52" s="36">
        <v>177</v>
      </c>
      <c r="Q52" s="36">
        <v>128</v>
      </c>
      <c r="S52" s="86">
        <v>98034</v>
      </c>
      <c r="T52" s="38" t="s">
        <v>10</v>
      </c>
      <c r="U52" s="36">
        <v>21</v>
      </c>
      <c r="V52" s="33">
        <v>24</v>
      </c>
      <c r="W52" s="33">
        <v>32</v>
      </c>
    </row>
    <row r="53" spans="1:23" x14ac:dyDescent="0.2">
      <c r="A53" s="86">
        <v>98030</v>
      </c>
      <c r="B53" s="38" t="s">
        <v>10</v>
      </c>
      <c r="C53" s="36">
        <v>221</v>
      </c>
      <c r="D53" s="36">
        <v>208</v>
      </c>
      <c r="E53" s="36">
        <v>214</v>
      </c>
      <c r="G53" s="59">
        <v>98038</v>
      </c>
      <c r="H53" s="38" t="s">
        <v>352</v>
      </c>
      <c r="I53" s="36">
        <v>0</v>
      </c>
      <c r="J53" s="36">
        <v>1</v>
      </c>
      <c r="K53" s="36">
        <v>0</v>
      </c>
      <c r="M53" s="59">
        <v>98031</v>
      </c>
      <c r="N53" s="38" t="s">
        <v>352</v>
      </c>
      <c r="O53" s="36">
        <v>1</v>
      </c>
      <c r="P53" s="36">
        <v>4</v>
      </c>
      <c r="Q53" s="36">
        <v>4</v>
      </c>
      <c r="S53" s="59">
        <v>98036</v>
      </c>
      <c r="T53" s="38" t="s">
        <v>10</v>
      </c>
      <c r="U53" s="36">
        <v>3</v>
      </c>
      <c r="V53" s="36">
        <v>10</v>
      </c>
      <c r="W53" s="36">
        <v>2</v>
      </c>
    </row>
    <row r="54" spans="1:23" x14ac:dyDescent="0.2">
      <c r="A54" s="59">
        <v>98031</v>
      </c>
      <c r="B54" s="38" t="s">
        <v>352</v>
      </c>
      <c r="C54" s="36">
        <v>5</v>
      </c>
      <c r="D54" s="36">
        <v>4</v>
      </c>
      <c r="E54" s="36">
        <v>5</v>
      </c>
      <c r="G54" s="86">
        <v>98038</v>
      </c>
      <c r="H54" s="38" t="s">
        <v>10</v>
      </c>
      <c r="I54" s="33">
        <v>11</v>
      </c>
      <c r="J54" s="33">
        <v>7</v>
      </c>
      <c r="K54" s="36">
        <v>9</v>
      </c>
      <c r="M54" s="86">
        <v>98031</v>
      </c>
      <c r="N54" s="38" t="s">
        <v>10</v>
      </c>
      <c r="O54" s="36">
        <v>146</v>
      </c>
      <c r="P54" s="36">
        <v>158</v>
      </c>
      <c r="Q54" s="36">
        <v>147</v>
      </c>
      <c r="S54" s="86">
        <v>98037</v>
      </c>
      <c r="T54" s="38" t="s">
        <v>10</v>
      </c>
      <c r="U54" s="36">
        <v>2</v>
      </c>
      <c r="V54" s="36">
        <v>5</v>
      </c>
      <c r="W54" s="36">
        <v>4</v>
      </c>
    </row>
    <row r="55" spans="1:23" x14ac:dyDescent="0.2">
      <c r="A55" s="86">
        <v>98031</v>
      </c>
      <c r="B55" s="38" t="s">
        <v>10</v>
      </c>
      <c r="C55" s="36">
        <v>189</v>
      </c>
      <c r="D55" s="36">
        <v>214</v>
      </c>
      <c r="E55" s="36">
        <v>233</v>
      </c>
      <c r="G55" s="86">
        <v>98040</v>
      </c>
      <c r="H55" s="38" t="s">
        <v>10</v>
      </c>
      <c r="I55" s="36">
        <v>0</v>
      </c>
      <c r="J55" s="36">
        <v>3</v>
      </c>
      <c r="K55" s="36">
        <v>3</v>
      </c>
      <c r="M55" s="59">
        <v>98032</v>
      </c>
      <c r="N55" s="38" t="s">
        <v>352</v>
      </c>
      <c r="O55" s="36">
        <v>10</v>
      </c>
      <c r="P55" s="36">
        <v>12</v>
      </c>
      <c r="Q55" s="36">
        <v>16</v>
      </c>
      <c r="S55" s="86">
        <v>98038</v>
      </c>
      <c r="T55" s="38" t="s">
        <v>352</v>
      </c>
      <c r="U55" s="36">
        <v>1</v>
      </c>
      <c r="V55" s="33">
        <v>0</v>
      </c>
      <c r="W55" s="33">
        <v>0</v>
      </c>
    </row>
    <row r="56" spans="1:23" x14ac:dyDescent="0.2">
      <c r="A56" s="59">
        <v>98032</v>
      </c>
      <c r="B56" s="38" t="s">
        <v>352</v>
      </c>
      <c r="C56" s="36">
        <v>17</v>
      </c>
      <c r="D56" s="36">
        <v>19</v>
      </c>
      <c r="E56" s="36">
        <v>19</v>
      </c>
      <c r="G56" s="86">
        <v>98042</v>
      </c>
      <c r="H56" s="38" t="s">
        <v>10</v>
      </c>
      <c r="I56" s="36">
        <v>10</v>
      </c>
      <c r="J56" s="36">
        <v>18</v>
      </c>
      <c r="K56" s="36">
        <v>26</v>
      </c>
      <c r="M56" s="86">
        <v>98032</v>
      </c>
      <c r="N56" s="38" t="s">
        <v>10</v>
      </c>
      <c r="O56" s="36">
        <v>188</v>
      </c>
      <c r="P56" s="36">
        <v>212</v>
      </c>
      <c r="Q56" s="33">
        <v>182</v>
      </c>
      <c r="S56" s="59">
        <v>98038</v>
      </c>
      <c r="T56" s="38" t="s">
        <v>10</v>
      </c>
      <c r="U56" s="36">
        <v>29</v>
      </c>
      <c r="V56" s="36">
        <v>19</v>
      </c>
      <c r="W56" s="36">
        <v>19</v>
      </c>
    </row>
    <row r="57" spans="1:23" x14ac:dyDescent="0.2">
      <c r="A57" s="86">
        <v>98032</v>
      </c>
      <c r="B57" s="38" t="s">
        <v>10</v>
      </c>
      <c r="C57" s="36">
        <v>227</v>
      </c>
      <c r="D57" s="36">
        <v>244</v>
      </c>
      <c r="E57" s="36">
        <v>270</v>
      </c>
      <c r="G57" s="86">
        <v>98043</v>
      </c>
      <c r="H57" s="38" t="s">
        <v>10</v>
      </c>
      <c r="I57" s="33">
        <v>2</v>
      </c>
      <c r="J57" s="36">
        <v>1</v>
      </c>
      <c r="K57" s="36">
        <v>3</v>
      </c>
      <c r="M57" s="59">
        <v>98033</v>
      </c>
      <c r="N57" s="38" t="s">
        <v>352</v>
      </c>
      <c r="O57" s="36">
        <v>1</v>
      </c>
      <c r="P57" s="36">
        <v>5</v>
      </c>
      <c r="Q57" s="36">
        <v>1</v>
      </c>
      <c r="S57" s="86">
        <v>98040</v>
      </c>
      <c r="T57" s="38" t="s">
        <v>352</v>
      </c>
      <c r="U57" s="36">
        <v>1</v>
      </c>
      <c r="V57" s="36">
        <v>0</v>
      </c>
      <c r="W57" s="36">
        <v>0</v>
      </c>
    </row>
    <row r="58" spans="1:23" x14ac:dyDescent="0.2">
      <c r="A58" s="59">
        <v>98033</v>
      </c>
      <c r="B58" s="38" t="s">
        <v>352</v>
      </c>
      <c r="C58" s="36">
        <v>3</v>
      </c>
      <c r="D58" s="36">
        <v>3</v>
      </c>
      <c r="E58" s="36">
        <v>5</v>
      </c>
      <c r="G58" s="59">
        <v>98045</v>
      </c>
      <c r="H58" s="38" t="s">
        <v>10</v>
      </c>
      <c r="I58" s="36">
        <v>1</v>
      </c>
      <c r="J58" s="36">
        <v>3</v>
      </c>
      <c r="K58" s="36">
        <v>1</v>
      </c>
      <c r="M58" s="86">
        <v>98033</v>
      </c>
      <c r="N58" s="38" t="s">
        <v>10</v>
      </c>
      <c r="O58" s="33">
        <v>34</v>
      </c>
      <c r="P58" s="36">
        <v>41</v>
      </c>
      <c r="Q58" s="36">
        <v>31</v>
      </c>
      <c r="S58" s="86">
        <v>98040</v>
      </c>
      <c r="T58" s="38" t="s">
        <v>10</v>
      </c>
      <c r="U58" s="36">
        <v>2</v>
      </c>
      <c r="V58" s="36">
        <v>2</v>
      </c>
      <c r="W58" s="33">
        <v>1</v>
      </c>
    </row>
    <row r="59" spans="1:23" x14ac:dyDescent="0.2">
      <c r="A59" s="86">
        <v>98033</v>
      </c>
      <c r="B59" s="38" t="s">
        <v>10</v>
      </c>
      <c r="C59" s="36">
        <v>49</v>
      </c>
      <c r="D59" s="36">
        <v>52</v>
      </c>
      <c r="E59" s="36">
        <v>54</v>
      </c>
      <c r="G59" s="86">
        <v>98047</v>
      </c>
      <c r="H59" s="38" t="s">
        <v>10</v>
      </c>
      <c r="I59" s="36">
        <v>1</v>
      </c>
      <c r="J59" s="36">
        <v>3</v>
      </c>
      <c r="K59" s="36">
        <v>7</v>
      </c>
      <c r="M59" s="59">
        <v>98034</v>
      </c>
      <c r="N59" s="38" t="s">
        <v>352</v>
      </c>
      <c r="O59" s="36">
        <v>1</v>
      </c>
      <c r="P59" s="36">
        <v>3</v>
      </c>
      <c r="Q59" s="36">
        <v>2</v>
      </c>
      <c r="S59" s="59">
        <v>98042</v>
      </c>
      <c r="T59" s="38" t="s">
        <v>352</v>
      </c>
      <c r="U59" s="36">
        <v>0</v>
      </c>
      <c r="V59" s="36">
        <v>0</v>
      </c>
      <c r="W59" s="36">
        <v>1</v>
      </c>
    </row>
    <row r="60" spans="1:23" x14ac:dyDescent="0.2">
      <c r="A60" s="59">
        <v>98034</v>
      </c>
      <c r="B60" s="38" t="s">
        <v>352</v>
      </c>
      <c r="C60" s="36">
        <v>1</v>
      </c>
      <c r="D60" s="36">
        <v>1</v>
      </c>
      <c r="E60" s="36">
        <v>2</v>
      </c>
      <c r="G60" s="86">
        <v>98051</v>
      </c>
      <c r="H60" s="38" t="s">
        <v>10</v>
      </c>
      <c r="I60" s="36">
        <v>0</v>
      </c>
      <c r="J60" s="36">
        <v>1</v>
      </c>
      <c r="K60" s="36">
        <v>1</v>
      </c>
      <c r="M60" s="86">
        <v>98034</v>
      </c>
      <c r="N60" s="38" t="s">
        <v>10</v>
      </c>
      <c r="O60" s="36">
        <v>91</v>
      </c>
      <c r="P60" s="36">
        <v>89</v>
      </c>
      <c r="Q60" s="33">
        <v>91</v>
      </c>
      <c r="S60" s="86">
        <v>98042</v>
      </c>
      <c r="T60" s="38" t="s">
        <v>10</v>
      </c>
      <c r="U60" s="36">
        <v>41</v>
      </c>
      <c r="V60" s="33">
        <v>47</v>
      </c>
      <c r="W60" s="36">
        <v>34</v>
      </c>
    </row>
    <row r="61" spans="1:23" x14ac:dyDescent="0.2">
      <c r="A61" s="86">
        <v>98034</v>
      </c>
      <c r="B61" s="38" t="s">
        <v>10</v>
      </c>
      <c r="C61" s="36">
        <v>126</v>
      </c>
      <c r="D61" s="36">
        <v>134</v>
      </c>
      <c r="E61" s="36">
        <v>130</v>
      </c>
      <c r="G61" s="86">
        <v>98052</v>
      </c>
      <c r="H61" s="38" t="s">
        <v>352</v>
      </c>
      <c r="I61" s="33">
        <v>1</v>
      </c>
      <c r="J61" s="33">
        <v>0</v>
      </c>
      <c r="K61" s="36">
        <v>2</v>
      </c>
      <c r="M61" s="59">
        <v>98036</v>
      </c>
      <c r="N61" s="38" t="s">
        <v>352</v>
      </c>
      <c r="O61" s="36">
        <v>1</v>
      </c>
      <c r="P61" s="36">
        <v>1</v>
      </c>
      <c r="Q61" s="36">
        <v>1</v>
      </c>
      <c r="S61" s="86">
        <v>98043</v>
      </c>
      <c r="T61" s="38" t="s">
        <v>10</v>
      </c>
      <c r="U61" s="33">
        <v>3</v>
      </c>
      <c r="V61" s="33">
        <v>3</v>
      </c>
      <c r="W61" s="36">
        <v>1</v>
      </c>
    </row>
    <row r="62" spans="1:23" x14ac:dyDescent="0.2">
      <c r="A62" s="59">
        <v>98036</v>
      </c>
      <c r="B62" s="38" t="s">
        <v>352</v>
      </c>
      <c r="C62" s="36">
        <v>2</v>
      </c>
      <c r="D62" s="36">
        <v>2</v>
      </c>
      <c r="E62" s="36">
        <v>2</v>
      </c>
      <c r="G62" s="59">
        <v>98052</v>
      </c>
      <c r="H62" s="38" t="s">
        <v>10</v>
      </c>
      <c r="I62" s="36">
        <v>8</v>
      </c>
      <c r="J62" s="36">
        <v>18</v>
      </c>
      <c r="K62" s="36">
        <v>14</v>
      </c>
      <c r="M62" s="86">
        <v>98036</v>
      </c>
      <c r="N62" s="38" t="s">
        <v>10</v>
      </c>
      <c r="O62" s="36">
        <v>14</v>
      </c>
      <c r="P62" s="33">
        <v>26</v>
      </c>
      <c r="Q62" s="33">
        <v>16</v>
      </c>
      <c r="S62" s="59">
        <v>98045</v>
      </c>
      <c r="T62" s="38" t="s">
        <v>10</v>
      </c>
      <c r="U62" s="36">
        <v>9</v>
      </c>
      <c r="V62" s="36">
        <v>9</v>
      </c>
      <c r="W62" s="36">
        <v>7</v>
      </c>
    </row>
    <row r="63" spans="1:23" x14ac:dyDescent="0.2">
      <c r="A63" s="86">
        <v>98036</v>
      </c>
      <c r="B63" s="38" t="s">
        <v>10</v>
      </c>
      <c r="C63" s="36">
        <v>18</v>
      </c>
      <c r="D63" s="36">
        <v>19</v>
      </c>
      <c r="E63" s="36">
        <v>27</v>
      </c>
      <c r="G63" s="86">
        <v>98053</v>
      </c>
      <c r="H63" s="38" t="s">
        <v>10</v>
      </c>
      <c r="I63" s="36">
        <v>2</v>
      </c>
      <c r="J63" s="36">
        <v>3</v>
      </c>
      <c r="K63" s="36">
        <v>4</v>
      </c>
      <c r="M63" s="59">
        <v>98037</v>
      </c>
      <c r="N63" s="38" t="s">
        <v>10</v>
      </c>
      <c r="O63" s="36">
        <v>9</v>
      </c>
      <c r="P63" s="36">
        <v>21</v>
      </c>
      <c r="Q63" s="36">
        <v>12</v>
      </c>
      <c r="S63" s="86">
        <v>98047</v>
      </c>
      <c r="T63" s="38" t="s">
        <v>10</v>
      </c>
      <c r="U63" s="36">
        <v>17</v>
      </c>
      <c r="V63" s="33">
        <v>8</v>
      </c>
      <c r="W63" s="33">
        <v>8</v>
      </c>
    </row>
    <row r="64" spans="1:23" x14ac:dyDescent="0.2">
      <c r="A64" s="59">
        <v>98037</v>
      </c>
      <c r="B64" s="38" t="s">
        <v>10</v>
      </c>
      <c r="C64" s="36">
        <v>16</v>
      </c>
      <c r="D64" s="36">
        <v>14</v>
      </c>
      <c r="E64" s="36">
        <v>19</v>
      </c>
      <c r="G64" s="86">
        <v>98055</v>
      </c>
      <c r="H64" s="38" t="s">
        <v>10</v>
      </c>
      <c r="I64" s="33">
        <v>10</v>
      </c>
      <c r="J64" s="33">
        <v>20</v>
      </c>
      <c r="K64" s="36">
        <v>17</v>
      </c>
      <c r="M64" s="86">
        <v>98038</v>
      </c>
      <c r="N64" s="38" t="s">
        <v>352</v>
      </c>
      <c r="O64" s="36">
        <v>3</v>
      </c>
      <c r="P64" s="36">
        <v>3</v>
      </c>
      <c r="Q64" s="36">
        <v>1</v>
      </c>
      <c r="S64" s="59">
        <v>98050</v>
      </c>
      <c r="T64" s="38" t="s">
        <v>10</v>
      </c>
      <c r="U64" s="36">
        <v>0</v>
      </c>
      <c r="V64" s="36">
        <v>1</v>
      </c>
      <c r="W64" s="36">
        <v>0</v>
      </c>
    </row>
    <row r="65" spans="1:23" x14ac:dyDescent="0.2">
      <c r="A65" s="86">
        <v>98038</v>
      </c>
      <c r="B65" s="38" t="s">
        <v>352</v>
      </c>
      <c r="C65" s="36">
        <v>1</v>
      </c>
      <c r="D65" s="36">
        <v>3</v>
      </c>
      <c r="E65" s="36">
        <v>4</v>
      </c>
      <c r="G65" s="59">
        <v>98056</v>
      </c>
      <c r="H65" s="38" t="s">
        <v>10</v>
      </c>
      <c r="I65" s="36">
        <v>16</v>
      </c>
      <c r="J65" s="36">
        <v>9</v>
      </c>
      <c r="K65" s="36">
        <v>14</v>
      </c>
      <c r="M65" s="59">
        <v>98038</v>
      </c>
      <c r="N65" s="38" t="s">
        <v>10</v>
      </c>
      <c r="O65" s="36">
        <v>75</v>
      </c>
      <c r="P65" s="36">
        <v>62</v>
      </c>
      <c r="Q65" s="36">
        <v>59</v>
      </c>
      <c r="S65" s="86">
        <v>98051</v>
      </c>
      <c r="T65" s="38" t="s">
        <v>10</v>
      </c>
      <c r="U65" s="36">
        <v>4</v>
      </c>
      <c r="V65" s="36">
        <v>3</v>
      </c>
      <c r="W65" s="33">
        <v>3</v>
      </c>
    </row>
    <row r="66" spans="1:23" x14ac:dyDescent="0.2">
      <c r="A66" s="59">
        <v>98038</v>
      </c>
      <c r="B66" s="38" t="s">
        <v>10</v>
      </c>
      <c r="C66" s="36">
        <v>122</v>
      </c>
      <c r="D66" s="36">
        <v>123</v>
      </c>
      <c r="E66" s="36">
        <v>115</v>
      </c>
      <c r="G66" s="86">
        <v>98057</v>
      </c>
      <c r="H66" s="38" t="s">
        <v>352</v>
      </c>
      <c r="I66" s="36">
        <v>0</v>
      </c>
      <c r="J66" s="36">
        <v>1</v>
      </c>
      <c r="K66" s="36">
        <v>0</v>
      </c>
      <c r="M66" s="86">
        <v>98039</v>
      </c>
      <c r="N66" s="38" t="s">
        <v>10</v>
      </c>
      <c r="O66" s="36">
        <v>1</v>
      </c>
      <c r="P66" s="33">
        <v>1</v>
      </c>
      <c r="Q66" s="33">
        <v>0</v>
      </c>
      <c r="S66" s="86">
        <v>98052</v>
      </c>
      <c r="T66" s="38" t="s">
        <v>352</v>
      </c>
      <c r="U66" s="36">
        <v>0</v>
      </c>
      <c r="V66" s="36">
        <v>1</v>
      </c>
      <c r="W66" s="36">
        <v>1</v>
      </c>
    </row>
    <row r="67" spans="1:23" x14ac:dyDescent="0.2">
      <c r="A67" s="86">
        <v>98039</v>
      </c>
      <c r="B67" s="38" t="s">
        <v>10</v>
      </c>
      <c r="C67" s="36">
        <v>0</v>
      </c>
      <c r="D67" s="36">
        <v>0</v>
      </c>
      <c r="E67" s="36">
        <v>1</v>
      </c>
      <c r="G67" s="86">
        <v>98057</v>
      </c>
      <c r="H67" s="38" t="s">
        <v>10</v>
      </c>
      <c r="I67" s="36">
        <v>7</v>
      </c>
      <c r="J67" s="33">
        <v>6</v>
      </c>
      <c r="K67" s="33">
        <v>5</v>
      </c>
      <c r="M67" s="86">
        <v>98040</v>
      </c>
      <c r="N67" s="38" t="s">
        <v>352</v>
      </c>
      <c r="O67" s="33">
        <v>2</v>
      </c>
      <c r="P67" s="36">
        <v>0</v>
      </c>
      <c r="Q67" s="33">
        <v>0</v>
      </c>
      <c r="S67" s="86">
        <v>98052</v>
      </c>
      <c r="T67" s="38" t="s">
        <v>10</v>
      </c>
      <c r="U67" s="33">
        <v>19</v>
      </c>
      <c r="V67" s="36">
        <v>23</v>
      </c>
      <c r="W67" s="36">
        <v>14</v>
      </c>
    </row>
    <row r="68" spans="1:23" x14ac:dyDescent="0.2">
      <c r="A68" s="86">
        <v>98040</v>
      </c>
      <c r="B68" s="38" t="s">
        <v>352</v>
      </c>
      <c r="C68" s="36">
        <v>2</v>
      </c>
      <c r="D68" s="36">
        <v>3</v>
      </c>
      <c r="E68" s="36">
        <v>2</v>
      </c>
      <c r="G68" s="86">
        <v>98058</v>
      </c>
      <c r="H68" s="38" t="s">
        <v>352</v>
      </c>
      <c r="I68" s="36">
        <v>0</v>
      </c>
      <c r="J68" s="33">
        <v>0</v>
      </c>
      <c r="K68" s="36">
        <v>1</v>
      </c>
      <c r="M68" s="59">
        <v>98040</v>
      </c>
      <c r="N68" s="38" t="s">
        <v>10</v>
      </c>
      <c r="O68" s="36">
        <v>10</v>
      </c>
      <c r="P68" s="36">
        <v>11</v>
      </c>
      <c r="Q68" s="36">
        <v>9</v>
      </c>
      <c r="S68" s="86">
        <v>98053</v>
      </c>
      <c r="T68" s="38" t="s">
        <v>10</v>
      </c>
      <c r="U68" s="36">
        <v>4</v>
      </c>
      <c r="V68" s="36">
        <v>7</v>
      </c>
      <c r="W68" s="36">
        <v>4</v>
      </c>
    </row>
    <row r="69" spans="1:23" x14ac:dyDescent="0.2">
      <c r="A69" s="59">
        <v>98040</v>
      </c>
      <c r="B69" s="38" t="s">
        <v>10</v>
      </c>
      <c r="C69" s="36">
        <v>13</v>
      </c>
      <c r="D69" s="36">
        <v>14</v>
      </c>
      <c r="E69" s="36">
        <v>14</v>
      </c>
      <c r="G69" s="86">
        <v>98058</v>
      </c>
      <c r="H69" s="38" t="s">
        <v>10</v>
      </c>
      <c r="I69" s="33">
        <v>18</v>
      </c>
      <c r="J69" s="36">
        <v>13</v>
      </c>
      <c r="K69" s="33">
        <v>18</v>
      </c>
      <c r="M69" s="86">
        <v>98042</v>
      </c>
      <c r="N69" s="38" t="s">
        <v>352</v>
      </c>
      <c r="O69" s="36">
        <v>0</v>
      </c>
      <c r="P69" s="36">
        <v>2</v>
      </c>
      <c r="Q69" s="36">
        <v>1</v>
      </c>
      <c r="S69" s="86">
        <v>98055</v>
      </c>
      <c r="T69" s="38" t="s">
        <v>10</v>
      </c>
      <c r="U69" s="36">
        <v>36</v>
      </c>
      <c r="V69" s="33">
        <v>40</v>
      </c>
      <c r="W69" s="33">
        <v>29</v>
      </c>
    </row>
    <row r="70" spans="1:23" x14ac:dyDescent="0.2">
      <c r="A70" s="86">
        <v>98042</v>
      </c>
      <c r="B70" s="38" t="s">
        <v>352</v>
      </c>
      <c r="C70" s="33">
        <v>2</v>
      </c>
      <c r="D70" s="36">
        <v>2</v>
      </c>
      <c r="E70" s="36">
        <v>2</v>
      </c>
      <c r="G70" s="59">
        <v>98059</v>
      </c>
      <c r="H70" s="38" t="s">
        <v>10</v>
      </c>
      <c r="I70" s="36">
        <v>7</v>
      </c>
      <c r="J70" s="33">
        <v>4</v>
      </c>
      <c r="K70" s="36">
        <v>7</v>
      </c>
      <c r="M70" s="59">
        <v>98042</v>
      </c>
      <c r="N70" s="38" t="s">
        <v>10</v>
      </c>
      <c r="O70" s="36">
        <v>131</v>
      </c>
      <c r="P70" s="36">
        <v>158</v>
      </c>
      <c r="Q70" s="36">
        <v>130</v>
      </c>
      <c r="S70" s="86">
        <v>98056</v>
      </c>
      <c r="T70" s="38" t="s">
        <v>352</v>
      </c>
      <c r="U70" s="33">
        <v>0</v>
      </c>
      <c r="V70" s="33">
        <v>2</v>
      </c>
      <c r="W70" s="36">
        <v>0</v>
      </c>
    </row>
    <row r="71" spans="1:23" x14ac:dyDescent="0.2">
      <c r="A71" s="59">
        <v>98042</v>
      </c>
      <c r="B71" s="38" t="s">
        <v>10</v>
      </c>
      <c r="C71" s="36">
        <v>197</v>
      </c>
      <c r="D71" s="36">
        <v>217</v>
      </c>
      <c r="E71" s="36">
        <v>254</v>
      </c>
      <c r="G71" s="86">
        <v>98065</v>
      </c>
      <c r="H71" s="38" t="s">
        <v>10</v>
      </c>
      <c r="I71" s="36">
        <v>6</v>
      </c>
      <c r="J71" s="36">
        <v>0</v>
      </c>
      <c r="K71" s="36">
        <v>3</v>
      </c>
      <c r="M71" s="86">
        <v>98043</v>
      </c>
      <c r="N71" s="38" t="s">
        <v>10</v>
      </c>
      <c r="O71" s="36">
        <v>13</v>
      </c>
      <c r="P71" s="36">
        <v>10</v>
      </c>
      <c r="Q71" s="36">
        <v>7</v>
      </c>
      <c r="S71" s="86">
        <v>98056</v>
      </c>
      <c r="T71" s="38" t="s">
        <v>10</v>
      </c>
      <c r="U71" s="33">
        <v>35</v>
      </c>
      <c r="V71" s="33">
        <v>28</v>
      </c>
      <c r="W71" s="36">
        <v>22</v>
      </c>
    </row>
    <row r="72" spans="1:23" x14ac:dyDescent="0.2">
      <c r="A72" s="86">
        <v>98043</v>
      </c>
      <c r="B72" s="38" t="s">
        <v>352</v>
      </c>
      <c r="C72" s="36">
        <v>1</v>
      </c>
      <c r="D72" s="36">
        <v>1</v>
      </c>
      <c r="E72" s="36">
        <v>0</v>
      </c>
      <c r="G72" s="86">
        <v>98070</v>
      </c>
      <c r="H72" s="38" t="s">
        <v>10</v>
      </c>
      <c r="I72" s="33">
        <v>1</v>
      </c>
      <c r="J72" s="36">
        <v>3</v>
      </c>
      <c r="K72" s="33">
        <v>3</v>
      </c>
      <c r="M72" s="86">
        <v>98045</v>
      </c>
      <c r="N72" s="38" t="s">
        <v>10</v>
      </c>
      <c r="O72" s="36">
        <v>24</v>
      </c>
      <c r="P72" s="36">
        <v>22</v>
      </c>
      <c r="Q72" s="36">
        <v>12</v>
      </c>
      <c r="S72" s="86">
        <v>98057</v>
      </c>
      <c r="T72" s="38" t="s">
        <v>352</v>
      </c>
      <c r="U72" s="33">
        <v>2</v>
      </c>
      <c r="V72" s="33">
        <v>1</v>
      </c>
      <c r="W72" s="36">
        <v>2</v>
      </c>
    </row>
    <row r="73" spans="1:23" x14ac:dyDescent="0.2">
      <c r="A73" s="86">
        <v>98043</v>
      </c>
      <c r="B73" s="38" t="s">
        <v>10</v>
      </c>
      <c r="C73" s="36">
        <v>15</v>
      </c>
      <c r="D73" s="36">
        <v>16</v>
      </c>
      <c r="E73" s="36">
        <v>15</v>
      </c>
      <c r="G73" s="86">
        <v>98072</v>
      </c>
      <c r="H73" s="38" t="s">
        <v>352</v>
      </c>
      <c r="I73" s="36">
        <v>1</v>
      </c>
      <c r="J73" s="36">
        <v>0</v>
      </c>
      <c r="K73" s="36">
        <v>2</v>
      </c>
      <c r="M73" s="86">
        <v>98047</v>
      </c>
      <c r="N73" s="38" t="s">
        <v>352</v>
      </c>
      <c r="O73" s="36">
        <v>0</v>
      </c>
      <c r="P73" s="36">
        <v>0</v>
      </c>
      <c r="Q73" s="36">
        <v>1</v>
      </c>
      <c r="S73" s="86">
        <v>98057</v>
      </c>
      <c r="T73" s="38" t="s">
        <v>10</v>
      </c>
      <c r="U73" s="33">
        <v>17</v>
      </c>
      <c r="V73" s="36">
        <v>14</v>
      </c>
      <c r="W73" s="36">
        <v>12</v>
      </c>
    </row>
    <row r="74" spans="1:23" x14ac:dyDescent="0.2">
      <c r="A74" s="59">
        <v>98045</v>
      </c>
      <c r="B74" s="38" t="s">
        <v>352</v>
      </c>
      <c r="C74" s="36">
        <v>1</v>
      </c>
      <c r="D74" s="36">
        <v>1</v>
      </c>
      <c r="E74" s="36">
        <v>0</v>
      </c>
      <c r="G74" s="86">
        <v>98072</v>
      </c>
      <c r="H74" s="38" t="s">
        <v>10</v>
      </c>
      <c r="I74" s="36">
        <v>3</v>
      </c>
      <c r="J74" s="36">
        <v>6</v>
      </c>
      <c r="K74" s="36">
        <v>2</v>
      </c>
      <c r="M74" s="59">
        <v>98047</v>
      </c>
      <c r="N74" s="38" t="s">
        <v>10</v>
      </c>
      <c r="O74" s="36">
        <v>37</v>
      </c>
      <c r="P74" s="36">
        <v>33</v>
      </c>
      <c r="Q74" s="36">
        <v>37</v>
      </c>
      <c r="S74" s="86">
        <v>98058</v>
      </c>
      <c r="T74" s="38" t="s">
        <v>10</v>
      </c>
      <c r="U74" s="33">
        <v>35</v>
      </c>
      <c r="V74" s="33">
        <v>41</v>
      </c>
      <c r="W74" s="36">
        <v>38</v>
      </c>
    </row>
    <row r="75" spans="1:23" x14ac:dyDescent="0.2">
      <c r="A75" s="86">
        <v>98045</v>
      </c>
      <c r="B75" s="38" t="s">
        <v>10</v>
      </c>
      <c r="C75" s="33">
        <v>21</v>
      </c>
      <c r="D75" s="36">
        <v>33</v>
      </c>
      <c r="E75" s="36">
        <v>31</v>
      </c>
      <c r="G75" s="86">
        <v>98074</v>
      </c>
      <c r="H75" s="38" t="s">
        <v>10</v>
      </c>
      <c r="I75" s="36">
        <v>0</v>
      </c>
      <c r="J75" s="36">
        <v>2</v>
      </c>
      <c r="K75" s="36">
        <v>1</v>
      </c>
      <c r="M75" s="86">
        <v>98050</v>
      </c>
      <c r="N75" s="38" t="s">
        <v>10</v>
      </c>
      <c r="O75" s="36">
        <v>0</v>
      </c>
      <c r="P75" s="33">
        <v>1</v>
      </c>
      <c r="Q75" s="36">
        <v>0</v>
      </c>
      <c r="S75" s="86">
        <v>98059</v>
      </c>
      <c r="T75" s="38" t="s">
        <v>352</v>
      </c>
      <c r="U75" s="33">
        <v>2</v>
      </c>
      <c r="V75" s="33">
        <v>2</v>
      </c>
      <c r="W75" s="36">
        <v>0</v>
      </c>
    </row>
    <row r="76" spans="1:23" x14ac:dyDescent="0.2">
      <c r="A76" s="59">
        <v>98047</v>
      </c>
      <c r="B76" s="38" t="s">
        <v>10</v>
      </c>
      <c r="C76" s="36">
        <v>49</v>
      </c>
      <c r="D76" s="36">
        <v>58</v>
      </c>
      <c r="E76" s="36">
        <v>53</v>
      </c>
      <c r="G76" s="86">
        <v>98075</v>
      </c>
      <c r="H76" s="38" t="s">
        <v>10</v>
      </c>
      <c r="I76" s="33">
        <v>1</v>
      </c>
      <c r="J76" s="36">
        <v>2</v>
      </c>
      <c r="K76" s="33">
        <v>0</v>
      </c>
      <c r="M76" s="86">
        <v>98051</v>
      </c>
      <c r="N76" s="38" t="s">
        <v>352</v>
      </c>
      <c r="O76" s="33">
        <v>0</v>
      </c>
      <c r="P76" s="36">
        <v>1</v>
      </c>
      <c r="Q76" s="33">
        <v>0</v>
      </c>
      <c r="S76" s="86">
        <v>98059</v>
      </c>
      <c r="T76" s="38" t="s">
        <v>10</v>
      </c>
      <c r="U76" s="33">
        <v>17</v>
      </c>
      <c r="V76" s="36">
        <v>19</v>
      </c>
      <c r="W76" s="33">
        <v>22</v>
      </c>
    </row>
    <row r="77" spans="1:23" x14ac:dyDescent="0.2">
      <c r="A77" s="86">
        <v>98050</v>
      </c>
      <c r="B77" s="38" t="s">
        <v>10</v>
      </c>
      <c r="C77" s="36">
        <v>1</v>
      </c>
      <c r="D77" s="36">
        <v>0</v>
      </c>
      <c r="E77" s="36">
        <v>1</v>
      </c>
      <c r="G77" s="86">
        <v>98077</v>
      </c>
      <c r="H77" s="38" t="s">
        <v>10</v>
      </c>
      <c r="I77" s="33">
        <v>3</v>
      </c>
      <c r="J77" s="36">
        <v>2</v>
      </c>
      <c r="K77" s="36">
        <v>3</v>
      </c>
      <c r="M77" s="59">
        <v>98051</v>
      </c>
      <c r="N77" s="38" t="s">
        <v>10</v>
      </c>
      <c r="O77" s="36">
        <v>9</v>
      </c>
      <c r="P77" s="36">
        <v>10</v>
      </c>
      <c r="Q77" s="36">
        <v>10</v>
      </c>
      <c r="S77" s="86">
        <v>98065</v>
      </c>
      <c r="T77" s="38" t="s">
        <v>10</v>
      </c>
      <c r="U77" s="33">
        <v>7</v>
      </c>
      <c r="V77" s="36">
        <v>3</v>
      </c>
      <c r="W77" s="33">
        <v>8</v>
      </c>
    </row>
    <row r="78" spans="1:23" x14ac:dyDescent="0.2">
      <c r="A78" s="86">
        <v>98051</v>
      </c>
      <c r="B78" s="38" t="s">
        <v>352</v>
      </c>
      <c r="C78" s="36">
        <v>0</v>
      </c>
      <c r="D78" s="36">
        <v>0</v>
      </c>
      <c r="E78" s="36">
        <v>1</v>
      </c>
      <c r="G78" s="86">
        <v>98087</v>
      </c>
      <c r="H78" s="38" t="s">
        <v>10</v>
      </c>
      <c r="I78" s="33">
        <v>3</v>
      </c>
      <c r="J78" s="36">
        <v>1</v>
      </c>
      <c r="K78" s="33">
        <v>2</v>
      </c>
      <c r="M78" s="86">
        <v>98052</v>
      </c>
      <c r="N78" s="38" t="s">
        <v>352</v>
      </c>
      <c r="O78" s="36">
        <v>0</v>
      </c>
      <c r="P78" s="36">
        <v>8</v>
      </c>
      <c r="Q78" s="36">
        <v>5</v>
      </c>
      <c r="S78" s="59">
        <v>98068</v>
      </c>
      <c r="T78" s="38" t="s">
        <v>10</v>
      </c>
      <c r="U78" s="33">
        <v>0</v>
      </c>
      <c r="V78" s="36">
        <v>0</v>
      </c>
      <c r="W78" s="36">
        <v>1</v>
      </c>
    </row>
    <row r="79" spans="1:23" x14ac:dyDescent="0.2">
      <c r="A79" s="86">
        <v>98051</v>
      </c>
      <c r="B79" s="38" t="s">
        <v>10</v>
      </c>
      <c r="C79" s="36">
        <v>10</v>
      </c>
      <c r="D79" s="36">
        <v>14</v>
      </c>
      <c r="E79" s="36">
        <v>17</v>
      </c>
      <c r="G79" s="86">
        <v>98092</v>
      </c>
      <c r="H79" s="38" t="s">
        <v>10</v>
      </c>
      <c r="I79" s="33">
        <v>29</v>
      </c>
      <c r="J79" s="36">
        <v>23</v>
      </c>
      <c r="K79" s="33">
        <v>23</v>
      </c>
      <c r="M79" s="59">
        <v>98052</v>
      </c>
      <c r="N79" s="38" t="s">
        <v>10</v>
      </c>
      <c r="O79" s="36">
        <v>75</v>
      </c>
      <c r="P79" s="36">
        <v>75</v>
      </c>
      <c r="Q79" s="36">
        <v>74</v>
      </c>
      <c r="S79" s="86">
        <v>98070</v>
      </c>
      <c r="T79" s="38" t="s">
        <v>352</v>
      </c>
      <c r="U79" s="33">
        <v>3</v>
      </c>
      <c r="V79" s="36">
        <v>0</v>
      </c>
      <c r="W79" s="33">
        <v>2</v>
      </c>
    </row>
    <row r="80" spans="1:23" x14ac:dyDescent="0.2">
      <c r="A80" s="59">
        <v>98052</v>
      </c>
      <c r="B80" s="38" t="s">
        <v>352</v>
      </c>
      <c r="C80" s="36">
        <v>8</v>
      </c>
      <c r="D80" s="36">
        <v>6</v>
      </c>
      <c r="E80" s="36">
        <v>12</v>
      </c>
      <c r="G80" s="59">
        <v>98102</v>
      </c>
      <c r="H80" s="38" t="s">
        <v>352</v>
      </c>
      <c r="I80" s="33">
        <v>0</v>
      </c>
      <c r="J80" s="36">
        <v>0</v>
      </c>
      <c r="K80" s="36">
        <v>1</v>
      </c>
      <c r="M80" s="86">
        <v>98053</v>
      </c>
      <c r="N80" s="38" t="s">
        <v>10</v>
      </c>
      <c r="O80" s="36">
        <v>17</v>
      </c>
      <c r="P80" s="33">
        <v>20</v>
      </c>
      <c r="Q80" s="33">
        <v>10</v>
      </c>
      <c r="S80" s="86">
        <v>98070</v>
      </c>
      <c r="T80" s="38" t="s">
        <v>10</v>
      </c>
      <c r="U80" s="36">
        <v>6</v>
      </c>
      <c r="V80" s="36">
        <v>4</v>
      </c>
      <c r="W80" s="33">
        <v>1</v>
      </c>
    </row>
    <row r="81" spans="1:23" x14ac:dyDescent="0.2">
      <c r="A81" s="86">
        <v>98052</v>
      </c>
      <c r="B81" s="38" t="s">
        <v>10</v>
      </c>
      <c r="C81" s="36">
        <v>115</v>
      </c>
      <c r="D81" s="36">
        <v>118</v>
      </c>
      <c r="E81" s="36">
        <v>122</v>
      </c>
      <c r="G81" s="86">
        <v>98102</v>
      </c>
      <c r="H81" s="38" t="s">
        <v>10</v>
      </c>
      <c r="I81" s="36">
        <v>1</v>
      </c>
      <c r="J81" s="33">
        <v>0</v>
      </c>
      <c r="K81" s="36">
        <v>1</v>
      </c>
      <c r="M81" s="59">
        <v>98055</v>
      </c>
      <c r="N81" s="38" t="s">
        <v>10</v>
      </c>
      <c r="O81" s="36">
        <v>104</v>
      </c>
      <c r="P81" s="36">
        <v>119</v>
      </c>
      <c r="Q81" s="36">
        <v>107</v>
      </c>
      <c r="S81" s="86">
        <v>98072</v>
      </c>
      <c r="T81" s="38" t="s">
        <v>352</v>
      </c>
      <c r="U81" s="36">
        <v>1</v>
      </c>
      <c r="V81" s="33">
        <v>0</v>
      </c>
      <c r="W81" s="33">
        <v>2</v>
      </c>
    </row>
    <row r="82" spans="1:23" x14ac:dyDescent="0.2">
      <c r="A82" s="59">
        <v>98053</v>
      </c>
      <c r="B82" s="38" t="s">
        <v>10</v>
      </c>
      <c r="C82" s="36">
        <v>21</v>
      </c>
      <c r="D82" s="36">
        <v>25</v>
      </c>
      <c r="E82" s="36">
        <v>28</v>
      </c>
      <c r="G82" s="86">
        <v>98103</v>
      </c>
      <c r="H82" s="38" t="s">
        <v>10</v>
      </c>
      <c r="I82" s="33">
        <v>0</v>
      </c>
      <c r="J82" s="36">
        <v>1</v>
      </c>
      <c r="K82" s="33">
        <v>1</v>
      </c>
      <c r="M82" s="86">
        <v>98056</v>
      </c>
      <c r="N82" s="38" t="s">
        <v>352</v>
      </c>
      <c r="O82" s="36">
        <v>2</v>
      </c>
      <c r="P82" s="36">
        <v>3</v>
      </c>
      <c r="Q82" s="36">
        <v>0</v>
      </c>
      <c r="S82" s="86">
        <v>98072</v>
      </c>
      <c r="T82" s="38" t="s">
        <v>10</v>
      </c>
      <c r="U82" s="36">
        <v>6</v>
      </c>
      <c r="V82" s="33">
        <v>7</v>
      </c>
      <c r="W82" s="36">
        <v>6</v>
      </c>
    </row>
    <row r="83" spans="1:23" x14ac:dyDescent="0.2">
      <c r="A83" s="86">
        <v>98055</v>
      </c>
      <c r="B83" s="38" t="s">
        <v>10</v>
      </c>
      <c r="C83" s="36">
        <v>149</v>
      </c>
      <c r="D83" s="36">
        <v>157</v>
      </c>
      <c r="E83" s="36">
        <v>160</v>
      </c>
      <c r="G83" s="86">
        <v>98105</v>
      </c>
      <c r="H83" s="38" t="s">
        <v>10</v>
      </c>
      <c r="I83" s="36">
        <v>0</v>
      </c>
      <c r="J83" s="33">
        <v>0</v>
      </c>
      <c r="K83" s="36">
        <v>2</v>
      </c>
      <c r="M83" s="86">
        <v>98056</v>
      </c>
      <c r="N83" s="38" t="s">
        <v>10</v>
      </c>
      <c r="O83" s="33">
        <v>112</v>
      </c>
      <c r="P83" s="36">
        <v>100</v>
      </c>
      <c r="Q83" s="36">
        <v>92</v>
      </c>
      <c r="S83" s="86">
        <v>98074</v>
      </c>
      <c r="T83" s="38" t="s">
        <v>10</v>
      </c>
      <c r="U83" s="33">
        <v>0</v>
      </c>
      <c r="V83" s="36">
        <v>7</v>
      </c>
      <c r="W83" s="36">
        <v>5</v>
      </c>
    </row>
    <row r="84" spans="1:23" x14ac:dyDescent="0.2">
      <c r="A84" s="59">
        <v>98056</v>
      </c>
      <c r="B84" s="38" t="s">
        <v>352</v>
      </c>
      <c r="C84" s="36">
        <v>0</v>
      </c>
      <c r="D84" s="36">
        <v>0</v>
      </c>
      <c r="E84" s="36">
        <v>3</v>
      </c>
      <c r="G84" s="86">
        <v>98107</v>
      </c>
      <c r="H84" s="38" t="s">
        <v>352</v>
      </c>
      <c r="I84" s="33">
        <v>0</v>
      </c>
      <c r="J84" s="33">
        <v>1</v>
      </c>
      <c r="K84" s="36">
        <v>0</v>
      </c>
      <c r="M84" s="59">
        <v>98057</v>
      </c>
      <c r="N84" s="38" t="s">
        <v>352</v>
      </c>
      <c r="O84" s="36">
        <v>4</v>
      </c>
      <c r="P84" s="36">
        <v>5</v>
      </c>
      <c r="Q84" s="36">
        <v>8</v>
      </c>
      <c r="S84" s="86">
        <v>98075</v>
      </c>
      <c r="T84" s="38" t="s">
        <v>352</v>
      </c>
      <c r="U84" s="33">
        <v>1</v>
      </c>
      <c r="V84" s="36">
        <v>0</v>
      </c>
      <c r="W84" s="33">
        <v>0</v>
      </c>
    </row>
    <row r="85" spans="1:23" x14ac:dyDescent="0.2">
      <c r="A85" s="86">
        <v>98056</v>
      </c>
      <c r="B85" s="38" t="s">
        <v>10</v>
      </c>
      <c r="C85" s="36">
        <v>119</v>
      </c>
      <c r="D85" s="36">
        <v>127</v>
      </c>
      <c r="E85" s="36">
        <v>151</v>
      </c>
      <c r="G85" s="86">
        <v>98108</v>
      </c>
      <c r="H85" s="38" t="s">
        <v>352</v>
      </c>
      <c r="I85" s="36">
        <v>0</v>
      </c>
      <c r="J85" s="36">
        <v>1</v>
      </c>
      <c r="K85" s="33">
        <v>0</v>
      </c>
      <c r="M85" s="86">
        <v>98057</v>
      </c>
      <c r="N85" s="38" t="s">
        <v>10</v>
      </c>
      <c r="O85" s="36">
        <v>57</v>
      </c>
      <c r="P85" s="36">
        <v>59</v>
      </c>
      <c r="Q85" s="36">
        <v>48</v>
      </c>
      <c r="S85" s="86">
        <v>98075</v>
      </c>
      <c r="T85" s="38" t="s">
        <v>10</v>
      </c>
      <c r="U85" s="36">
        <v>4</v>
      </c>
      <c r="V85" s="36">
        <v>6</v>
      </c>
      <c r="W85" s="33">
        <v>5</v>
      </c>
    </row>
    <row r="86" spans="1:23" x14ac:dyDescent="0.2">
      <c r="A86" s="86">
        <v>98057</v>
      </c>
      <c r="B86" s="38" t="s">
        <v>352</v>
      </c>
      <c r="C86" s="36">
        <v>7</v>
      </c>
      <c r="D86" s="36">
        <v>6</v>
      </c>
      <c r="E86" s="36">
        <v>8</v>
      </c>
      <c r="G86" s="86">
        <v>98108</v>
      </c>
      <c r="H86" s="38" t="s">
        <v>10</v>
      </c>
      <c r="I86" s="36">
        <v>0</v>
      </c>
      <c r="J86" s="36">
        <v>2</v>
      </c>
      <c r="K86" s="36">
        <v>1</v>
      </c>
      <c r="M86" s="59">
        <v>98058</v>
      </c>
      <c r="N86" s="38" t="s">
        <v>352</v>
      </c>
      <c r="O86" s="36">
        <v>2</v>
      </c>
      <c r="P86" s="36">
        <v>2</v>
      </c>
      <c r="Q86" s="36">
        <v>1</v>
      </c>
      <c r="S86" s="86">
        <v>98077</v>
      </c>
      <c r="T86" s="38" t="s">
        <v>10</v>
      </c>
      <c r="U86" s="33">
        <v>2</v>
      </c>
      <c r="V86" s="36">
        <v>7</v>
      </c>
      <c r="W86" s="33">
        <v>1</v>
      </c>
    </row>
    <row r="87" spans="1:23" x14ac:dyDescent="0.2">
      <c r="A87" s="86">
        <v>98057</v>
      </c>
      <c r="B87" s="38" t="s">
        <v>10</v>
      </c>
      <c r="C87" s="36">
        <v>57</v>
      </c>
      <c r="D87" s="36">
        <v>64</v>
      </c>
      <c r="E87" s="36">
        <v>78</v>
      </c>
      <c r="G87" s="86">
        <v>98109</v>
      </c>
      <c r="H87" s="38" t="s">
        <v>352</v>
      </c>
      <c r="I87" s="33">
        <v>0</v>
      </c>
      <c r="J87" s="36">
        <v>0</v>
      </c>
      <c r="K87" s="36">
        <v>1</v>
      </c>
      <c r="M87" s="86">
        <v>98058</v>
      </c>
      <c r="N87" s="38" t="s">
        <v>10</v>
      </c>
      <c r="O87" s="33">
        <v>128</v>
      </c>
      <c r="P87" s="36">
        <v>159</v>
      </c>
      <c r="Q87" s="33">
        <v>120</v>
      </c>
      <c r="S87" s="86">
        <v>98087</v>
      </c>
      <c r="T87" s="38" t="s">
        <v>352</v>
      </c>
      <c r="U87" s="33">
        <v>1</v>
      </c>
      <c r="V87" s="36">
        <v>0</v>
      </c>
      <c r="W87" s="36">
        <v>1</v>
      </c>
    </row>
    <row r="88" spans="1:23" x14ac:dyDescent="0.2">
      <c r="A88" s="59">
        <v>98058</v>
      </c>
      <c r="B88" s="38" t="s">
        <v>352</v>
      </c>
      <c r="C88" s="36">
        <v>1</v>
      </c>
      <c r="D88" s="36">
        <v>3</v>
      </c>
      <c r="E88" s="36">
        <v>4</v>
      </c>
      <c r="G88" s="86">
        <v>98109</v>
      </c>
      <c r="H88" s="38" t="s">
        <v>10</v>
      </c>
      <c r="I88" s="36">
        <v>2</v>
      </c>
      <c r="J88" s="36">
        <v>1</v>
      </c>
      <c r="K88" s="36">
        <v>0</v>
      </c>
      <c r="M88" s="59">
        <v>98059</v>
      </c>
      <c r="N88" s="38" t="s">
        <v>352</v>
      </c>
      <c r="O88" s="36">
        <v>2</v>
      </c>
      <c r="P88" s="36">
        <v>3</v>
      </c>
      <c r="Q88" s="36">
        <v>0</v>
      </c>
      <c r="S88" s="86">
        <v>98087</v>
      </c>
      <c r="T88" s="38" t="s">
        <v>10</v>
      </c>
      <c r="U88" s="36">
        <v>4</v>
      </c>
      <c r="V88" s="36">
        <v>6</v>
      </c>
      <c r="W88" s="36">
        <v>5</v>
      </c>
    </row>
    <row r="89" spans="1:23" x14ac:dyDescent="0.2">
      <c r="A89" s="86">
        <v>98058</v>
      </c>
      <c r="B89" s="38" t="s">
        <v>10</v>
      </c>
      <c r="C89" s="36">
        <v>167</v>
      </c>
      <c r="D89" s="36">
        <v>167</v>
      </c>
      <c r="E89" s="36">
        <v>211</v>
      </c>
      <c r="G89" s="86">
        <v>98110</v>
      </c>
      <c r="H89" s="38" t="s">
        <v>352</v>
      </c>
      <c r="I89" s="36">
        <v>0</v>
      </c>
      <c r="J89" s="36">
        <v>0</v>
      </c>
      <c r="K89" s="36">
        <v>1</v>
      </c>
      <c r="M89" s="86">
        <v>98059</v>
      </c>
      <c r="N89" s="38" t="s">
        <v>10</v>
      </c>
      <c r="O89" s="36">
        <v>69</v>
      </c>
      <c r="P89" s="36">
        <v>79</v>
      </c>
      <c r="Q89" s="36">
        <v>77</v>
      </c>
      <c r="S89" s="86">
        <v>98092</v>
      </c>
      <c r="T89" s="38" t="s">
        <v>10</v>
      </c>
      <c r="U89" s="33">
        <v>44</v>
      </c>
      <c r="V89" s="33">
        <v>51</v>
      </c>
      <c r="W89" s="36">
        <v>46</v>
      </c>
    </row>
    <row r="90" spans="1:23" x14ac:dyDescent="0.2">
      <c r="A90" s="59">
        <v>98059</v>
      </c>
      <c r="B90" s="38" t="s">
        <v>352</v>
      </c>
      <c r="C90" s="36">
        <v>3</v>
      </c>
      <c r="D90" s="36">
        <v>3</v>
      </c>
      <c r="E90" s="36">
        <v>4</v>
      </c>
      <c r="G90" s="86">
        <v>98110</v>
      </c>
      <c r="H90" s="38" t="s">
        <v>10</v>
      </c>
      <c r="I90" s="36">
        <v>0</v>
      </c>
      <c r="J90" s="36">
        <v>2</v>
      </c>
      <c r="K90" s="36">
        <v>6</v>
      </c>
      <c r="M90" s="59">
        <v>98065</v>
      </c>
      <c r="N90" s="38" t="s">
        <v>352</v>
      </c>
      <c r="O90" s="36">
        <v>0</v>
      </c>
      <c r="P90" s="36">
        <v>1</v>
      </c>
      <c r="Q90" s="36">
        <v>0</v>
      </c>
      <c r="S90" s="86">
        <v>98102</v>
      </c>
      <c r="T90" s="38" t="s">
        <v>10</v>
      </c>
      <c r="U90" s="36">
        <v>0</v>
      </c>
      <c r="V90" s="33">
        <v>0</v>
      </c>
      <c r="W90" s="36">
        <v>2</v>
      </c>
    </row>
    <row r="91" spans="1:23" x14ac:dyDescent="0.2">
      <c r="A91" s="86">
        <v>98059</v>
      </c>
      <c r="B91" s="38" t="s">
        <v>10</v>
      </c>
      <c r="C91" s="36">
        <v>88</v>
      </c>
      <c r="D91" s="36">
        <v>92</v>
      </c>
      <c r="E91" s="36">
        <v>107</v>
      </c>
      <c r="G91" s="86">
        <v>98112</v>
      </c>
      <c r="H91" s="38" t="s">
        <v>10</v>
      </c>
      <c r="I91" s="33">
        <v>1</v>
      </c>
      <c r="J91" s="36">
        <v>1</v>
      </c>
      <c r="K91" s="36">
        <v>1</v>
      </c>
      <c r="M91" s="86">
        <v>98065</v>
      </c>
      <c r="N91" s="38" t="s">
        <v>10</v>
      </c>
      <c r="O91" s="33">
        <v>21</v>
      </c>
      <c r="P91" s="36">
        <v>12</v>
      </c>
      <c r="Q91" s="36">
        <v>19</v>
      </c>
      <c r="S91" s="86">
        <v>98103</v>
      </c>
      <c r="T91" s="38" t="s">
        <v>10</v>
      </c>
      <c r="U91" s="36">
        <v>0</v>
      </c>
      <c r="V91" s="36">
        <v>1</v>
      </c>
      <c r="W91" s="36">
        <v>2</v>
      </c>
    </row>
    <row r="92" spans="1:23" x14ac:dyDescent="0.2">
      <c r="A92" s="86">
        <v>98065</v>
      </c>
      <c r="B92" s="38" t="s">
        <v>352</v>
      </c>
      <c r="C92" s="36">
        <v>0</v>
      </c>
      <c r="D92" s="36">
        <v>0</v>
      </c>
      <c r="E92" s="36">
        <v>1</v>
      </c>
      <c r="G92" s="86">
        <v>98115</v>
      </c>
      <c r="H92" s="38" t="s">
        <v>352</v>
      </c>
      <c r="I92" s="36">
        <v>0</v>
      </c>
      <c r="J92" s="33">
        <v>1</v>
      </c>
      <c r="K92" s="33">
        <v>0</v>
      </c>
      <c r="M92" s="59">
        <v>98068</v>
      </c>
      <c r="N92" s="38" t="s">
        <v>352</v>
      </c>
      <c r="O92" s="36">
        <v>0</v>
      </c>
      <c r="P92" s="36">
        <v>2</v>
      </c>
      <c r="Q92" s="36">
        <v>0</v>
      </c>
      <c r="S92" s="86">
        <v>98105</v>
      </c>
      <c r="T92" s="38" t="s">
        <v>10</v>
      </c>
      <c r="U92" s="36">
        <v>0</v>
      </c>
      <c r="V92" s="36">
        <v>1</v>
      </c>
      <c r="W92" s="36">
        <v>3</v>
      </c>
    </row>
    <row r="93" spans="1:23" x14ac:dyDescent="0.2">
      <c r="A93" s="86">
        <v>98065</v>
      </c>
      <c r="B93" s="38" t="s">
        <v>10</v>
      </c>
      <c r="C93" s="36">
        <v>25</v>
      </c>
      <c r="D93" s="36">
        <v>32</v>
      </c>
      <c r="E93" s="36">
        <v>30</v>
      </c>
      <c r="G93" s="86">
        <v>98115</v>
      </c>
      <c r="H93" s="38" t="s">
        <v>10</v>
      </c>
      <c r="I93" s="36">
        <v>1</v>
      </c>
      <c r="J93" s="33">
        <v>0</v>
      </c>
      <c r="K93" s="33">
        <v>1</v>
      </c>
      <c r="M93" s="86">
        <v>98068</v>
      </c>
      <c r="N93" s="38" t="s">
        <v>10</v>
      </c>
      <c r="O93" s="36">
        <v>2</v>
      </c>
      <c r="P93" s="36">
        <v>0</v>
      </c>
      <c r="Q93" s="36">
        <v>2</v>
      </c>
      <c r="S93" s="86">
        <v>98106</v>
      </c>
      <c r="T93" s="38" t="s">
        <v>352</v>
      </c>
      <c r="U93" s="36">
        <v>0</v>
      </c>
      <c r="V93" s="33">
        <v>1</v>
      </c>
      <c r="W93" s="33">
        <v>0</v>
      </c>
    </row>
    <row r="94" spans="1:23" x14ac:dyDescent="0.2">
      <c r="A94" s="86">
        <v>98068</v>
      </c>
      <c r="B94" s="38" t="s">
        <v>352</v>
      </c>
      <c r="C94" s="36">
        <v>0</v>
      </c>
      <c r="D94" s="36">
        <v>0</v>
      </c>
      <c r="E94" s="36">
        <v>2</v>
      </c>
      <c r="G94" s="59">
        <v>98116</v>
      </c>
      <c r="H94" s="38" t="s">
        <v>10</v>
      </c>
      <c r="I94" s="36">
        <v>2</v>
      </c>
      <c r="J94" s="36">
        <v>2</v>
      </c>
      <c r="K94" s="36">
        <v>1</v>
      </c>
      <c r="M94" s="86">
        <v>98070</v>
      </c>
      <c r="N94" s="38" t="s">
        <v>352</v>
      </c>
      <c r="O94" s="33">
        <v>6</v>
      </c>
      <c r="P94" s="36">
        <v>3</v>
      </c>
      <c r="Q94" s="36">
        <v>8</v>
      </c>
      <c r="S94" s="86">
        <v>98106</v>
      </c>
      <c r="T94" s="38" t="s">
        <v>10</v>
      </c>
      <c r="U94" s="36">
        <v>1</v>
      </c>
      <c r="V94" s="33">
        <v>1</v>
      </c>
      <c r="W94" s="36">
        <v>4</v>
      </c>
    </row>
    <row r="95" spans="1:23" x14ac:dyDescent="0.2">
      <c r="A95" s="59">
        <v>98068</v>
      </c>
      <c r="B95" s="38" t="s">
        <v>10</v>
      </c>
      <c r="C95" s="36">
        <v>0</v>
      </c>
      <c r="D95" s="36">
        <v>2</v>
      </c>
      <c r="E95" s="36">
        <v>1</v>
      </c>
      <c r="G95" s="86">
        <v>98117</v>
      </c>
      <c r="H95" s="38" t="s">
        <v>10</v>
      </c>
      <c r="I95" s="33">
        <v>1</v>
      </c>
      <c r="J95" s="36">
        <v>1</v>
      </c>
      <c r="K95" s="33">
        <v>1</v>
      </c>
      <c r="M95" s="59">
        <v>98070</v>
      </c>
      <c r="N95" s="38" t="s">
        <v>10</v>
      </c>
      <c r="O95" s="36">
        <v>19</v>
      </c>
      <c r="P95" s="36">
        <v>20</v>
      </c>
      <c r="Q95" s="36">
        <v>18</v>
      </c>
      <c r="S95" s="86">
        <v>98107</v>
      </c>
      <c r="T95" s="38" t="s">
        <v>10</v>
      </c>
      <c r="U95" s="36">
        <v>1</v>
      </c>
      <c r="V95" s="36">
        <v>1</v>
      </c>
      <c r="W95" s="36">
        <v>1</v>
      </c>
    </row>
    <row r="96" spans="1:23" x14ac:dyDescent="0.2">
      <c r="A96" s="86">
        <v>98070</v>
      </c>
      <c r="B96" s="38" t="s">
        <v>352</v>
      </c>
      <c r="C96" s="36">
        <v>3</v>
      </c>
      <c r="D96" s="36">
        <v>3</v>
      </c>
      <c r="E96" s="36">
        <v>5</v>
      </c>
      <c r="G96" s="86">
        <v>98118</v>
      </c>
      <c r="H96" s="38" t="s">
        <v>352</v>
      </c>
      <c r="I96" s="36">
        <v>1</v>
      </c>
      <c r="J96" s="33">
        <v>0</v>
      </c>
      <c r="K96" s="36">
        <v>1</v>
      </c>
      <c r="M96" s="86">
        <v>98072</v>
      </c>
      <c r="N96" s="38" t="s">
        <v>352</v>
      </c>
      <c r="O96" s="36">
        <v>4</v>
      </c>
      <c r="P96" s="36">
        <v>6</v>
      </c>
      <c r="Q96" s="33">
        <v>6</v>
      </c>
      <c r="S96" s="86">
        <v>98108</v>
      </c>
      <c r="T96" s="38" t="s">
        <v>352</v>
      </c>
      <c r="U96" s="33">
        <v>1</v>
      </c>
      <c r="V96" s="33">
        <v>2</v>
      </c>
      <c r="W96" s="36">
        <v>0</v>
      </c>
    </row>
    <row r="97" spans="1:23" x14ac:dyDescent="0.2">
      <c r="A97" s="59">
        <v>98070</v>
      </c>
      <c r="B97" s="38" t="s">
        <v>10</v>
      </c>
      <c r="C97" s="36">
        <v>13</v>
      </c>
      <c r="D97" s="36">
        <v>19</v>
      </c>
      <c r="E97" s="36">
        <v>28</v>
      </c>
      <c r="G97" s="86">
        <v>98118</v>
      </c>
      <c r="H97" s="38" t="s">
        <v>10</v>
      </c>
      <c r="I97" s="36">
        <v>2</v>
      </c>
      <c r="J97" s="33">
        <v>1</v>
      </c>
      <c r="K97" s="33">
        <v>1</v>
      </c>
      <c r="M97" s="59">
        <v>98072</v>
      </c>
      <c r="N97" s="38" t="s">
        <v>10</v>
      </c>
      <c r="O97" s="36">
        <v>22</v>
      </c>
      <c r="P97" s="36">
        <v>32</v>
      </c>
      <c r="Q97" s="36">
        <v>19</v>
      </c>
      <c r="S97" s="59">
        <v>98108</v>
      </c>
      <c r="T97" s="38" t="s">
        <v>10</v>
      </c>
      <c r="U97" s="33">
        <v>1</v>
      </c>
      <c r="V97" s="36">
        <v>1</v>
      </c>
      <c r="W97" s="36">
        <v>1</v>
      </c>
    </row>
    <row r="98" spans="1:23" x14ac:dyDescent="0.2">
      <c r="A98" s="86">
        <v>98072</v>
      </c>
      <c r="B98" s="38" t="s">
        <v>352</v>
      </c>
      <c r="C98" s="36">
        <v>1</v>
      </c>
      <c r="D98" s="36">
        <v>4</v>
      </c>
      <c r="E98" s="36">
        <v>8</v>
      </c>
      <c r="G98" s="59">
        <v>98119</v>
      </c>
      <c r="H98" s="38" t="s">
        <v>352</v>
      </c>
      <c r="I98" s="36">
        <v>0</v>
      </c>
      <c r="J98" s="36">
        <v>1</v>
      </c>
      <c r="K98" s="36">
        <v>0</v>
      </c>
      <c r="M98" s="86">
        <v>98074</v>
      </c>
      <c r="N98" s="38" t="s">
        <v>352</v>
      </c>
      <c r="O98" s="36">
        <v>1</v>
      </c>
      <c r="P98" s="36">
        <v>0</v>
      </c>
      <c r="Q98" s="36">
        <v>1</v>
      </c>
      <c r="S98" s="86">
        <v>98110</v>
      </c>
      <c r="T98" s="38" t="s">
        <v>352</v>
      </c>
      <c r="U98" s="33">
        <v>0</v>
      </c>
      <c r="V98" s="36">
        <v>0</v>
      </c>
      <c r="W98" s="33">
        <v>1</v>
      </c>
    </row>
    <row r="99" spans="1:23" x14ac:dyDescent="0.2">
      <c r="A99" s="86">
        <v>98072</v>
      </c>
      <c r="B99" s="38" t="s">
        <v>10</v>
      </c>
      <c r="C99" s="36">
        <v>38</v>
      </c>
      <c r="D99" s="36">
        <v>37</v>
      </c>
      <c r="E99" s="33">
        <v>48</v>
      </c>
      <c r="G99" s="86">
        <v>98122</v>
      </c>
      <c r="H99" s="38" t="s">
        <v>10</v>
      </c>
      <c r="I99" s="36">
        <v>1</v>
      </c>
      <c r="J99" s="36">
        <v>2</v>
      </c>
      <c r="K99" s="36">
        <v>0</v>
      </c>
      <c r="M99" s="86">
        <v>98074</v>
      </c>
      <c r="N99" s="38" t="s">
        <v>10</v>
      </c>
      <c r="O99" s="33">
        <v>11</v>
      </c>
      <c r="P99" s="33">
        <v>24</v>
      </c>
      <c r="Q99" s="36">
        <v>15</v>
      </c>
      <c r="S99" s="59">
        <v>98110</v>
      </c>
      <c r="T99" s="38" t="s">
        <v>10</v>
      </c>
      <c r="U99" s="36">
        <v>3</v>
      </c>
      <c r="V99" s="36">
        <v>4</v>
      </c>
      <c r="W99" s="36">
        <v>4</v>
      </c>
    </row>
    <row r="100" spans="1:23" x14ac:dyDescent="0.2">
      <c r="A100" s="86">
        <v>98074</v>
      </c>
      <c r="B100" s="38" t="s">
        <v>352</v>
      </c>
      <c r="C100" s="36">
        <v>0</v>
      </c>
      <c r="D100" s="36">
        <v>1</v>
      </c>
      <c r="E100" s="36">
        <v>1</v>
      </c>
      <c r="G100" s="86">
        <v>98125</v>
      </c>
      <c r="H100" s="38" t="s">
        <v>10</v>
      </c>
      <c r="I100" s="33">
        <v>2</v>
      </c>
      <c r="J100" s="33">
        <v>1</v>
      </c>
      <c r="K100" s="36">
        <v>3</v>
      </c>
      <c r="M100" s="59">
        <v>98075</v>
      </c>
      <c r="N100" s="38" t="s">
        <v>352</v>
      </c>
      <c r="O100" s="36">
        <v>1</v>
      </c>
      <c r="P100" s="36">
        <v>0</v>
      </c>
      <c r="Q100" s="36">
        <v>0</v>
      </c>
      <c r="S100" s="86">
        <v>98112</v>
      </c>
      <c r="T100" s="38" t="s">
        <v>10</v>
      </c>
      <c r="U100" s="33">
        <v>0</v>
      </c>
      <c r="V100" s="36">
        <v>0</v>
      </c>
      <c r="W100" s="36">
        <v>1</v>
      </c>
    </row>
    <row r="101" spans="1:23" x14ac:dyDescent="0.2">
      <c r="A101" s="59">
        <v>98074</v>
      </c>
      <c r="B101" s="38" t="s">
        <v>10</v>
      </c>
      <c r="C101" s="36">
        <v>18</v>
      </c>
      <c r="D101" s="36">
        <v>21</v>
      </c>
      <c r="E101" s="36">
        <v>28</v>
      </c>
      <c r="G101" s="86">
        <v>98126</v>
      </c>
      <c r="H101" s="38" t="s">
        <v>10</v>
      </c>
      <c r="I101" s="33">
        <v>2</v>
      </c>
      <c r="J101" s="33">
        <v>2</v>
      </c>
      <c r="K101" s="36">
        <v>1</v>
      </c>
      <c r="M101" s="86">
        <v>98075</v>
      </c>
      <c r="N101" s="38" t="s">
        <v>10</v>
      </c>
      <c r="O101" s="36">
        <v>9</v>
      </c>
      <c r="P101" s="36">
        <v>13</v>
      </c>
      <c r="Q101" s="36">
        <v>9</v>
      </c>
      <c r="S101" s="59">
        <v>98115</v>
      </c>
      <c r="T101" s="38" t="s">
        <v>352</v>
      </c>
      <c r="U101" s="36">
        <v>1</v>
      </c>
      <c r="V101" s="36">
        <v>0</v>
      </c>
      <c r="W101" s="36">
        <v>0</v>
      </c>
    </row>
    <row r="102" spans="1:23" x14ac:dyDescent="0.2">
      <c r="A102" s="86">
        <v>98075</v>
      </c>
      <c r="B102" s="38" t="s">
        <v>352</v>
      </c>
      <c r="C102" s="36">
        <v>0</v>
      </c>
      <c r="D102" s="36">
        <v>1</v>
      </c>
      <c r="E102" s="36">
        <v>0</v>
      </c>
      <c r="G102" s="59">
        <v>98133</v>
      </c>
      <c r="H102" s="38" t="s">
        <v>10</v>
      </c>
      <c r="I102" s="33">
        <v>2</v>
      </c>
      <c r="J102" s="36">
        <v>0</v>
      </c>
      <c r="K102" s="33">
        <v>1</v>
      </c>
      <c r="M102" s="86">
        <v>98077</v>
      </c>
      <c r="N102" s="38" t="s">
        <v>10</v>
      </c>
      <c r="O102" s="36">
        <v>10</v>
      </c>
      <c r="P102" s="36">
        <v>15</v>
      </c>
      <c r="Q102" s="36">
        <v>5</v>
      </c>
      <c r="S102" s="86">
        <v>98115</v>
      </c>
      <c r="T102" s="38" t="s">
        <v>10</v>
      </c>
      <c r="U102" s="33">
        <v>1</v>
      </c>
      <c r="V102" s="36">
        <v>0</v>
      </c>
      <c r="W102" s="33">
        <v>4</v>
      </c>
    </row>
    <row r="103" spans="1:23" x14ac:dyDescent="0.2">
      <c r="A103" s="86">
        <v>98075</v>
      </c>
      <c r="B103" s="38" t="s">
        <v>10</v>
      </c>
      <c r="C103" s="36">
        <v>16</v>
      </c>
      <c r="D103" s="36">
        <v>11</v>
      </c>
      <c r="E103" s="36">
        <v>15</v>
      </c>
      <c r="G103" s="86">
        <v>98144</v>
      </c>
      <c r="H103" s="38" t="s">
        <v>352</v>
      </c>
      <c r="I103" s="36">
        <v>0</v>
      </c>
      <c r="J103" s="36">
        <v>1</v>
      </c>
      <c r="K103" s="36">
        <v>0</v>
      </c>
      <c r="M103" s="59">
        <v>98087</v>
      </c>
      <c r="N103" s="38" t="s">
        <v>352</v>
      </c>
      <c r="O103" s="36">
        <v>1</v>
      </c>
      <c r="P103" s="36">
        <v>0</v>
      </c>
      <c r="Q103" s="36">
        <v>2</v>
      </c>
      <c r="S103" s="59">
        <v>98116</v>
      </c>
      <c r="T103" s="38" t="s">
        <v>352</v>
      </c>
      <c r="U103" s="36">
        <v>0</v>
      </c>
      <c r="V103" s="36">
        <v>0</v>
      </c>
      <c r="W103" s="36">
        <v>1</v>
      </c>
    </row>
    <row r="104" spans="1:23" x14ac:dyDescent="0.2">
      <c r="A104" s="86">
        <v>98077</v>
      </c>
      <c r="B104" s="38" t="s">
        <v>10</v>
      </c>
      <c r="C104" s="36">
        <v>17</v>
      </c>
      <c r="D104" s="33">
        <v>15</v>
      </c>
      <c r="E104" s="33">
        <v>19</v>
      </c>
      <c r="G104" s="86">
        <v>98144</v>
      </c>
      <c r="H104" s="38" t="s">
        <v>10</v>
      </c>
      <c r="I104" s="33">
        <v>0</v>
      </c>
      <c r="J104" s="33">
        <v>2</v>
      </c>
      <c r="K104" s="36">
        <v>2</v>
      </c>
      <c r="M104" s="86">
        <v>98087</v>
      </c>
      <c r="N104" s="38" t="s">
        <v>10</v>
      </c>
      <c r="O104" s="36">
        <v>16</v>
      </c>
      <c r="P104" s="33">
        <v>20</v>
      </c>
      <c r="Q104" s="33">
        <v>21</v>
      </c>
      <c r="S104" s="86">
        <v>98116</v>
      </c>
      <c r="T104" s="38" t="s">
        <v>10</v>
      </c>
      <c r="U104" s="33">
        <v>1</v>
      </c>
      <c r="V104" s="33">
        <v>1</v>
      </c>
      <c r="W104" s="36">
        <v>2</v>
      </c>
    </row>
    <row r="105" spans="1:23" x14ac:dyDescent="0.2">
      <c r="A105" s="59">
        <v>98087</v>
      </c>
      <c r="B105" s="38" t="s">
        <v>352</v>
      </c>
      <c r="C105" s="36">
        <v>2</v>
      </c>
      <c r="D105" s="36">
        <v>2</v>
      </c>
      <c r="E105" s="36">
        <v>2</v>
      </c>
      <c r="G105" s="59">
        <v>98146</v>
      </c>
      <c r="H105" s="38" t="s">
        <v>10</v>
      </c>
      <c r="I105" s="33">
        <v>0</v>
      </c>
      <c r="J105" s="36">
        <v>0</v>
      </c>
      <c r="K105" s="36">
        <v>1</v>
      </c>
      <c r="M105" s="59">
        <v>98092</v>
      </c>
      <c r="N105" s="38" t="s">
        <v>352</v>
      </c>
      <c r="O105" s="36">
        <v>2</v>
      </c>
      <c r="P105" s="36">
        <v>3</v>
      </c>
      <c r="Q105" s="36">
        <v>1</v>
      </c>
      <c r="S105" s="59">
        <v>98117</v>
      </c>
      <c r="T105" s="38" t="s">
        <v>10</v>
      </c>
      <c r="U105" s="36">
        <v>1</v>
      </c>
      <c r="V105" s="36">
        <v>0</v>
      </c>
      <c r="W105" s="36">
        <v>1</v>
      </c>
    </row>
    <row r="106" spans="1:23" x14ac:dyDescent="0.2">
      <c r="A106" s="86">
        <v>98087</v>
      </c>
      <c r="B106" s="38" t="s">
        <v>10</v>
      </c>
      <c r="C106" s="36">
        <v>29</v>
      </c>
      <c r="D106" s="36">
        <v>19</v>
      </c>
      <c r="E106" s="36">
        <v>24</v>
      </c>
      <c r="G106" s="86">
        <v>98148</v>
      </c>
      <c r="H106" s="38" t="s">
        <v>10</v>
      </c>
      <c r="I106" s="33">
        <v>5</v>
      </c>
      <c r="J106" s="36">
        <v>2</v>
      </c>
      <c r="K106" s="33">
        <v>5</v>
      </c>
      <c r="M106" s="86">
        <v>98092</v>
      </c>
      <c r="N106" s="38" t="s">
        <v>10</v>
      </c>
      <c r="O106" s="33">
        <v>143</v>
      </c>
      <c r="P106" s="36">
        <v>182</v>
      </c>
      <c r="Q106" s="33">
        <v>151</v>
      </c>
      <c r="S106" s="86">
        <v>98118</v>
      </c>
      <c r="T106" s="38" t="s">
        <v>352</v>
      </c>
      <c r="U106" s="33">
        <v>0</v>
      </c>
      <c r="V106" s="33">
        <v>1</v>
      </c>
      <c r="W106" s="36">
        <v>0</v>
      </c>
    </row>
    <row r="107" spans="1:23" x14ac:dyDescent="0.2">
      <c r="A107" s="59">
        <v>98092</v>
      </c>
      <c r="B107" s="38" t="s">
        <v>352</v>
      </c>
      <c r="C107" s="36">
        <v>0</v>
      </c>
      <c r="D107" s="36">
        <v>1</v>
      </c>
      <c r="E107" s="36">
        <v>4</v>
      </c>
      <c r="G107" s="86">
        <v>98166</v>
      </c>
      <c r="H107" s="38" t="s">
        <v>10</v>
      </c>
      <c r="I107" s="36">
        <v>4</v>
      </c>
      <c r="J107" s="36">
        <v>0</v>
      </c>
      <c r="K107" s="36">
        <v>2</v>
      </c>
      <c r="M107" s="59">
        <v>98102</v>
      </c>
      <c r="N107" s="38" t="s">
        <v>352</v>
      </c>
      <c r="O107" s="36">
        <v>1</v>
      </c>
      <c r="P107" s="33">
        <v>2</v>
      </c>
      <c r="Q107" s="36">
        <v>1</v>
      </c>
      <c r="S107" s="59">
        <v>98118</v>
      </c>
      <c r="T107" s="38" t="s">
        <v>10</v>
      </c>
      <c r="U107" s="36">
        <v>1</v>
      </c>
      <c r="V107" s="36">
        <v>2</v>
      </c>
      <c r="W107" s="36">
        <v>4</v>
      </c>
    </row>
    <row r="108" spans="1:23" x14ac:dyDescent="0.2">
      <c r="A108" s="86">
        <v>98092</v>
      </c>
      <c r="B108" s="38" t="s">
        <v>10</v>
      </c>
      <c r="C108" s="33">
        <v>206</v>
      </c>
      <c r="D108" s="36">
        <v>210</v>
      </c>
      <c r="E108" s="36">
        <v>237</v>
      </c>
      <c r="G108" s="86">
        <v>98168</v>
      </c>
      <c r="H108" s="38" t="s">
        <v>352</v>
      </c>
      <c r="I108" s="33">
        <v>0</v>
      </c>
      <c r="J108" s="36">
        <v>1</v>
      </c>
      <c r="K108" s="33">
        <v>0</v>
      </c>
      <c r="M108" s="86">
        <v>98102</v>
      </c>
      <c r="N108" s="38" t="s">
        <v>10</v>
      </c>
      <c r="O108" s="33">
        <v>0</v>
      </c>
      <c r="P108" s="33">
        <v>3</v>
      </c>
      <c r="Q108" s="36">
        <v>3</v>
      </c>
      <c r="S108" s="86">
        <v>98119</v>
      </c>
      <c r="T108" s="38" t="s">
        <v>352</v>
      </c>
      <c r="U108" s="36">
        <v>0</v>
      </c>
      <c r="V108" s="36">
        <v>1</v>
      </c>
      <c r="W108" s="36">
        <v>0</v>
      </c>
    </row>
    <row r="109" spans="1:23" x14ac:dyDescent="0.2">
      <c r="A109" s="59">
        <v>98102</v>
      </c>
      <c r="B109" s="38" t="s">
        <v>352</v>
      </c>
      <c r="C109" s="36">
        <v>0</v>
      </c>
      <c r="D109" s="36">
        <v>1</v>
      </c>
      <c r="E109" s="33">
        <v>2</v>
      </c>
      <c r="G109" s="59">
        <v>98168</v>
      </c>
      <c r="H109" s="38" t="s">
        <v>10</v>
      </c>
      <c r="I109" s="36">
        <v>3</v>
      </c>
      <c r="J109" s="36">
        <v>2</v>
      </c>
      <c r="K109" s="36">
        <v>2</v>
      </c>
      <c r="M109" s="59">
        <v>98103</v>
      </c>
      <c r="N109" s="38" t="s">
        <v>352</v>
      </c>
      <c r="O109" s="36">
        <v>0</v>
      </c>
      <c r="P109" s="36">
        <v>1</v>
      </c>
      <c r="Q109" s="36">
        <v>1</v>
      </c>
      <c r="S109" s="86">
        <v>98119</v>
      </c>
      <c r="T109" s="38" t="s">
        <v>10</v>
      </c>
      <c r="U109" s="36">
        <v>1</v>
      </c>
      <c r="V109" s="36">
        <v>1</v>
      </c>
      <c r="W109" s="36">
        <v>0</v>
      </c>
    </row>
    <row r="110" spans="1:23" x14ac:dyDescent="0.2">
      <c r="A110" s="86">
        <v>98102</v>
      </c>
      <c r="B110" s="38" t="s">
        <v>10</v>
      </c>
      <c r="C110" s="36">
        <v>4</v>
      </c>
      <c r="D110" s="36">
        <v>2</v>
      </c>
      <c r="E110" s="36">
        <v>4</v>
      </c>
      <c r="G110" s="86">
        <v>98177</v>
      </c>
      <c r="H110" s="38" t="s">
        <v>10</v>
      </c>
      <c r="I110" s="36">
        <v>0</v>
      </c>
      <c r="J110" s="36">
        <v>2</v>
      </c>
      <c r="K110" s="36">
        <v>0</v>
      </c>
      <c r="M110" s="86">
        <v>98103</v>
      </c>
      <c r="N110" s="38" t="s">
        <v>10</v>
      </c>
      <c r="O110" s="33">
        <v>4</v>
      </c>
      <c r="P110" s="33">
        <v>7</v>
      </c>
      <c r="Q110" s="36">
        <v>6</v>
      </c>
      <c r="S110" s="86">
        <v>98122</v>
      </c>
      <c r="T110" s="38" t="s">
        <v>10</v>
      </c>
      <c r="U110" s="33">
        <v>1</v>
      </c>
      <c r="V110" s="36">
        <v>4</v>
      </c>
      <c r="W110" s="33">
        <v>1</v>
      </c>
    </row>
    <row r="111" spans="1:23" x14ac:dyDescent="0.2">
      <c r="A111" s="86">
        <v>98103</v>
      </c>
      <c r="B111" s="38" t="s">
        <v>352</v>
      </c>
      <c r="C111" s="36">
        <v>0</v>
      </c>
      <c r="D111" s="36">
        <v>0</v>
      </c>
      <c r="E111" s="36">
        <v>1</v>
      </c>
      <c r="G111" s="59">
        <v>98178</v>
      </c>
      <c r="H111" s="38" t="s">
        <v>10</v>
      </c>
      <c r="I111" s="36">
        <v>0</v>
      </c>
      <c r="J111" s="36">
        <v>2</v>
      </c>
      <c r="K111" s="36">
        <v>2</v>
      </c>
      <c r="M111" s="86">
        <v>98104</v>
      </c>
      <c r="N111" s="38" t="s">
        <v>352</v>
      </c>
      <c r="O111" s="33">
        <v>1</v>
      </c>
      <c r="P111" s="36">
        <v>0</v>
      </c>
      <c r="Q111" s="33">
        <v>1</v>
      </c>
      <c r="S111" s="86">
        <v>98125</v>
      </c>
      <c r="T111" s="38" t="s">
        <v>352</v>
      </c>
      <c r="U111" s="36">
        <v>1</v>
      </c>
      <c r="V111" s="36">
        <v>0</v>
      </c>
      <c r="W111" s="36">
        <v>0</v>
      </c>
    </row>
    <row r="112" spans="1:23" x14ac:dyDescent="0.2">
      <c r="A112" s="59">
        <v>98103</v>
      </c>
      <c r="B112" s="38" t="s">
        <v>10</v>
      </c>
      <c r="C112" s="36">
        <v>13</v>
      </c>
      <c r="D112" s="36">
        <v>11</v>
      </c>
      <c r="E112" s="36">
        <v>12</v>
      </c>
      <c r="G112" s="86">
        <v>98188</v>
      </c>
      <c r="H112" s="38" t="s">
        <v>352</v>
      </c>
      <c r="I112" s="36">
        <v>0</v>
      </c>
      <c r="J112" s="36">
        <v>0</v>
      </c>
      <c r="K112" s="36">
        <v>1</v>
      </c>
      <c r="M112" s="59">
        <v>98104</v>
      </c>
      <c r="N112" s="38" t="s">
        <v>10</v>
      </c>
      <c r="O112" s="36">
        <v>0</v>
      </c>
      <c r="P112" s="36">
        <v>1</v>
      </c>
      <c r="Q112" s="36">
        <v>0</v>
      </c>
      <c r="S112" s="86">
        <v>98125</v>
      </c>
      <c r="T112" s="38" t="s">
        <v>10</v>
      </c>
      <c r="U112" s="33">
        <v>2</v>
      </c>
      <c r="V112" s="36">
        <v>1</v>
      </c>
      <c r="W112" s="36">
        <v>1</v>
      </c>
    </row>
    <row r="113" spans="1:23" x14ac:dyDescent="0.2">
      <c r="A113" s="86">
        <v>98104</v>
      </c>
      <c r="B113" s="38" t="s">
        <v>352</v>
      </c>
      <c r="C113" s="36">
        <v>1</v>
      </c>
      <c r="D113" s="36">
        <v>2</v>
      </c>
      <c r="E113" s="36">
        <v>2</v>
      </c>
      <c r="G113" s="86">
        <v>98188</v>
      </c>
      <c r="H113" s="38" t="s">
        <v>10</v>
      </c>
      <c r="I113" s="36">
        <v>11</v>
      </c>
      <c r="J113" s="36">
        <v>5</v>
      </c>
      <c r="K113" s="36">
        <v>13</v>
      </c>
      <c r="M113" s="86">
        <v>98105</v>
      </c>
      <c r="N113" s="38" t="s">
        <v>352</v>
      </c>
      <c r="O113" s="36">
        <v>0</v>
      </c>
      <c r="P113" s="36">
        <v>1</v>
      </c>
      <c r="Q113" s="33">
        <v>1</v>
      </c>
      <c r="S113" s="59">
        <v>98126</v>
      </c>
      <c r="T113" s="38" t="s">
        <v>352</v>
      </c>
      <c r="U113" s="36">
        <v>0</v>
      </c>
      <c r="V113" s="36">
        <v>1</v>
      </c>
      <c r="W113" s="33">
        <v>0</v>
      </c>
    </row>
    <row r="114" spans="1:23" x14ac:dyDescent="0.2">
      <c r="A114" s="59">
        <v>98104</v>
      </c>
      <c r="B114" s="38" t="s">
        <v>10</v>
      </c>
      <c r="C114" s="36">
        <v>1</v>
      </c>
      <c r="D114" s="36">
        <v>1</v>
      </c>
      <c r="E114" s="36">
        <v>2</v>
      </c>
      <c r="G114" s="86">
        <v>98198</v>
      </c>
      <c r="H114" s="38" t="s">
        <v>10</v>
      </c>
      <c r="I114" s="36">
        <v>12</v>
      </c>
      <c r="J114" s="36">
        <v>22</v>
      </c>
      <c r="K114" s="36">
        <v>16</v>
      </c>
      <c r="M114" s="86">
        <v>98105</v>
      </c>
      <c r="N114" s="38" t="s">
        <v>10</v>
      </c>
      <c r="O114" s="36">
        <v>6</v>
      </c>
      <c r="P114" s="36">
        <v>5</v>
      </c>
      <c r="Q114" s="33">
        <v>5</v>
      </c>
      <c r="S114" s="86">
        <v>98126</v>
      </c>
      <c r="T114" s="38" t="s">
        <v>10</v>
      </c>
      <c r="U114" s="36">
        <v>0</v>
      </c>
      <c r="V114" s="36">
        <v>2</v>
      </c>
      <c r="W114" s="36">
        <v>0</v>
      </c>
    </row>
    <row r="115" spans="1:23" x14ac:dyDescent="0.2">
      <c r="A115" s="86">
        <v>98105</v>
      </c>
      <c r="B115" s="38" t="s">
        <v>352</v>
      </c>
      <c r="C115" s="36">
        <v>1</v>
      </c>
      <c r="D115" s="36">
        <v>1</v>
      </c>
      <c r="E115" s="33">
        <v>1</v>
      </c>
      <c r="G115" s="86">
        <v>98199</v>
      </c>
      <c r="H115" s="38" t="s">
        <v>10</v>
      </c>
      <c r="I115" s="36">
        <v>1</v>
      </c>
      <c r="J115" s="36">
        <v>0</v>
      </c>
      <c r="K115" s="36">
        <v>1</v>
      </c>
      <c r="M115" s="86">
        <v>98106</v>
      </c>
      <c r="N115" s="38" t="s">
        <v>352</v>
      </c>
      <c r="O115" s="36">
        <v>1</v>
      </c>
      <c r="P115" s="33">
        <v>1</v>
      </c>
      <c r="Q115" s="36">
        <v>0</v>
      </c>
      <c r="S115" s="86">
        <v>98133</v>
      </c>
      <c r="T115" s="38" t="s">
        <v>352</v>
      </c>
      <c r="U115" s="33">
        <v>0</v>
      </c>
      <c r="V115" s="36">
        <v>0</v>
      </c>
      <c r="W115" s="36">
        <v>1</v>
      </c>
    </row>
    <row r="116" spans="1:23" x14ac:dyDescent="0.2">
      <c r="A116" s="59">
        <v>98105</v>
      </c>
      <c r="B116" s="38" t="s">
        <v>10</v>
      </c>
      <c r="C116" s="36">
        <v>3</v>
      </c>
      <c r="D116" s="36">
        <v>6</v>
      </c>
      <c r="E116" s="36">
        <v>9</v>
      </c>
      <c r="G116" s="86">
        <v>98201</v>
      </c>
      <c r="H116" s="38" t="s">
        <v>352</v>
      </c>
      <c r="I116" s="33">
        <v>1</v>
      </c>
      <c r="J116" s="36">
        <v>0</v>
      </c>
      <c r="K116" s="33">
        <v>1</v>
      </c>
      <c r="M116" s="59">
        <v>98106</v>
      </c>
      <c r="N116" s="38" t="s">
        <v>10</v>
      </c>
      <c r="O116" s="36">
        <v>5</v>
      </c>
      <c r="P116" s="36">
        <v>6</v>
      </c>
      <c r="Q116" s="36">
        <v>9</v>
      </c>
      <c r="S116" s="86">
        <v>98133</v>
      </c>
      <c r="T116" s="38" t="s">
        <v>10</v>
      </c>
      <c r="U116" s="33">
        <v>0</v>
      </c>
      <c r="V116" s="33">
        <v>3</v>
      </c>
      <c r="W116" s="36">
        <v>2</v>
      </c>
    </row>
    <row r="117" spans="1:23" x14ac:dyDescent="0.2">
      <c r="A117" s="86">
        <v>98106</v>
      </c>
      <c r="B117" s="38" t="s">
        <v>352</v>
      </c>
      <c r="C117" s="36">
        <v>1</v>
      </c>
      <c r="D117" s="36">
        <v>0</v>
      </c>
      <c r="E117" s="36">
        <v>1</v>
      </c>
      <c r="G117" s="86">
        <v>98201</v>
      </c>
      <c r="H117" s="38" t="s">
        <v>10</v>
      </c>
      <c r="I117" s="36">
        <v>2</v>
      </c>
      <c r="J117" s="36">
        <v>2</v>
      </c>
      <c r="K117" s="36">
        <v>7</v>
      </c>
      <c r="M117" s="86">
        <v>98107</v>
      </c>
      <c r="N117" s="38" t="s">
        <v>352</v>
      </c>
      <c r="O117" s="36">
        <v>0</v>
      </c>
      <c r="P117" s="33">
        <v>2</v>
      </c>
      <c r="Q117" s="36">
        <v>1</v>
      </c>
      <c r="S117" s="86">
        <v>98134</v>
      </c>
      <c r="T117" s="38" t="s">
        <v>352</v>
      </c>
      <c r="U117" s="33">
        <v>0</v>
      </c>
      <c r="V117" s="36">
        <v>1</v>
      </c>
      <c r="W117" s="36">
        <v>0</v>
      </c>
    </row>
    <row r="118" spans="1:23" x14ac:dyDescent="0.2">
      <c r="A118" s="86">
        <v>98106</v>
      </c>
      <c r="B118" s="38" t="s">
        <v>10</v>
      </c>
      <c r="C118" s="36">
        <v>11</v>
      </c>
      <c r="D118" s="36">
        <v>9</v>
      </c>
      <c r="E118" s="33">
        <v>9</v>
      </c>
      <c r="G118" s="86">
        <v>98203</v>
      </c>
      <c r="H118" s="38" t="s">
        <v>352</v>
      </c>
      <c r="I118" s="36">
        <v>0</v>
      </c>
      <c r="J118" s="36">
        <v>1</v>
      </c>
      <c r="K118" s="36">
        <v>0</v>
      </c>
      <c r="M118" s="59">
        <v>98107</v>
      </c>
      <c r="N118" s="38" t="s">
        <v>10</v>
      </c>
      <c r="O118" s="33">
        <v>4</v>
      </c>
      <c r="P118" s="36">
        <v>4</v>
      </c>
      <c r="Q118" s="36">
        <v>4</v>
      </c>
      <c r="S118" s="86">
        <v>98136</v>
      </c>
      <c r="T118" s="38" t="s">
        <v>10</v>
      </c>
      <c r="U118" s="33">
        <v>1</v>
      </c>
      <c r="V118" s="36">
        <v>0</v>
      </c>
      <c r="W118" s="36">
        <v>1</v>
      </c>
    </row>
    <row r="119" spans="1:23" x14ac:dyDescent="0.2">
      <c r="A119" s="59">
        <v>98107</v>
      </c>
      <c r="B119" s="38" t="s">
        <v>352</v>
      </c>
      <c r="C119" s="36">
        <v>1</v>
      </c>
      <c r="D119" s="36">
        <v>0</v>
      </c>
      <c r="E119" s="36">
        <v>1</v>
      </c>
      <c r="G119" s="86">
        <v>98203</v>
      </c>
      <c r="H119" s="38" t="s">
        <v>10</v>
      </c>
      <c r="I119" s="36">
        <v>3</v>
      </c>
      <c r="J119" s="36">
        <v>6</v>
      </c>
      <c r="K119" s="36">
        <v>2</v>
      </c>
      <c r="M119" s="86">
        <v>98108</v>
      </c>
      <c r="N119" s="38" t="s">
        <v>352</v>
      </c>
      <c r="O119" s="36">
        <v>3</v>
      </c>
      <c r="P119" s="36">
        <v>3</v>
      </c>
      <c r="Q119" s="36">
        <v>2</v>
      </c>
      <c r="S119" s="86">
        <v>98144</v>
      </c>
      <c r="T119" s="38" t="s">
        <v>10</v>
      </c>
      <c r="U119" s="36">
        <v>2</v>
      </c>
      <c r="V119" s="36">
        <v>1</v>
      </c>
      <c r="W119" s="36">
        <v>1</v>
      </c>
    </row>
    <row r="120" spans="1:23" x14ac:dyDescent="0.2">
      <c r="A120" s="86">
        <v>98107</v>
      </c>
      <c r="B120" s="38" t="s">
        <v>10</v>
      </c>
      <c r="C120" s="33">
        <v>0</v>
      </c>
      <c r="D120" s="36">
        <v>2</v>
      </c>
      <c r="E120" s="36">
        <v>5</v>
      </c>
      <c r="G120" s="86">
        <v>98204</v>
      </c>
      <c r="H120" s="38" t="s">
        <v>352</v>
      </c>
      <c r="I120" s="36">
        <v>2</v>
      </c>
      <c r="J120" s="36">
        <v>0</v>
      </c>
      <c r="K120" s="33">
        <v>0</v>
      </c>
      <c r="M120" s="86">
        <v>98108</v>
      </c>
      <c r="N120" s="38" t="s">
        <v>10</v>
      </c>
      <c r="O120" s="36">
        <v>9</v>
      </c>
      <c r="P120" s="33">
        <v>10</v>
      </c>
      <c r="Q120" s="33">
        <v>8</v>
      </c>
      <c r="S120" s="86">
        <v>98146</v>
      </c>
      <c r="T120" s="38" t="s">
        <v>10</v>
      </c>
      <c r="U120" s="33">
        <v>2</v>
      </c>
      <c r="V120" s="36">
        <v>5</v>
      </c>
      <c r="W120" s="36">
        <v>3</v>
      </c>
    </row>
    <row r="121" spans="1:23" x14ac:dyDescent="0.2">
      <c r="A121" s="59">
        <v>98108</v>
      </c>
      <c r="B121" s="38" t="s">
        <v>352</v>
      </c>
      <c r="C121" s="36">
        <v>2</v>
      </c>
      <c r="D121" s="36">
        <v>4</v>
      </c>
      <c r="E121" s="36">
        <v>4</v>
      </c>
      <c r="G121" s="86">
        <v>98204</v>
      </c>
      <c r="H121" s="38" t="s">
        <v>10</v>
      </c>
      <c r="I121" s="36">
        <v>1</v>
      </c>
      <c r="J121" s="33">
        <v>1</v>
      </c>
      <c r="K121" s="33">
        <v>0</v>
      </c>
      <c r="M121" s="59">
        <v>98109</v>
      </c>
      <c r="N121" s="38" t="s">
        <v>352</v>
      </c>
      <c r="O121" s="36">
        <v>0</v>
      </c>
      <c r="P121" s="33">
        <v>0</v>
      </c>
      <c r="Q121" s="36">
        <v>1</v>
      </c>
      <c r="S121" s="86">
        <v>98148</v>
      </c>
      <c r="T121" s="38" t="s">
        <v>10</v>
      </c>
      <c r="U121" s="36">
        <v>7</v>
      </c>
      <c r="V121" s="36">
        <v>7</v>
      </c>
      <c r="W121" s="33">
        <v>5</v>
      </c>
    </row>
    <row r="122" spans="1:23" x14ac:dyDescent="0.2">
      <c r="A122" s="86">
        <v>98108</v>
      </c>
      <c r="B122" s="38" t="s">
        <v>10</v>
      </c>
      <c r="C122" s="36">
        <v>10</v>
      </c>
      <c r="D122" s="36">
        <v>11</v>
      </c>
      <c r="E122" s="33">
        <v>12</v>
      </c>
      <c r="G122" s="59">
        <v>98208</v>
      </c>
      <c r="H122" s="38" t="s">
        <v>10</v>
      </c>
      <c r="I122" s="36">
        <v>3</v>
      </c>
      <c r="J122" s="36">
        <v>7</v>
      </c>
      <c r="K122" s="36">
        <v>0</v>
      </c>
      <c r="M122" s="86">
        <v>98109</v>
      </c>
      <c r="N122" s="38" t="s">
        <v>10</v>
      </c>
      <c r="O122" s="36">
        <v>2</v>
      </c>
      <c r="P122" s="36">
        <v>1</v>
      </c>
      <c r="Q122" s="36">
        <v>2</v>
      </c>
      <c r="S122" s="86">
        <v>98155</v>
      </c>
      <c r="T122" s="38" t="s">
        <v>352</v>
      </c>
      <c r="U122" s="33">
        <v>1</v>
      </c>
      <c r="V122" s="36">
        <v>0</v>
      </c>
      <c r="W122" s="36">
        <v>0</v>
      </c>
    </row>
    <row r="123" spans="1:23" x14ac:dyDescent="0.2">
      <c r="A123" s="86">
        <v>98109</v>
      </c>
      <c r="B123" s="38" t="s">
        <v>352</v>
      </c>
      <c r="C123" s="36">
        <v>1</v>
      </c>
      <c r="D123" s="36">
        <v>1</v>
      </c>
      <c r="E123" s="36">
        <v>1</v>
      </c>
      <c r="G123" s="86">
        <v>98220</v>
      </c>
      <c r="H123" s="38" t="s">
        <v>10</v>
      </c>
      <c r="I123" s="33">
        <v>0</v>
      </c>
      <c r="J123" s="33">
        <v>0</v>
      </c>
      <c r="K123" s="36">
        <v>2</v>
      </c>
      <c r="M123" s="59">
        <v>98110</v>
      </c>
      <c r="N123" s="38" t="s">
        <v>352</v>
      </c>
      <c r="O123" s="36">
        <v>1</v>
      </c>
      <c r="P123" s="36">
        <v>6</v>
      </c>
      <c r="Q123" s="36">
        <v>1</v>
      </c>
      <c r="S123" s="86">
        <v>98155</v>
      </c>
      <c r="T123" s="38" t="s">
        <v>10</v>
      </c>
      <c r="U123" s="36">
        <v>3</v>
      </c>
      <c r="V123" s="36">
        <v>3</v>
      </c>
      <c r="W123" s="33">
        <v>5</v>
      </c>
    </row>
    <row r="124" spans="1:23" x14ac:dyDescent="0.2">
      <c r="A124" s="59">
        <v>98109</v>
      </c>
      <c r="B124" s="38" t="s">
        <v>10</v>
      </c>
      <c r="C124" s="36">
        <v>8</v>
      </c>
      <c r="D124" s="36">
        <v>4</v>
      </c>
      <c r="E124" s="36">
        <v>2</v>
      </c>
      <c r="G124" s="59">
        <v>98221</v>
      </c>
      <c r="H124" s="38" t="s">
        <v>352</v>
      </c>
      <c r="I124" s="36">
        <v>1</v>
      </c>
      <c r="J124" s="36">
        <v>0</v>
      </c>
      <c r="K124" s="36">
        <v>0</v>
      </c>
      <c r="M124" s="86">
        <v>98110</v>
      </c>
      <c r="N124" s="38" t="s">
        <v>10</v>
      </c>
      <c r="O124" s="36">
        <v>20</v>
      </c>
      <c r="P124" s="36">
        <v>21</v>
      </c>
      <c r="Q124" s="36">
        <v>20</v>
      </c>
      <c r="S124" s="86">
        <v>98166</v>
      </c>
      <c r="T124" s="38" t="s">
        <v>352</v>
      </c>
      <c r="U124" s="36">
        <v>2</v>
      </c>
      <c r="V124" s="36">
        <v>2</v>
      </c>
      <c r="W124" s="36">
        <v>0</v>
      </c>
    </row>
    <row r="125" spans="1:23" x14ac:dyDescent="0.2">
      <c r="A125" s="86">
        <v>98110</v>
      </c>
      <c r="B125" s="38" t="s">
        <v>352</v>
      </c>
      <c r="C125" s="36">
        <v>0</v>
      </c>
      <c r="D125" s="36">
        <v>0</v>
      </c>
      <c r="E125" s="36">
        <v>5</v>
      </c>
      <c r="G125" s="86">
        <v>98221</v>
      </c>
      <c r="H125" s="38" t="s">
        <v>10</v>
      </c>
      <c r="I125" s="36">
        <v>7</v>
      </c>
      <c r="J125" s="36">
        <v>4</v>
      </c>
      <c r="K125" s="36">
        <v>9</v>
      </c>
      <c r="M125" s="86">
        <v>98112</v>
      </c>
      <c r="N125" s="38" t="s">
        <v>352</v>
      </c>
      <c r="O125" s="36">
        <v>1</v>
      </c>
      <c r="P125" s="36">
        <v>1</v>
      </c>
      <c r="Q125" s="36">
        <v>0</v>
      </c>
      <c r="S125" s="86">
        <v>98166</v>
      </c>
      <c r="T125" s="38" t="s">
        <v>10</v>
      </c>
      <c r="U125" s="33">
        <v>2</v>
      </c>
      <c r="V125" s="36">
        <v>2</v>
      </c>
      <c r="W125" s="36">
        <v>1</v>
      </c>
    </row>
    <row r="126" spans="1:23" x14ac:dyDescent="0.2">
      <c r="A126" s="86">
        <v>98110</v>
      </c>
      <c r="B126" s="38" t="s">
        <v>10</v>
      </c>
      <c r="C126" s="36">
        <v>34</v>
      </c>
      <c r="D126" s="36">
        <v>33</v>
      </c>
      <c r="E126" s="36">
        <v>41</v>
      </c>
      <c r="G126" s="86">
        <v>98224</v>
      </c>
      <c r="H126" s="38" t="s">
        <v>10</v>
      </c>
      <c r="I126" s="33">
        <v>0</v>
      </c>
      <c r="J126" s="33">
        <v>0</v>
      </c>
      <c r="K126" s="36">
        <v>1</v>
      </c>
      <c r="M126" s="86">
        <v>98112</v>
      </c>
      <c r="N126" s="38" t="s">
        <v>10</v>
      </c>
      <c r="O126" s="36">
        <v>2</v>
      </c>
      <c r="P126" s="33">
        <v>5</v>
      </c>
      <c r="Q126" s="36">
        <v>6</v>
      </c>
      <c r="S126" s="86">
        <v>98168</v>
      </c>
      <c r="T126" s="38" t="s">
        <v>10</v>
      </c>
      <c r="U126" s="33">
        <v>4</v>
      </c>
      <c r="V126" s="33">
        <v>6</v>
      </c>
      <c r="W126" s="36">
        <v>7</v>
      </c>
    </row>
    <row r="127" spans="1:23" x14ac:dyDescent="0.2">
      <c r="A127" s="86">
        <v>98112</v>
      </c>
      <c r="B127" s="38" t="s">
        <v>352</v>
      </c>
      <c r="C127" s="36">
        <v>0</v>
      </c>
      <c r="D127" s="33">
        <v>1</v>
      </c>
      <c r="E127" s="33">
        <v>2</v>
      </c>
      <c r="G127" s="86">
        <v>98225</v>
      </c>
      <c r="H127" s="38" t="s">
        <v>352</v>
      </c>
      <c r="I127" s="33">
        <v>0</v>
      </c>
      <c r="J127" s="36">
        <v>2</v>
      </c>
      <c r="K127" s="33">
        <v>0</v>
      </c>
      <c r="M127" s="59">
        <v>98115</v>
      </c>
      <c r="N127" s="38" t="s">
        <v>352</v>
      </c>
      <c r="O127" s="36">
        <v>2</v>
      </c>
      <c r="P127" s="36">
        <v>2</v>
      </c>
      <c r="Q127" s="36">
        <v>3</v>
      </c>
      <c r="S127" s="86">
        <v>98177</v>
      </c>
      <c r="T127" s="38" t="s">
        <v>10</v>
      </c>
      <c r="U127" s="33">
        <v>0</v>
      </c>
      <c r="V127" s="33">
        <v>1</v>
      </c>
      <c r="W127" s="36">
        <v>0</v>
      </c>
    </row>
    <row r="128" spans="1:23" x14ac:dyDescent="0.2">
      <c r="A128" s="59">
        <v>98112</v>
      </c>
      <c r="B128" s="38" t="s">
        <v>10</v>
      </c>
      <c r="C128" s="36">
        <v>5</v>
      </c>
      <c r="D128" s="36">
        <v>6</v>
      </c>
      <c r="E128" s="36">
        <v>6</v>
      </c>
      <c r="G128" s="86">
        <v>98225</v>
      </c>
      <c r="H128" s="38" t="s">
        <v>10</v>
      </c>
      <c r="I128" s="36">
        <v>13</v>
      </c>
      <c r="J128" s="36">
        <v>16</v>
      </c>
      <c r="K128" s="36">
        <v>18</v>
      </c>
      <c r="M128" s="86">
        <v>98115</v>
      </c>
      <c r="N128" s="38" t="s">
        <v>10</v>
      </c>
      <c r="O128" s="36">
        <v>6</v>
      </c>
      <c r="P128" s="36">
        <v>12</v>
      </c>
      <c r="Q128" s="33">
        <v>11</v>
      </c>
      <c r="S128" s="86">
        <v>98178</v>
      </c>
      <c r="T128" s="38" t="s">
        <v>10</v>
      </c>
      <c r="U128" s="36">
        <v>1</v>
      </c>
      <c r="V128" s="36">
        <v>2</v>
      </c>
      <c r="W128" s="36">
        <v>3</v>
      </c>
    </row>
    <row r="129" spans="1:23" x14ac:dyDescent="0.2">
      <c r="A129" s="86">
        <v>98115</v>
      </c>
      <c r="B129" s="38" t="s">
        <v>352</v>
      </c>
      <c r="C129" s="36">
        <v>4</v>
      </c>
      <c r="D129" s="36">
        <v>4</v>
      </c>
      <c r="E129" s="36">
        <v>3</v>
      </c>
      <c r="G129" s="86">
        <v>98226</v>
      </c>
      <c r="H129" s="38" t="s">
        <v>352</v>
      </c>
      <c r="I129" s="33">
        <v>2</v>
      </c>
      <c r="J129" s="36">
        <v>2</v>
      </c>
      <c r="K129" s="36">
        <v>2</v>
      </c>
      <c r="M129" s="59">
        <v>98116</v>
      </c>
      <c r="N129" s="38" t="s">
        <v>352</v>
      </c>
      <c r="O129" s="36">
        <v>0</v>
      </c>
      <c r="P129" s="36">
        <v>2</v>
      </c>
      <c r="Q129" s="36">
        <v>1</v>
      </c>
      <c r="S129" s="86">
        <v>98188</v>
      </c>
      <c r="T129" s="38" t="s">
        <v>352</v>
      </c>
      <c r="U129" s="33">
        <v>0</v>
      </c>
      <c r="V129" s="36">
        <v>0</v>
      </c>
      <c r="W129" s="33">
        <v>1</v>
      </c>
    </row>
    <row r="130" spans="1:23" x14ac:dyDescent="0.2">
      <c r="A130" s="86">
        <v>98115</v>
      </c>
      <c r="B130" s="38" t="s">
        <v>10</v>
      </c>
      <c r="C130" s="36">
        <v>8</v>
      </c>
      <c r="D130" s="36">
        <v>8</v>
      </c>
      <c r="E130" s="36">
        <v>15</v>
      </c>
      <c r="G130" s="86">
        <v>98226</v>
      </c>
      <c r="H130" s="38" t="s">
        <v>10</v>
      </c>
      <c r="I130" s="33">
        <v>24</v>
      </c>
      <c r="J130" s="36">
        <v>19</v>
      </c>
      <c r="K130" s="36">
        <v>12</v>
      </c>
      <c r="M130" s="86">
        <v>98116</v>
      </c>
      <c r="N130" s="38" t="s">
        <v>10</v>
      </c>
      <c r="O130" s="33">
        <v>3</v>
      </c>
      <c r="P130" s="36">
        <v>9</v>
      </c>
      <c r="Q130" s="33">
        <v>10</v>
      </c>
      <c r="S130" s="86">
        <v>98188</v>
      </c>
      <c r="T130" s="38" t="s">
        <v>10</v>
      </c>
      <c r="U130" s="36">
        <v>16</v>
      </c>
      <c r="V130" s="36">
        <v>22</v>
      </c>
      <c r="W130" s="36">
        <v>18</v>
      </c>
    </row>
    <row r="131" spans="1:23" x14ac:dyDescent="0.2">
      <c r="A131" s="59">
        <v>98116</v>
      </c>
      <c r="B131" s="38" t="s">
        <v>352</v>
      </c>
      <c r="C131" s="36">
        <v>0</v>
      </c>
      <c r="D131" s="36">
        <v>0</v>
      </c>
      <c r="E131" s="36">
        <v>1</v>
      </c>
      <c r="G131" s="86">
        <v>98229</v>
      </c>
      <c r="H131" s="38" t="s">
        <v>352</v>
      </c>
      <c r="I131" s="33">
        <v>1</v>
      </c>
      <c r="J131" s="36">
        <v>0</v>
      </c>
      <c r="K131" s="33">
        <v>0</v>
      </c>
      <c r="M131" s="59">
        <v>98117</v>
      </c>
      <c r="N131" s="38" t="s">
        <v>10</v>
      </c>
      <c r="O131" s="33">
        <v>3</v>
      </c>
      <c r="P131" s="33">
        <v>5</v>
      </c>
      <c r="Q131" s="36">
        <v>9</v>
      </c>
      <c r="S131" s="86">
        <v>98198</v>
      </c>
      <c r="T131" s="38" t="s">
        <v>352</v>
      </c>
      <c r="U131" s="36">
        <v>0</v>
      </c>
      <c r="V131" s="33">
        <v>2</v>
      </c>
      <c r="W131" s="33">
        <v>1</v>
      </c>
    </row>
    <row r="132" spans="1:23" x14ac:dyDescent="0.2">
      <c r="A132" s="86">
        <v>98116</v>
      </c>
      <c r="B132" s="38" t="s">
        <v>10</v>
      </c>
      <c r="C132" s="36">
        <v>7</v>
      </c>
      <c r="D132" s="36">
        <v>6</v>
      </c>
      <c r="E132" s="36">
        <v>9</v>
      </c>
      <c r="G132" s="86">
        <v>98229</v>
      </c>
      <c r="H132" s="38" t="s">
        <v>10</v>
      </c>
      <c r="I132" s="33">
        <v>11</v>
      </c>
      <c r="J132" s="33">
        <v>7</v>
      </c>
      <c r="K132" s="36">
        <v>23</v>
      </c>
      <c r="M132" s="86">
        <v>98118</v>
      </c>
      <c r="N132" s="38" t="s">
        <v>352</v>
      </c>
      <c r="O132" s="36">
        <v>2</v>
      </c>
      <c r="P132" s="33">
        <v>2</v>
      </c>
      <c r="Q132" s="33">
        <v>2</v>
      </c>
      <c r="S132" s="86">
        <v>98198</v>
      </c>
      <c r="T132" s="38" t="s">
        <v>10</v>
      </c>
      <c r="U132" s="33">
        <v>45</v>
      </c>
      <c r="V132" s="33">
        <v>37</v>
      </c>
      <c r="W132" s="36">
        <v>39</v>
      </c>
    </row>
    <row r="133" spans="1:23" x14ac:dyDescent="0.2">
      <c r="A133" s="86">
        <v>98117</v>
      </c>
      <c r="B133" s="38" t="s">
        <v>10</v>
      </c>
      <c r="C133" s="36">
        <v>7</v>
      </c>
      <c r="D133" s="36">
        <v>7</v>
      </c>
      <c r="E133" s="36">
        <v>7</v>
      </c>
      <c r="G133" s="59">
        <v>98230</v>
      </c>
      <c r="H133" s="38" t="s">
        <v>10</v>
      </c>
      <c r="I133" s="36">
        <v>9</v>
      </c>
      <c r="J133" s="36">
        <v>6</v>
      </c>
      <c r="K133" s="36">
        <v>11</v>
      </c>
      <c r="M133" s="59">
        <v>98118</v>
      </c>
      <c r="N133" s="38" t="s">
        <v>10</v>
      </c>
      <c r="O133" s="36">
        <v>12</v>
      </c>
      <c r="P133" s="36">
        <v>21</v>
      </c>
      <c r="Q133" s="36">
        <v>22</v>
      </c>
      <c r="S133" s="86">
        <v>98199</v>
      </c>
      <c r="T133" s="38" t="s">
        <v>10</v>
      </c>
      <c r="U133" s="33">
        <v>1</v>
      </c>
      <c r="V133" s="36">
        <v>0</v>
      </c>
      <c r="W133" s="33">
        <v>1</v>
      </c>
    </row>
    <row r="134" spans="1:23" x14ac:dyDescent="0.2">
      <c r="A134" s="86">
        <v>98118</v>
      </c>
      <c r="B134" s="38" t="s">
        <v>352</v>
      </c>
      <c r="C134" s="36">
        <v>3</v>
      </c>
      <c r="D134" s="36">
        <v>1</v>
      </c>
      <c r="E134" s="36">
        <v>3</v>
      </c>
      <c r="G134" s="86">
        <v>98232</v>
      </c>
      <c r="H134" s="38" t="s">
        <v>10</v>
      </c>
      <c r="I134" s="36">
        <v>1</v>
      </c>
      <c r="J134" s="36">
        <v>1</v>
      </c>
      <c r="K134" s="36">
        <v>6</v>
      </c>
      <c r="M134" s="86">
        <v>98119</v>
      </c>
      <c r="N134" s="38" t="s">
        <v>352</v>
      </c>
      <c r="O134" s="36">
        <v>0</v>
      </c>
      <c r="P134" s="36">
        <v>2</v>
      </c>
      <c r="Q134" s="36">
        <v>0</v>
      </c>
      <c r="S134" s="86">
        <v>98201</v>
      </c>
      <c r="T134" s="38" t="s">
        <v>352</v>
      </c>
      <c r="U134" s="33">
        <v>0</v>
      </c>
      <c r="V134" s="36">
        <v>1</v>
      </c>
      <c r="W134" s="36">
        <v>0</v>
      </c>
    </row>
    <row r="135" spans="1:23" x14ac:dyDescent="0.2">
      <c r="A135" s="86">
        <v>98118</v>
      </c>
      <c r="B135" s="38" t="s">
        <v>10</v>
      </c>
      <c r="C135" s="36">
        <v>15</v>
      </c>
      <c r="D135" s="36">
        <v>16</v>
      </c>
      <c r="E135" s="36">
        <v>26</v>
      </c>
      <c r="G135" s="86">
        <v>98233</v>
      </c>
      <c r="H135" s="38" t="s">
        <v>10</v>
      </c>
      <c r="I135" s="36">
        <v>6</v>
      </c>
      <c r="J135" s="33">
        <v>13</v>
      </c>
      <c r="K135" s="33">
        <v>10</v>
      </c>
      <c r="M135" s="86">
        <v>98119</v>
      </c>
      <c r="N135" s="38" t="s">
        <v>10</v>
      </c>
      <c r="O135" s="36">
        <v>3</v>
      </c>
      <c r="P135" s="36">
        <v>4</v>
      </c>
      <c r="Q135" s="36">
        <v>1</v>
      </c>
      <c r="S135" s="86">
        <v>98201</v>
      </c>
      <c r="T135" s="38" t="s">
        <v>10</v>
      </c>
      <c r="U135" s="36">
        <v>5</v>
      </c>
      <c r="V135" s="33">
        <v>5</v>
      </c>
      <c r="W135" s="33">
        <v>5</v>
      </c>
    </row>
    <row r="136" spans="1:23" x14ac:dyDescent="0.2">
      <c r="A136" s="86">
        <v>98119</v>
      </c>
      <c r="B136" s="38" t="s">
        <v>352</v>
      </c>
      <c r="C136" s="36">
        <v>0</v>
      </c>
      <c r="D136" s="36">
        <v>0</v>
      </c>
      <c r="E136" s="36">
        <v>1</v>
      </c>
      <c r="G136" s="86">
        <v>98235</v>
      </c>
      <c r="H136" s="38" t="s">
        <v>10</v>
      </c>
      <c r="I136" s="36">
        <v>0</v>
      </c>
      <c r="J136" s="36">
        <v>0</v>
      </c>
      <c r="K136" s="36">
        <v>1</v>
      </c>
      <c r="M136" s="86">
        <v>98121</v>
      </c>
      <c r="N136" s="38" t="s">
        <v>352</v>
      </c>
      <c r="O136" s="33">
        <v>0</v>
      </c>
      <c r="P136" s="36">
        <v>1</v>
      </c>
      <c r="Q136" s="36">
        <v>1</v>
      </c>
      <c r="S136" s="86">
        <v>98203</v>
      </c>
      <c r="T136" s="38" t="s">
        <v>10</v>
      </c>
      <c r="U136" s="33">
        <v>3</v>
      </c>
      <c r="V136" s="36">
        <v>4</v>
      </c>
      <c r="W136" s="33">
        <v>1</v>
      </c>
    </row>
    <row r="137" spans="1:23" x14ac:dyDescent="0.2">
      <c r="A137" s="59">
        <v>98119</v>
      </c>
      <c r="B137" s="38" t="s">
        <v>10</v>
      </c>
      <c r="C137" s="36">
        <v>4</v>
      </c>
      <c r="D137" s="36">
        <v>6</v>
      </c>
      <c r="E137" s="36">
        <v>7</v>
      </c>
      <c r="G137" s="86">
        <v>98236</v>
      </c>
      <c r="H137" s="38" t="s">
        <v>10</v>
      </c>
      <c r="I137" s="36">
        <v>1</v>
      </c>
      <c r="J137" s="33">
        <v>5</v>
      </c>
      <c r="K137" s="36">
        <v>1</v>
      </c>
      <c r="M137" s="59">
        <v>98122</v>
      </c>
      <c r="N137" s="38" t="s">
        <v>10</v>
      </c>
      <c r="O137" s="36">
        <v>8</v>
      </c>
      <c r="P137" s="36">
        <v>11</v>
      </c>
      <c r="Q137" s="36">
        <v>13</v>
      </c>
      <c r="S137" s="86">
        <v>98204</v>
      </c>
      <c r="T137" s="38" t="s">
        <v>10</v>
      </c>
      <c r="U137" s="33">
        <v>3</v>
      </c>
      <c r="V137" s="36">
        <v>2</v>
      </c>
      <c r="W137" s="33">
        <v>2</v>
      </c>
    </row>
    <row r="138" spans="1:23" x14ac:dyDescent="0.2">
      <c r="A138" s="86">
        <v>98121</v>
      </c>
      <c r="B138" s="38" t="s">
        <v>352</v>
      </c>
      <c r="C138" s="36">
        <v>0</v>
      </c>
      <c r="D138" s="36">
        <v>0</v>
      </c>
      <c r="E138" s="36">
        <v>1</v>
      </c>
      <c r="G138" s="86">
        <v>98237</v>
      </c>
      <c r="H138" s="38" t="s">
        <v>352</v>
      </c>
      <c r="I138" s="36">
        <v>0</v>
      </c>
      <c r="J138" s="36">
        <v>0</v>
      </c>
      <c r="K138" s="36">
        <v>2</v>
      </c>
      <c r="M138" s="86">
        <v>98125</v>
      </c>
      <c r="N138" s="38" t="s">
        <v>352</v>
      </c>
      <c r="O138" s="36">
        <v>1</v>
      </c>
      <c r="P138" s="36">
        <v>0</v>
      </c>
      <c r="Q138" s="33">
        <v>0</v>
      </c>
      <c r="S138" s="59">
        <v>98208</v>
      </c>
      <c r="T138" s="38" t="s">
        <v>10</v>
      </c>
      <c r="U138" s="36">
        <v>6</v>
      </c>
      <c r="V138" s="36">
        <v>7</v>
      </c>
      <c r="W138" s="36">
        <v>8</v>
      </c>
    </row>
    <row r="139" spans="1:23" x14ac:dyDescent="0.2">
      <c r="A139" s="59">
        <v>98122</v>
      </c>
      <c r="B139" s="38" t="s">
        <v>352</v>
      </c>
      <c r="C139" s="36">
        <v>2</v>
      </c>
      <c r="D139" s="36">
        <v>1</v>
      </c>
      <c r="E139" s="36">
        <v>1</v>
      </c>
      <c r="G139" s="86">
        <v>98237</v>
      </c>
      <c r="H139" s="38" t="s">
        <v>10</v>
      </c>
      <c r="I139" s="36">
        <v>15</v>
      </c>
      <c r="J139" s="36">
        <v>14</v>
      </c>
      <c r="K139" s="36">
        <v>17</v>
      </c>
      <c r="M139" s="59">
        <v>98125</v>
      </c>
      <c r="N139" s="38" t="s">
        <v>10</v>
      </c>
      <c r="O139" s="33">
        <v>7</v>
      </c>
      <c r="P139" s="36">
        <v>10</v>
      </c>
      <c r="Q139" s="33">
        <v>5</v>
      </c>
      <c r="S139" s="86">
        <v>98221</v>
      </c>
      <c r="T139" s="38" t="s">
        <v>352</v>
      </c>
      <c r="U139" s="36">
        <v>0</v>
      </c>
      <c r="V139" s="36">
        <v>2</v>
      </c>
      <c r="W139" s="36">
        <v>1</v>
      </c>
    </row>
    <row r="140" spans="1:23" x14ac:dyDescent="0.2">
      <c r="A140" s="86">
        <v>98122</v>
      </c>
      <c r="B140" s="38" t="s">
        <v>10</v>
      </c>
      <c r="C140" s="36">
        <v>12</v>
      </c>
      <c r="D140" s="36">
        <v>13</v>
      </c>
      <c r="E140" s="36">
        <v>12</v>
      </c>
      <c r="G140" s="86">
        <v>98239</v>
      </c>
      <c r="H140" s="38" t="s">
        <v>10</v>
      </c>
      <c r="I140" s="36">
        <v>3</v>
      </c>
      <c r="J140" s="36">
        <v>6</v>
      </c>
      <c r="K140" s="36">
        <v>5</v>
      </c>
      <c r="M140" s="86">
        <v>98126</v>
      </c>
      <c r="N140" s="38" t="s">
        <v>352</v>
      </c>
      <c r="O140" s="36">
        <v>0</v>
      </c>
      <c r="P140" s="36">
        <v>1</v>
      </c>
      <c r="Q140" s="36">
        <v>0</v>
      </c>
      <c r="S140" s="86">
        <v>98221</v>
      </c>
      <c r="T140" s="38" t="s">
        <v>10</v>
      </c>
      <c r="U140" s="33">
        <v>8</v>
      </c>
      <c r="V140" s="36">
        <v>10</v>
      </c>
      <c r="W140" s="33">
        <v>9</v>
      </c>
    </row>
    <row r="141" spans="1:23" x14ac:dyDescent="0.2">
      <c r="A141" s="86">
        <v>98125</v>
      </c>
      <c r="B141" s="38" t="s">
        <v>352</v>
      </c>
      <c r="C141" s="36">
        <v>1</v>
      </c>
      <c r="D141" s="36">
        <v>1</v>
      </c>
      <c r="E141" s="36">
        <v>0</v>
      </c>
      <c r="G141" s="86">
        <v>98240</v>
      </c>
      <c r="H141" s="38" t="s">
        <v>10</v>
      </c>
      <c r="I141" s="33">
        <v>0</v>
      </c>
      <c r="J141" s="33">
        <v>1</v>
      </c>
      <c r="K141" s="36">
        <v>1</v>
      </c>
      <c r="M141" s="86">
        <v>98126</v>
      </c>
      <c r="N141" s="38" t="s">
        <v>10</v>
      </c>
      <c r="O141" s="36">
        <v>9</v>
      </c>
      <c r="P141" s="33">
        <v>10</v>
      </c>
      <c r="Q141" s="33">
        <v>7</v>
      </c>
      <c r="S141" s="59">
        <v>98225</v>
      </c>
      <c r="T141" s="38" t="s">
        <v>352</v>
      </c>
      <c r="U141" s="36">
        <v>2</v>
      </c>
      <c r="V141" s="36">
        <v>0</v>
      </c>
      <c r="W141" s="36">
        <v>2</v>
      </c>
    </row>
    <row r="142" spans="1:23" x14ac:dyDescent="0.2">
      <c r="A142" s="86">
        <v>98125</v>
      </c>
      <c r="B142" s="38" t="s">
        <v>10</v>
      </c>
      <c r="C142" s="36">
        <v>13</v>
      </c>
      <c r="D142" s="36">
        <v>13</v>
      </c>
      <c r="E142" s="36">
        <v>13</v>
      </c>
      <c r="G142" s="86">
        <v>98244</v>
      </c>
      <c r="H142" s="38" t="s">
        <v>352</v>
      </c>
      <c r="I142" s="36">
        <v>2</v>
      </c>
      <c r="J142" s="36">
        <v>0</v>
      </c>
      <c r="K142" s="36">
        <v>2</v>
      </c>
      <c r="M142" s="59">
        <v>98133</v>
      </c>
      <c r="N142" s="38" t="s">
        <v>352</v>
      </c>
      <c r="O142" s="36">
        <v>1</v>
      </c>
      <c r="P142" s="36">
        <v>2</v>
      </c>
      <c r="Q142" s="36">
        <v>1</v>
      </c>
      <c r="S142" s="86">
        <v>98225</v>
      </c>
      <c r="T142" s="38" t="s">
        <v>10</v>
      </c>
      <c r="U142" s="36">
        <v>17</v>
      </c>
      <c r="V142" s="36">
        <v>16</v>
      </c>
      <c r="W142" s="36">
        <v>18</v>
      </c>
    </row>
    <row r="143" spans="1:23" x14ac:dyDescent="0.2">
      <c r="A143" s="59">
        <v>98126</v>
      </c>
      <c r="B143" s="38" t="s">
        <v>352</v>
      </c>
      <c r="C143" s="36">
        <v>1</v>
      </c>
      <c r="D143" s="36">
        <v>0</v>
      </c>
      <c r="E143" s="36">
        <v>1</v>
      </c>
      <c r="G143" s="86">
        <v>98244</v>
      </c>
      <c r="H143" s="38" t="s">
        <v>10</v>
      </c>
      <c r="I143" s="33">
        <v>6</v>
      </c>
      <c r="J143" s="33">
        <v>0</v>
      </c>
      <c r="K143" s="36">
        <v>4</v>
      </c>
      <c r="M143" s="86">
        <v>98133</v>
      </c>
      <c r="N143" s="38" t="s">
        <v>10</v>
      </c>
      <c r="O143" s="36">
        <v>7</v>
      </c>
      <c r="P143" s="33">
        <v>11</v>
      </c>
      <c r="Q143" s="36">
        <v>11</v>
      </c>
      <c r="S143" s="86">
        <v>98226</v>
      </c>
      <c r="T143" s="38" t="s">
        <v>352</v>
      </c>
      <c r="U143" s="36">
        <v>2</v>
      </c>
      <c r="V143" s="33">
        <v>4</v>
      </c>
      <c r="W143" s="33">
        <v>1</v>
      </c>
    </row>
    <row r="144" spans="1:23" x14ac:dyDescent="0.2">
      <c r="A144" s="86">
        <v>98126</v>
      </c>
      <c r="B144" s="38" t="s">
        <v>10</v>
      </c>
      <c r="C144" s="36">
        <v>14</v>
      </c>
      <c r="D144" s="36">
        <v>16</v>
      </c>
      <c r="E144" s="36">
        <v>15</v>
      </c>
      <c r="G144" s="86">
        <v>98247</v>
      </c>
      <c r="H144" s="38" t="s">
        <v>10</v>
      </c>
      <c r="I144" s="36">
        <v>4</v>
      </c>
      <c r="J144" s="36">
        <v>1</v>
      </c>
      <c r="K144" s="36">
        <v>7</v>
      </c>
      <c r="M144" s="59">
        <v>98134</v>
      </c>
      <c r="N144" s="38" t="s">
        <v>352</v>
      </c>
      <c r="O144" s="36">
        <v>1</v>
      </c>
      <c r="P144" s="33">
        <v>1</v>
      </c>
      <c r="Q144" s="36">
        <v>0</v>
      </c>
      <c r="S144" s="86">
        <v>98226</v>
      </c>
      <c r="T144" s="38" t="s">
        <v>10</v>
      </c>
      <c r="U144" s="36">
        <v>32</v>
      </c>
      <c r="V144" s="36">
        <v>26</v>
      </c>
      <c r="W144" s="36">
        <v>28</v>
      </c>
    </row>
    <row r="145" spans="1:23" x14ac:dyDescent="0.2">
      <c r="A145" s="59">
        <v>98133</v>
      </c>
      <c r="B145" s="38" t="s">
        <v>352</v>
      </c>
      <c r="C145" s="36">
        <v>2</v>
      </c>
      <c r="D145" s="36">
        <v>3</v>
      </c>
      <c r="E145" s="36">
        <v>3</v>
      </c>
      <c r="G145" s="86">
        <v>98248</v>
      </c>
      <c r="H145" s="38" t="s">
        <v>352</v>
      </c>
      <c r="I145" s="36">
        <v>1</v>
      </c>
      <c r="J145" s="33">
        <v>0</v>
      </c>
      <c r="K145" s="33">
        <v>0</v>
      </c>
      <c r="M145" s="86">
        <v>98136</v>
      </c>
      <c r="N145" s="38" t="s">
        <v>352</v>
      </c>
      <c r="O145" s="36">
        <v>0</v>
      </c>
      <c r="P145" s="33">
        <v>0</v>
      </c>
      <c r="Q145" s="33">
        <v>1</v>
      </c>
      <c r="S145" s="86">
        <v>98229</v>
      </c>
      <c r="T145" s="38" t="s">
        <v>352</v>
      </c>
      <c r="U145" s="36">
        <v>0</v>
      </c>
      <c r="V145" s="36">
        <v>0</v>
      </c>
      <c r="W145" s="36">
        <v>1</v>
      </c>
    </row>
    <row r="146" spans="1:23" x14ac:dyDescent="0.2">
      <c r="A146" s="86">
        <v>98133</v>
      </c>
      <c r="B146" s="38" t="s">
        <v>10</v>
      </c>
      <c r="C146" s="36">
        <v>18</v>
      </c>
      <c r="D146" s="36">
        <v>11</v>
      </c>
      <c r="E146" s="36">
        <v>16</v>
      </c>
      <c r="G146" s="86">
        <v>98248</v>
      </c>
      <c r="H146" s="38" t="s">
        <v>10</v>
      </c>
      <c r="I146" s="36">
        <v>3</v>
      </c>
      <c r="J146" s="33">
        <v>7</v>
      </c>
      <c r="K146" s="36">
        <v>3</v>
      </c>
      <c r="M146" s="59">
        <v>98136</v>
      </c>
      <c r="N146" s="38" t="s">
        <v>10</v>
      </c>
      <c r="O146" s="36">
        <v>6</v>
      </c>
      <c r="P146" s="36">
        <v>5</v>
      </c>
      <c r="Q146" s="36">
        <v>3</v>
      </c>
      <c r="S146" s="86">
        <v>98229</v>
      </c>
      <c r="T146" s="38" t="s">
        <v>10</v>
      </c>
      <c r="U146" s="33">
        <v>14</v>
      </c>
      <c r="V146" s="36">
        <v>15</v>
      </c>
      <c r="W146" s="33">
        <v>14</v>
      </c>
    </row>
    <row r="147" spans="1:23" x14ac:dyDescent="0.2">
      <c r="A147" s="59">
        <v>98134</v>
      </c>
      <c r="B147" s="38" t="s">
        <v>352</v>
      </c>
      <c r="C147" s="36">
        <v>2</v>
      </c>
      <c r="D147" s="36">
        <v>2</v>
      </c>
      <c r="E147" s="36">
        <v>2</v>
      </c>
      <c r="G147" s="86">
        <v>98249</v>
      </c>
      <c r="H147" s="38" t="s">
        <v>10</v>
      </c>
      <c r="I147" s="36">
        <v>1</v>
      </c>
      <c r="J147" s="36">
        <v>1</v>
      </c>
      <c r="K147" s="36">
        <v>0</v>
      </c>
      <c r="M147" s="86">
        <v>98144</v>
      </c>
      <c r="N147" s="38" t="s">
        <v>352</v>
      </c>
      <c r="O147" s="33">
        <v>1</v>
      </c>
      <c r="P147" s="36">
        <v>0</v>
      </c>
      <c r="Q147" s="36">
        <v>0</v>
      </c>
      <c r="S147" s="86">
        <v>98230</v>
      </c>
      <c r="T147" s="38" t="s">
        <v>10</v>
      </c>
      <c r="U147" s="33">
        <v>12</v>
      </c>
      <c r="V147" s="36">
        <v>12</v>
      </c>
      <c r="W147" s="33">
        <v>11</v>
      </c>
    </row>
    <row r="148" spans="1:23" x14ac:dyDescent="0.2">
      <c r="A148" s="86">
        <v>98136</v>
      </c>
      <c r="B148" s="38" t="s">
        <v>352</v>
      </c>
      <c r="C148" s="36">
        <v>1</v>
      </c>
      <c r="D148" s="36">
        <v>1</v>
      </c>
      <c r="E148" s="36">
        <v>1</v>
      </c>
      <c r="G148" s="86">
        <v>98252</v>
      </c>
      <c r="H148" s="38" t="s">
        <v>10</v>
      </c>
      <c r="I148" s="36">
        <v>0</v>
      </c>
      <c r="J148" s="36">
        <v>1</v>
      </c>
      <c r="K148" s="36">
        <v>0</v>
      </c>
      <c r="M148" s="59">
        <v>98144</v>
      </c>
      <c r="N148" s="38" t="s">
        <v>10</v>
      </c>
      <c r="O148" s="36">
        <v>6</v>
      </c>
      <c r="P148" s="36">
        <v>11</v>
      </c>
      <c r="Q148" s="36">
        <v>11</v>
      </c>
      <c r="S148" s="59">
        <v>98232</v>
      </c>
      <c r="T148" s="38" t="s">
        <v>352</v>
      </c>
      <c r="U148" s="36">
        <v>0</v>
      </c>
      <c r="V148" s="36">
        <v>1</v>
      </c>
      <c r="W148" s="36">
        <v>1</v>
      </c>
    </row>
    <row r="149" spans="1:23" x14ac:dyDescent="0.2">
      <c r="A149" s="59">
        <v>98136</v>
      </c>
      <c r="B149" s="38" t="s">
        <v>10</v>
      </c>
      <c r="C149" s="36">
        <v>3</v>
      </c>
      <c r="D149" s="36">
        <v>6</v>
      </c>
      <c r="E149" s="36">
        <v>8</v>
      </c>
      <c r="G149" s="86">
        <v>98253</v>
      </c>
      <c r="H149" s="38" t="s">
        <v>10</v>
      </c>
      <c r="I149" s="36">
        <v>0</v>
      </c>
      <c r="J149" s="33">
        <v>1</v>
      </c>
      <c r="K149" s="33">
        <v>0</v>
      </c>
      <c r="M149" s="86">
        <v>98146</v>
      </c>
      <c r="N149" s="38" t="s">
        <v>10</v>
      </c>
      <c r="O149" s="36">
        <v>13</v>
      </c>
      <c r="P149" s="36">
        <v>18</v>
      </c>
      <c r="Q149" s="36">
        <v>16</v>
      </c>
      <c r="S149" s="86">
        <v>98232</v>
      </c>
      <c r="T149" s="38" t="s">
        <v>10</v>
      </c>
      <c r="U149" s="36">
        <v>3</v>
      </c>
      <c r="V149" s="36">
        <v>3</v>
      </c>
      <c r="W149" s="36">
        <v>0</v>
      </c>
    </row>
    <row r="150" spans="1:23" x14ac:dyDescent="0.2">
      <c r="A150" s="86">
        <v>98144</v>
      </c>
      <c r="B150" s="38" t="s">
        <v>352</v>
      </c>
      <c r="C150" s="36">
        <v>2</v>
      </c>
      <c r="D150" s="36">
        <v>2</v>
      </c>
      <c r="E150" s="36">
        <v>1</v>
      </c>
      <c r="G150" s="59">
        <v>98255</v>
      </c>
      <c r="H150" s="38" t="s">
        <v>10</v>
      </c>
      <c r="I150" s="36">
        <v>0</v>
      </c>
      <c r="J150" s="36">
        <v>2</v>
      </c>
      <c r="K150" s="36">
        <v>0</v>
      </c>
      <c r="M150" s="86">
        <v>98148</v>
      </c>
      <c r="N150" s="38" t="s">
        <v>352</v>
      </c>
      <c r="O150" s="33">
        <v>0</v>
      </c>
      <c r="P150" s="36">
        <v>1</v>
      </c>
      <c r="Q150" s="36">
        <v>0</v>
      </c>
      <c r="S150" s="86">
        <v>98233</v>
      </c>
      <c r="T150" s="38" t="s">
        <v>352</v>
      </c>
      <c r="U150" s="33">
        <v>0</v>
      </c>
      <c r="V150" s="33">
        <v>1</v>
      </c>
      <c r="W150" s="36">
        <v>1</v>
      </c>
    </row>
    <row r="151" spans="1:23" x14ac:dyDescent="0.2">
      <c r="A151" s="86">
        <v>98144</v>
      </c>
      <c r="B151" s="38" t="s">
        <v>10</v>
      </c>
      <c r="C151" s="36">
        <v>5</v>
      </c>
      <c r="D151" s="36">
        <v>7</v>
      </c>
      <c r="E151" s="36">
        <v>9</v>
      </c>
      <c r="G151" s="86">
        <v>98257</v>
      </c>
      <c r="H151" s="38" t="s">
        <v>10</v>
      </c>
      <c r="I151" s="36">
        <v>1</v>
      </c>
      <c r="J151" s="33">
        <v>2</v>
      </c>
      <c r="K151" s="33">
        <v>1</v>
      </c>
      <c r="M151" s="59">
        <v>98148</v>
      </c>
      <c r="N151" s="38" t="s">
        <v>10</v>
      </c>
      <c r="O151" s="36">
        <v>29</v>
      </c>
      <c r="P151" s="36">
        <v>33</v>
      </c>
      <c r="Q151" s="36">
        <v>24</v>
      </c>
      <c r="S151" s="86">
        <v>98233</v>
      </c>
      <c r="T151" s="38" t="s">
        <v>10</v>
      </c>
      <c r="U151" s="33">
        <v>12</v>
      </c>
      <c r="V151" s="33">
        <v>14</v>
      </c>
      <c r="W151" s="36">
        <v>14</v>
      </c>
    </row>
    <row r="152" spans="1:23" x14ac:dyDescent="0.2">
      <c r="A152" s="59">
        <v>98146</v>
      </c>
      <c r="B152" s="38" t="s">
        <v>352</v>
      </c>
      <c r="C152" s="36">
        <v>1</v>
      </c>
      <c r="D152" s="36">
        <v>1</v>
      </c>
      <c r="E152" s="36">
        <v>1</v>
      </c>
      <c r="G152" s="59">
        <v>98258</v>
      </c>
      <c r="H152" s="38" t="s">
        <v>10</v>
      </c>
      <c r="I152" s="36">
        <v>4</v>
      </c>
      <c r="J152" s="36">
        <v>4</v>
      </c>
      <c r="K152" s="36">
        <v>3</v>
      </c>
      <c r="M152" s="86">
        <v>98155</v>
      </c>
      <c r="N152" s="38" t="s">
        <v>352</v>
      </c>
      <c r="O152" s="36">
        <v>1</v>
      </c>
      <c r="P152" s="36">
        <v>0</v>
      </c>
      <c r="Q152" s="36">
        <v>0</v>
      </c>
      <c r="S152" s="86">
        <v>98235</v>
      </c>
      <c r="T152" s="38" t="s">
        <v>10</v>
      </c>
      <c r="U152" s="36">
        <v>2</v>
      </c>
      <c r="V152" s="36">
        <v>1</v>
      </c>
      <c r="W152" s="36">
        <v>0</v>
      </c>
    </row>
    <row r="153" spans="1:23" x14ac:dyDescent="0.2">
      <c r="A153" s="86">
        <v>98146</v>
      </c>
      <c r="B153" s="38" t="s">
        <v>10</v>
      </c>
      <c r="C153" s="36">
        <v>13</v>
      </c>
      <c r="D153" s="36">
        <v>13</v>
      </c>
      <c r="E153" s="36">
        <v>14</v>
      </c>
      <c r="G153" s="86">
        <v>98260</v>
      </c>
      <c r="H153" s="38" t="s">
        <v>352</v>
      </c>
      <c r="I153" s="33">
        <v>0</v>
      </c>
      <c r="J153" s="36">
        <v>2</v>
      </c>
      <c r="K153" s="33">
        <v>0</v>
      </c>
      <c r="M153" s="86">
        <v>98155</v>
      </c>
      <c r="N153" s="38" t="s">
        <v>10</v>
      </c>
      <c r="O153" s="36">
        <v>9</v>
      </c>
      <c r="P153" s="33">
        <v>18</v>
      </c>
      <c r="Q153" s="33">
        <v>14</v>
      </c>
      <c r="S153" s="86">
        <v>98236</v>
      </c>
      <c r="T153" s="38" t="s">
        <v>352</v>
      </c>
      <c r="U153" s="36">
        <v>0</v>
      </c>
      <c r="V153" s="36">
        <v>1</v>
      </c>
      <c r="W153" s="33">
        <v>0</v>
      </c>
    </row>
    <row r="154" spans="1:23" x14ac:dyDescent="0.2">
      <c r="A154" s="59">
        <v>98148</v>
      </c>
      <c r="B154" s="38" t="s">
        <v>352</v>
      </c>
      <c r="C154" s="36">
        <v>0</v>
      </c>
      <c r="D154" s="36">
        <v>0</v>
      </c>
      <c r="E154" s="36">
        <v>1</v>
      </c>
      <c r="G154" s="59">
        <v>98260</v>
      </c>
      <c r="H154" s="38" t="s">
        <v>10</v>
      </c>
      <c r="I154" s="33">
        <v>2</v>
      </c>
      <c r="J154" s="36">
        <v>1</v>
      </c>
      <c r="K154" s="36">
        <v>0</v>
      </c>
      <c r="M154" s="59">
        <v>98166</v>
      </c>
      <c r="N154" s="38" t="s">
        <v>352</v>
      </c>
      <c r="O154" s="36">
        <v>2</v>
      </c>
      <c r="P154" s="36">
        <v>5</v>
      </c>
      <c r="Q154" s="36">
        <v>1</v>
      </c>
      <c r="S154" s="86">
        <v>98236</v>
      </c>
      <c r="T154" s="38" t="s">
        <v>10</v>
      </c>
      <c r="U154" s="36">
        <v>2</v>
      </c>
      <c r="V154" s="36">
        <v>4</v>
      </c>
      <c r="W154" s="36">
        <v>5</v>
      </c>
    </row>
    <row r="155" spans="1:23" x14ac:dyDescent="0.2">
      <c r="A155" s="86">
        <v>98148</v>
      </c>
      <c r="B155" s="38" t="s">
        <v>10</v>
      </c>
      <c r="C155" s="36">
        <v>29</v>
      </c>
      <c r="D155" s="36">
        <v>35</v>
      </c>
      <c r="E155" s="36">
        <v>41</v>
      </c>
      <c r="G155" s="86">
        <v>98262</v>
      </c>
      <c r="H155" s="38" t="s">
        <v>10</v>
      </c>
      <c r="I155" s="36">
        <v>0</v>
      </c>
      <c r="J155" s="36">
        <v>1</v>
      </c>
      <c r="K155" s="36">
        <v>0</v>
      </c>
      <c r="M155" s="86">
        <v>98166</v>
      </c>
      <c r="N155" s="38" t="s">
        <v>10</v>
      </c>
      <c r="O155" s="36">
        <v>9</v>
      </c>
      <c r="P155" s="36">
        <v>9</v>
      </c>
      <c r="Q155" s="33">
        <v>9</v>
      </c>
      <c r="S155" s="86">
        <v>98237</v>
      </c>
      <c r="T155" s="38" t="s">
        <v>352</v>
      </c>
      <c r="U155" s="36">
        <v>1</v>
      </c>
      <c r="V155" s="36">
        <v>0</v>
      </c>
      <c r="W155" s="36">
        <v>1</v>
      </c>
    </row>
    <row r="156" spans="1:23" x14ac:dyDescent="0.2">
      <c r="A156" s="59">
        <v>98155</v>
      </c>
      <c r="B156" s="38" t="s">
        <v>352</v>
      </c>
      <c r="C156" s="36">
        <v>0</v>
      </c>
      <c r="D156" s="36">
        <v>1</v>
      </c>
      <c r="E156" s="33">
        <v>0</v>
      </c>
      <c r="G156" s="86">
        <v>98263</v>
      </c>
      <c r="H156" s="38" t="s">
        <v>10</v>
      </c>
      <c r="I156" s="36">
        <v>0</v>
      </c>
      <c r="J156" s="36">
        <v>0</v>
      </c>
      <c r="K156" s="36">
        <v>1</v>
      </c>
      <c r="M156" s="59">
        <v>98168</v>
      </c>
      <c r="N156" s="38" t="s">
        <v>352</v>
      </c>
      <c r="O156" s="36">
        <v>3</v>
      </c>
      <c r="P156" s="36">
        <v>2</v>
      </c>
      <c r="Q156" s="36">
        <v>0</v>
      </c>
      <c r="S156" s="86">
        <v>98237</v>
      </c>
      <c r="T156" s="38" t="s">
        <v>10</v>
      </c>
      <c r="U156" s="33">
        <v>6</v>
      </c>
      <c r="V156" s="33">
        <v>8</v>
      </c>
      <c r="W156" s="36">
        <v>16</v>
      </c>
    </row>
    <row r="157" spans="1:23" x14ac:dyDescent="0.2">
      <c r="A157" s="86">
        <v>98155</v>
      </c>
      <c r="B157" s="38" t="s">
        <v>10</v>
      </c>
      <c r="C157" s="36">
        <v>19</v>
      </c>
      <c r="D157" s="36">
        <v>18</v>
      </c>
      <c r="E157" s="36">
        <v>21</v>
      </c>
      <c r="G157" s="86">
        <v>98264</v>
      </c>
      <c r="H157" s="38" t="s">
        <v>10</v>
      </c>
      <c r="I157" s="36">
        <v>5</v>
      </c>
      <c r="J157" s="36">
        <v>3</v>
      </c>
      <c r="K157" s="36">
        <v>8</v>
      </c>
      <c r="M157" s="86">
        <v>98168</v>
      </c>
      <c r="N157" s="38" t="s">
        <v>10</v>
      </c>
      <c r="O157" s="36">
        <v>24</v>
      </c>
      <c r="P157" s="33">
        <v>30</v>
      </c>
      <c r="Q157" s="33">
        <v>32</v>
      </c>
      <c r="S157" s="59">
        <v>98239</v>
      </c>
      <c r="T157" s="38" t="s">
        <v>10</v>
      </c>
      <c r="U157" s="36">
        <v>5</v>
      </c>
      <c r="V157" s="36">
        <v>3</v>
      </c>
      <c r="W157" s="36">
        <v>10</v>
      </c>
    </row>
    <row r="158" spans="1:23" x14ac:dyDescent="0.2">
      <c r="A158" s="59">
        <v>98166</v>
      </c>
      <c r="B158" s="38" t="s">
        <v>352</v>
      </c>
      <c r="C158" s="36">
        <v>3</v>
      </c>
      <c r="D158" s="36">
        <v>1</v>
      </c>
      <c r="E158" s="36">
        <v>5</v>
      </c>
      <c r="G158" s="86">
        <v>98266</v>
      </c>
      <c r="H158" s="38" t="s">
        <v>352</v>
      </c>
      <c r="I158" s="36">
        <v>0</v>
      </c>
      <c r="J158" s="33">
        <v>1</v>
      </c>
      <c r="K158" s="36">
        <v>0</v>
      </c>
      <c r="M158" s="59">
        <v>98177</v>
      </c>
      <c r="N158" s="38" t="s">
        <v>10</v>
      </c>
      <c r="O158" s="36">
        <v>5</v>
      </c>
      <c r="P158" s="36">
        <v>6</v>
      </c>
      <c r="Q158" s="36">
        <v>4</v>
      </c>
      <c r="S158" s="86">
        <v>98244</v>
      </c>
      <c r="T158" s="38" t="s">
        <v>352</v>
      </c>
      <c r="U158" s="36">
        <v>0</v>
      </c>
      <c r="V158" s="33">
        <v>0</v>
      </c>
      <c r="W158" s="33">
        <v>3</v>
      </c>
    </row>
    <row r="159" spans="1:23" x14ac:dyDescent="0.2">
      <c r="A159" s="86">
        <v>98166</v>
      </c>
      <c r="B159" s="38" t="s">
        <v>10</v>
      </c>
      <c r="C159" s="36">
        <v>18</v>
      </c>
      <c r="D159" s="33">
        <v>13</v>
      </c>
      <c r="E159" s="33">
        <v>16</v>
      </c>
      <c r="G159" s="59">
        <v>98266</v>
      </c>
      <c r="H159" s="38" t="s">
        <v>10</v>
      </c>
      <c r="I159" s="36">
        <v>5</v>
      </c>
      <c r="J159" s="36">
        <v>4</v>
      </c>
      <c r="K159" s="36">
        <v>4</v>
      </c>
      <c r="M159" s="86">
        <v>98178</v>
      </c>
      <c r="N159" s="38" t="s">
        <v>352</v>
      </c>
      <c r="O159" s="36">
        <v>0</v>
      </c>
      <c r="P159" s="33">
        <v>1</v>
      </c>
      <c r="Q159" s="36">
        <v>0</v>
      </c>
      <c r="S159" s="59">
        <v>98244</v>
      </c>
      <c r="T159" s="38" t="s">
        <v>10</v>
      </c>
      <c r="U159" s="36">
        <v>3</v>
      </c>
      <c r="V159" s="36">
        <v>8</v>
      </c>
      <c r="W159" s="36">
        <v>9</v>
      </c>
    </row>
    <row r="160" spans="1:23" x14ac:dyDescent="0.2">
      <c r="A160" s="86">
        <v>98168</v>
      </c>
      <c r="B160" s="38" t="s">
        <v>352</v>
      </c>
      <c r="C160" s="36">
        <v>3</v>
      </c>
      <c r="D160" s="36">
        <v>6</v>
      </c>
      <c r="E160" s="36">
        <v>5</v>
      </c>
      <c r="G160" s="86">
        <v>98267</v>
      </c>
      <c r="H160" s="38" t="s">
        <v>10</v>
      </c>
      <c r="I160" s="33">
        <v>0</v>
      </c>
      <c r="J160" s="36">
        <v>1</v>
      </c>
      <c r="K160" s="36">
        <v>1</v>
      </c>
      <c r="M160" s="86">
        <v>98178</v>
      </c>
      <c r="N160" s="38" t="s">
        <v>10</v>
      </c>
      <c r="O160" s="33">
        <v>15</v>
      </c>
      <c r="P160" s="36">
        <v>10</v>
      </c>
      <c r="Q160" s="36">
        <v>14</v>
      </c>
      <c r="S160" s="86">
        <v>98247</v>
      </c>
      <c r="T160" s="38" t="s">
        <v>352</v>
      </c>
      <c r="U160" s="36">
        <v>0</v>
      </c>
      <c r="V160" s="36">
        <v>0</v>
      </c>
      <c r="W160" s="36">
        <v>1</v>
      </c>
    </row>
    <row r="161" spans="1:23" x14ac:dyDescent="0.2">
      <c r="A161" s="59">
        <v>98168</v>
      </c>
      <c r="B161" s="38" t="s">
        <v>10</v>
      </c>
      <c r="C161" s="36">
        <v>28</v>
      </c>
      <c r="D161" s="36">
        <v>24</v>
      </c>
      <c r="E161" s="36">
        <v>35</v>
      </c>
      <c r="G161" s="86">
        <v>98270</v>
      </c>
      <c r="H161" s="38" t="s">
        <v>10</v>
      </c>
      <c r="I161" s="36">
        <v>6</v>
      </c>
      <c r="J161" s="36">
        <v>5</v>
      </c>
      <c r="K161" s="36">
        <v>7</v>
      </c>
      <c r="M161" s="59">
        <v>98188</v>
      </c>
      <c r="N161" s="38" t="s">
        <v>352</v>
      </c>
      <c r="O161" s="36">
        <v>1</v>
      </c>
      <c r="P161" s="36">
        <v>2</v>
      </c>
      <c r="Q161" s="36">
        <v>1</v>
      </c>
      <c r="S161" s="86">
        <v>98247</v>
      </c>
      <c r="T161" s="38" t="s">
        <v>10</v>
      </c>
      <c r="U161" s="36">
        <v>7</v>
      </c>
      <c r="V161" s="36">
        <v>1</v>
      </c>
      <c r="W161" s="36">
        <v>10</v>
      </c>
    </row>
    <row r="162" spans="1:23" x14ac:dyDescent="0.2">
      <c r="A162" s="86">
        <v>98177</v>
      </c>
      <c r="B162" s="38" t="s">
        <v>10</v>
      </c>
      <c r="C162" s="36">
        <v>5</v>
      </c>
      <c r="D162" s="36">
        <v>7</v>
      </c>
      <c r="E162" s="36">
        <v>5</v>
      </c>
      <c r="G162" s="86">
        <v>98271</v>
      </c>
      <c r="H162" s="38" t="s">
        <v>10</v>
      </c>
      <c r="I162" s="36">
        <v>0</v>
      </c>
      <c r="J162" s="33">
        <v>4</v>
      </c>
      <c r="K162" s="36">
        <v>2</v>
      </c>
      <c r="M162" s="86">
        <v>98188</v>
      </c>
      <c r="N162" s="38" t="s">
        <v>10</v>
      </c>
      <c r="O162" s="33">
        <v>56</v>
      </c>
      <c r="P162" s="36">
        <v>93</v>
      </c>
      <c r="Q162" s="36">
        <v>60</v>
      </c>
      <c r="S162" s="86">
        <v>98248</v>
      </c>
      <c r="T162" s="38" t="s">
        <v>352</v>
      </c>
      <c r="U162" s="36">
        <v>2</v>
      </c>
      <c r="V162" s="36">
        <v>1</v>
      </c>
      <c r="W162" s="36">
        <v>0</v>
      </c>
    </row>
    <row r="163" spans="1:23" x14ac:dyDescent="0.2">
      <c r="A163" s="59">
        <v>98178</v>
      </c>
      <c r="B163" s="38" t="s">
        <v>352</v>
      </c>
      <c r="C163" s="36">
        <v>0</v>
      </c>
      <c r="D163" s="36">
        <v>0</v>
      </c>
      <c r="E163" s="36">
        <v>1</v>
      </c>
      <c r="G163" s="59">
        <v>98272</v>
      </c>
      <c r="H163" s="38" t="s">
        <v>10</v>
      </c>
      <c r="I163" s="36">
        <v>0</v>
      </c>
      <c r="J163" s="36">
        <v>0</v>
      </c>
      <c r="K163" s="33">
        <v>2</v>
      </c>
      <c r="M163" s="59">
        <v>98198</v>
      </c>
      <c r="N163" s="38" t="s">
        <v>352</v>
      </c>
      <c r="O163" s="36">
        <v>1</v>
      </c>
      <c r="P163" s="36">
        <v>4</v>
      </c>
      <c r="Q163" s="36">
        <v>6</v>
      </c>
      <c r="S163" s="86">
        <v>98248</v>
      </c>
      <c r="T163" s="38" t="s">
        <v>10</v>
      </c>
      <c r="U163" s="36">
        <v>16</v>
      </c>
      <c r="V163" s="36">
        <v>16</v>
      </c>
      <c r="W163" s="36">
        <v>13</v>
      </c>
    </row>
    <row r="164" spans="1:23" x14ac:dyDescent="0.2">
      <c r="A164" s="86">
        <v>98178</v>
      </c>
      <c r="B164" s="38" t="s">
        <v>10</v>
      </c>
      <c r="C164" s="36">
        <v>15</v>
      </c>
      <c r="D164" s="36">
        <v>17</v>
      </c>
      <c r="E164" s="36">
        <v>15</v>
      </c>
      <c r="G164" s="86">
        <v>98273</v>
      </c>
      <c r="H164" s="38" t="s">
        <v>10</v>
      </c>
      <c r="I164" s="33">
        <v>13</v>
      </c>
      <c r="J164" s="33">
        <v>16</v>
      </c>
      <c r="K164" s="36">
        <v>11</v>
      </c>
      <c r="M164" s="86">
        <v>98198</v>
      </c>
      <c r="N164" s="38" t="s">
        <v>10</v>
      </c>
      <c r="O164" s="36">
        <v>136</v>
      </c>
      <c r="P164" s="36">
        <v>131</v>
      </c>
      <c r="Q164" s="36">
        <v>128</v>
      </c>
      <c r="S164" s="86">
        <v>98249</v>
      </c>
      <c r="T164" s="38" t="s">
        <v>352</v>
      </c>
      <c r="U164" s="36">
        <v>0</v>
      </c>
      <c r="V164" s="33">
        <v>1</v>
      </c>
      <c r="W164" s="33">
        <v>0</v>
      </c>
    </row>
    <row r="165" spans="1:23" x14ac:dyDescent="0.2">
      <c r="A165" s="59">
        <v>98188</v>
      </c>
      <c r="B165" s="38" t="s">
        <v>352</v>
      </c>
      <c r="C165" s="36">
        <v>7</v>
      </c>
      <c r="D165" s="36">
        <v>4</v>
      </c>
      <c r="E165" s="36">
        <v>6</v>
      </c>
      <c r="G165" s="59">
        <v>98274</v>
      </c>
      <c r="H165" s="38" t="s">
        <v>10</v>
      </c>
      <c r="I165" s="36">
        <v>10</v>
      </c>
      <c r="J165" s="36">
        <v>7</v>
      </c>
      <c r="K165" s="36">
        <v>15</v>
      </c>
      <c r="M165" s="59">
        <v>98199</v>
      </c>
      <c r="N165" s="38" t="s">
        <v>10</v>
      </c>
      <c r="O165" s="36">
        <v>5</v>
      </c>
      <c r="P165" s="36">
        <v>1</v>
      </c>
      <c r="Q165" s="36">
        <v>4</v>
      </c>
      <c r="S165" s="59">
        <v>98249</v>
      </c>
      <c r="T165" s="38" t="s">
        <v>10</v>
      </c>
      <c r="U165" s="36">
        <v>1</v>
      </c>
      <c r="V165" s="36">
        <v>4</v>
      </c>
      <c r="W165" s="36">
        <v>4</v>
      </c>
    </row>
    <row r="166" spans="1:23" x14ac:dyDescent="0.2">
      <c r="A166" s="86">
        <v>98188</v>
      </c>
      <c r="B166" s="38" t="s">
        <v>10</v>
      </c>
      <c r="C166" s="36">
        <v>84</v>
      </c>
      <c r="D166" s="36">
        <v>77</v>
      </c>
      <c r="E166" s="36">
        <v>116</v>
      </c>
      <c r="G166" s="86">
        <v>98275</v>
      </c>
      <c r="H166" s="38" t="s">
        <v>352</v>
      </c>
      <c r="I166" s="33">
        <v>0</v>
      </c>
      <c r="J166" s="33">
        <v>1</v>
      </c>
      <c r="K166" s="36">
        <v>0</v>
      </c>
      <c r="M166" s="86">
        <v>98201</v>
      </c>
      <c r="N166" s="38" t="s">
        <v>352</v>
      </c>
      <c r="O166" s="36">
        <v>2</v>
      </c>
      <c r="P166" s="36">
        <v>3</v>
      </c>
      <c r="Q166" s="33">
        <v>0</v>
      </c>
      <c r="S166" s="86">
        <v>98252</v>
      </c>
      <c r="T166" s="38" t="s">
        <v>352</v>
      </c>
      <c r="U166" s="36">
        <v>1</v>
      </c>
      <c r="V166" s="33">
        <v>1</v>
      </c>
      <c r="W166" s="33">
        <v>1</v>
      </c>
    </row>
    <row r="167" spans="1:23" x14ac:dyDescent="0.2">
      <c r="A167" s="86">
        <v>98198</v>
      </c>
      <c r="B167" s="38" t="s">
        <v>352</v>
      </c>
      <c r="C167" s="33">
        <v>6</v>
      </c>
      <c r="D167" s="36">
        <v>1</v>
      </c>
      <c r="E167" s="36">
        <v>3</v>
      </c>
      <c r="G167" s="59">
        <v>98275</v>
      </c>
      <c r="H167" s="38" t="s">
        <v>10</v>
      </c>
      <c r="I167" s="36">
        <v>1</v>
      </c>
      <c r="J167" s="36">
        <v>1</v>
      </c>
      <c r="K167" s="36">
        <v>2</v>
      </c>
      <c r="M167" s="59">
        <v>98201</v>
      </c>
      <c r="N167" s="38" t="s">
        <v>10</v>
      </c>
      <c r="O167" s="36">
        <v>17</v>
      </c>
      <c r="P167" s="36">
        <v>15</v>
      </c>
      <c r="Q167" s="36">
        <v>17</v>
      </c>
      <c r="S167" s="86">
        <v>98252</v>
      </c>
      <c r="T167" s="38" t="s">
        <v>10</v>
      </c>
      <c r="U167" s="36">
        <v>1</v>
      </c>
      <c r="V167" s="36">
        <v>0</v>
      </c>
      <c r="W167" s="36">
        <v>1</v>
      </c>
    </row>
    <row r="168" spans="1:23" x14ac:dyDescent="0.2">
      <c r="A168" s="59">
        <v>98198</v>
      </c>
      <c r="B168" s="38" t="s">
        <v>10</v>
      </c>
      <c r="C168" s="36">
        <v>165</v>
      </c>
      <c r="D168" s="36">
        <v>189</v>
      </c>
      <c r="E168" s="36">
        <v>180</v>
      </c>
      <c r="G168" s="86">
        <v>98276</v>
      </c>
      <c r="H168" s="38" t="s">
        <v>352</v>
      </c>
      <c r="I168" s="36">
        <v>0</v>
      </c>
      <c r="J168" s="36">
        <v>0</v>
      </c>
      <c r="K168" s="36">
        <v>1</v>
      </c>
      <c r="M168" s="86">
        <v>98203</v>
      </c>
      <c r="N168" s="38" t="s">
        <v>352</v>
      </c>
      <c r="O168" s="33">
        <v>0</v>
      </c>
      <c r="P168" s="36">
        <v>2</v>
      </c>
      <c r="Q168" s="36">
        <v>1</v>
      </c>
      <c r="S168" s="86">
        <v>98253</v>
      </c>
      <c r="T168" s="38" t="s">
        <v>10</v>
      </c>
      <c r="U168" s="36">
        <v>0</v>
      </c>
      <c r="V168" s="36">
        <v>0</v>
      </c>
      <c r="W168" s="36">
        <v>2</v>
      </c>
    </row>
    <row r="169" spans="1:23" x14ac:dyDescent="0.2">
      <c r="A169" s="86">
        <v>98199</v>
      </c>
      <c r="B169" s="38" t="s">
        <v>352</v>
      </c>
      <c r="C169" s="36">
        <v>1</v>
      </c>
      <c r="D169" s="36">
        <v>0</v>
      </c>
      <c r="E169" s="36">
        <v>0</v>
      </c>
      <c r="G169" s="86">
        <v>98277</v>
      </c>
      <c r="H169" s="38" t="s">
        <v>352</v>
      </c>
      <c r="I169" s="36">
        <v>3</v>
      </c>
      <c r="J169" s="36">
        <v>0</v>
      </c>
      <c r="K169" s="36">
        <v>3</v>
      </c>
      <c r="M169" s="86">
        <v>98203</v>
      </c>
      <c r="N169" s="38" t="s">
        <v>10</v>
      </c>
      <c r="O169" s="36">
        <v>14</v>
      </c>
      <c r="P169" s="36">
        <v>24</v>
      </c>
      <c r="Q169" s="33">
        <v>15</v>
      </c>
      <c r="S169" s="86">
        <v>98255</v>
      </c>
      <c r="T169" s="38" t="s">
        <v>10</v>
      </c>
      <c r="U169" s="36">
        <v>1</v>
      </c>
      <c r="V169" s="36">
        <v>0</v>
      </c>
      <c r="W169" s="33">
        <v>0</v>
      </c>
    </row>
    <row r="170" spans="1:23" x14ac:dyDescent="0.2">
      <c r="A170" s="86">
        <v>98199</v>
      </c>
      <c r="B170" s="38" t="s">
        <v>10</v>
      </c>
      <c r="C170" s="36">
        <v>3</v>
      </c>
      <c r="D170" s="36">
        <v>5</v>
      </c>
      <c r="E170" s="36">
        <v>5</v>
      </c>
      <c r="G170" s="86">
        <v>98277</v>
      </c>
      <c r="H170" s="38" t="s">
        <v>10</v>
      </c>
      <c r="I170" s="33">
        <v>22</v>
      </c>
      <c r="J170" s="36">
        <v>16</v>
      </c>
      <c r="K170" s="33">
        <v>22</v>
      </c>
      <c r="M170" s="59">
        <v>98204</v>
      </c>
      <c r="N170" s="38" t="s">
        <v>352</v>
      </c>
      <c r="O170" s="36">
        <v>1</v>
      </c>
      <c r="P170" s="36">
        <v>0</v>
      </c>
      <c r="Q170" s="36">
        <v>1</v>
      </c>
      <c r="S170" s="59">
        <v>98257</v>
      </c>
      <c r="T170" s="38" t="s">
        <v>352</v>
      </c>
      <c r="U170" s="36">
        <v>0</v>
      </c>
      <c r="V170" s="36">
        <v>0</v>
      </c>
      <c r="W170" s="36">
        <v>1</v>
      </c>
    </row>
    <row r="171" spans="1:23" x14ac:dyDescent="0.2">
      <c r="A171" s="86">
        <v>98201</v>
      </c>
      <c r="B171" s="38" t="s">
        <v>352</v>
      </c>
      <c r="C171" s="36">
        <v>3</v>
      </c>
      <c r="D171" s="36">
        <v>3</v>
      </c>
      <c r="E171" s="36">
        <v>5</v>
      </c>
      <c r="G171" s="59">
        <v>98281</v>
      </c>
      <c r="H171" s="38" t="s">
        <v>10</v>
      </c>
      <c r="I171" s="36">
        <v>1</v>
      </c>
      <c r="J171" s="36">
        <v>1</v>
      </c>
      <c r="K171" s="36">
        <v>1</v>
      </c>
      <c r="M171" s="86">
        <v>98204</v>
      </c>
      <c r="N171" s="38" t="s">
        <v>10</v>
      </c>
      <c r="O171" s="33">
        <v>8</v>
      </c>
      <c r="P171" s="36">
        <v>12</v>
      </c>
      <c r="Q171" s="33">
        <v>14</v>
      </c>
      <c r="S171" s="86">
        <v>98257</v>
      </c>
      <c r="T171" s="38" t="s">
        <v>10</v>
      </c>
      <c r="U171" s="36">
        <v>3</v>
      </c>
      <c r="V171" s="36">
        <v>0</v>
      </c>
      <c r="W171" s="36">
        <v>4</v>
      </c>
    </row>
    <row r="172" spans="1:23" x14ac:dyDescent="0.2">
      <c r="A172" s="86">
        <v>98201</v>
      </c>
      <c r="B172" s="38" t="s">
        <v>10</v>
      </c>
      <c r="C172" s="36">
        <v>24</v>
      </c>
      <c r="D172" s="36">
        <v>30</v>
      </c>
      <c r="E172" s="36">
        <v>25</v>
      </c>
      <c r="G172" s="86">
        <v>98283</v>
      </c>
      <c r="H172" s="38" t="s">
        <v>352</v>
      </c>
      <c r="I172" s="36">
        <v>0</v>
      </c>
      <c r="J172" s="36">
        <v>1</v>
      </c>
      <c r="K172" s="36">
        <v>0</v>
      </c>
      <c r="M172" s="86">
        <v>98208</v>
      </c>
      <c r="N172" s="38" t="s">
        <v>352</v>
      </c>
      <c r="O172" s="36">
        <v>0</v>
      </c>
      <c r="P172" s="36">
        <v>1</v>
      </c>
      <c r="Q172" s="36">
        <v>1</v>
      </c>
      <c r="S172" s="86">
        <v>98258</v>
      </c>
      <c r="T172" s="38" t="s">
        <v>10</v>
      </c>
      <c r="U172" s="36">
        <v>15</v>
      </c>
      <c r="V172" s="33">
        <v>16</v>
      </c>
      <c r="W172" s="36">
        <v>10</v>
      </c>
    </row>
    <row r="173" spans="1:23" x14ac:dyDescent="0.2">
      <c r="A173" s="59">
        <v>98203</v>
      </c>
      <c r="B173" s="38" t="s">
        <v>352</v>
      </c>
      <c r="C173" s="36">
        <v>2</v>
      </c>
      <c r="D173" s="36">
        <v>2</v>
      </c>
      <c r="E173" s="36">
        <v>2</v>
      </c>
      <c r="G173" s="86">
        <v>98283</v>
      </c>
      <c r="H173" s="38" t="s">
        <v>10</v>
      </c>
      <c r="I173" s="36">
        <v>3</v>
      </c>
      <c r="J173" s="36">
        <v>1</v>
      </c>
      <c r="K173" s="36">
        <v>0</v>
      </c>
      <c r="M173" s="59">
        <v>98208</v>
      </c>
      <c r="N173" s="38" t="s">
        <v>10</v>
      </c>
      <c r="O173" s="36">
        <v>29</v>
      </c>
      <c r="P173" s="36">
        <v>29</v>
      </c>
      <c r="Q173" s="36">
        <v>19</v>
      </c>
      <c r="S173" s="86">
        <v>98260</v>
      </c>
      <c r="T173" s="38" t="s">
        <v>10</v>
      </c>
      <c r="U173" s="33">
        <v>4</v>
      </c>
      <c r="V173" s="36">
        <v>2</v>
      </c>
      <c r="W173" s="36">
        <v>2</v>
      </c>
    </row>
    <row r="174" spans="1:23" x14ac:dyDescent="0.2">
      <c r="A174" s="86">
        <v>98203</v>
      </c>
      <c r="B174" s="38" t="s">
        <v>10</v>
      </c>
      <c r="C174" s="36">
        <v>21</v>
      </c>
      <c r="D174" s="36">
        <v>23</v>
      </c>
      <c r="E174" s="36">
        <v>28</v>
      </c>
      <c r="G174" s="86">
        <v>98284</v>
      </c>
      <c r="H174" s="38" t="s">
        <v>352</v>
      </c>
      <c r="I174" s="36">
        <v>0</v>
      </c>
      <c r="J174" s="36">
        <v>2</v>
      </c>
      <c r="K174" s="36">
        <v>0</v>
      </c>
      <c r="M174" s="86">
        <v>98220</v>
      </c>
      <c r="N174" s="38" t="s">
        <v>10</v>
      </c>
      <c r="O174" s="36">
        <v>0</v>
      </c>
      <c r="P174" s="36">
        <v>2</v>
      </c>
      <c r="Q174" s="36">
        <v>2</v>
      </c>
      <c r="S174" s="86">
        <v>98263</v>
      </c>
      <c r="T174" s="38" t="s">
        <v>10</v>
      </c>
      <c r="U174" s="33">
        <v>1</v>
      </c>
      <c r="V174" s="36">
        <v>1</v>
      </c>
      <c r="W174" s="33">
        <v>1</v>
      </c>
    </row>
    <row r="175" spans="1:23" x14ac:dyDescent="0.2">
      <c r="A175" s="86">
        <v>98204</v>
      </c>
      <c r="B175" s="38" t="s">
        <v>352</v>
      </c>
      <c r="C175" s="36">
        <v>3</v>
      </c>
      <c r="D175" s="36">
        <v>1</v>
      </c>
      <c r="E175" s="36">
        <v>0</v>
      </c>
      <c r="G175" s="86">
        <v>98284</v>
      </c>
      <c r="H175" s="38" t="s">
        <v>10</v>
      </c>
      <c r="I175" s="36">
        <v>19</v>
      </c>
      <c r="J175" s="36">
        <v>25</v>
      </c>
      <c r="K175" s="36">
        <v>19</v>
      </c>
      <c r="M175" s="59">
        <v>98221</v>
      </c>
      <c r="N175" s="38" t="s">
        <v>352</v>
      </c>
      <c r="O175" s="36">
        <v>0</v>
      </c>
      <c r="P175" s="36">
        <v>3</v>
      </c>
      <c r="Q175" s="36">
        <v>3</v>
      </c>
      <c r="S175" s="86">
        <v>98264</v>
      </c>
      <c r="T175" s="38" t="s">
        <v>352</v>
      </c>
      <c r="U175" s="36">
        <v>1</v>
      </c>
      <c r="V175" s="33">
        <v>0</v>
      </c>
      <c r="W175" s="33">
        <v>0</v>
      </c>
    </row>
    <row r="176" spans="1:23" x14ac:dyDescent="0.2">
      <c r="A176" s="59">
        <v>98204</v>
      </c>
      <c r="B176" s="38" t="s">
        <v>10</v>
      </c>
      <c r="C176" s="36">
        <v>13</v>
      </c>
      <c r="D176" s="36">
        <v>10</v>
      </c>
      <c r="E176" s="36">
        <v>11</v>
      </c>
      <c r="G176" s="86">
        <v>98288</v>
      </c>
      <c r="H176" s="38" t="s">
        <v>10</v>
      </c>
      <c r="I176" s="33">
        <v>0</v>
      </c>
      <c r="J176" s="33">
        <v>0</v>
      </c>
      <c r="K176" s="36">
        <v>2</v>
      </c>
      <c r="M176" s="86">
        <v>98221</v>
      </c>
      <c r="N176" s="38" t="s">
        <v>10</v>
      </c>
      <c r="O176" s="36">
        <v>34</v>
      </c>
      <c r="P176" s="33">
        <v>32</v>
      </c>
      <c r="Q176" s="36">
        <v>37</v>
      </c>
      <c r="S176" s="86">
        <v>98264</v>
      </c>
      <c r="T176" s="38" t="s">
        <v>10</v>
      </c>
      <c r="U176" s="36">
        <v>3</v>
      </c>
      <c r="V176" s="33">
        <v>7</v>
      </c>
      <c r="W176" s="36">
        <v>4</v>
      </c>
    </row>
    <row r="177" spans="1:23" x14ac:dyDescent="0.2">
      <c r="A177" s="86">
        <v>98208</v>
      </c>
      <c r="B177" s="38" t="s">
        <v>352</v>
      </c>
      <c r="C177" s="33">
        <v>2</v>
      </c>
      <c r="D177" s="36">
        <v>2</v>
      </c>
      <c r="E177" s="36">
        <v>2</v>
      </c>
      <c r="G177" s="59">
        <v>98290</v>
      </c>
      <c r="H177" s="38" t="s">
        <v>10</v>
      </c>
      <c r="I177" s="36">
        <v>0</v>
      </c>
      <c r="J177" s="36">
        <v>2</v>
      </c>
      <c r="K177" s="36">
        <v>1</v>
      </c>
      <c r="M177" s="59">
        <v>98223</v>
      </c>
      <c r="N177" s="38" t="s">
        <v>10</v>
      </c>
      <c r="O177" s="36">
        <v>0</v>
      </c>
      <c r="P177" s="36">
        <v>1</v>
      </c>
      <c r="Q177" s="36">
        <v>0</v>
      </c>
      <c r="S177" s="86">
        <v>98266</v>
      </c>
      <c r="T177" s="38" t="s">
        <v>10</v>
      </c>
      <c r="U177" s="33">
        <v>2</v>
      </c>
      <c r="V177" s="36">
        <v>5</v>
      </c>
      <c r="W177" s="33">
        <v>4</v>
      </c>
    </row>
    <row r="178" spans="1:23" x14ac:dyDescent="0.2">
      <c r="A178" s="59">
        <v>98208</v>
      </c>
      <c r="B178" s="38" t="s">
        <v>10</v>
      </c>
      <c r="C178" s="36">
        <v>44</v>
      </c>
      <c r="D178" s="36">
        <v>42</v>
      </c>
      <c r="E178" s="36">
        <v>35</v>
      </c>
      <c r="G178" s="86">
        <v>98292</v>
      </c>
      <c r="H178" s="38" t="s">
        <v>10</v>
      </c>
      <c r="I178" s="36">
        <v>0</v>
      </c>
      <c r="J178" s="36">
        <v>1</v>
      </c>
      <c r="K178" s="36">
        <v>0</v>
      </c>
      <c r="M178" s="86">
        <v>98224</v>
      </c>
      <c r="N178" s="38" t="s">
        <v>10</v>
      </c>
      <c r="O178" s="33">
        <v>0</v>
      </c>
      <c r="P178" s="36">
        <v>3</v>
      </c>
      <c r="Q178" s="36">
        <v>2</v>
      </c>
      <c r="S178" s="86">
        <v>98267</v>
      </c>
      <c r="T178" s="38" t="s">
        <v>10</v>
      </c>
      <c r="U178" s="33">
        <v>0</v>
      </c>
      <c r="V178" s="33">
        <v>2</v>
      </c>
      <c r="W178" s="36">
        <v>3</v>
      </c>
    </row>
    <row r="179" spans="1:23" x14ac:dyDescent="0.2">
      <c r="A179" s="86">
        <v>98220</v>
      </c>
      <c r="B179" s="38" t="s">
        <v>10</v>
      </c>
      <c r="C179" s="36">
        <v>3</v>
      </c>
      <c r="D179" s="36">
        <v>3</v>
      </c>
      <c r="E179" s="36">
        <v>3</v>
      </c>
      <c r="G179" s="86">
        <v>98295</v>
      </c>
      <c r="H179" s="38" t="s">
        <v>352</v>
      </c>
      <c r="I179" s="36">
        <v>0</v>
      </c>
      <c r="J179" s="36">
        <v>1</v>
      </c>
      <c r="K179" s="36">
        <v>0</v>
      </c>
      <c r="M179" s="59">
        <v>98225</v>
      </c>
      <c r="N179" s="38" t="s">
        <v>352</v>
      </c>
      <c r="O179" s="36">
        <v>6</v>
      </c>
      <c r="P179" s="36">
        <v>8</v>
      </c>
      <c r="Q179" s="36">
        <v>3</v>
      </c>
      <c r="S179" s="86">
        <v>98270</v>
      </c>
      <c r="T179" s="38" t="s">
        <v>10</v>
      </c>
      <c r="U179" s="33">
        <v>13</v>
      </c>
      <c r="V179" s="33">
        <v>20</v>
      </c>
      <c r="W179" s="36">
        <v>16</v>
      </c>
    </row>
    <row r="180" spans="1:23" x14ac:dyDescent="0.2">
      <c r="A180" s="59">
        <v>98221</v>
      </c>
      <c r="B180" s="38" t="s">
        <v>352</v>
      </c>
      <c r="C180" s="36">
        <v>7</v>
      </c>
      <c r="D180" s="36">
        <v>4</v>
      </c>
      <c r="E180" s="36">
        <v>5</v>
      </c>
      <c r="G180" s="86">
        <v>98295</v>
      </c>
      <c r="H180" s="38" t="s">
        <v>10</v>
      </c>
      <c r="I180" s="33">
        <v>0</v>
      </c>
      <c r="J180" s="36">
        <v>3</v>
      </c>
      <c r="K180" s="33">
        <v>0</v>
      </c>
      <c r="M180" s="86">
        <v>98225</v>
      </c>
      <c r="N180" s="38" t="s">
        <v>10</v>
      </c>
      <c r="O180" s="36">
        <v>71</v>
      </c>
      <c r="P180" s="33">
        <v>83</v>
      </c>
      <c r="Q180" s="33">
        <v>66</v>
      </c>
      <c r="S180" s="86">
        <v>98271</v>
      </c>
      <c r="T180" s="38" t="s">
        <v>10</v>
      </c>
      <c r="U180" s="36">
        <v>2</v>
      </c>
      <c r="V180" s="36">
        <v>4</v>
      </c>
      <c r="W180" s="36">
        <v>2</v>
      </c>
    </row>
    <row r="181" spans="1:23" x14ac:dyDescent="0.2">
      <c r="A181" s="86">
        <v>98221</v>
      </c>
      <c r="B181" s="38" t="s">
        <v>10</v>
      </c>
      <c r="C181" s="36">
        <v>43</v>
      </c>
      <c r="D181" s="36">
        <v>44</v>
      </c>
      <c r="E181" s="36">
        <v>39</v>
      </c>
      <c r="G181" s="59">
        <v>98296</v>
      </c>
      <c r="H181" s="38" t="s">
        <v>10</v>
      </c>
      <c r="I181" s="36">
        <v>1</v>
      </c>
      <c r="J181" s="36">
        <v>0</v>
      </c>
      <c r="K181" s="36">
        <v>2</v>
      </c>
      <c r="M181" s="59">
        <v>98226</v>
      </c>
      <c r="N181" s="38" t="s">
        <v>352</v>
      </c>
      <c r="O181" s="36">
        <v>10</v>
      </c>
      <c r="P181" s="36">
        <v>13</v>
      </c>
      <c r="Q181" s="36">
        <v>12</v>
      </c>
      <c r="S181" s="86">
        <v>98272</v>
      </c>
      <c r="T181" s="38" t="s">
        <v>352</v>
      </c>
      <c r="U181" s="33">
        <v>0</v>
      </c>
      <c r="V181" s="36">
        <v>0</v>
      </c>
      <c r="W181" s="33">
        <v>2</v>
      </c>
    </row>
    <row r="182" spans="1:23" x14ac:dyDescent="0.2">
      <c r="A182" s="59">
        <v>98223</v>
      </c>
      <c r="B182" s="38" t="s">
        <v>10</v>
      </c>
      <c r="C182" s="36">
        <v>2</v>
      </c>
      <c r="D182" s="36">
        <v>1</v>
      </c>
      <c r="E182" s="36">
        <v>2</v>
      </c>
      <c r="G182" s="86">
        <v>98310</v>
      </c>
      <c r="H182" s="38" t="s">
        <v>10</v>
      </c>
      <c r="I182" s="36">
        <v>8</v>
      </c>
      <c r="J182" s="36">
        <v>11</v>
      </c>
      <c r="K182" s="36">
        <v>17</v>
      </c>
      <c r="M182" s="86">
        <v>98226</v>
      </c>
      <c r="N182" s="38" t="s">
        <v>10</v>
      </c>
      <c r="O182" s="36">
        <v>93</v>
      </c>
      <c r="P182" s="36">
        <v>97</v>
      </c>
      <c r="Q182" s="33">
        <v>93</v>
      </c>
      <c r="S182" s="86">
        <v>98272</v>
      </c>
      <c r="T182" s="38" t="s">
        <v>10</v>
      </c>
      <c r="U182" s="36">
        <v>3</v>
      </c>
      <c r="V182" s="36">
        <v>2</v>
      </c>
      <c r="W182" s="33">
        <v>5</v>
      </c>
    </row>
    <row r="183" spans="1:23" x14ac:dyDescent="0.2">
      <c r="A183" s="86">
        <v>98224</v>
      </c>
      <c r="B183" s="38" t="s">
        <v>10</v>
      </c>
      <c r="C183" s="36">
        <v>1</v>
      </c>
      <c r="D183" s="36">
        <v>1</v>
      </c>
      <c r="E183" s="36">
        <v>3</v>
      </c>
      <c r="G183" s="86">
        <v>98311</v>
      </c>
      <c r="H183" s="38" t="s">
        <v>10</v>
      </c>
      <c r="I183" s="36">
        <v>6</v>
      </c>
      <c r="J183" s="33">
        <v>10</v>
      </c>
      <c r="K183" s="36">
        <v>10</v>
      </c>
      <c r="M183" s="59">
        <v>98229</v>
      </c>
      <c r="N183" s="38" t="s">
        <v>352</v>
      </c>
      <c r="O183" s="36">
        <v>2</v>
      </c>
      <c r="P183" s="36">
        <v>1</v>
      </c>
      <c r="Q183" s="36">
        <v>3</v>
      </c>
      <c r="S183" s="86">
        <v>98273</v>
      </c>
      <c r="T183" s="38" t="s">
        <v>352</v>
      </c>
      <c r="U183" s="33">
        <v>2</v>
      </c>
      <c r="V183" s="36">
        <v>0</v>
      </c>
      <c r="W183" s="36">
        <v>3</v>
      </c>
    </row>
    <row r="184" spans="1:23" x14ac:dyDescent="0.2">
      <c r="A184" s="86">
        <v>98225</v>
      </c>
      <c r="B184" s="38" t="s">
        <v>352</v>
      </c>
      <c r="C184" s="33">
        <v>9</v>
      </c>
      <c r="D184" s="36">
        <v>10</v>
      </c>
      <c r="E184" s="36">
        <v>9</v>
      </c>
      <c r="G184" s="86">
        <v>98312</v>
      </c>
      <c r="H184" s="38" t="s">
        <v>352</v>
      </c>
      <c r="I184" s="36">
        <v>1</v>
      </c>
      <c r="J184" s="36">
        <v>5</v>
      </c>
      <c r="K184" s="36">
        <v>1</v>
      </c>
      <c r="M184" s="86">
        <v>98229</v>
      </c>
      <c r="N184" s="38" t="s">
        <v>10</v>
      </c>
      <c r="O184" s="36">
        <v>43</v>
      </c>
      <c r="P184" s="36">
        <v>67</v>
      </c>
      <c r="Q184" s="36">
        <v>66</v>
      </c>
      <c r="S184" s="86">
        <v>98273</v>
      </c>
      <c r="T184" s="38" t="s">
        <v>10</v>
      </c>
      <c r="U184" s="33">
        <v>18</v>
      </c>
      <c r="V184" s="36">
        <v>22</v>
      </c>
      <c r="W184" s="36">
        <v>14</v>
      </c>
    </row>
    <row r="185" spans="1:23" x14ac:dyDescent="0.2">
      <c r="A185" s="86">
        <v>98225</v>
      </c>
      <c r="B185" s="38" t="s">
        <v>10</v>
      </c>
      <c r="C185" s="36">
        <v>98</v>
      </c>
      <c r="D185" s="36">
        <v>122</v>
      </c>
      <c r="E185" s="36">
        <v>122</v>
      </c>
      <c r="G185" s="86">
        <v>98312</v>
      </c>
      <c r="H185" s="38" t="s">
        <v>10</v>
      </c>
      <c r="I185" s="36">
        <v>20</v>
      </c>
      <c r="J185" s="36">
        <v>24</v>
      </c>
      <c r="K185" s="36">
        <v>22</v>
      </c>
      <c r="M185" s="86">
        <v>98230</v>
      </c>
      <c r="N185" s="38" t="s">
        <v>352</v>
      </c>
      <c r="O185" s="36">
        <v>0</v>
      </c>
      <c r="P185" s="36">
        <v>1</v>
      </c>
      <c r="Q185" s="36">
        <v>2</v>
      </c>
      <c r="S185" s="86">
        <v>98274</v>
      </c>
      <c r="T185" s="38" t="s">
        <v>10</v>
      </c>
      <c r="U185" s="33">
        <v>11</v>
      </c>
      <c r="V185" s="36">
        <v>9</v>
      </c>
      <c r="W185" s="33">
        <v>8</v>
      </c>
    </row>
    <row r="186" spans="1:23" x14ac:dyDescent="0.2">
      <c r="A186" s="86">
        <v>98226</v>
      </c>
      <c r="B186" s="38" t="s">
        <v>352</v>
      </c>
      <c r="C186" s="36">
        <v>11</v>
      </c>
      <c r="D186" s="36">
        <v>10</v>
      </c>
      <c r="E186" s="36">
        <v>16</v>
      </c>
      <c r="G186" s="86">
        <v>98321</v>
      </c>
      <c r="H186" s="38" t="s">
        <v>352</v>
      </c>
      <c r="I186" s="36">
        <v>0</v>
      </c>
      <c r="J186" s="36">
        <v>1</v>
      </c>
      <c r="K186" s="33">
        <v>2</v>
      </c>
      <c r="M186" s="86">
        <v>98230</v>
      </c>
      <c r="N186" s="38" t="s">
        <v>10</v>
      </c>
      <c r="O186" s="36">
        <v>32</v>
      </c>
      <c r="P186" s="33">
        <v>45</v>
      </c>
      <c r="Q186" s="36">
        <v>33</v>
      </c>
      <c r="S186" s="86">
        <v>98275</v>
      </c>
      <c r="T186" s="38" t="s">
        <v>352</v>
      </c>
      <c r="U186" s="36">
        <v>0</v>
      </c>
      <c r="V186" s="33">
        <v>1</v>
      </c>
      <c r="W186" s="33">
        <v>1</v>
      </c>
    </row>
    <row r="187" spans="1:23" x14ac:dyDescent="0.2">
      <c r="A187" s="86">
        <v>98226</v>
      </c>
      <c r="B187" s="38" t="s">
        <v>10</v>
      </c>
      <c r="C187" s="36">
        <v>141</v>
      </c>
      <c r="D187" s="36">
        <v>136</v>
      </c>
      <c r="E187" s="33">
        <v>144</v>
      </c>
      <c r="G187" s="86">
        <v>98321</v>
      </c>
      <c r="H187" s="38" t="s">
        <v>10</v>
      </c>
      <c r="I187" s="36">
        <v>7</v>
      </c>
      <c r="J187" s="33">
        <v>6</v>
      </c>
      <c r="K187" s="36">
        <v>7</v>
      </c>
      <c r="M187" s="59">
        <v>98232</v>
      </c>
      <c r="N187" s="38" t="s">
        <v>352</v>
      </c>
      <c r="O187" s="36">
        <v>1</v>
      </c>
      <c r="P187" s="36">
        <v>1</v>
      </c>
      <c r="Q187" s="36">
        <v>2</v>
      </c>
      <c r="S187" s="86">
        <v>98275</v>
      </c>
      <c r="T187" s="38" t="s">
        <v>10</v>
      </c>
      <c r="U187" s="36">
        <v>1</v>
      </c>
      <c r="V187" s="36">
        <v>1</v>
      </c>
      <c r="W187" s="36">
        <v>0</v>
      </c>
    </row>
    <row r="188" spans="1:23" x14ac:dyDescent="0.2">
      <c r="A188" s="86">
        <v>98229</v>
      </c>
      <c r="B188" s="38" t="s">
        <v>352</v>
      </c>
      <c r="C188" s="36">
        <v>2</v>
      </c>
      <c r="D188" s="36">
        <v>3</v>
      </c>
      <c r="E188" s="33">
        <v>4</v>
      </c>
      <c r="G188" s="86">
        <v>98323</v>
      </c>
      <c r="H188" s="38" t="s">
        <v>10</v>
      </c>
      <c r="I188" s="33">
        <v>2</v>
      </c>
      <c r="J188" s="33">
        <v>3</v>
      </c>
      <c r="K188" s="36">
        <v>2</v>
      </c>
      <c r="M188" s="86">
        <v>98232</v>
      </c>
      <c r="N188" s="38" t="s">
        <v>10</v>
      </c>
      <c r="O188" s="36">
        <v>15</v>
      </c>
      <c r="P188" s="36">
        <v>16</v>
      </c>
      <c r="Q188" s="36">
        <v>7</v>
      </c>
      <c r="S188" s="86">
        <v>98277</v>
      </c>
      <c r="T188" s="38" t="s">
        <v>352</v>
      </c>
      <c r="U188" s="36">
        <v>0</v>
      </c>
      <c r="V188" s="36">
        <v>0</v>
      </c>
      <c r="W188" s="36">
        <v>2</v>
      </c>
    </row>
    <row r="189" spans="1:23" x14ac:dyDescent="0.2">
      <c r="A189" s="59">
        <v>98229</v>
      </c>
      <c r="B189" s="38" t="s">
        <v>10</v>
      </c>
      <c r="C189" s="36">
        <v>102</v>
      </c>
      <c r="D189" s="36">
        <v>86</v>
      </c>
      <c r="E189" s="36">
        <v>108</v>
      </c>
      <c r="G189" s="86">
        <v>98327</v>
      </c>
      <c r="H189" s="38" t="s">
        <v>10</v>
      </c>
      <c r="I189" s="36">
        <v>1</v>
      </c>
      <c r="J189" s="36">
        <v>5</v>
      </c>
      <c r="K189" s="36">
        <v>5</v>
      </c>
      <c r="M189" s="86">
        <v>98233</v>
      </c>
      <c r="N189" s="38" t="s">
        <v>352</v>
      </c>
      <c r="O189" s="36">
        <v>3</v>
      </c>
      <c r="P189" s="36">
        <v>3</v>
      </c>
      <c r="Q189" s="36">
        <v>1</v>
      </c>
      <c r="S189" s="86">
        <v>98277</v>
      </c>
      <c r="T189" s="38" t="s">
        <v>10</v>
      </c>
      <c r="U189" s="36">
        <v>23</v>
      </c>
      <c r="V189" s="36">
        <v>16</v>
      </c>
      <c r="W189" s="36">
        <v>16</v>
      </c>
    </row>
    <row r="190" spans="1:23" x14ac:dyDescent="0.2">
      <c r="A190" s="86">
        <v>98230</v>
      </c>
      <c r="B190" s="38" t="s">
        <v>352</v>
      </c>
      <c r="C190" s="36">
        <v>2</v>
      </c>
      <c r="D190" s="36">
        <v>2</v>
      </c>
      <c r="E190" s="36">
        <v>2</v>
      </c>
      <c r="G190" s="86">
        <v>98328</v>
      </c>
      <c r="H190" s="38" t="s">
        <v>352</v>
      </c>
      <c r="I190" s="36">
        <v>1</v>
      </c>
      <c r="J190" s="33">
        <v>0</v>
      </c>
      <c r="K190" s="36">
        <v>0</v>
      </c>
      <c r="M190" s="86">
        <v>98233</v>
      </c>
      <c r="N190" s="38" t="s">
        <v>10</v>
      </c>
      <c r="O190" s="36">
        <v>46</v>
      </c>
      <c r="P190" s="36">
        <v>52</v>
      </c>
      <c r="Q190" s="33">
        <v>40</v>
      </c>
      <c r="S190" s="86">
        <v>98281</v>
      </c>
      <c r="T190" s="38" t="s">
        <v>10</v>
      </c>
      <c r="U190" s="36">
        <v>0</v>
      </c>
      <c r="V190" s="36">
        <v>2</v>
      </c>
      <c r="W190" s="36">
        <v>2</v>
      </c>
    </row>
    <row r="191" spans="1:23" x14ac:dyDescent="0.2">
      <c r="A191" s="86">
        <v>98230</v>
      </c>
      <c r="B191" s="38" t="s">
        <v>10</v>
      </c>
      <c r="C191" s="36">
        <v>52</v>
      </c>
      <c r="D191" s="36">
        <v>52</v>
      </c>
      <c r="E191" s="36">
        <v>61</v>
      </c>
      <c r="G191" s="86">
        <v>98332</v>
      </c>
      <c r="H191" s="38" t="s">
        <v>10</v>
      </c>
      <c r="I191" s="36">
        <v>1</v>
      </c>
      <c r="J191" s="36">
        <v>1</v>
      </c>
      <c r="K191" s="36">
        <v>2</v>
      </c>
      <c r="M191" s="59">
        <v>98235</v>
      </c>
      <c r="N191" s="38" t="s">
        <v>10</v>
      </c>
      <c r="O191" s="36">
        <v>2</v>
      </c>
      <c r="P191" s="36">
        <v>4</v>
      </c>
      <c r="Q191" s="36">
        <v>0</v>
      </c>
      <c r="S191" s="86">
        <v>98283</v>
      </c>
      <c r="T191" s="38" t="s">
        <v>10</v>
      </c>
      <c r="U191" s="36">
        <v>0</v>
      </c>
      <c r="V191" s="33">
        <v>1</v>
      </c>
      <c r="W191" s="33">
        <v>0</v>
      </c>
    </row>
    <row r="192" spans="1:23" x14ac:dyDescent="0.2">
      <c r="A192" s="59">
        <v>98232</v>
      </c>
      <c r="B192" s="38" t="s">
        <v>352</v>
      </c>
      <c r="C192" s="36">
        <v>3</v>
      </c>
      <c r="D192" s="36">
        <v>3</v>
      </c>
      <c r="E192" s="36">
        <v>3</v>
      </c>
      <c r="G192" s="86">
        <v>98335</v>
      </c>
      <c r="H192" s="38" t="s">
        <v>10</v>
      </c>
      <c r="I192" s="36">
        <v>1</v>
      </c>
      <c r="J192" s="36">
        <v>2</v>
      </c>
      <c r="K192" s="33">
        <v>1</v>
      </c>
      <c r="M192" s="86">
        <v>98236</v>
      </c>
      <c r="N192" s="38" t="s">
        <v>352</v>
      </c>
      <c r="O192" s="36">
        <v>1</v>
      </c>
      <c r="P192" s="36">
        <v>1</v>
      </c>
      <c r="Q192" s="33">
        <v>0</v>
      </c>
      <c r="S192" s="59">
        <v>98284</v>
      </c>
      <c r="T192" s="38" t="s">
        <v>352</v>
      </c>
      <c r="U192" s="36">
        <v>4</v>
      </c>
      <c r="V192" s="36">
        <v>2</v>
      </c>
      <c r="W192" s="36">
        <v>1</v>
      </c>
    </row>
    <row r="193" spans="1:23" x14ac:dyDescent="0.2">
      <c r="A193" s="86">
        <v>98232</v>
      </c>
      <c r="B193" s="38" t="s">
        <v>10</v>
      </c>
      <c r="C193" s="36">
        <v>9</v>
      </c>
      <c r="D193" s="36">
        <v>16</v>
      </c>
      <c r="E193" s="36">
        <v>21</v>
      </c>
      <c r="G193" s="86">
        <v>98337</v>
      </c>
      <c r="H193" s="38" t="s">
        <v>10</v>
      </c>
      <c r="I193" s="36">
        <v>4</v>
      </c>
      <c r="J193" s="36">
        <v>8</v>
      </c>
      <c r="K193" s="36">
        <v>0</v>
      </c>
      <c r="M193" s="59">
        <v>98236</v>
      </c>
      <c r="N193" s="38" t="s">
        <v>10</v>
      </c>
      <c r="O193" s="36">
        <v>16</v>
      </c>
      <c r="P193" s="36">
        <v>10</v>
      </c>
      <c r="Q193" s="36">
        <v>13</v>
      </c>
      <c r="S193" s="86">
        <v>98284</v>
      </c>
      <c r="T193" s="38" t="s">
        <v>10</v>
      </c>
      <c r="U193" s="33">
        <v>25</v>
      </c>
      <c r="V193" s="33">
        <v>31</v>
      </c>
      <c r="W193" s="36">
        <v>28</v>
      </c>
    </row>
    <row r="194" spans="1:23" x14ac:dyDescent="0.2">
      <c r="A194" s="86">
        <v>98233</v>
      </c>
      <c r="B194" s="38" t="s">
        <v>352</v>
      </c>
      <c r="C194" s="36">
        <v>1</v>
      </c>
      <c r="D194" s="36">
        <v>4</v>
      </c>
      <c r="E194" s="36">
        <v>4</v>
      </c>
      <c r="G194" s="86">
        <v>98338</v>
      </c>
      <c r="H194" s="38" t="s">
        <v>10</v>
      </c>
      <c r="I194" s="36">
        <v>7</v>
      </c>
      <c r="J194" s="36">
        <v>4</v>
      </c>
      <c r="K194" s="36">
        <v>12</v>
      </c>
      <c r="M194" s="86">
        <v>98237</v>
      </c>
      <c r="N194" s="38" t="s">
        <v>352</v>
      </c>
      <c r="O194" s="36">
        <v>2</v>
      </c>
      <c r="P194" s="36">
        <v>1</v>
      </c>
      <c r="Q194" s="36">
        <v>1</v>
      </c>
      <c r="S194" s="59">
        <v>98288</v>
      </c>
      <c r="T194" s="38" t="s">
        <v>10</v>
      </c>
      <c r="U194" s="33">
        <v>1</v>
      </c>
      <c r="V194" s="36">
        <v>0</v>
      </c>
      <c r="W194" s="36">
        <v>0</v>
      </c>
    </row>
    <row r="195" spans="1:23" x14ac:dyDescent="0.2">
      <c r="A195" s="86">
        <v>98233</v>
      </c>
      <c r="B195" s="38" t="s">
        <v>10</v>
      </c>
      <c r="C195" s="36">
        <v>55</v>
      </c>
      <c r="D195" s="36">
        <v>69</v>
      </c>
      <c r="E195" s="36">
        <v>69</v>
      </c>
      <c r="G195" s="86">
        <v>98340</v>
      </c>
      <c r="H195" s="38" t="s">
        <v>10</v>
      </c>
      <c r="I195" s="36">
        <v>0</v>
      </c>
      <c r="J195" s="36">
        <v>1</v>
      </c>
      <c r="K195" s="36">
        <v>1</v>
      </c>
      <c r="M195" s="59">
        <v>98237</v>
      </c>
      <c r="N195" s="38" t="s">
        <v>10</v>
      </c>
      <c r="O195" s="36">
        <v>32</v>
      </c>
      <c r="P195" s="36">
        <v>45</v>
      </c>
      <c r="Q195" s="36">
        <v>33</v>
      </c>
      <c r="S195" s="86">
        <v>98290</v>
      </c>
      <c r="T195" s="38" t="s">
        <v>10</v>
      </c>
      <c r="U195" s="33">
        <v>0</v>
      </c>
      <c r="V195" s="33">
        <v>1</v>
      </c>
      <c r="W195" s="36">
        <v>3</v>
      </c>
    </row>
    <row r="196" spans="1:23" x14ac:dyDescent="0.2">
      <c r="A196" s="59">
        <v>98235</v>
      </c>
      <c r="B196" s="38" t="s">
        <v>10</v>
      </c>
      <c r="C196" s="36">
        <v>3</v>
      </c>
      <c r="D196" s="36">
        <v>2</v>
      </c>
      <c r="E196" s="36">
        <v>4</v>
      </c>
      <c r="G196" s="86">
        <v>98345</v>
      </c>
      <c r="H196" s="38" t="s">
        <v>10</v>
      </c>
      <c r="I196" s="36">
        <v>0</v>
      </c>
      <c r="J196" s="36">
        <v>1</v>
      </c>
      <c r="K196" s="36">
        <v>0</v>
      </c>
      <c r="M196" s="86">
        <v>98239</v>
      </c>
      <c r="N196" s="38" t="s">
        <v>10</v>
      </c>
      <c r="O196" s="36">
        <v>12</v>
      </c>
      <c r="P196" s="36">
        <v>22</v>
      </c>
      <c r="Q196" s="36">
        <v>18</v>
      </c>
      <c r="S196" s="59">
        <v>98292</v>
      </c>
      <c r="T196" s="38" t="s">
        <v>10</v>
      </c>
      <c r="U196" s="36">
        <v>1</v>
      </c>
      <c r="V196" s="36">
        <v>0</v>
      </c>
      <c r="W196" s="36">
        <v>0</v>
      </c>
    </row>
    <row r="197" spans="1:23" x14ac:dyDescent="0.2">
      <c r="A197" s="86">
        <v>98236</v>
      </c>
      <c r="B197" s="38" t="s">
        <v>352</v>
      </c>
      <c r="C197" s="36">
        <v>1</v>
      </c>
      <c r="D197" s="36">
        <v>0</v>
      </c>
      <c r="E197" s="36">
        <v>1</v>
      </c>
      <c r="G197" s="86">
        <v>98346</v>
      </c>
      <c r="H197" s="38" t="s">
        <v>10</v>
      </c>
      <c r="I197" s="33">
        <v>5</v>
      </c>
      <c r="J197" s="33">
        <v>2</v>
      </c>
      <c r="K197" s="36">
        <v>3</v>
      </c>
      <c r="M197" s="86">
        <v>98240</v>
      </c>
      <c r="N197" s="38" t="s">
        <v>352</v>
      </c>
      <c r="O197" s="36">
        <v>0</v>
      </c>
      <c r="P197" s="36">
        <v>1</v>
      </c>
      <c r="Q197" s="33">
        <v>0</v>
      </c>
      <c r="S197" s="86">
        <v>98294</v>
      </c>
      <c r="T197" s="38" t="s">
        <v>10</v>
      </c>
      <c r="U197" s="36">
        <v>0</v>
      </c>
      <c r="V197" s="36">
        <v>2</v>
      </c>
      <c r="W197" s="36">
        <v>1</v>
      </c>
    </row>
    <row r="198" spans="1:23" x14ac:dyDescent="0.2">
      <c r="A198" s="86">
        <v>98236</v>
      </c>
      <c r="B198" s="38" t="s">
        <v>10</v>
      </c>
      <c r="C198" s="36">
        <v>17</v>
      </c>
      <c r="D198" s="36">
        <v>23</v>
      </c>
      <c r="E198" s="36">
        <v>19</v>
      </c>
      <c r="G198" s="86">
        <v>98354</v>
      </c>
      <c r="H198" s="38" t="s">
        <v>10</v>
      </c>
      <c r="I198" s="33">
        <v>0</v>
      </c>
      <c r="J198" s="36">
        <v>0</v>
      </c>
      <c r="K198" s="33">
        <v>1</v>
      </c>
      <c r="M198" s="86">
        <v>98240</v>
      </c>
      <c r="N198" s="38" t="s">
        <v>10</v>
      </c>
      <c r="O198" s="36">
        <v>5</v>
      </c>
      <c r="P198" s="33">
        <v>5</v>
      </c>
      <c r="Q198" s="36">
        <v>2</v>
      </c>
      <c r="S198" s="86">
        <v>98295</v>
      </c>
      <c r="T198" s="38" t="s">
        <v>10</v>
      </c>
      <c r="U198" s="36">
        <v>1</v>
      </c>
      <c r="V198" s="36">
        <v>1</v>
      </c>
      <c r="W198" s="36">
        <v>3</v>
      </c>
    </row>
    <row r="199" spans="1:23" x14ac:dyDescent="0.2">
      <c r="A199" s="86">
        <v>98237</v>
      </c>
      <c r="B199" s="38" t="s">
        <v>352</v>
      </c>
      <c r="C199" s="36">
        <v>2</v>
      </c>
      <c r="D199" s="36">
        <v>4</v>
      </c>
      <c r="E199" s="36">
        <v>4</v>
      </c>
      <c r="G199" s="86">
        <v>98359</v>
      </c>
      <c r="H199" s="38" t="s">
        <v>352</v>
      </c>
      <c r="I199" s="36">
        <v>0</v>
      </c>
      <c r="J199" s="33">
        <v>1</v>
      </c>
      <c r="K199" s="33">
        <v>0</v>
      </c>
      <c r="M199" s="86">
        <v>98244</v>
      </c>
      <c r="N199" s="38" t="s">
        <v>352</v>
      </c>
      <c r="O199" s="36">
        <v>2</v>
      </c>
      <c r="P199" s="36">
        <v>2</v>
      </c>
      <c r="Q199" s="36">
        <v>3</v>
      </c>
      <c r="S199" s="86">
        <v>98296</v>
      </c>
      <c r="T199" s="38" t="s">
        <v>10</v>
      </c>
      <c r="U199" s="33">
        <v>1</v>
      </c>
      <c r="V199" s="36">
        <v>2</v>
      </c>
      <c r="W199" s="36">
        <v>4</v>
      </c>
    </row>
    <row r="200" spans="1:23" x14ac:dyDescent="0.2">
      <c r="A200" s="59">
        <v>98237</v>
      </c>
      <c r="B200" s="38" t="s">
        <v>10</v>
      </c>
      <c r="C200" s="36">
        <v>70</v>
      </c>
      <c r="D200" s="36">
        <v>69</v>
      </c>
      <c r="E200" s="36">
        <v>75</v>
      </c>
      <c r="G200" s="59">
        <v>98359</v>
      </c>
      <c r="H200" s="38" t="s">
        <v>10</v>
      </c>
      <c r="I200" s="36">
        <v>2</v>
      </c>
      <c r="J200" s="36">
        <v>5</v>
      </c>
      <c r="K200" s="36">
        <v>5</v>
      </c>
      <c r="M200" s="86">
        <v>98244</v>
      </c>
      <c r="N200" s="38" t="s">
        <v>10</v>
      </c>
      <c r="O200" s="36">
        <v>14</v>
      </c>
      <c r="P200" s="36">
        <v>22</v>
      </c>
      <c r="Q200" s="36">
        <v>17</v>
      </c>
      <c r="S200" s="86">
        <v>98310</v>
      </c>
      <c r="T200" s="38" t="s">
        <v>352</v>
      </c>
      <c r="U200" s="33">
        <v>1</v>
      </c>
      <c r="V200" s="36">
        <v>0</v>
      </c>
      <c r="W200" s="36">
        <v>2</v>
      </c>
    </row>
    <row r="201" spans="1:23" x14ac:dyDescent="0.2">
      <c r="A201" s="86">
        <v>98239</v>
      </c>
      <c r="B201" s="38" t="s">
        <v>10</v>
      </c>
      <c r="C201" s="36">
        <v>23</v>
      </c>
      <c r="D201" s="36">
        <v>27</v>
      </c>
      <c r="E201" s="36">
        <v>30</v>
      </c>
      <c r="G201" s="86">
        <v>98360</v>
      </c>
      <c r="H201" s="38" t="s">
        <v>352</v>
      </c>
      <c r="I201" s="36">
        <v>1</v>
      </c>
      <c r="J201" s="36">
        <v>0</v>
      </c>
      <c r="K201" s="36">
        <v>1</v>
      </c>
      <c r="M201" s="86">
        <v>98247</v>
      </c>
      <c r="N201" s="38" t="s">
        <v>352</v>
      </c>
      <c r="O201" s="36">
        <v>0</v>
      </c>
      <c r="P201" s="36">
        <v>1</v>
      </c>
      <c r="Q201" s="36">
        <v>1</v>
      </c>
      <c r="S201" s="86">
        <v>98310</v>
      </c>
      <c r="T201" s="38" t="s">
        <v>10</v>
      </c>
      <c r="U201" s="36">
        <v>16</v>
      </c>
      <c r="V201" s="36">
        <v>20</v>
      </c>
      <c r="W201" s="36">
        <v>22</v>
      </c>
    </row>
    <row r="202" spans="1:23" x14ac:dyDescent="0.2">
      <c r="A202" s="86">
        <v>98240</v>
      </c>
      <c r="B202" s="38" t="s">
        <v>352</v>
      </c>
      <c r="C202" s="36">
        <v>0</v>
      </c>
      <c r="D202" s="36">
        <v>0</v>
      </c>
      <c r="E202" s="36">
        <v>1</v>
      </c>
      <c r="G202" s="86">
        <v>98360</v>
      </c>
      <c r="H202" s="38" t="s">
        <v>10</v>
      </c>
      <c r="I202" s="36">
        <v>12</v>
      </c>
      <c r="J202" s="33">
        <v>15</v>
      </c>
      <c r="K202" s="33">
        <v>18</v>
      </c>
      <c r="M202" s="86">
        <v>98247</v>
      </c>
      <c r="N202" s="38" t="s">
        <v>10</v>
      </c>
      <c r="O202" s="33">
        <v>18</v>
      </c>
      <c r="P202" s="36">
        <v>20</v>
      </c>
      <c r="Q202" s="33">
        <v>30</v>
      </c>
      <c r="S202" s="86">
        <v>98311</v>
      </c>
      <c r="T202" s="38" t="s">
        <v>352</v>
      </c>
      <c r="U202" s="33">
        <v>1</v>
      </c>
      <c r="V202" s="36">
        <v>0</v>
      </c>
      <c r="W202" s="36">
        <v>0</v>
      </c>
    </row>
    <row r="203" spans="1:23" x14ac:dyDescent="0.2">
      <c r="A203" s="59">
        <v>98240</v>
      </c>
      <c r="B203" s="38" t="s">
        <v>10</v>
      </c>
      <c r="C203" s="36">
        <v>11</v>
      </c>
      <c r="D203" s="36">
        <v>14</v>
      </c>
      <c r="E203" s="36">
        <v>11</v>
      </c>
      <c r="G203" s="59">
        <v>98366</v>
      </c>
      <c r="H203" s="38" t="s">
        <v>10</v>
      </c>
      <c r="I203" s="36">
        <v>22</v>
      </c>
      <c r="J203" s="36">
        <v>21</v>
      </c>
      <c r="K203" s="36">
        <v>24</v>
      </c>
      <c r="M203" s="59">
        <v>98248</v>
      </c>
      <c r="N203" s="38" t="s">
        <v>352</v>
      </c>
      <c r="O203" s="36">
        <v>7</v>
      </c>
      <c r="P203" s="36">
        <v>10</v>
      </c>
      <c r="Q203" s="36">
        <v>4</v>
      </c>
      <c r="S203" s="86">
        <v>98311</v>
      </c>
      <c r="T203" s="38" t="s">
        <v>10</v>
      </c>
      <c r="U203" s="33">
        <v>27</v>
      </c>
      <c r="V203" s="36">
        <v>22</v>
      </c>
      <c r="W203" s="33">
        <v>20</v>
      </c>
    </row>
    <row r="204" spans="1:23" x14ac:dyDescent="0.2">
      <c r="A204" s="86">
        <v>98244</v>
      </c>
      <c r="B204" s="38" t="s">
        <v>352</v>
      </c>
      <c r="C204" s="36">
        <v>5</v>
      </c>
      <c r="D204" s="36">
        <v>5</v>
      </c>
      <c r="E204" s="36">
        <v>6</v>
      </c>
      <c r="G204" s="86">
        <v>98367</v>
      </c>
      <c r="H204" s="38" t="s">
        <v>10</v>
      </c>
      <c r="I204" s="36">
        <v>19</v>
      </c>
      <c r="J204" s="36">
        <v>17</v>
      </c>
      <c r="K204" s="36">
        <v>31</v>
      </c>
      <c r="M204" s="86">
        <v>98248</v>
      </c>
      <c r="N204" s="38" t="s">
        <v>10</v>
      </c>
      <c r="O204" s="36">
        <v>47</v>
      </c>
      <c r="P204" s="36">
        <v>56</v>
      </c>
      <c r="Q204" s="36">
        <v>51</v>
      </c>
      <c r="S204" s="59">
        <v>98312</v>
      </c>
      <c r="T204" s="38" t="s">
        <v>352</v>
      </c>
      <c r="U204" s="36">
        <v>2</v>
      </c>
      <c r="V204" s="36">
        <v>1</v>
      </c>
      <c r="W204" s="36">
        <v>3</v>
      </c>
    </row>
    <row r="205" spans="1:23" x14ac:dyDescent="0.2">
      <c r="A205" s="59">
        <v>98244</v>
      </c>
      <c r="B205" s="38" t="s">
        <v>10</v>
      </c>
      <c r="C205" s="36">
        <v>29</v>
      </c>
      <c r="D205" s="36">
        <v>24</v>
      </c>
      <c r="E205" s="36">
        <v>35</v>
      </c>
      <c r="G205" s="86">
        <v>98370</v>
      </c>
      <c r="H205" s="38" t="s">
        <v>352</v>
      </c>
      <c r="I205" s="36">
        <v>2</v>
      </c>
      <c r="J205" s="33">
        <v>1</v>
      </c>
      <c r="K205" s="36">
        <v>1</v>
      </c>
      <c r="M205" s="86">
        <v>98249</v>
      </c>
      <c r="N205" s="38" t="s">
        <v>352</v>
      </c>
      <c r="O205" s="33">
        <v>0</v>
      </c>
      <c r="P205" s="36">
        <v>1</v>
      </c>
      <c r="Q205" s="36">
        <v>0</v>
      </c>
      <c r="S205" s="86">
        <v>98312</v>
      </c>
      <c r="T205" s="38" t="s">
        <v>10</v>
      </c>
      <c r="U205" s="36">
        <v>27</v>
      </c>
      <c r="V205" s="36">
        <v>41</v>
      </c>
      <c r="W205" s="33">
        <v>30</v>
      </c>
    </row>
    <row r="206" spans="1:23" x14ac:dyDescent="0.2">
      <c r="A206" s="86">
        <v>98247</v>
      </c>
      <c r="B206" s="38" t="s">
        <v>352</v>
      </c>
      <c r="C206" s="33">
        <v>1</v>
      </c>
      <c r="D206" s="36">
        <v>1</v>
      </c>
      <c r="E206" s="36">
        <v>2</v>
      </c>
      <c r="G206" s="59">
        <v>98370</v>
      </c>
      <c r="H206" s="38" t="s">
        <v>10</v>
      </c>
      <c r="I206" s="36">
        <v>8</v>
      </c>
      <c r="J206" s="36">
        <v>9</v>
      </c>
      <c r="K206" s="36">
        <v>10</v>
      </c>
      <c r="M206" s="86">
        <v>98249</v>
      </c>
      <c r="N206" s="38" t="s">
        <v>10</v>
      </c>
      <c r="O206" s="36">
        <v>4</v>
      </c>
      <c r="P206" s="36">
        <v>15</v>
      </c>
      <c r="Q206" s="36">
        <v>12</v>
      </c>
      <c r="S206" s="86">
        <v>98321</v>
      </c>
      <c r="T206" s="38" t="s">
        <v>352</v>
      </c>
      <c r="U206" s="33">
        <v>0</v>
      </c>
      <c r="V206" s="33">
        <v>1</v>
      </c>
      <c r="W206" s="36">
        <v>1</v>
      </c>
    </row>
    <row r="207" spans="1:23" x14ac:dyDescent="0.2">
      <c r="A207" s="59">
        <v>98247</v>
      </c>
      <c r="B207" s="38" t="s">
        <v>10</v>
      </c>
      <c r="C207" s="36">
        <v>25</v>
      </c>
      <c r="D207" s="36">
        <v>25</v>
      </c>
      <c r="E207" s="36">
        <v>25</v>
      </c>
      <c r="G207" s="86">
        <v>98371</v>
      </c>
      <c r="H207" s="38" t="s">
        <v>352</v>
      </c>
      <c r="I207" s="36">
        <v>0</v>
      </c>
      <c r="J207" s="36">
        <v>1</v>
      </c>
      <c r="K207" s="36">
        <v>0</v>
      </c>
      <c r="M207" s="86">
        <v>98251</v>
      </c>
      <c r="N207" s="38" t="s">
        <v>10</v>
      </c>
      <c r="O207" s="36">
        <v>0</v>
      </c>
      <c r="P207" s="36">
        <v>1</v>
      </c>
      <c r="Q207" s="36">
        <v>0</v>
      </c>
      <c r="S207" s="59">
        <v>98321</v>
      </c>
      <c r="T207" s="38" t="s">
        <v>10</v>
      </c>
      <c r="U207" s="36">
        <v>12</v>
      </c>
      <c r="V207" s="36">
        <v>17</v>
      </c>
      <c r="W207" s="36">
        <v>13</v>
      </c>
    </row>
    <row r="208" spans="1:23" x14ac:dyDescent="0.2">
      <c r="A208" s="86">
        <v>98248</v>
      </c>
      <c r="B208" s="38" t="s">
        <v>352</v>
      </c>
      <c r="C208" s="33">
        <v>8</v>
      </c>
      <c r="D208" s="36">
        <v>6</v>
      </c>
      <c r="E208" s="36">
        <v>16</v>
      </c>
      <c r="G208" s="86">
        <v>98371</v>
      </c>
      <c r="H208" s="38" t="s">
        <v>10</v>
      </c>
      <c r="I208" s="33">
        <v>16</v>
      </c>
      <c r="J208" s="36">
        <v>14</v>
      </c>
      <c r="K208" s="36">
        <v>16</v>
      </c>
      <c r="M208" s="59">
        <v>98252</v>
      </c>
      <c r="N208" s="38" t="s">
        <v>352</v>
      </c>
      <c r="O208" s="36">
        <v>1</v>
      </c>
      <c r="P208" s="36">
        <v>1</v>
      </c>
      <c r="Q208" s="36">
        <v>1</v>
      </c>
      <c r="S208" s="86">
        <v>98323</v>
      </c>
      <c r="T208" s="38" t="s">
        <v>10</v>
      </c>
      <c r="U208" s="33">
        <v>2</v>
      </c>
      <c r="V208" s="36">
        <v>3</v>
      </c>
      <c r="W208" s="36">
        <v>4</v>
      </c>
    </row>
    <row r="209" spans="1:23" x14ac:dyDescent="0.2">
      <c r="A209" s="59">
        <v>98248</v>
      </c>
      <c r="B209" s="38" t="s">
        <v>10</v>
      </c>
      <c r="C209" s="36">
        <v>66</v>
      </c>
      <c r="D209" s="36">
        <v>69</v>
      </c>
      <c r="E209" s="36">
        <v>78</v>
      </c>
      <c r="G209" s="59">
        <v>98372</v>
      </c>
      <c r="H209" s="38" t="s">
        <v>10</v>
      </c>
      <c r="I209" s="36">
        <v>20</v>
      </c>
      <c r="J209" s="36">
        <v>21</v>
      </c>
      <c r="K209" s="36">
        <v>20</v>
      </c>
      <c r="M209" s="86">
        <v>98252</v>
      </c>
      <c r="N209" s="38" t="s">
        <v>10</v>
      </c>
      <c r="O209" s="36">
        <v>9</v>
      </c>
      <c r="P209" s="36">
        <v>6</v>
      </c>
      <c r="Q209" s="36">
        <v>6</v>
      </c>
      <c r="S209" s="86">
        <v>98327</v>
      </c>
      <c r="T209" s="38" t="s">
        <v>10</v>
      </c>
      <c r="U209" s="33">
        <v>8</v>
      </c>
      <c r="V209" s="36">
        <v>13</v>
      </c>
      <c r="W209" s="33">
        <v>11</v>
      </c>
    </row>
    <row r="210" spans="1:23" x14ac:dyDescent="0.2">
      <c r="A210" s="86">
        <v>98249</v>
      </c>
      <c r="B210" s="38" t="s">
        <v>352</v>
      </c>
      <c r="C210" s="36">
        <v>1</v>
      </c>
      <c r="D210" s="36">
        <v>0</v>
      </c>
      <c r="E210" s="36">
        <v>1</v>
      </c>
      <c r="G210" s="86">
        <v>98373</v>
      </c>
      <c r="H210" s="38" t="s">
        <v>10</v>
      </c>
      <c r="I210" s="36">
        <v>12</v>
      </c>
      <c r="J210" s="36">
        <v>15</v>
      </c>
      <c r="K210" s="36">
        <v>12</v>
      </c>
      <c r="M210" s="86">
        <v>98253</v>
      </c>
      <c r="N210" s="38" t="s">
        <v>10</v>
      </c>
      <c r="O210" s="36">
        <v>1</v>
      </c>
      <c r="P210" s="36">
        <v>6</v>
      </c>
      <c r="Q210" s="33">
        <v>4</v>
      </c>
      <c r="S210" s="86">
        <v>98328</v>
      </c>
      <c r="T210" s="38" t="s">
        <v>10</v>
      </c>
      <c r="U210" s="36">
        <v>1</v>
      </c>
      <c r="V210" s="33">
        <v>0</v>
      </c>
      <c r="W210" s="33">
        <v>2</v>
      </c>
    </row>
    <row r="211" spans="1:23" x14ac:dyDescent="0.2">
      <c r="A211" s="86">
        <v>98249</v>
      </c>
      <c r="B211" s="38" t="s">
        <v>10</v>
      </c>
      <c r="C211" s="36">
        <v>21</v>
      </c>
      <c r="D211" s="36">
        <v>14</v>
      </c>
      <c r="E211" s="36">
        <v>19</v>
      </c>
      <c r="G211" s="86">
        <v>98374</v>
      </c>
      <c r="H211" s="38" t="s">
        <v>10</v>
      </c>
      <c r="I211" s="33">
        <v>23</v>
      </c>
      <c r="J211" s="33">
        <v>26</v>
      </c>
      <c r="K211" s="36">
        <v>23</v>
      </c>
      <c r="M211" s="86">
        <v>98255</v>
      </c>
      <c r="N211" s="38" t="s">
        <v>10</v>
      </c>
      <c r="O211" s="33">
        <v>6</v>
      </c>
      <c r="P211" s="33">
        <v>4</v>
      </c>
      <c r="Q211" s="36">
        <v>0</v>
      </c>
      <c r="S211" s="86">
        <v>98332</v>
      </c>
      <c r="T211" s="38" t="s">
        <v>10</v>
      </c>
      <c r="U211" s="33">
        <v>2</v>
      </c>
      <c r="V211" s="36">
        <v>4</v>
      </c>
      <c r="W211" s="36">
        <v>2</v>
      </c>
    </row>
    <row r="212" spans="1:23" x14ac:dyDescent="0.2">
      <c r="A212" s="59">
        <v>98251</v>
      </c>
      <c r="B212" s="38" t="s">
        <v>10</v>
      </c>
      <c r="C212" s="36">
        <v>2</v>
      </c>
      <c r="D212" s="36">
        <v>1</v>
      </c>
      <c r="E212" s="36">
        <v>2</v>
      </c>
      <c r="G212" s="59">
        <v>98375</v>
      </c>
      <c r="H212" s="38" t="s">
        <v>352</v>
      </c>
      <c r="I212" s="36">
        <v>0</v>
      </c>
      <c r="J212" s="36">
        <v>1</v>
      </c>
      <c r="K212" s="36">
        <v>0</v>
      </c>
      <c r="M212" s="59">
        <v>98257</v>
      </c>
      <c r="N212" s="38" t="s">
        <v>352</v>
      </c>
      <c r="O212" s="36">
        <v>1</v>
      </c>
      <c r="P212" s="36">
        <v>2</v>
      </c>
      <c r="Q212" s="36">
        <v>1</v>
      </c>
      <c r="S212" s="86">
        <v>98335</v>
      </c>
      <c r="T212" s="38" t="s">
        <v>10</v>
      </c>
      <c r="U212" s="82">
        <v>1</v>
      </c>
      <c r="V212" s="82">
        <v>2</v>
      </c>
      <c r="W212" s="82">
        <v>1</v>
      </c>
    </row>
    <row r="213" spans="1:23" x14ac:dyDescent="0.2">
      <c r="A213" s="86">
        <v>98252</v>
      </c>
      <c r="B213" s="38" t="s">
        <v>352</v>
      </c>
      <c r="C213" s="36">
        <v>0</v>
      </c>
      <c r="D213" s="36">
        <v>1</v>
      </c>
      <c r="E213" s="36">
        <v>1</v>
      </c>
      <c r="G213" s="86">
        <v>98375</v>
      </c>
      <c r="H213" s="38" t="s">
        <v>10</v>
      </c>
      <c r="I213" s="36">
        <v>14</v>
      </c>
      <c r="J213" s="33">
        <v>13</v>
      </c>
      <c r="K213" s="36">
        <v>12</v>
      </c>
      <c r="M213" s="86">
        <v>98257</v>
      </c>
      <c r="N213" s="38" t="s">
        <v>10</v>
      </c>
      <c r="O213" s="33">
        <v>6</v>
      </c>
      <c r="P213" s="33">
        <v>6</v>
      </c>
      <c r="Q213" s="36">
        <v>12</v>
      </c>
      <c r="S213" s="86">
        <v>98337</v>
      </c>
      <c r="T213" s="38" t="s">
        <v>352</v>
      </c>
      <c r="U213" s="87">
        <v>0</v>
      </c>
      <c r="V213" s="87">
        <v>1</v>
      </c>
      <c r="W213" s="82">
        <v>0</v>
      </c>
    </row>
    <row r="214" spans="1:23" x14ac:dyDescent="0.2">
      <c r="A214" s="86">
        <v>98252</v>
      </c>
      <c r="B214" s="38" t="s">
        <v>10</v>
      </c>
      <c r="C214" s="36">
        <v>4</v>
      </c>
      <c r="D214" s="36">
        <v>9</v>
      </c>
      <c r="E214" s="36">
        <v>9</v>
      </c>
      <c r="G214" s="86">
        <v>98380</v>
      </c>
      <c r="H214" s="38" t="s">
        <v>352</v>
      </c>
      <c r="I214" s="36">
        <v>1</v>
      </c>
      <c r="J214" s="36">
        <v>0</v>
      </c>
      <c r="K214" s="36">
        <v>1</v>
      </c>
      <c r="M214" s="59">
        <v>98258</v>
      </c>
      <c r="N214" s="38" t="s">
        <v>10</v>
      </c>
      <c r="O214" s="36">
        <v>47</v>
      </c>
      <c r="P214" s="36">
        <v>48</v>
      </c>
      <c r="Q214" s="36">
        <v>28</v>
      </c>
      <c r="S214" s="86">
        <v>98337</v>
      </c>
      <c r="T214" s="38" t="s">
        <v>10</v>
      </c>
      <c r="U214" s="87">
        <v>5</v>
      </c>
      <c r="V214" s="87">
        <v>6</v>
      </c>
      <c r="W214" s="87">
        <v>5</v>
      </c>
    </row>
    <row r="215" spans="1:23" x14ac:dyDescent="0.2">
      <c r="A215" s="86">
        <v>98253</v>
      </c>
      <c r="B215" s="38" t="s">
        <v>10</v>
      </c>
      <c r="C215" s="36">
        <v>7</v>
      </c>
      <c r="D215" s="36">
        <v>7</v>
      </c>
      <c r="E215" s="36">
        <v>11</v>
      </c>
      <c r="G215" s="86">
        <v>98380</v>
      </c>
      <c r="H215" s="38" t="s">
        <v>10</v>
      </c>
      <c r="I215" s="36">
        <v>9</v>
      </c>
      <c r="J215" s="33">
        <v>5</v>
      </c>
      <c r="K215" s="36">
        <v>10</v>
      </c>
      <c r="M215" s="86">
        <v>98260</v>
      </c>
      <c r="N215" s="38" t="s">
        <v>352</v>
      </c>
      <c r="O215" s="36">
        <v>1</v>
      </c>
      <c r="P215" s="36">
        <v>2</v>
      </c>
      <c r="Q215" s="33">
        <v>7</v>
      </c>
      <c r="S215" s="86">
        <v>98338</v>
      </c>
      <c r="T215" s="38" t="s">
        <v>10</v>
      </c>
      <c r="U215" s="87">
        <v>18</v>
      </c>
      <c r="V215" s="87">
        <v>20</v>
      </c>
      <c r="W215" s="87">
        <v>19</v>
      </c>
    </row>
    <row r="216" spans="1:23" x14ac:dyDescent="0.2">
      <c r="A216" s="59">
        <v>98255</v>
      </c>
      <c r="B216" s="38" t="s">
        <v>10</v>
      </c>
      <c r="C216" s="36">
        <v>1</v>
      </c>
      <c r="D216" s="36">
        <v>7</v>
      </c>
      <c r="E216" s="36">
        <v>4</v>
      </c>
      <c r="G216" s="86">
        <v>98383</v>
      </c>
      <c r="H216" s="38" t="s">
        <v>10</v>
      </c>
      <c r="I216" s="36">
        <v>13</v>
      </c>
      <c r="J216" s="36">
        <v>9</v>
      </c>
      <c r="K216" s="36">
        <v>13</v>
      </c>
      <c r="M216" s="59">
        <v>98260</v>
      </c>
      <c r="N216" s="38" t="s">
        <v>10</v>
      </c>
      <c r="O216" s="36">
        <v>14</v>
      </c>
      <c r="P216" s="36">
        <v>7</v>
      </c>
      <c r="Q216" s="36">
        <v>7</v>
      </c>
      <c r="S216" s="86">
        <v>98340</v>
      </c>
      <c r="T216" s="38" t="s">
        <v>352</v>
      </c>
      <c r="U216" s="82">
        <v>0</v>
      </c>
      <c r="V216" s="87">
        <v>2</v>
      </c>
      <c r="W216" s="87">
        <v>1</v>
      </c>
    </row>
    <row r="217" spans="1:23" x14ac:dyDescent="0.2">
      <c r="A217" s="86">
        <v>98257</v>
      </c>
      <c r="B217" s="38" t="s">
        <v>352</v>
      </c>
      <c r="C217" s="36">
        <v>0</v>
      </c>
      <c r="D217" s="36">
        <v>0</v>
      </c>
      <c r="E217" s="36">
        <v>1</v>
      </c>
      <c r="G217" s="86">
        <v>98385</v>
      </c>
      <c r="H217" s="38" t="s">
        <v>10</v>
      </c>
      <c r="I217" s="36">
        <v>1</v>
      </c>
      <c r="J217" s="33">
        <v>0</v>
      </c>
      <c r="K217" s="33">
        <v>0</v>
      </c>
      <c r="M217" s="86">
        <v>98262</v>
      </c>
      <c r="N217" s="38" t="s">
        <v>10</v>
      </c>
      <c r="O217" s="36">
        <v>2</v>
      </c>
      <c r="P217" s="36">
        <v>0</v>
      </c>
      <c r="Q217" s="36">
        <v>1</v>
      </c>
      <c r="S217" s="86">
        <v>98340</v>
      </c>
      <c r="T217" s="38" t="s">
        <v>10</v>
      </c>
      <c r="U217" s="82">
        <v>2</v>
      </c>
      <c r="V217" s="82">
        <v>4</v>
      </c>
      <c r="W217" s="87">
        <v>6</v>
      </c>
    </row>
    <row r="218" spans="1:23" x14ac:dyDescent="0.2">
      <c r="A218" s="86">
        <v>98257</v>
      </c>
      <c r="B218" s="38" t="s">
        <v>10</v>
      </c>
      <c r="C218" s="36">
        <v>13</v>
      </c>
      <c r="D218" s="36">
        <v>14</v>
      </c>
      <c r="E218" s="36">
        <v>16</v>
      </c>
      <c r="G218" s="59">
        <v>98387</v>
      </c>
      <c r="H218" s="38" t="s">
        <v>10</v>
      </c>
      <c r="I218" s="36">
        <v>9</v>
      </c>
      <c r="J218" s="36">
        <v>15</v>
      </c>
      <c r="K218" s="36">
        <v>11</v>
      </c>
      <c r="M218" s="59">
        <v>98263</v>
      </c>
      <c r="N218" s="38" t="s">
        <v>10</v>
      </c>
      <c r="O218" s="36">
        <v>3</v>
      </c>
      <c r="P218" s="36">
        <v>2</v>
      </c>
      <c r="Q218" s="36">
        <v>2</v>
      </c>
      <c r="S218" s="86">
        <v>98342</v>
      </c>
      <c r="T218" s="38" t="s">
        <v>10</v>
      </c>
      <c r="U218" s="82">
        <v>0</v>
      </c>
      <c r="V218" s="87">
        <v>1</v>
      </c>
      <c r="W218" s="87">
        <v>0</v>
      </c>
    </row>
    <row r="219" spans="1:23" x14ac:dyDescent="0.2">
      <c r="A219" s="86">
        <v>98258</v>
      </c>
      <c r="B219" s="38" t="s">
        <v>10</v>
      </c>
      <c r="C219" s="33">
        <v>56</v>
      </c>
      <c r="D219" s="36">
        <v>59</v>
      </c>
      <c r="E219" s="36">
        <v>73</v>
      </c>
      <c r="G219" s="86">
        <v>98388</v>
      </c>
      <c r="H219" s="38" t="s">
        <v>10</v>
      </c>
      <c r="I219" s="36">
        <v>0</v>
      </c>
      <c r="J219" s="33">
        <v>1</v>
      </c>
      <c r="K219" s="33">
        <v>1</v>
      </c>
      <c r="M219" s="86">
        <v>98264</v>
      </c>
      <c r="N219" s="38" t="s">
        <v>352</v>
      </c>
      <c r="O219" s="36">
        <v>1</v>
      </c>
      <c r="P219" s="33">
        <v>0</v>
      </c>
      <c r="Q219" s="33">
        <v>1</v>
      </c>
      <c r="S219" s="59">
        <v>98345</v>
      </c>
      <c r="T219" s="38" t="s">
        <v>10</v>
      </c>
      <c r="U219" s="82">
        <v>3</v>
      </c>
      <c r="V219" s="82">
        <v>2</v>
      </c>
      <c r="W219" s="82">
        <v>0</v>
      </c>
    </row>
    <row r="220" spans="1:23" x14ac:dyDescent="0.2">
      <c r="A220" s="59">
        <v>98260</v>
      </c>
      <c r="B220" s="38" t="s">
        <v>352</v>
      </c>
      <c r="C220" s="36">
        <v>0</v>
      </c>
      <c r="D220" s="36">
        <v>1</v>
      </c>
      <c r="E220" s="36">
        <v>0</v>
      </c>
      <c r="G220" s="59">
        <v>98390</v>
      </c>
      <c r="H220" s="38" t="s">
        <v>10</v>
      </c>
      <c r="I220" s="36">
        <v>9</v>
      </c>
      <c r="J220" s="36">
        <v>6</v>
      </c>
      <c r="K220" s="36">
        <v>10</v>
      </c>
      <c r="M220" s="59">
        <v>98264</v>
      </c>
      <c r="N220" s="38" t="s">
        <v>10</v>
      </c>
      <c r="O220" s="36">
        <v>24</v>
      </c>
      <c r="P220" s="36">
        <v>32</v>
      </c>
      <c r="Q220" s="36">
        <v>30</v>
      </c>
      <c r="S220" s="86">
        <v>98346</v>
      </c>
      <c r="T220" s="38" t="s">
        <v>10</v>
      </c>
      <c r="U220" s="82">
        <v>7</v>
      </c>
      <c r="V220" s="82">
        <v>11</v>
      </c>
      <c r="W220" s="82">
        <v>9</v>
      </c>
    </row>
    <row r="221" spans="1:23" x14ac:dyDescent="0.2">
      <c r="A221" s="86">
        <v>98260</v>
      </c>
      <c r="B221" s="38" t="s">
        <v>10</v>
      </c>
      <c r="C221" s="36">
        <v>11</v>
      </c>
      <c r="D221" s="36">
        <v>16</v>
      </c>
      <c r="E221" s="36">
        <v>15</v>
      </c>
      <c r="G221" s="86">
        <v>98391</v>
      </c>
      <c r="H221" s="38" t="s">
        <v>352</v>
      </c>
      <c r="I221" s="36">
        <v>0</v>
      </c>
      <c r="J221" s="36">
        <v>1</v>
      </c>
      <c r="K221" s="36">
        <v>0</v>
      </c>
      <c r="M221" s="86">
        <v>98266</v>
      </c>
      <c r="N221" s="38" t="s">
        <v>352</v>
      </c>
      <c r="O221" s="36">
        <v>1</v>
      </c>
      <c r="P221" s="33">
        <v>1</v>
      </c>
      <c r="Q221" s="33">
        <v>0</v>
      </c>
      <c r="S221" s="86">
        <v>98354</v>
      </c>
      <c r="T221" s="38" t="s">
        <v>352</v>
      </c>
      <c r="U221" s="82">
        <v>1</v>
      </c>
      <c r="V221" s="82">
        <v>0</v>
      </c>
      <c r="W221" s="82">
        <v>0</v>
      </c>
    </row>
    <row r="222" spans="1:23" x14ac:dyDescent="0.2">
      <c r="A222" s="86">
        <v>98262</v>
      </c>
      <c r="B222" s="38" t="s">
        <v>10</v>
      </c>
      <c r="C222" s="36">
        <v>2</v>
      </c>
      <c r="D222" s="36">
        <v>2</v>
      </c>
      <c r="E222" s="36">
        <v>0</v>
      </c>
      <c r="G222" s="86">
        <v>98391</v>
      </c>
      <c r="H222" s="38" t="s">
        <v>10</v>
      </c>
      <c r="I222" s="36">
        <v>28</v>
      </c>
      <c r="J222" s="33">
        <v>30</v>
      </c>
      <c r="K222" s="33">
        <v>31</v>
      </c>
      <c r="M222" s="59">
        <v>98266</v>
      </c>
      <c r="N222" s="38" t="s">
        <v>10</v>
      </c>
      <c r="O222" s="36">
        <v>15</v>
      </c>
      <c r="P222" s="36">
        <v>18</v>
      </c>
      <c r="Q222" s="36">
        <v>13</v>
      </c>
      <c r="S222" s="86">
        <v>98354</v>
      </c>
      <c r="T222" s="38" t="s">
        <v>10</v>
      </c>
      <c r="U222" s="87">
        <v>1</v>
      </c>
      <c r="V222" s="82">
        <v>0</v>
      </c>
      <c r="W222" s="87">
        <v>0</v>
      </c>
    </row>
    <row r="223" spans="1:23" x14ac:dyDescent="0.2">
      <c r="A223" s="86">
        <v>98263</v>
      </c>
      <c r="B223" s="38" t="s">
        <v>10</v>
      </c>
      <c r="C223" s="36">
        <v>4</v>
      </c>
      <c r="D223" s="36">
        <v>6</v>
      </c>
      <c r="E223" s="36">
        <v>4</v>
      </c>
      <c r="G223" s="59">
        <v>98392</v>
      </c>
      <c r="H223" s="38" t="s">
        <v>10</v>
      </c>
      <c r="I223" s="36">
        <v>1</v>
      </c>
      <c r="J223" s="36">
        <v>3</v>
      </c>
      <c r="K223" s="36">
        <v>1</v>
      </c>
      <c r="M223" s="86">
        <v>98267</v>
      </c>
      <c r="N223" s="38" t="s">
        <v>10</v>
      </c>
      <c r="O223" s="33">
        <v>3</v>
      </c>
      <c r="P223" s="33">
        <v>7</v>
      </c>
      <c r="Q223" s="36">
        <v>3</v>
      </c>
      <c r="S223" s="86">
        <v>98359</v>
      </c>
      <c r="T223" s="38" t="s">
        <v>352</v>
      </c>
      <c r="U223" s="82">
        <v>0</v>
      </c>
      <c r="V223" s="82">
        <v>0</v>
      </c>
      <c r="W223" s="87">
        <v>1</v>
      </c>
    </row>
    <row r="224" spans="1:23" x14ac:dyDescent="0.2">
      <c r="A224" s="86">
        <v>98264</v>
      </c>
      <c r="B224" s="38" t="s">
        <v>352</v>
      </c>
      <c r="C224" s="36">
        <v>6</v>
      </c>
      <c r="D224" s="36">
        <v>4</v>
      </c>
      <c r="E224" s="36">
        <v>3</v>
      </c>
      <c r="G224" s="86">
        <v>98396</v>
      </c>
      <c r="H224" s="38" t="s">
        <v>10</v>
      </c>
      <c r="I224" s="36">
        <v>2</v>
      </c>
      <c r="J224" s="33">
        <v>1</v>
      </c>
      <c r="K224" s="33">
        <v>2</v>
      </c>
      <c r="M224" s="59">
        <v>98270</v>
      </c>
      <c r="N224" s="38" t="s">
        <v>352</v>
      </c>
      <c r="O224" s="36">
        <v>0</v>
      </c>
      <c r="P224" s="36">
        <v>0</v>
      </c>
      <c r="Q224" s="36">
        <v>2</v>
      </c>
      <c r="S224" s="86">
        <v>98359</v>
      </c>
      <c r="T224" s="38" t="s">
        <v>10</v>
      </c>
      <c r="U224" s="87">
        <v>2</v>
      </c>
      <c r="V224" s="87">
        <v>1</v>
      </c>
      <c r="W224" s="82">
        <v>6</v>
      </c>
    </row>
    <row r="225" spans="1:23" x14ac:dyDescent="0.2">
      <c r="A225" s="59">
        <v>98264</v>
      </c>
      <c r="B225" s="38" t="s">
        <v>10</v>
      </c>
      <c r="C225" s="36">
        <v>39</v>
      </c>
      <c r="D225" s="36">
        <v>41</v>
      </c>
      <c r="E225" s="36">
        <v>52</v>
      </c>
      <c r="G225" s="59">
        <v>98402</v>
      </c>
      <c r="H225" s="38" t="s">
        <v>352</v>
      </c>
      <c r="I225" s="36">
        <v>0</v>
      </c>
      <c r="J225" s="36">
        <v>0</v>
      </c>
      <c r="K225" s="36">
        <v>1</v>
      </c>
      <c r="M225" s="86">
        <v>98270</v>
      </c>
      <c r="N225" s="38" t="s">
        <v>10</v>
      </c>
      <c r="O225" s="36">
        <v>53</v>
      </c>
      <c r="P225" s="36">
        <v>63</v>
      </c>
      <c r="Q225" s="33">
        <v>49</v>
      </c>
      <c r="S225" s="86">
        <v>98360</v>
      </c>
      <c r="T225" s="38" t="s">
        <v>352</v>
      </c>
      <c r="U225" s="82">
        <v>0</v>
      </c>
      <c r="V225" s="82">
        <v>0</v>
      </c>
      <c r="W225" s="87">
        <v>1</v>
      </c>
    </row>
    <row r="226" spans="1:23" x14ac:dyDescent="0.2">
      <c r="A226" s="86">
        <v>98266</v>
      </c>
      <c r="B226" s="38" t="s">
        <v>352</v>
      </c>
      <c r="C226" s="36">
        <v>0</v>
      </c>
      <c r="D226" s="36">
        <v>1</v>
      </c>
      <c r="E226" s="36">
        <v>1</v>
      </c>
      <c r="G226" s="86">
        <v>98404</v>
      </c>
      <c r="H226" s="38" t="s">
        <v>352</v>
      </c>
      <c r="I226" s="33">
        <v>1</v>
      </c>
      <c r="J226" s="36">
        <v>0</v>
      </c>
      <c r="K226" s="36">
        <v>0</v>
      </c>
      <c r="M226" s="59">
        <v>98271</v>
      </c>
      <c r="N226" s="38" t="s">
        <v>10</v>
      </c>
      <c r="O226" s="36">
        <v>6</v>
      </c>
      <c r="P226" s="36">
        <v>13</v>
      </c>
      <c r="Q226" s="36">
        <v>11</v>
      </c>
      <c r="S226" s="86">
        <v>98360</v>
      </c>
      <c r="T226" s="38" t="s">
        <v>10</v>
      </c>
      <c r="U226" s="87">
        <v>26</v>
      </c>
      <c r="V226" s="87">
        <v>31</v>
      </c>
      <c r="W226" s="87">
        <v>17</v>
      </c>
    </row>
    <row r="227" spans="1:23" x14ac:dyDescent="0.2">
      <c r="A227" s="86">
        <v>98266</v>
      </c>
      <c r="B227" s="38" t="s">
        <v>10</v>
      </c>
      <c r="C227" s="36">
        <v>21</v>
      </c>
      <c r="D227" s="36">
        <v>22</v>
      </c>
      <c r="E227" s="36">
        <v>30</v>
      </c>
      <c r="G227" s="59">
        <v>98404</v>
      </c>
      <c r="H227" s="38" t="s">
        <v>10</v>
      </c>
      <c r="I227" s="36">
        <v>1</v>
      </c>
      <c r="J227" s="36">
        <v>1</v>
      </c>
      <c r="K227" s="36">
        <v>4</v>
      </c>
      <c r="M227" s="86">
        <v>98272</v>
      </c>
      <c r="N227" s="38" t="s">
        <v>352</v>
      </c>
      <c r="O227" s="36">
        <v>0</v>
      </c>
      <c r="P227" s="36">
        <v>1</v>
      </c>
      <c r="Q227" s="36">
        <v>2</v>
      </c>
      <c r="S227" s="86">
        <v>98366</v>
      </c>
      <c r="T227" s="38" t="s">
        <v>10</v>
      </c>
      <c r="U227" s="87">
        <v>39</v>
      </c>
      <c r="V227" s="87">
        <v>43</v>
      </c>
      <c r="W227" s="87">
        <v>33</v>
      </c>
    </row>
    <row r="228" spans="1:23" x14ac:dyDescent="0.2">
      <c r="A228" s="59">
        <v>98267</v>
      </c>
      <c r="B228" s="38" t="s">
        <v>10</v>
      </c>
      <c r="C228" s="36">
        <v>5</v>
      </c>
      <c r="D228" s="36">
        <v>6</v>
      </c>
      <c r="E228" s="36">
        <v>7</v>
      </c>
      <c r="G228" s="86">
        <v>98405</v>
      </c>
      <c r="H228" s="38" t="s">
        <v>352</v>
      </c>
      <c r="I228" s="36">
        <v>1</v>
      </c>
      <c r="J228" s="36">
        <v>0</v>
      </c>
      <c r="K228" s="36">
        <v>0</v>
      </c>
      <c r="M228" s="86">
        <v>98272</v>
      </c>
      <c r="N228" s="38" t="s">
        <v>10</v>
      </c>
      <c r="O228" s="33">
        <v>15</v>
      </c>
      <c r="P228" s="33">
        <v>12</v>
      </c>
      <c r="Q228" s="36">
        <v>11</v>
      </c>
      <c r="S228" s="86">
        <v>98367</v>
      </c>
      <c r="T228" s="38" t="s">
        <v>10</v>
      </c>
      <c r="U228" s="82">
        <v>32</v>
      </c>
      <c r="V228" s="87">
        <v>25</v>
      </c>
      <c r="W228" s="87">
        <v>25</v>
      </c>
    </row>
    <row r="229" spans="1:23" x14ac:dyDescent="0.2">
      <c r="A229" s="86">
        <v>98270</v>
      </c>
      <c r="B229" s="38" t="s">
        <v>352</v>
      </c>
      <c r="C229" s="36">
        <v>1</v>
      </c>
      <c r="D229" s="33">
        <v>1</v>
      </c>
      <c r="E229" s="33">
        <v>1</v>
      </c>
      <c r="G229" s="86">
        <v>98405</v>
      </c>
      <c r="H229" s="38" t="s">
        <v>10</v>
      </c>
      <c r="I229" s="33">
        <v>3</v>
      </c>
      <c r="J229" s="33">
        <v>2</v>
      </c>
      <c r="K229" s="36">
        <v>1</v>
      </c>
      <c r="M229" s="59">
        <v>98273</v>
      </c>
      <c r="N229" s="38" t="s">
        <v>352</v>
      </c>
      <c r="O229" s="36">
        <v>3</v>
      </c>
      <c r="P229" s="36">
        <v>5</v>
      </c>
      <c r="Q229" s="36">
        <v>6</v>
      </c>
      <c r="S229" s="86">
        <v>98370</v>
      </c>
      <c r="T229" s="38" t="s">
        <v>352</v>
      </c>
      <c r="U229" s="82">
        <v>1</v>
      </c>
      <c r="V229" s="87">
        <v>1</v>
      </c>
      <c r="W229" s="87">
        <v>0</v>
      </c>
    </row>
    <row r="230" spans="1:23" x14ac:dyDescent="0.2">
      <c r="A230" s="59">
        <v>98270</v>
      </c>
      <c r="B230" s="38" t="s">
        <v>10</v>
      </c>
      <c r="C230" s="36">
        <v>61</v>
      </c>
      <c r="D230" s="36">
        <v>71</v>
      </c>
      <c r="E230" s="36">
        <v>83</v>
      </c>
      <c r="G230" s="86">
        <v>98406</v>
      </c>
      <c r="H230" s="38" t="s">
        <v>10</v>
      </c>
      <c r="I230" s="36">
        <v>1</v>
      </c>
      <c r="J230" s="33">
        <v>1</v>
      </c>
      <c r="K230" s="33">
        <v>3</v>
      </c>
      <c r="M230" s="86">
        <v>98273</v>
      </c>
      <c r="N230" s="38" t="s">
        <v>10</v>
      </c>
      <c r="O230" s="36">
        <v>68</v>
      </c>
      <c r="P230" s="36">
        <v>67</v>
      </c>
      <c r="Q230" s="36">
        <v>58</v>
      </c>
      <c r="S230" s="88">
        <v>98370</v>
      </c>
      <c r="T230" s="15" t="s">
        <v>10</v>
      </c>
      <c r="U230" s="55">
        <v>22</v>
      </c>
      <c r="V230" s="55">
        <v>24</v>
      </c>
      <c r="W230" s="55">
        <v>18</v>
      </c>
    </row>
    <row r="231" spans="1:23" x14ac:dyDescent="0.2">
      <c r="A231" s="86">
        <v>98271</v>
      </c>
      <c r="B231" s="38" t="s">
        <v>10</v>
      </c>
      <c r="C231" s="36">
        <v>12</v>
      </c>
      <c r="D231" s="36">
        <v>15</v>
      </c>
      <c r="E231" s="36">
        <v>13</v>
      </c>
      <c r="G231" s="59">
        <v>98407</v>
      </c>
      <c r="H231" s="38" t="s">
        <v>10</v>
      </c>
      <c r="I231" s="33">
        <v>0</v>
      </c>
      <c r="J231" s="33">
        <v>0</v>
      </c>
      <c r="K231" s="36">
        <v>2</v>
      </c>
      <c r="M231" s="59">
        <v>98274</v>
      </c>
      <c r="N231" s="38" t="s">
        <v>352</v>
      </c>
      <c r="O231" s="36">
        <v>0</v>
      </c>
      <c r="P231" s="36">
        <v>0</v>
      </c>
      <c r="Q231" s="36">
        <v>1</v>
      </c>
      <c r="S231" s="88">
        <v>98371</v>
      </c>
      <c r="T231" s="15" t="s">
        <v>10</v>
      </c>
      <c r="U231" s="55">
        <v>17</v>
      </c>
      <c r="V231" s="55">
        <v>24</v>
      </c>
      <c r="W231" s="55">
        <v>24</v>
      </c>
    </row>
    <row r="232" spans="1:23" x14ac:dyDescent="0.2">
      <c r="A232" s="86">
        <v>98272</v>
      </c>
      <c r="B232" s="38" t="s">
        <v>10</v>
      </c>
      <c r="C232" s="36">
        <v>17</v>
      </c>
      <c r="D232" s="36">
        <v>18</v>
      </c>
      <c r="E232" s="36">
        <v>19</v>
      </c>
      <c r="G232" s="86">
        <v>98408</v>
      </c>
      <c r="H232" s="38" t="s">
        <v>10</v>
      </c>
      <c r="I232" s="33">
        <v>3</v>
      </c>
      <c r="J232" s="36">
        <v>4</v>
      </c>
      <c r="K232" s="33">
        <v>4</v>
      </c>
      <c r="M232" s="86">
        <v>98274</v>
      </c>
      <c r="N232" s="38" t="s">
        <v>10</v>
      </c>
      <c r="O232" s="33">
        <v>40</v>
      </c>
      <c r="P232" s="36">
        <v>42</v>
      </c>
      <c r="Q232" s="33">
        <v>41</v>
      </c>
      <c r="S232" s="88">
        <v>98372</v>
      </c>
      <c r="T232" s="15" t="s">
        <v>10</v>
      </c>
      <c r="U232" s="55">
        <v>41</v>
      </c>
      <c r="V232" s="55">
        <v>38</v>
      </c>
      <c r="W232" s="55">
        <v>36</v>
      </c>
    </row>
    <row r="233" spans="1:23" x14ac:dyDescent="0.2">
      <c r="A233" s="86">
        <v>98273</v>
      </c>
      <c r="B233" s="38" t="s">
        <v>352</v>
      </c>
      <c r="C233" s="36">
        <v>4</v>
      </c>
      <c r="D233" s="36">
        <v>4</v>
      </c>
      <c r="E233" s="36">
        <v>7</v>
      </c>
      <c r="G233" s="86">
        <v>98409</v>
      </c>
      <c r="H233" s="38" t="s">
        <v>10</v>
      </c>
      <c r="I233" s="33">
        <v>3</v>
      </c>
      <c r="J233" s="36">
        <v>5</v>
      </c>
      <c r="K233" s="33">
        <v>0</v>
      </c>
      <c r="M233" s="86">
        <v>98275</v>
      </c>
      <c r="N233" s="38" t="s">
        <v>352</v>
      </c>
      <c r="O233" s="36">
        <v>1</v>
      </c>
      <c r="P233" s="36">
        <v>3</v>
      </c>
      <c r="Q233" s="36">
        <v>1</v>
      </c>
      <c r="S233" s="88">
        <v>98373</v>
      </c>
      <c r="T233" s="15" t="s">
        <v>10</v>
      </c>
      <c r="U233" s="55">
        <v>23</v>
      </c>
      <c r="V233" s="55">
        <v>34</v>
      </c>
      <c r="W233" s="55">
        <v>32</v>
      </c>
    </row>
    <row r="234" spans="1:23" x14ac:dyDescent="0.2">
      <c r="A234" s="86">
        <v>98273</v>
      </c>
      <c r="B234" s="38" t="s">
        <v>10</v>
      </c>
      <c r="C234" s="33">
        <v>107</v>
      </c>
      <c r="D234" s="36">
        <v>115</v>
      </c>
      <c r="E234" s="36">
        <v>104</v>
      </c>
      <c r="G234" s="86">
        <v>98418</v>
      </c>
      <c r="H234" s="38" t="s">
        <v>352</v>
      </c>
      <c r="I234" s="36">
        <v>0</v>
      </c>
      <c r="J234" s="33">
        <v>1</v>
      </c>
      <c r="K234" s="33">
        <v>0</v>
      </c>
      <c r="M234" s="86">
        <v>98275</v>
      </c>
      <c r="N234" s="38" t="s">
        <v>10</v>
      </c>
      <c r="O234" s="36">
        <v>6</v>
      </c>
      <c r="P234" s="33">
        <v>8</v>
      </c>
      <c r="Q234" s="33">
        <v>3</v>
      </c>
      <c r="S234" s="88">
        <v>98374</v>
      </c>
      <c r="T234" s="15" t="s">
        <v>10</v>
      </c>
      <c r="U234" s="55">
        <v>52</v>
      </c>
      <c r="V234" s="55">
        <v>55</v>
      </c>
      <c r="W234" s="55">
        <v>43</v>
      </c>
    </row>
    <row r="235" spans="1:23" x14ac:dyDescent="0.2">
      <c r="A235" s="86">
        <v>98274</v>
      </c>
      <c r="B235" s="38" t="s">
        <v>352</v>
      </c>
      <c r="C235" s="36">
        <v>1</v>
      </c>
      <c r="D235" s="36">
        <v>1</v>
      </c>
      <c r="E235" s="36">
        <v>2</v>
      </c>
      <c r="G235" s="86">
        <v>98418</v>
      </c>
      <c r="H235" s="38" t="s">
        <v>10</v>
      </c>
      <c r="I235" s="33">
        <v>2</v>
      </c>
      <c r="J235" s="36">
        <v>1</v>
      </c>
      <c r="K235" s="33">
        <v>3</v>
      </c>
      <c r="M235" s="59">
        <v>98276</v>
      </c>
      <c r="N235" s="38" t="s">
        <v>352</v>
      </c>
      <c r="O235" s="36">
        <v>0</v>
      </c>
      <c r="P235" s="33">
        <v>1</v>
      </c>
      <c r="Q235" s="33">
        <v>0</v>
      </c>
      <c r="S235" s="88">
        <v>98375</v>
      </c>
      <c r="T235" s="15" t="s">
        <v>10</v>
      </c>
      <c r="U235" s="55">
        <v>31</v>
      </c>
      <c r="V235" s="55">
        <v>42</v>
      </c>
      <c r="W235" s="55">
        <v>33</v>
      </c>
    </row>
    <row r="236" spans="1:23" x14ac:dyDescent="0.2">
      <c r="A236" s="86">
        <v>98274</v>
      </c>
      <c r="B236" s="38" t="s">
        <v>10</v>
      </c>
      <c r="C236" s="36">
        <v>59</v>
      </c>
      <c r="D236" s="36">
        <v>57</v>
      </c>
      <c r="E236" s="36">
        <v>66</v>
      </c>
      <c r="G236" s="86">
        <v>98421</v>
      </c>
      <c r="H236" s="38" t="s">
        <v>352</v>
      </c>
      <c r="I236" s="33">
        <v>0</v>
      </c>
      <c r="J236" s="36">
        <v>1</v>
      </c>
      <c r="K236" s="33">
        <v>1</v>
      </c>
      <c r="M236" s="86">
        <v>98276</v>
      </c>
      <c r="N236" s="38" t="s">
        <v>10</v>
      </c>
      <c r="O236" s="36">
        <v>2</v>
      </c>
      <c r="P236" s="36">
        <v>1</v>
      </c>
      <c r="Q236" s="36">
        <v>3</v>
      </c>
      <c r="S236" s="88">
        <v>98380</v>
      </c>
      <c r="T236" s="15" t="s">
        <v>352</v>
      </c>
      <c r="U236" s="55">
        <v>0</v>
      </c>
      <c r="V236" s="55">
        <v>1</v>
      </c>
      <c r="W236" s="55">
        <v>0</v>
      </c>
    </row>
    <row r="237" spans="1:23" x14ac:dyDescent="0.2">
      <c r="A237" s="59">
        <v>98275</v>
      </c>
      <c r="B237" s="38" t="s">
        <v>352</v>
      </c>
      <c r="C237" s="36">
        <v>1</v>
      </c>
      <c r="D237" s="36">
        <v>1</v>
      </c>
      <c r="E237" s="36">
        <v>1</v>
      </c>
      <c r="G237" s="86">
        <v>98422</v>
      </c>
      <c r="H237" s="38" t="s">
        <v>10</v>
      </c>
      <c r="I237" s="36">
        <v>1</v>
      </c>
      <c r="J237" s="33">
        <v>2</v>
      </c>
      <c r="K237" s="33">
        <v>2</v>
      </c>
      <c r="M237" s="86">
        <v>98277</v>
      </c>
      <c r="N237" s="38" t="s">
        <v>352</v>
      </c>
      <c r="O237" s="36">
        <v>2</v>
      </c>
      <c r="P237" s="36">
        <v>10</v>
      </c>
      <c r="Q237" s="36">
        <v>4</v>
      </c>
      <c r="S237" s="88">
        <v>98380</v>
      </c>
      <c r="T237" s="15" t="s">
        <v>10</v>
      </c>
      <c r="U237" s="55">
        <v>4</v>
      </c>
      <c r="V237" s="55">
        <v>10</v>
      </c>
      <c r="W237" s="55">
        <v>10</v>
      </c>
    </row>
    <row r="238" spans="1:23" x14ac:dyDescent="0.2">
      <c r="A238" s="86">
        <v>98275</v>
      </c>
      <c r="B238" s="38" t="s">
        <v>10</v>
      </c>
      <c r="C238" s="36">
        <v>9</v>
      </c>
      <c r="D238" s="36">
        <v>8</v>
      </c>
      <c r="E238" s="36">
        <v>8</v>
      </c>
      <c r="G238" s="86">
        <v>98424</v>
      </c>
      <c r="H238" s="38" t="s">
        <v>10</v>
      </c>
      <c r="I238" s="33">
        <v>1</v>
      </c>
      <c r="J238" s="33">
        <v>1</v>
      </c>
      <c r="K238" s="36">
        <v>2</v>
      </c>
      <c r="M238" s="86">
        <v>98277</v>
      </c>
      <c r="N238" s="38" t="s">
        <v>10</v>
      </c>
      <c r="O238" s="36">
        <v>68</v>
      </c>
      <c r="P238" s="36">
        <v>94</v>
      </c>
      <c r="Q238" s="36">
        <v>56</v>
      </c>
      <c r="S238" s="88">
        <v>98383</v>
      </c>
      <c r="T238" s="15" t="s">
        <v>352</v>
      </c>
      <c r="U238" s="55">
        <v>1</v>
      </c>
      <c r="V238" s="55">
        <v>0</v>
      </c>
      <c r="W238" s="55">
        <v>0</v>
      </c>
    </row>
    <row r="239" spans="1:23" x14ac:dyDescent="0.2">
      <c r="A239" s="59">
        <v>98276</v>
      </c>
      <c r="B239" s="38" t="s">
        <v>352</v>
      </c>
      <c r="C239" s="36">
        <v>0</v>
      </c>
      <c r="D239" s="36">
        <v>0</v>
      </c>
      <c r="E239" s="36">
        <v>1</v>
      </c>
      <c r="G239" s="86">
        <v>98439</v>
      </c>
      <c r="H239" s="38" t="s">
        <v>10</v>
      </c>
      <c r="I239" s="36">
        <v>1</v>
      </c>
      <c r="J239" s="33">
        <v>5</v>
      </c>
      <c r="K239" s="33">
        <v>5</v>
      </c>
      <c r="M239" s="86">
        <v>98281</v>
      </c>
      <c r="N239" s="38" t="s">
        <v>10</v>
      </c>
      <c r="O239" s="36">
        <v>3</v>
      </c>
      <c r="P239" s="36">
        <v>3</v>
      </c>
      <c r="Q239" s="36">
        <v>6</v>
      </c>
      <c r="S239" s="88">
        <v>98383</v>
      </c>
      <c r="T239" s="15" t="s">
        <v>10</v>
      </c>
      <c r="U239" s="55">
        <v>11</v>
      </c>
      <c r="V239" s="55">
        <v>16</v>
      </c>
      <c r="W239" s="55">
        <v>18</v>
      </c>
    </row>
    <row r="240" spans="1:23" x14ac:dyDescent="0.2">
      <c r="A240" s="86">
        <v>98276</v>
      </c>
      <c r="B240" s="38" t="s">
        <v>10</v>
      </c>
      <c r="C240" s="36">
        <v>3</v>
      </c>
      <c r="D240" s="36">
        <v>4</v>
      </c>
      <c r="E240" s="36">
        <v>3</v>
      </c>
      <c r="G240" s="86">
        <v>98443</v>
      </c>
      <c r="H240" s="38" t="s">
        <v>10</v>
      </c>
      <c r="I240" s="33">
        <v>0</v>
      </c>
      <c r="J240" s="33">
        <v>0</v>
      </c>
      <c r="K240" s="36">
        <v>1</v>
      </c>
      <c r="M240" s="59">
        <v>98283</v>
      </c>
      <c r="N240" s="38" t="s">
        <v>10</v>
      </c>
      <c r="O240" s="36">
        <v>4</v>
      </c>
      <c r="P240" s="36">
        <v>3</v>
      </c>
      <c r="Q240" s="36">
        <v>2</v>
      </c>
      <c r="S240" s="88">
        <v>98387</v>
      </c>
      <c r="T240" s="15" t="s">
        <v>10</v>
      </c>
      <c r="U240" s="55">
        <v>22</v>
      </c>
      <c r="V240" s="55">
        <v>24</v>
      </c>
      <c r="W240" s="55">
        <v>24</v>
      </c>
    </row>
    <row r="241" spans="1:23" x14ac:dyDescent="0.2">
      <c r="A241" s="86">
        <v>98277</v>
      </c>
      <c r="B241" s="38" t="s">
        <v>352</v>
      </c>
      <c r="C241" s="36">
        <v>11</v>
      </c>
      <c r="D241" s="36">
        <v>9</v>
      </c>
      <c r="E241" s="36">
        <v>15</v>
      </c>
      <c r="G241" s="86">
        <v>98444</v>
      </c>
      <c r="H241" s="38" t="s">
        <v>10</v>
      </c>
      <c r="I241" s="33">
        <v>4</v>
      </c>
      <c r="J241" s="33">
        <v>3</v>
      </c>
      <c r="K241" s="36">
        <v>2</v>
      </c>
      <c r="M241" s="86">
        <v>98284</v>
      </c>
      <c r="N241" s="38" t="s">
        <v>352</v>
      </c>
      <c r="O241" s="36">
        <v>7</v>
      </c>
      <c r="P241" s="36">
        <v>4</v>
      </c>
      <c r="Q241" s="36">
        <v>2</v>
      </c>
      <c r="S241" s="88">
        <v>98388</v>
      </c>
      <c r="T241" s="15" t="s">
        <v>10</v>
      </c>
      <c r="U241" s="55">
        <v>0</v>
      </c>
      <c r="V241" s="55">
        <v>2</v>
      </c>
      <c r="W241" s="55">
        <v>1</v>
      </c>
    </row>
    <row r="242" spans="1:23" x14ac:dyDescent="0.2">
      <c r="A242" s="86">
        <v>98277</v>
      </c>
      <c r="B242" s="38" t="s">
        <v>10</v>
      </c>
      <c r="C242" s="36">
        <v>152</v>
      </c>
      <c r="D242" s="36">
        <v>145</v>
      </c>
      <c r="E242" s="36">
        <v>176</v>
      </c>
      <c r="G242" s="86">
        <v>98445</v>
      </c>
      <c r="H242" s="38" t="s">
        <v>10</v>
      </c>
      <c r="I242" s="82">
        <v>3</v>
      </c>
      <c r="J242" s="82">
        <v>5</v>
      </c>
      <c r="K242" s="82">
        <v>6</v>
      </c>
      <c r="M242" s="86">
        <v>98284</v>
      </c>
      <c r="N242" s="38" t="s">
        <v>10</v>
      </c>
      <c r="O242" s="36">
        <v>111</v>
      </c>
      <c r="P242" s="36">
        <v>104</v>
      </c>
      <c r="Q242" s="36">
        <v>85</v>
      </c>
      <c r="S242" s="88">
        <v>98390</v>
      </c>
      <c r="T242" s="15" t="s">
        <v>352</v>
      </c>
      <c r="U242" s="55">
        <v>0</v>
      </c>
      <c r="V242" s="55">
        <v>1</v>
      </c>
      <c r="W242" s="55">
        <v>1</v>
      </c>
    </row>
    <row r="243" spans="1:23" x14ac:dyDescent="0.2">
      <c r="A243" s="86">
        <v>98281</v>
      </c>
      <c r="B243" s="38" t="s">
        <v>10</v>
      </c>
      <c r="C243" s="36">
        <v>7</v>
      </c>
      <c r="D243" s="36">
        <v>7</v>
      </c>
      <c r="E243" s="36">
        <v>4</v>
      </c>
      <c r="G243" s="86">
        <v>98446</v>
      </c>
      <c r="H243" s="38" t="s">
        <v>10</v>
      </c>
      <c r="I243" s="82">
        <v>2</v>
      </c>
      <c r="J243" s="82">
        <v>0</v>
      </c>
      <c r="K243" s="82">
        <v>3</v>
      </c>
      <c r="M243" s="59">
        <v>98288</v>
      </c>
      <c r="N243" s="38" t="s">
        <v>10</v>
      </c>
      <c r="O243" s="36">
        <v>1</v>
      </c>
      <c r="P243" s="36">
        <v>4</v>
      </c>
      <c r="Q243" s="36">
        <v>0</v>
      </c>
      <c r="S243" s="88">
        <v>98390</v>
      </c>
      <c r="T243" s="15" t="s">
        <v>10</v>
      </c>
      <c r="U243" s="55">
        <v>18</v>
      </c>
      <c r="V243" s="55">
        <v>24</v>
      </c>
      <c r="W243" s="55">
        <v>16</v>
      </c>
    </row>
    <row r="244" spans="1:23" x14ac:dyDescent="0.2">
      <c r="A244" s="86">
        <v>98283</v>
      </c>
      <c r="B244" s="38" t="s">
        <v>352</v>
      </c>
      <c r="C244" s="36">
        <v>1</v>
      </c>
      <c r="D244" s="36">
        <v>1</v>
      </c>
      <c r="E244" s="36">
        <v>0</v>
      </c>
      <c r="G244" s="86">
        <v>98466</v>
      </c>
      <c r="H244" s="38" t="s">
        <v>10</v>
      </c>
      <c r="I244" s="82">
        <v>3</v>
      </c>
      <c r="J244" s="87">
        <v>5</v>
      </c>
      <c r="K244" s="87">
        <v>0</v>
      </c>
      <c r="M244" s="86">
        <v>98290</v>
      </c>
      <c r="N244" s="38" t="s">
        <v>352</v>
      </c>
      <c r="O244" s="36">
        <v>0</v>
      </c>
      <c r="P244" s="36">
        <v>1</v>
      </c>
      <c r="Q244" s="36">
        <v>0</v>
      </c>
      <c r="S244" s="88">
        <v>98391</v>
      </c>
      <c r="T244" s="15" t="s">
        <v>352</v>
      </c>
      <c r="U244" s="55">
        <v>0</v>
      </c>
      <c r="V244" s="55">
        <v>1</v>
      </c>
      <c r="W244" s="55">
        <v>1</v>
      </c>
    </row>
    <row r="245" spans="1:23" x14ac:dyDescent="0.2">
      <c r="A245" s="86">
        <v>98283</v>
      </c>
      <c r="B245" s="38" t="s">
        <v>10</v>
      </c>
      <c r="C245" s="36">
        <v>3</v>
      </c>
      <c r="D245" s="36">
        <v>4</v>
      </c>
      <c r="E245" s="36">
        <v>5</v>
      </c>
      <c r="G245" s="59">
        <v>98467</v>
      </c>
      <c r="H245" s="38" t="s">
        <v>10</v>
      </c>
      <c r="I245" s="82">
        <v>0</v>
      </c>
      <c r="J245" s="87">
        <v>1</v>
      </c>
      <c r="K245" s="87">
        <v>0</v>
      </c>
      <c r="M245" s="59">
        <v>98290</v>
      </c>
      <c r="N245" s="38" t="s">
        <v>10</v>
      </c>
      <c r="O245" s="36">
        <v>11</v>
      </c>
      <c r="P245" s="36">
        <v>5</v>
      </c>
      <c r="Q245" s="36">
        <v>12</v>
      </c>
      <c r="S245" s="88">
        <v>98391</v>
      </c>
      <c r="T245" s="15" t="s">
        <v>10</v>
      </c>
      <c r="U245" s="55">
        <v>62</v>
      </c>
      <c r="V245" s="55">
        <v>74</v>
      </c>
      <c r="W245" s="55">
        <v>53</v>
      </c>
    </row>
    <row r="246" spans="1:23" x14ac:dyDescent="0.2">
      <c r="A246" s="59">
        <v>98284</v>
      </c>
      <c r="B246" s="38" t="s">
        <v>352</v>
      </c>
      <c r="C246" s="36">
        <v>5</v>
      </c>
      <c r="D246" s="36">
        <v>6</v>
      </c>
      <c r="E246" s="36">
        <v>5</v>
      </c>
      <c r="G246" s="86">
        <v>98498</v>
      </c>
      <c r="H246" s="38" t="s">
        <v>352</v>
      </c>
      <c r="I246" s="82">
        <v>0</v>
      </c>
      <c r="J246" s="82">
        <v>0</v>
      </c>
      <c r="K246" s="82">
        <v>2</v>
      </c>
      <c r="M246" s="86">
        <v>98292</v>
      </c>
      <c r="N246" s="38" t="s">
        <v>10</v>
      </c>
      <c r="O246" s="36">
        <v>2</v>
      </c>
      <c r="P246" s="33">
        <v>3</v>
      </c>
      <c r="Q246" s="33">
        <v>0</v>
      </c>
      <c r="S246" s="88">
        <v>98392</v>
      </c>
      <c r="T246" s="15" t="s">
        <v>10</v>
      </c>
      <c r="U246" s="55">
        <v>5</v>
      </c>
      <c r="V246" s="55">
        <v>2</v>
      </c>
      <c r="W246" s="55">
        <v>3</v>
      </c>
    </row>
    <row r="247" spans="1:23" x14ac:dyDescent="0.2">
      <c r="A247" s="86">
        <v>98284</v>
      </c>
      <c r="B247" s="38" t="s">
        <v>10</v>
      </c>
      <c r="C247" s="33">
        <v>150</v>
      </c>
      <c r="D247" s="36">
        <v>168</v>
      </c>
      <c r="E247" s="36">
        <v>160</v>
      </c>
      <c r="G247" s="86">
        <v>98498</v>
      </c>
      <c r="H247" s="38" t="s">
        <v>10</v>
      </c>
      <c r="I247" s="87">
        <v>12</v>
      </c>
      <c r="J247" s="82">
        <v>18</v>
      </c>
      <c r="K247" s="82">
        <v>16</v>
      </c>
      <c r="M247" s="59">
        <v>98294</v>
      </c>
      <c r="N247" s="38" t="s">
        <v>10</v>
      </c>
      <c r="O247" s="36">
        <v>2</v>
      </c>
      <c r="P247" s="36">
        <v>9</v>
      </c>
      <c r="Q247" s="36">
        <v>2</v>
      </c>
      <c r="S247" s="88">
        <v>98396</v>
      </c>
      <c r="T247" s="15" t="s">
        <v>10</v>
      </c>
      <c r="U247" s="55">
        <v>1</v>
      </c>
      <c r="V247" s="55">
        <v>3</v>
      </c>
      <c r="W247" s="55">
        <v>1</v>
      </c>
    </row>
    <row r="248" spans="1:23" x14ac:dyDescent="0.2">
      <c r="A248" s="59">
        <v>98288</v>
      </c>
      <c r="B248" s="38" t="s">
        <v>10</v>
      </c>
      <c r="C248" s="36">
        <v>1</v>
      </c>
      <c r="D248" s="36">
        <v>0</v>
      </c>
      <c r="E248" s="36">
        <v>4</v>
      </c>
      <c r="G248" s="86">
        <v>98499</v>
      </c>
      <c r="H248" s="38" t="s">
        <v>10</v>
      </c>
      <c r="I248" s="82">
        <v>2</v>
      </c>
      <c r="J248" s="87">
        <v>1</v>
      </c>
      <c r="K248" s="87">
        <v>6</v>
      </c>
      <c r="M248" s="86">
        <v>98295</v>
      </c>
      <c r="N248" s="38" t="s">
        <v>10</v>
      </c>
      <c r="O248" s="36">
        <v>2</v>
      </c>
      <c r="P248" s="36">
        <v>3</v>
      </c>
      <c r="Q248" s="36">
        <v>5</v>
      </c>
      <c r="S248" s="88">
        <v>98402</v>
      </c>
      <c r="T248" s="15" t="s">
        <v>352</v>
      </c>
      <c r="U248" s="55">
        <v>0</v>
      </c>
      <c r="V248" s="55">
        <v>0</v>
      </c>
      <c r="W248" s="55">
        <v>1</v>
      </c>
    </row>
    <row r="249" spans="1:23" x14ac:dyDescent="0.2">
      <c r="A249" s="86">
        <v>98290</v>
      </c>
      <c r="B249" s="38" t="s">
        <v>352</v>
      </c>
      <c r="C249" s="36">
        <v>1</v>
      </c>
      <c r="D249" s="36">
        <v>1</v>
      </c>
      <c r="E249" s="36">
        <v>1</v>
      </c>
      <c r="G249" s="86">
        <v>98501</v>
      </c>
      <c r="H249" s="38" t="s">
        <v>352</v>
      </c>
      <c r="I249" s="87">
        <v>0</v>
      </c>
      <c r="J249" s="87">
        <v>1</v>
      </c>
      <c r="K249" s="82">
        <v>0</v>
      </c>
      <c r="M249" s="86">
        <v>98296</v>
      </c>
      <c r="N249" s="38" t="s">
        <v>10</v>
      </c>
      <c r="O249" s="33">
        <v>12</v>
      </c>
      <c r="P249" s="33">
        <v>11</v>
      </c>
      <c r="Q249" s="36">
        <v>7</v>
      </c>
      <c r="S249" s="88">
        <v>98402</v>
      </c>
      <c r="T249" s="15" t="s">
        <v>10</v>
      </c>
      <c r="U249" s="55">
        <v>1</v>
      </c>
      <c r="V249" s="55">
        <v>1</v>
      </c>
      <c r="W249" s="55">
        <v>0</v>
      </c>
    </row>
    <row r="250" spans="1:23" x14ac:dyDescent="0.2">
      <c r="A250" s="59">
        <v>98290</v>
      </c>
      <c r="B250" s="38" t="s">
        <v>10</v>
      </c>
      <c r="C250" s="36">
        <v>6</v>
      </c>
      <c r="D250" s="36">
        <v>12</v>
      </c>
      <c r="E250" s="36">
        <v>7</v>
      </c>
      <c r="G250" s="86">
        <v>98501</v>
      </c>
      <c r="H250" s="38" t="s">
        <v>10</v>
      </c>
      <c r="I250" s="87">
        <v>26</v>
      </c>
      <c r="J250" s="87">
        <v>26</v>
      </c>
      <c r="K250" s="82">
        <v>30</v>
      </c>
      <c r="M250" s="59">
        <v>98310</v>
      </c>
      <c r="N250" s="38" t="s">
        <v>352</v>
      </c>
      <c r="O250" s="36">
        <v>4</v>
      </c>
      <c r="P250" s="36">
        <v>2</v>
      </c>
      <c r="Q250" s="36">
        <v>3</v>
      </c>
      <c r="S250" s="88">
        <v>98403</v>
      </c>
      <c r="T250" s="15" t="s">
        <v>10</v>
      </c>
      <c r="U250" s="55">
        <v>0</v>
      </c>
      <c r="V250" s="55">
        <v>1</v>
      </c>
      <c r="W250" s="55">
        <v>0</v>
      </c>
    </row>
    <row r="251" spans="1:23" x14ac:dyDescent="0.2">
      <c r="A251" s="86">
        <v>98292</v>
      </c>
      <c r="B251" s="38" t="s">
        <v>10</v>
      </c>
      <c r="C251" s="36">
        <v>2</v>
      </c>
      <c r="D251" s="36">
        <v>2</v>
      </c>
      <c r="E251" s="36">
        <v>4</v>
      </c>
      <c r="G251" s="88">
        <v>98502</v>
      </c>
      <c r="H251" s="15" t="s">
        <v>352</v>
      </c>
      <c r="I251" s="55">
        <v>0</v>
      </c>
      <c r="J251" s="55">
        <v>1</v>
      </c>
      <c r="K251" s="55">
        <v>0</v>
      </c>
      <c r="M251" s="86">
        <v>98310</v>
      </c>
      <c r="N251" s="38" t="s">
        <v>10</v>
      </c>
      <c r="O251" s="36">
        <v>56</v>
      </c>
      <c r="P251" s="36">
        <v>85</v>
      </c>
      <c r="Q251" s="36">
        <v>76</v>
      </c>
      <c r="S251" s="88">
        <v>98404</v>
      </c>
      <c r="T251" s="15" t="s">
        <v>352</v>
      </c>
      <c r="U251" s="55">
        <v>1</v>
      </c>
      <c r="V251" s="55">
        <v>1</v>
      </c>
      <c r="W251" s="55">
        <v>0</v>
      </c>
    </row>
    <row r="252" spans="1:23" x14ac:dyDescent="0.2">
      <c r="A252" s="59">
        <v>98294</v>
      </c>
      <c r="B252" s="38" t="s">
        <v>10</v>
      </c>
      <c r="C252" s="36">
        <v>5</v>
      </c>
      <c r="D252" s="36">
        <v>5</v>
      </c>
      <c r="E252" s="36">
        <v>10</v>
      </c>
      <c r="G252" s="88">
        <v>98502</v>
      </c>
      <c r="H252" s="15" t="s">
        <v>10</v>
      </c>
      <c r="I252" s="55">
        <v>18</v>
      </c>
      <c r="J252" s="55">
        <v>12</v>
      </c>
      <c r="K252" s="55">
        <v>19</v>
      </c>
      <c r="M252" s="86">
        <v>98311</v>
      </c>
      <c r="N252" s="38" t="s">
        <v>352</v>
      </c>
      <c r="O252" s="36">
        <v>1</v>
      </c>
      <c r="P252" s="36">
        <v>0</v>
      </c>
      <c r="Q252" s="36">
        <v>0</v>
      </c>
      <c r="S252" s="88">
        <v>98404</v>
      </c>
      <c r="T252" s="15" t="s">
        <v>10</v>
      </c>
      <c r="U252" s="55">
        <v>4</v>
      </c>
      <c r="V252" s="55">
        <v>7</v>
      </c>
      <c r="W252" s="55">
        <v>10</v>
      </c>
    </row>
    <row r="253" spans="1:23" x14ac:dyDescent="0.2">
      <c r="A253" s="86">
        <v>98295</v>
      </c>
      <c r="B253" s="38" t="s">
        <v>352</v>
      </c>
      <c r="C253" s="36">
        <v>1</v>
      </c>
      <c r="D253" s="36">
        <v>1</v>
      </c>
      <c r="E253" s="36">
        <v>0</v>
      </c>
      <c r="G253" s="88">
        <v>98503</v>
      </c>
      <c r="H253" s="15" t="s">
        <v>352</v>
      </c>
      <c r="I253" s="55">
        <v>0</v>
      </c>
      <c r="J253" s="55">
        <v>1</v>
      </c>
      <c r="K253" s="55">
        <v>1</v>
      </c>
      <c r="M253" s="86">
        <v>98311</v>
      </c>
      <c r="N253" s="38" t="s">
        <v>10</v>
      </c>
      <c r="O253" s="36">
        <v>85</v>
      </c>
      <c r="P253" s="36">
        <v>76</v>
      </c>
      <c r="Q253" s="36">
        <v>88</v>
      </c>
      <c r="S253" s="88">
        <v>98405</v>
      </c>
      <c r="T253" s="15" t="s">
        <v>352</v>
      </c>
      <c r="U253" s="55">
        <v>0</v>
      </c>
      <c r="V253" s="55">
        <v>1</v>
      </c>
      <c r="W253" s="55">
        <v>1</v>
      </c>
    </row>
    <row r="254" spans="1:23" x14ac:dyDescent="0.2">
      <c r="A254" s="59">
        <v>98295</v>
      </c>
      <c r="B254" s="38" t="s">
        <v>10</v>
      </c>
      <c r="C254" s="36">
        <v>6</v>
      </c>
      <c r="D254" s="36">
        <v>8</v>
      </c>
      <c r="E254" s="36">
        <v>2</v>
      </c>
      <c r="G254" s="88">
        <v>98503</v>
      </c>
      <c r="H254" s="15" t="s">
        <v>10</v>
      </c>
      <c r="I254" s="55">
        <v>21</v>
      </c>
      <c r="J254" s="55">
        <v>27</v>
      </c>
      <c r="K254" s="55">
        <v>24</v>
      </c>
      <c r="M254" s="59">
        <v>98312</v>
      </c>
      <c r="N254" s="38" t="s">
        <v>352</v>
      </c>
      <c r="O254" s="36">
        <v>5</v>
      </c>
      <c r="P254" s="36">
        <v>10</v>
      </c>
      <c r="Q254" s="36">
        <v>5</v>
      </c>
      <c r="S254" s="88">
        <v>98405</v>
      </c>
      <c r="T254" s="15" t="s">
        <v>10</v>
      </c>
      <c r="U254" s="55">
        <v>6</v>
      </c>
      <c r="V254" s="55">
        <v>6</v>
      </c>
      <c r="W254" s="55">
        <v>6</v>
      </c>
    </row>
    <row r="255" spans="1:23" x14ac:dyDescent="0.2">
      <c r="A255" s="86">
        <v>98296</v>
      </c>
      <c r="B255" s="38" t="s">
        <v>10</v>
      </c>
      <c r="C255" s="36">
        <v>9</v>
      </c>
      <c r="D255" s="36">
        <v>16</v>
      </c>
      <c r="E255" s="36">
        <v>16</v>
      </c>
      <c r="G255" s="88">
        <v>98506</v>
      </c>
      <c r="H255" s="15" t="s">
        <v>10</v>
      </c>
      <c r="I255" s="55">
        <v>9</v>
      </c>
      <c r="J255" s="55">
        <v>10</v>
      </c>
      <c r="K255" s="55">
        <v>9</v>
      </c>
      <c r="M255" s="86">
        <v>98312</v>
      </c>
      <c r="N255" s="38" t="s">
        <v>10</v>
      </c>
      <c r="O255" s="36">
        <v>109</v>
      </c>
      <c r="P255" s="36">
        <v>126</v>
      </c>
      <c r="Q255" s="33">
        <v>131</v>
      </c>
      <c r="S255" s="88">
        <v>98406</v>
      </c>
      <c r="T255" s="15" t="s">
        <v>352</v>
      </c>
      <c r="U255" s="55">
        <v>0</v>
      </c>
      <c r="V255" s="55">
        <v>0</v>
      </c>
      <c r="W255" s="55">
        <v>1</v>
      </c>
    </row>
    <row r="256" spans="1:23" x14ac:dyDescent="0.2">
      <c r="A256" s="59">
        <v>98310</v>
      </c>
      <c r="B256" s="38" t="s">
        <v>352</v>
      </c>
      <c r="C256" s="36">
        <v>2</v>
      </c>
      <c r="D256" s="36">
        <v>5</v>
      </c>
      <c r="E256" s="36">
        <v>6</v>
      </c>
      <c r="G256" s="88">
        <v>98512</v>
      </c>
      <c r="H256" s="15" t="s">
        <v>352</v>
      </c>
      <c r="I256" s="55">
        <v>1</v>
      </c>
      <c r="J256" s="55">
        <v>0</v>
      </c>
      <c r="K256" s="55">
        <v>2</v>
      </c>
      <c r="M256" s="59">
        <v>98321</v>
      </c>
      <c r="N256" s="38" t="s">
        <v>352</v>
      </c>
      <c r="O256" s="36">
        <v>2</v>
      </c>
      <c r="P256" s="36">
        <v>3</v>
      </c>
      <c r="Q256" s="36">
        <v>2</v>
      </c>
      <c r="S256" s="88">
        <v>98406</v>
      </c>
      <c r="T256" s="15" t="s">
        <v>10</v>
      </c>
      <c r="U256" s="55">
        <v>4</v>
      </c>
      <c r="V256" s="55">
        <v>3</v>
      </c>
      <c r="W256" s="55">
        <v>4</v>
      </c>
    </row>
    <row r="257" spans="1:23" x14ac:dyDescent="0.2">
      <c r="A257" s="86">
        <v>98310</v>
      </c>
      <c r="B257" s="38" t="s">
        <v>10</v>
      </c>
      <c r="C257" s="36">
        <v>100</v>
      </c>
      <c r="D257" s="36">
        <v>98</v>
      </c>
      <c r="E257" s="36">
        <v>130</v>
      </c>
      <c r="G257" s="88">
        <v>98512</v>
      </c>
      <c r="H257" s="15" t="s">
        <v>10</v>
      </c>
      <c r="I257" s="55">
        <v>19</v>
      </c>
      <c r="J257" s="55">
        <v>22</v>
      </c>
      <c r="K257" s="55">
        <v>24</v>
      </c>
      <c r="M257" s="86">
        <v>98321</v>
      </c>
      <c r="N257" s="38" t="s">
        <v>10</v>
      </c>
      <c r="O257" s="33">
        <v>51</v>
      </c>
      <c r="P257" s="36">
        <v>65</v>
      </c>
      <c r="Q257" s="33">
        <v>48</v>
      </c>
      <c r="S257" s="88">
        <v>98407</v>
      </c>
      <c r="T257" s="15" t="s">
        <v>10</v>
      </c>
      <c r="U257" s="55">
        <v>1</v>
      </c>
      <c r="V257" s="55">
        <v>4</v>
      </c>
      <c r="W257" s="55">
        <v>2</v>
      </c>
    </row>
    <row r="258" spans="1:23" x14ac:dyDescent="0.2">
      <c r="A258" s="59">
        <v>98311</v>
      </c>
      <c r="B258" s="38" t="s">
        <v>352</v>
      </c>
      <c r="C258" s="36">
        <v>1</v>
      </c>
      <c r="D258" s="36">
        <v>0</v>
      </c>
      <c r="E258" s="36">
        <v>0</v>
      </c>
      <c r="G258" s="88">
        <v>98513</v>
      </c>
      <c r="H258" s="15" t="s">
        <v>10</v>
      </c>
      <c r="I258" s="55">
        <v>13</v>
      </c>
      <c r="J258" s="55">
        <v>16</v>
      </c>
      <c r="K258" s="55">
        <v>20</v>
      </c>
      <c r="M258" s="59">
        <v>98323</v>
      </c>
      <c r="N258" s="38" t="s">
        <v>352</v>
      </c>
      <c r="O258" s="36">
        <v>0</v>
      </c>
      <c r="P258" s="36">
        <v>0</v>
      </c>
      <c r="Q258" s="36">
        <v>2</v>
      </c>
      <c r="S258" s="88">
        <v>98408</v>
      </c>
      <c r="T258" s="15" t="s">
        <v>352</v>
      </c>
      <c r="U258" s="55">
        <v>0</v>
      </c>
      <c r="V258" s="55">
        <v>1</v>
      </c>
      <c r="W258" s="55">
        <v>0</v>
      </c>
    </row>
    <row r="259" spans="1:23" x14ac:dyDescent="0.2">
      <c r="A259" s="86">
        <v>98311</v>
      </c>
      <c r="B259" s="38" t="s">
        <v>10</v>
      </c>
      <c r="C259" s="36">
        <v>93</v>
      </c>
      <c r="D259" s="33">
        <v>115</v>
      </c>
      <c r="E259" s="33">
        <v>113</v>
      </c>
      <c r="G259" s="88">
        <v>98516</v>
      </c>
      <c r="H259" s="15" t="s">
        <v>352</v>
      </c>
      <c r="I259" s="55">
        <v>2</v>
      </c>
      <c r="J259" s="55">
        <v>0</v>
      </c>
      <c r="K259" s="55">
        <v>2</v>
      </c>
      <c r="M259" s="86">
        <v>98323</v>
      </c>
      <c r="N259" s="38" t="s">
        <v>10</v>
      </c>
      <c r="O259" s="36">
        <v>8</v>
      </c>
      <c r="P259" s="36">
        <v>6</v>
      </c>
      <c r="Q259" s="36">
        <v>12</v>
      </c>
      <c r="S259" s="88">
        <v>98408</v>
      </c>
      <c r="T259" s="15" t="s">
        <v>10</v>
      </c>
      <c r="U259" s="55">
        <v>6</v>
      </c>
      <c r="V259" s="55">
        <v>4</v>
      </c>
      <c r="W259" s="55">
        <v>7</v>
      </c>
    </row>
    <row r="260" spans="1:23" x14ac:dyDescent="0.2">
      <c r="A260" s="59">
        <v>98312</v>
      </c>
      <c r="B260" s="38" t="s">
        <v>352</v>
      </c>
      <c r="C260" s="36">
        <v>2</v>
      </c>
      <c r="D260" s="36">
        <v>5</v>
      </c>
      <c r="E260" s="36">
        <v>3</v>
      </c>
      <c r="G260" s="88">
        <v>98516</v>
      </c>
      <c r="H260" s="15" t="s">
        <v>10</v>
      </c>
      <c r="I260" s="55">
        <v>12</v>
      </c>
      <c r="J260" s="55">
        <v>15</v>
      </c>
      <c r="K260" s="55">
        <v>14</v>
      </c>
      <c r="M260" s="86">
        <v>98327</v>
      </c>
      <c r="N260" s="38" t="s">
        <v>10</v>
      </c>
      <c r="O260" s="36">
        <v>26</v>
      </c>
      <c r="P260" s="36">
        <v>27</v>
      </c>
      <c r="Q260" s="36">
        <v>21</v>
      </c>
      <c r="S260" s="88">
        <v>98409</v>
      </c>
      <c r="T260" s="15" t="s">
        <v>352</v>
      </c>
      <c r="U260" s="55">
        <v>1</v>
      </c>
      <c r="V260" s="55">
        <v>3</v>
      </c>
      <c r="W260" s="55">
        <v>0</v>
      </c>
    </row>
    <row r="261" spans="1:23" x14ac:dyDescent="0.2">
      <c r="A261" s="86">
        <v>98312</v>
      </c>
      <c r="B261" s="38" t="s">
        <v>10</v>
      </c>
      <c r="C261" s="36">
        <v>170</v>
      </c>
      <c r="D261" s="36">
        <v>172</v>
      </c>
      <c r="E261" s="36">
        <v>188</v>
      </c>
      <c r="G261" s="88">
        <v>98530</v>
      </c>
      <c r="H261" s="15" t="s">
        <v>10</v>
      </c>
      <c r="I261" s="55">
        <v>1</v>
      </c>
      <c r="J261" s="55">
        <v>1</v>
      </c>
      <c r="K261" s="55">
        <v>3</v>
      </c>
      <c r="M261" s="86">
        <v>98328</v>
      </c>
      <c r="N261" s="38" t="s">
        <v>10</v>
      </c>
      <c r="O261" s="36">
        <v>4</v>
      </c>
      <c r="P261" s="36">
        <v>5</v>
      </c>
      <c r="Q261" s="36">
        <v>5</v>
      </c>
      <c r="S261" s="88">
        <v>98409</v>
      </c>
      <c r="T261" s="15" t="s">
        <v>10</v>
      </c>
      <c r="U261" s="55">
        <v>1</v>
      </c>
      <c r="V261" s="55">
        <v>3</v>
      </c>
      <c r="W261" s="55">
        <v>5</v>
      </c>
    </row>
    <row r="262" spans="1:23" x14ac:dyDescent="0.2">
      <c r="A262" s="59">
        <v>98321</v>
      </c>
      <c r="B262" s="38" t="s">
        <v>352</v>
      </c>
      <c r="C262" s="36">
        <v>8</v>
      </c>
      <c r="D262" s="36">
        <v>7</v>
      </c>
      <c r="E262" s="36">
        <v>7</v>
      </c>
      <c r="G262" s="88">
        <v>98531</v>
      </c>
      <c r="H262" s="15" t="s">
        <v>352</v>
      </c>
      <c r="I262" s="55">
        <v>0</v>
      </c>
      <c r="J262" s="55">
        <v>1</v>
      </c>
      <c r="K262" s="55">
        <v>0</v>
      </c>
      <c r="M262" s="86">
        <v>98329</v>
      </c>
      <c r="N262" s="38" t="s">
        <v>10</v>
      </c>
      <c r="O262" s="33">
        <v>0</v>
      </c>
      <c r="P262" s="36">
        <v>2</v>
      </c>
      <c r="Q262" s="33">
        <v>0</v>
      </c>
      <c r="S262" s="88">
        <v>98418</v>
      </c>
      <c r="T262" s="15" t="s">
        <v>10</v>
      </c>
      <c r="U262" s="55">
        <v>3</v>
      </c>
      <c r="V262" s="55">
        <v>7</v>
      </c>
      <c r="W262" s="55">
        <v>7</v>
      </c>
    </row>
    <row r="263" spans="1:23" x14ac:dyDescent="0.2">
      <c r="A263" s="86">
        <v>98321</v>
      </c>
      <c r="B263" s="38" t="s">
        <v>10</v>
      </c>
      <c r="C263" s="36">
        <v>77</v>
      </c>
      <c r="D263" s="36">
        <v>77</v>
      </c>
      <c r="E263" s="36">
        <v>82</v>
      </c>
      <c r="G263" s="88">
        <v>98531</v>
      </c>
      <c r="H263" s="15" t="s">
        <v>10</v>
      </c>
      <c r="I263" s="55">
        <v>2</v>
      </c>
      <c r="J263" s="55">
        <v>0</v>
      </c>
      <c r="K263" s="55">
        <v>4</v>
      </c>
      <c r="M263" s="59">
        <v>98332</v>
      </c>
      <c r="N263" s="38" t="s">
        <v>10</v>
      </c>
      <c r="O263" s="36">
        <v>8</v>
      </c>
      <c r="P263" s="36">
        <v>7</v>
      </c>
      <c r="Q263" s="33">
        <v>6</v>
      </c>
      <c r="S263" s="88">
        <v>98421</v>
      </c>
      <c r="T263" s="15" t="s">
        <v>352</v>
      </c>
      <c r="U263" s="55">
        <v>1</v>
      </c>
      <c r="V263" s="55">
        <v>1</v>
      </c>
      <c r="W263" s="55">
        <v>2</v>
      </c>
    </row>
    <row r="264" spans="1:23" x14ac:dyDescent="0.2">
      <c r="A264" s="59">
        <v>98323</v>
      </c>
      <c r="B264" s="38" t="s">
        <v>10</v>
      </c>
      <c r="C264" s="36">
        <v>14</v>
      </c>
      <c r="D264" s="36">
        <v>13</v>
      </c>
      <c r="E264" s="36">
        <v>15</v>
      </c>
      <c r="G264" s="88">
        <v>98532</v>
      </c>
      <c r="H264" s="15" t="s">
        <v>10</v>
      </c>
      <c r="I264" s="55">
        <v>1</v>
      </c>
      <c r="J264" s="55">
        <v>0</v>
      </c>
      <c r="K264" s="55">
        <v>1</v>
      </c>
      <c r="M264" s="86">
        <v>98335</v>
      </c>
      <c r="N264" s="38" t="s">
        <v>352</v>
      </c>
      <c r="O264" s="36">
        <v>0</v>
      </c>
      <c r="P264" s="36">
        <v>1</v>
      </c>
      <c r="Q264" s="36">
        <v>0</v>
      </c>
      <c r="S264" s="88">
        <v>98422</v>
      </c>
      <c r="T264" s="15" t="s">
        <v>10</v>
      </c>
      <c r="U264" s="55">
        <v>7</v>
      </c>
      <c r="V264" s="55">
        <v>4</v>
      </c>
      <c r="W264" s="55">
        <v>5</v>
      </c>
    </row>
    <row r="265" spans="1:23" x14ac:dyDescent="0.2">
      <c r="A265" s="86">
        <v>98327</v>
      </c>
      <c r="B265" s="38" t="s">
        <v>10</v>
      </c>
      <c r="C265" s="36">
        <v>43</v>
      </c>
      <c r="D265" s="36">
        <v>46</v>
      </c>
      <c r="E265" s="36">
        <v>48</v>
      </c>
      <c r="G265" s="88">
        <v>98558</v>
      </c>
      <c r="H265" s="15" t="s">
        <v>10</v>
      </c>
      <c r="I265" s="55">
        <v>0</v>
      </c>
      <c r="J265" s="55">
        <v>1</v>
      </c>
      <c r="K265" s="55">
        <v>1</v>
      </c>
      <c r="M265" s="59">
        <v>98335</v>
      </c>
      <c r="N265" s="38" t="s">
        <v>10</v>
      </c>
      <c r="O265" s="36">
        <v>5</v>
      </c>
      <c r="P265" s="36">
        <v>9</v>
      </c>
      <c r="Q265" s="36">
        <v>5</v>
      </c>
      <c r="S265" s="88">
        <v>98424</v>
      </c>
      <c r="T265" s="15" t="s">
        <v>352</v>
      </c>
      <c r="U265" s="55">
        <v>0</v>
      </c>
      <c r="V265" s="55">
        <v>1</v>
      </c>
      <c r="W265" s="55">
        <v>0</v>
      </c>
    </row>
    <row r="266" spans="1:23" x14ac:dyDescent="0.2">
      <c r="A266" s="86">
        <v>98328</v>
      </c>
      <c r="B266" s="38" t="s">
        <v>352</v>
      </c>
      <c r="C266" s="36">
        <v>2</v>
      </c>
      <c r="D266" s="36">
        <v>1</v>
      </c>
      <c r="E266" s="36">
        <v>0</v>
      </c>
      <c r="G266" s="88">
        <v>98576</v>
      </c>
      <c r="H266" s="15" t="s">
        <v>10</v>
      </c>
      <c r="I266" s="55">
        <v>6</v>
      </c>
      <c r="J266" s="55">
        <v>5</v>
      </c>
      <c r="K266" s="55">
        <v>5</v>
      </c>
      <c r="M266" s="86">
        <v>98337</v>
      </c>
      <c r="N266" s="38" t="s">
        <v>352</v>
      </c>
      <c r="O266" s="36">
        <v>4</v>
      </c>
      <c r="P266" s="33">
        <v>1</v>
      </c>
      <c r="Q266" s="36">
        <v>3</v>
      </c>
      <c r="S266" s="88">
        <v>98424</v>
      </c>
      <c r="T266" s="15" t="s">
        <v>10</v>
      </c>
      <c r="U266" s="55">
        <v>3</v>
      </c>
      <c r="V266" s="55">
        <v>3</v>
      </c>
      <c r="W266" s="55">
        <v>4</v>
      </c>
    </row>
    <row r="267" spans="1:23" x14ac:dyDescent="0.2">
      <c r="A267" s="59">
        <v>98328</v>
      </c>
      <c r="B267" s="38" t="s">
        <v>10</v>
      </c>
      <c r="C267" s="36">
        <v>2</v>
      </c>
      <c r="D267" s="36">
        <v>4</v>
      </c>
      <c r="E267" s="36">
        <v>6</v>
      </c>
      <c r="G267" s="88">
        <v>98579</v>
      </c>
      <c r="H267" s="15" t="s">
        <v>352</v>
      </c>
      <c r="I267" s="55">
        <v>1</v>
      </c>
      <c r="J267" s="55">
        <v>0</v>
      </c>
      <c r="K267" s="55">
        <v>0</v>
      </c>
      <c r="M267" s="59">
        <v>98337</v>
      </c>
      <c r="N267" s="38" t="s">
        <v>10</v>
      </c>
      <c r="O267" s="36">
        <v>27</v>
      </c>
      <c r="P267" s="36">
        <v>22</v>
      </c>
      <c r="Q267" s="36">
        <v>19</v>
      </c>
      <c r="S267" s="88">
        <v>98439</v>
      </c>
      <c r="T267" s="15" t="s">
        <v>10</v>
      </c>
      <c r="U267" s="55">
        <v>12</v>
      </c>
      <c r="V267" s="55">
        <v>7</v>
      </c>
      <c r="W267" s="55">
        <v>7</v>
      </c>
    </row>
    <row r="268" spans="1:23" x14ac:dyDescent="0.2">
      <c r="A268" s="86">
        <v>98329</v>
      </c>
      <c r="B268" s="38" t="s">
        <v>10</v>
      </c>
      <c r="C268" s="36">
        <v>0</v>
      </c>
      <c r="D268" s="36">
        <v>0</v>
      </c>
      <c r="E268" s="36">
        <v>2</v>
      </c>
      <c r="G268" s="88">
        <v>98579</v>
      </c>
      <c r="H268" s="15" t="s">
        <v>10</v>
      </c>
      <c r="I268" s="55">
        <v>9</v>
      </c>
      <c r="J268" s="55">
        <v>8</v>
      </c>
      <c r="K268" s="55">
        <v>12</v>
      </c>
      <c r="M268" s="86">
        <v>98338</v>
      </c>
      <c r="N268" s="38" t="s">
        <v>352</v>
      </c>
      <c r="O268" s="36">
        <v>1</v>
      </c>
      <c r="P268" s="33">
        <v>2</v>
      </c>
      <c r="Q268" s="36">
        <v>1</v>
      </c>
      <c r="S268" s="88">
        <v>98443</v>
      </c>
      <c r="T268" s="15" t="s">
        <v>10</v>
      </c>
      <c r="U268" s="55">
        <v>0</v>
      </c>
      <c r="V268" s="55">
        <v>1</v>
      </c>
      <c r="W268" s="55">
        <v>0</v>
      </c>
    </row>
    <row r="269" spans="1:23" x14ac:dyDescent="0.2">
      <c r="A269" s="86">
        <v>98332</v>
      </c>
      <c r="B269" s="38" t="s">
        <v>10</v>
      </c>
      <c r="C269" s="36">
        <v>14</v>
      </c>
      <c r="D269" s="36">
        <v>13</v>
      </c>
      <c r="E269" s="36">
        <v>15</v>
      </c>
      <c r="G269" s="88">
        <v>98580</v>
      </c>
      <c r="H269" s="15" t="s">
        <v>352</v>
      </c>
      <c r="I269" s="55">
        <v>0</v>
      </c>
      <c r="J269" s="55">
        <v>1</v>
      </c>
      <c r="K269" s="55">
        <v>0</v>
      </c>
      <c r="M269" s="59">
        <v>98338</v>
      </c>
      <c r="N269" s="38" t="s">
        <v>10</v>
      </c>
      <c r="O269" s="36">
        <v>53</v>
      </c>
      <c r="P269" s="36">
        <v>72</v>
      </c>
      <c r="Q269" s="36">
        <v>59</v>
      </c>
      <c r="S269" s="88">
        <v>98444</v>
      </c>
      <c r="T269" s="15" t="s">
        <v>352</v>
      </c>
      <c r="U269" s="55">
        <v>0</v>
      </c>
      <c r="V269" s="55">
        <v>1</v>
      </c>
      <c r="W269" s="55">
        <v>0</v>
      </c>
    </row>
    <row r="270" spans="1:23" x14ac:dyDescent="0.2">
      <c r="A270" s="86">
        <v>98335</v>
      </c>
      <c r="B270" s="38" t="s">
        <v>352</v>
      </c>
      <c r="C270" s="36">
        <v>0</v>
      </c>
      <c r="D270" s="36">
        <v>0</v>
      </c>
      <c r="E270" s="36">
        <v>1</v>
      </c>
      <c r="G270" s="88">
        <v>98580</v>
      </c>
      <c r="H270" s="15" t="s">
        <v>10</v>
      </c>
      <c r="I270" s="55">
        <v>8</v>
      </c>
      <c r="J270" s="55">
        <v>4</v>
      </c>
      <c r="K270" s="55">
        <v>3</v>
      </c>
      <c r="M270" s="86">
        <v>98340</v>
      </c>
      <c r="N270" s="38" t="s">
        <v>352</v>
      </c>
      <c r="O270" s="36">
        <v>0</v>
      </c>
      <c r="P270" s="36">
        <v>2</v>
      </c>
      <c r="Q270" s="36">
        <v>1</v>
      </c>
      <c r="S270" s="88">
        <v>98444</v>
      </c>
      <c r="T270" s="15" t="s">
        <v>10</v>
      </c>
      <c r="U270" s="55">
        <v>9</v>
      </c>
      <c r="V270" s="55">
        <v>10</v>
      </c>
      <c r="W270" s="55">
        <v>7</v>
      </c>
    </row>
    <row r="271" spans="1:23" x14ac:dyDescent="0.2">
      <c r="A271" s="86">
        <v>98335</v>
      </c>
      <c r="B271" s="38" t="s">
        <v>10</v>
      </c>
      <c r="C271" s="36">
        <v>14</v>
      </c>
      <c r="D271" s="36">
        <v>13</v>
      </c>
      <c r="E271" s="36">
        <v>14</v>
      </c>
      <c r="G271" s="88">
        <v>98589</v>
      </c>
      <c r="H271" s="15" t="s">
        <v>352</v>
      </c>
      <c r="I271" s="55">
        <v>1</v>
      </c>
      <c r="J271" s="55">
        <v>0</v>
      </c>
      <c r="K271" s="55">
        <v>0</v>
      </c>
      <c r="M271" s="59">
        <v>98340</v>
      </c>
      <c r="N271" s="38" t="s">
        <v>10</v>
      </c>
      <c r="O271" s="36">
        <v>6</v>
      </c>
      <c r="P271" s="36">
        <v>11</v>
      </c>
      <c r="Q271" s="36">
        <v>9</v>
      </c>
      <c r="S271" s="88">
        <v>98445</v>
      </c>
      <c r="T271" s="15" t="s">
        <v>10</v>
      </c>
      <c r="U271" s="55">
        <v>19</v>
      </c>
      <c r="V271" s="55">
        <v>15</v>
      </c>
      <c r="W271" s="55">
        <v>10</v>
      </c>
    </row>
    <row r="272" spans="1:23" x14ac:dyDescent="0.2">
      <c r="A272" s="59">
        <v>98337</v>
      </c>
      <c r="B272" s="38" t="s">
        <v>352</v>
      </c>
      <c r="C272" s="36">
        <v>2</v>
      </c>
      <c r="D272" s="36">
        <v>6</v>
      </c>
      <c r="E272" s="36">
        <v>4</v>
      </c>
      <c r="G272" s="88">
        <v>98589</v>
      </c>
      <c r="H272" s="15" t="s">
        <v>10</v>
      </c>
      <c r="I272" s="55">
        <v>22</v>
      </c>
      <c r="J272" s="55">
        <v>12</v>
      </c>
      <c r="K272" s="55">
        <v>9</v>
      </c>
      <c r="M272" s="86">
        <v>98342</v>
      </c>
      <c r="N272" s="38" t="s">
        <v>10</v>
      </c>
      <c r="O272" s="36">
        <v>0</v>
      </c>
      <c r="P272" s="33">
        <v>3</v>
      </c>
      <c r="Q272" s="36">
        <v>2</v>
      </c>
      <c r="S272" s="88">
        <v>98446</v>
      </c>
      <c r="T272" s="15" t="s">
        <v>10</v>
      </c>
      <c r="U272" s="55">
        <v>8</v>
      </c>
      <c r="V272" s="55">
        <v>10</v>
      </c>
      <c r="W272" s="55">
        <v>6</v>
      </c>
    </row>
    <row r="273" spans="1:23" x14ac:dyDescent="0.2">
      <c r="A273" s="86">
        <v>98337</v>
      </c>
      <c r="B273" s="38" t="s">
        <v>10</v>
      </c>
      <c r="C273" s="36">
        <v>24</v>
      </c>
      <c r="D273" s="36">
        <v>34</v>
      </c>
      <c r="E273" s="33">
        <v>34</v>
      </c>
      <c r="G273" s="88">
        <v>98597</v>
      </c>
      <c r="H273" s="15" t="s">
        <v>352</v>
      </c>
      <c r="I273" s="55">
        <v>0</v>
      </c>
      <c r="J273" s="55">
        <v>0</v>
      </c>
      <c r="K273" s="55">
        <v>2</v>
      </c>
      <c r="M273" s="59">
        <v>98345</v>
      </c>
      <c r="N273" s="38" t="s">
        <v>10</v>
      </c>
      <c r="O273" s="36">
        <v>8</v>
      </c>
      <c r="P273" s="36">
        <v>6</v>
      </c>
      <c r="Q273" s="36">
        <v>3</v>
      </c>
      <c r="S273" s="88">
        <v>98466</v>
      </c>
      <c r="T273" s="15" t="s">
        <v>10</v>
      </c>
      <c r="U273" s="55">
        <v>5</v>
      </c>
      <c r="V273" s="55">
        <v>4</v>
      </c>
      <c r="W273" s="55">
        <v>4</v>
      </c>
    </row>
    <row r="274" spans="1:23" x14ac:dyDescent="0.2">
      <c r="A274" s="59">
        <v>98338</v>
      </c>
      <c r="B274" s="38" t="s">
        <v>352</v>
      </c>
      <c r="C274" s="36">
        <v>2</v>
      </c>
      <c r="D274" s="36">
        <v>2</v>
      </c>
      <c r="E274" s="36">
        <v>2</v>
      </c>
      <c r="G274" s="88">
        <v>98597</v>
      </c>
      <c r="H274" s="15" t="s">
        <v>10</v>
      </c>
      <c r="I274" s="55">
        <v>16</v>
      </c>
      <c r="J274" s="55">
        <v>16</v>
      </c>
      <c r="K274" s="55">
        <v>18</v>
      </c>
      <c r="M274" s="86">
        <v>98346</v>
      </c>
      <c r="N274" s="38" t="s">
        <v>10</v>
      </c>
      <c r="O274" s="36">
        <v>21</v>
      </c>
      <c r="P274" s="36">
        <v>32</v>
      </c>
      <c r="Q274" s="33">
        <v>30</v>
      </c>
      <c r="S274" s="88">
        <v>98467</v>
      </c>
      <c r="T274" s="15" t="s">
        <v>10</v>
      </c>
      <c r="U274" s="55">
        <v>2</v>
      </c>
      <c r="V274" s="55">
        <v>3</v>
      </c>
      <c r="W274" s="55">
        <v>3</v>
      </c>
    </row>
    <row r="275" spans="1:23" x14ac:dyDescent="0.2">
      <c r="A275" s="86">
        <v>98338</v>
      </c>
      <c r="B275" s="38" t="s">
        <v>10</v>
      </c>
      <c r="C275" s="33">
        <v>87</v>
      </c>
      <c r="D275" s="36">
        <v>86</v>
      </c>
      <c r="E275" s="36">
        <v>104</v>
      </c>
      <c r="G275" s="88">
        <v>98922</v>
      </c>
      <c r="H275" s="15" t="s">
        <v>352</v>
      </c>
      <c r="I275" s="55">
        <v>0</v>
      </c>
      <c r="J275" s="55">
        <v>0</v>
      </c>
      <c r="K275" s="55">
        <v>1</v>
      </c>
      <c r="M275" s="59">
        <v>98354</v>
      </c>
      <c r="N275" s="38" t="s">
        <v>352</v>
      </c>
      <c r="O275" s="36">
        <v>1</v>
      </c>
      <c r="P275" s="36">
        <v>0</v>
      </c>
      <c r="Q275" s="36">
        <v>0</v>
      </c>
      <c r="S275" s="88">
        <v>98498</v>
      </c>
      <c r="T275" s="15" t="s">
        <v>352</v>
      </c>
      <c r="U275" s="55">
        <v>0</v>
      </c>
      <c r="V275" s="55">
        <v>0</v>
      </c>
      <c r="W275" s="55">
        <v>1</v>
      </c>
    </row>
    <row r="276" spans="1:23" x14ac:dyDescent="0.2">
      <c r="A276" s="59">
        <v>98340</v>
      </c>
      <c r="B276" s="38" t="s">
        <v>352</v>
      </c>
      <c r="C276" s="36">
        <v>2</v>
      </c>
      <c r="D276" s="36">
        <v>1</v>
      </c>
      <c r="E276" s="36">
        <v>1</v>
      </c>
      <c r="G276" s="88">
        <v>98922</v>
      </c>
      <c r="H276" s="15" t="s">
        <v>10</v>
      </c>
      <c r="I276" s="55">
        <v>3</v>
      </c>
      <c r="J276" s="55">
        <v>8</v>
      </c>
      <c r="K276" s="55">
        <v>8</v>
      </c>
      <c r="M276" s="86">
        <v>98354</v>
      </c>
      <c r="N276" s="38" t="s">
        <v>10</v>
      </c>
      <c r="O276" s="36">
        <v>3</v>
      </c>
      <c r="P276" s="36">
        <v>2</v>
      </c>
      <c r="Q276" s="36">
        <v>3</v>
      </c>
      <c r="S276" s="88">
        <v>98498</v>
      </c>
      <c r="T276" s="15" t="s">
        <v>10</v>
      </c>
      <c r="U276" s="55">
        <v>25</v>
      </c>
      <c r="V276" s="55">
        <v>32</v>
      </c>
      <c r="W276" s="55">
        <v>28</v>
      </c>
    </row>
    <row r="277" spans="1:23" x14ac:dyDescent="0.2">
      <c r="A277" s="86">
        <v>98340</v>
      </c>
      <c r="B277" s="38" t="s">
        <v>10</v>
      </c>
      <c r="C277" s="36">
        <v>4</v>
      </c>
      <c r="D277" s="36">
        <v>8</v>
      </c>
      <c r="E277" s="36">
        <v>12</v>
      </c>
      <c r="G277" s="88">
        <v>98925</v>
      </c>
      <c r="H277" s="15" t="s">
        <v>352</v>
      </c>
      <c r="I277" s="55">
        <v>0</v>
      </c>
      <c r="J277" s="55">
        <v>0</v>
      </c>
      <c r="K277" s="55">
        <v>1</v>
      </c>
      <c r="M277" s="59">
        <v>98359</v>
      </c>
      <c r="N277" s="38" t="s">
        <v>352</v>
      </c>
      <c r="O277" s="36">
        <v>1</v>
      </c>
      <c r="P277" s="36">
        <v>2</v>
      </c>
      <c r="Q277" s="36">
        <v>1</v>
      </c>
      <c r="S277" s="88">
        <v>98499</v>
      </c>
      <c r="T277" s="15" t="s">
        <v>352</v>
      </c>
      <c r="U277" s="55">
        <v>1</v>
      </c>
      <c r="V277" s="55">
        <v>0</v>
      </c>
      <c r="W277" s="55">
        <v>1</v>
      </c>
    </row>
    <row r="278" spans="1:23" x14ac:dyDescent="0.2">
      <c r="A278" s="86">
        <v>98342</v>
      </c>
      <c r="B278" s="38" t="s">
        <v>10</v>
      </c>
      <c r="C278" s="36">
        <v>4</v>
      </c>
      <c r="D278" s="36">
        <v>2</v>
      </c>
      <c r="E278" s="36">
        <v>5</v>
      </c>
      <c r="G278" s="88">
        <v>98926</v>
      </c>
      <c r="H278" s="15" t="s">
        <v>352</v>
      </c>
      <c r="I278" s="55">
        <v>0</v>
      </c>
      <c r="J278" s="55">
        <v>0</v>
      </c>
      <c r="K278" s="55">
        <v>1</v>
      </c>
      <c r="M278" s="86">
        <v>98359</v>
      </c>
      <c r="N278" s="38" t="s">
        <v>10</v>
      </c>
      <c r="O278" s="33">
        <v>8</v>
      </c>
      <c r="P278" s="33">
        <v>11</v>
      </c>
      <c r="Q278" s="36">
        <v>12</v>
      </c>
      <c r="S278" s="88">
        <v>98499</v>
      </c>
      <c r="T278" s="15" t="s">
        <v>10</v>
      </c>
      <c r="U278" s="55">
        <v>7</v>
      </c>
      <c r="V278" s="55">
        <v>8</v>
      </c>
      <c r="W278" s="55">
        <v>11</v>
      </c>
    </row>
    <row r="279" spans="1:23" x14ac:dyDescent="0.2">
      <c r="A279" s="86">
        <v>98345</v>
      </c>
      <c r="B279" s="38" t="s">
        <v>10</v>
      </c>
      <c r="C279" s="33">
        <v>4</v>
      </c>
      <c r="D279" s="36">
        <v>9</v>
      </c>
      <c r="E279" s="36">
        <v>4</v>
      </c>
      <c r="G279" s="88">
        <v>98926</v>
      </c>
      <c r="H279" s="15" t="s">
        <v>10</v>
      </c>
      <c r="I279" s="55">
        <v>6</v>
      </c>
      <c r="J279" s="55">
        <v>6</v>
      </c>
      <c r="K279" s="55">
        <v>4</v>
      </c>
      <c r="M279" s="59">
        <v>98360</v>
      </c>
      <c r="N279" s="38" t="s">
        <v>352</v>
      </c>
      <c r="O279" s="36">
        <v>0</v>
      </c>
      <c r="P279" s="36">
        <v>2</v>
      </c>
      <c r="Q279" s="36">
        <v>3</v>
      </c>
      <c r="S279" s="88">
        <v>98501</v>
      </c>
      <c r="T279" s="15" t="s">
        <v>352</v>
      </c>
      <c r="U279" s="55">
        <v>1</v>
      </c>
      <c r="V279" s="55">
        <v>2</v>
      </c>
      <c r="W279" s="55">
        <v>5</v>
      </c>
    </row>
    <row r="280" spans="1:23" x14ac:dyDescent="0.2">
      <c r="A280" s="86">
        <v>98346</v>
      </c>
      <c r="B280" s="38" t="s">
        <v>10</v>
      </c>
      <c r="C280" s="36">
        <v>40</v>
      </c>
      <c r="D280" s="36">
        <v>40</v>
      </c>
      <c r="E280" s="36">
        <v>46</v>
      </c>
      <c r="G280" s="88">
        <v>98934</v>
      </c>
      <c r="H280" s="15" t="s">
        <v>10</v>
      </c>
      <c r="I280" s="55">
        <v>0</v>
      </c>
      <c r="J280" s="55">
        <v>2</v>
      </c>
      <c r="K280" s="55">
        <v>0</v>
      </c>
      <c r="M280" s="86">
        <v>98360</v>
      </c>
      <c r="N280" s="38" t="s">
        <v>10</v>
      </c>
      <c r="O280" s="36">
        <v>66</v>
      </c>
      <c r="P280" s="33">
        <v>81</v>
      </c>
      <c r="Q280" s="33">
        <v>67</v>
      </c>
      <c r="S280" s="88">
        <v>98501</v>
      </c>
      <c r="T280" s="15" t="s">
        <v>10</v>
      </c>
      <c r="U280" s="55">
        <v>44</v>
      </c>
      <c r="V280" s="55">
        <v>43</v>
      </c>
      <c r="W280" s="55">
        <v>46</v>
      </c>
    </row>
    <row r="281" spans="1:23" x14ac:dyDescent="0.2">
      <c r="A281" s="86">
        <v>98354</v>
      </c>
      <c r="B281" s="38" t="s">
        <v>352</v>
      </c>
      <c r="C281" s="36">
        <v>1</v>
      </c>
      <c r="D281" s="36">
        <v>1</v>
      </c>
      <c r="E281" s="36">
        <v>0</v>
      </c>
      <c r="G281" s="88">
        <v>98940</v>
      </c>
      <c r="H281" s="15" t="s">
        <v>10</v>
      </c>
      <c r="I281" s="55">
        <v>1</v>
      </c>
      <c r="J281" s="55">
        <v>0</v>
      </c>
      <c r="K281" s="55">
        <v>0</v>
      </c>
      <c r="M281" s="59">
        <v>98366</v>
      </c>
      <c r="N281" s="38" t="s">
        <v>352</v>
      </c>
      <c r="O281" s="36">
        <v>0</v>
      </c>
      <c r="P281" s="36">
        <v>1</v>
      </c>
      <c r="Q281" s="36">
        <v>1</v>
      </c>
      <c r="S281" s="88">
        <v>98502</v>
      </c>
      <c r="T281" s="15" t="s">
        <v>352</v>
      </c>
      <c r="U281" s="55">
        <v>1</v>
      </c>
      <c r="V281" s="55">
        <v>3</v>
      </c>
      <c r="W281" s="55">
        <v>1</v>
      </c>
    </row>
    <row r="282" spans="1:23" x14ac:dyDescent="0.2">
      <c r="A282" s="86">
        <v>98354</v>
      </c>
      <c r="B282" s="38" t="s">
        <v>10</v>
      </c>
      <c r="C282" s="36">
        <v>4</v>
      </c>
      <c r="D282" s="33">
        <v>6</v>
      </c>
      <c r="E282" s="33">
        <v>6</v>
      </c>
      <c r="G282" s="88">
        <v>98941</v>
      </c>
      <c r="H282" s="15" t="s">
        <v>352</v>
      </c>
      <c r="I282" s="55">
        <v>0</v>
      </c>
      <c r="J282" s="55">
        <v>1</v>
      </c>
      <c r="K282" s="55">
        <v>0</v>
      </c>
      <c r="M282" s="86">
        <v>98366</v>
      </c>
      <c r="N282" s="38" t="s">
        <v>10</v>
      </c>
      <c r="O282" s="33">
        <v>128</v>
      </c>
      <c r="P282" s="36">
        <v>137</v>
      </c>
      <c r="Q282" s="36">
        <v>129</v>
      </c>
      <c r="S282" s="88">
        <v>98502</v>
      </c>
      <c r="T282" s="15" t="s">
        <v>10</v>
      </c>
      <c r="U282" s="55">
        <v>30</v>
      </c>
      <c r="V282" s="55">
        <v>34</v>
      </c>
      <c r="W282" s="55">
        <v>20</v>
      </c>
    </row>
    <row r="283" spans="1:23" ht="16" thickBot="1" x14ac:dyDescent="0.25">
      <c r="A283" s="59">
        <v>98359</v>
      </c>
      <c r="B283" s="38" t="s">
        <v>352</v>
      </c>
      <c r="C283" s="36">
        <v>1</v>
      </c>
      <c r="D283" s="36">
        <v>2</v>
      </c>
      <c r="E283" s="36">
        <v>1</v>
      </c>
      <c r="G283" s="89"/>
      <c r="H283" s="17" t="s">
        <v>10</v>
      </c>
      <c r="I283" s="56">
        <v>0</v>
      </c>
      <c r="J283" s="56">
        <v>0</v>
      </c>
      <c r="K283" s="56">
        <v>1</v>
      </c>
      <c r="M283" s="59">
        <v>98367</v>
      </c>
      <c r="N283" s="38" t="s">
        <v>10</v>
      </c>
      <c r="O283" s="36">
        <v>84</v>
      </c>
      <c r="P283" s="36">
        <v>115</v>
      </c>
      <c r="Q283" s="36">
        <v>74</v>
      </c>
      <c r="S283" s="88">
        <v>98503</v>
      </c>
      <c r="T283" s="15" t="s">
        <v>352</v>
      </c>
      <c r="U283" s="55">
        <v>0</v>
      </c>
      <c r="V283" s="55">
        <v>2</v>
      </c>
      <c r="W283" s="55">
        <v>0</v>
      </c>
    </row>
    <row r="284" spans="1:23" x14ac:dyDescent="0.2">
      <c r="A284" s="86">
        <v>98359</v>
      </c>
      <c r="B284" s="38" t="s">
        <v>10</v>
      </c>
      <c r="C284" s="36">
        <v>22</v>
      </c>
      <c r="D284" s="36">
        <v>19</v>
      </c>
      <c r="E284" s="36">
        <v>17</v>
      </c>
      <c r="M284" s="86">
        <v>98370</v>
      </c>
      <c r="N284" s="38" t="s">
        <v>352</v>
      </c>
      <c r="O284" s="33">
        <v>5</v>
      </c>
      <c r="P284" s="36">
        <v>6</v>
      </c>
      <c r="Q284" s="33">
        <v>3</v>
      </c>
      <c r="S284" s="88">
        <v>98503</v>
      </c>
      <c r="T284" s="15" t="s">
        <v>10</v>
      </c>
      <c r="U284" s="55">
        <v>32</v>
      </c>
      <c r="V284" s="55">
        <v>45</v>
      </c>
      <c r="W284" s="55">
        <v>37</v>
      </c>
    </row>
    <row r="285" spans="1:23" x14ac:dyDescent="0.2">
      <c r="A285" s="86">
        <v>98360</v>
      </c>
      <c r="B285" s="38" t="s">
        <v>352</v>
      </c>
      <c r="C285" s="36">
        <v>2</v>
      </c>
      <c r="D285" s="36">
        <v>1</v>
      </c>
      <c r="E285" s="36">
        <v>2</v>
      </c>
      <c r="M285" s="59">
        <v>98370</v>
      </c>
      <c r="N285" s="38" t="s">
        <v>10</v>
      </c>
      <c r="O285" s="36">
        <v>60</v>
      </c>
      <c r="P285" s="36">
        <v>66</v>
      </c>
      <c r="Q285" s="36">
        <v>70</v>
      </c>
      <c r="S285" s="88">
        <v>98506</v>
      </c>
      <c r="T285" s="15" t="s">
        <v>352</v>
      </c>
      <c r="U285" s="55">
        <v>2</v>
      </c>
      <c r="V285" s="55">
        <v>0</v>
      </c>
      <c r="W285" s="55">
        <v>1</v>
      </c>
    </row>
    <row r="286" spans="1:23" x14ac:dyDescent="0.2">
      <c r="A286" s="86">
        <v>98360</v>
      </c>
      <c r="B286" s="38" t="s">
        <v>10</v>
      </c>
      <c r="C286" s="36">
        <v>112</v>
      </c>
      <c r="D286" s="36">
        <v>114</v>
      </c>
      <c r="E286" s="36">
        <v>130</v>
      </c>
      <c r="M286" s="86">
        <v>98371</v>
      </c>
      <c r="N286" s="38" t="s">
        <v>352</v>
      </c>
      <c r="O286" s="36">
        <v>1</v>
      </c>
      <c r="P286" s="36">
        <v>1</v>
      </c>
      <c r="Q286" s="36">
        <v>2</v>
      </c>
      <c r="S286" s="88">
        <v>98506</v>
      </c>
      <c r="T286" s="15" t="s">
        <v>10</v>
      </c>
      <c r="U286" s="55">
        <v>20</v>
      </c>
      <c r="V286" s="55">
        <v>25</v>
      </c>
      <c r="W286" s="55">
        <v>16</v>
      </c>
    </row>
    <row r="287" spans="1:23" x14ac:dyDescent="0.2">
      <c r="A287" s="86">
        <v>98366</v>
      </c>
      <c r="B287" s="38" t="s">
        <v>352</v>
      </c>
      <c r="C287" s="33">
        <v>0</v>
      </c>
      <c r="D287" s="36">
        <v>0</v>
      </c>
      <c r="E287" s="36">
        <v>1</v>
      </c>
      <c r="M287" s="86">
        <v>98371</v>
      </c>
      <c r="N287" s="38" t="s">
        <v>10</v>
      </c>
      <c r="O287" s="36">
        <v>68</v>
      </c>
      <c r="P287" s="36">
        <v>91</v>
      </c>
      <c r="Q287" s="36">
        <v>91</v>
      </c>
      <c r="S287" s="88">
        <v>98512</v>
      </c>
      <c r="T287" s="15" t="s">
        <v>352</v>
      </c>
      <c r="U287" s="55">
        <v>2</v>
      </c>
      <c r="V287" s="55">
        <v>3</v>
      </c>
      <c r="W287" s="55">
        <v>3</v>
      </c>
    </row>
    <row r="288" spans="1:23" x14ac:dyDescent="0.2">
      <c r="A288" s="59">
        <v>98366</v>
      </c>
      <c r="B288" s="38" t="s">
        <v>10</v>
      </c>
      <c r="C288" s="36">
        <v>194</v>
      </c>
      <c r="D288" s="36">
        <v>191</v>
      </c>
      <c r="E288" s="36">
        <v>211</v>
      </c>
      <c r="M288" s="86">
        <v>98372</v>
      </c>
      <c r="N288" s="38" t="s">
        <v>352</v>
      </c>
      <c r="O288" s="33">
        <v>2</v>
      </c>
      <c r="P288" s="36">
        <v>1</v>
      </c>
      <c r="Q288" s="33">
        <v>4</v>
      </c>
      <c r="S288" s="88">
        <v>98512</v>
      </c>
      <c r="T288" s="15" t="s">
        <v>10</v>
      </c>
      <c r="U288" s="55">
        <v>22</v>
      </c>
      <c r="V288" s="55">
        <v>27</v>
      </c>
      <c r="W288" s="55">
        <v>29</v>
      </c>
    </row>
    <row r="289" spans="1:23" x14ac:dyDescent="0.2">
      <c r="A289" s="86">
        <v>98367</v>
      </c>
      <c r="B289" s="38" t="s">
        <v>352</v>
      </c>
      <c r="C289" s="36">
        <v>2</v>
      </c>
      <c r="D289" s="36">
        <v>2</v>
      </c>
      <c r="E289" s="36">
        <v>1</v>
      </c>
      <c r="M289" s="59">
        <v>98372</v>
      </c>
      <c r="N289" s="38" t="s">
        <v>10</v>
      </c>
      <c r="O289" s="36">
        <v>128</v>
      </c>
      <c r="P289" s="36">
        <v>125</v>
      </c>
      <c r="Q289" s="36">
        <v>123</v>
      </c>
      <c r="S289" s="88">
        <v>98513</v>
      </c>
      <c r="T289" s="15" t="s">
        <v>10</v>
      </c>
      <c r="U289" s="55">
        <v>31</v>
      </c>
      <c r="V289" s="55">
        <v>38</v>
      </c>
      <c r="W289" s="55">
        <v>27</v>
      </c>
    </row>
    <row r="290" spans="1:23" x14ac:dyDescent="0.2">
      <c r="A290" s="86">
        <v>98367</v>
      </c>
      <c r="B290" s="38" t="s">
        <v>10</v>
      </c>
      <c r="C290" s="36">
        <v>126</v>
      </c>
      <c r="D290" s="36">
        <v>135</v>
      </c>
      <c r="E290" s="36">
        <v>170</v>
      </c>
      <c r="M290" s="86">
        <v>98373</v>
      </c>
      <c r="N290" s="38" t="s">
        <v>352</v>
      </c>
      <c r="O290" s="36">
        <v>0</v>
      </c>
      <c r="P290" s="36">
        <v>1</v>
      </c>
      <c r="Q290" s="36">
        <v>2</v>
      </c>
      <c r="S290" s="88">
        <v>98516</v>
      </c>
      <c r="T290" s="15" t="s">
        <v>352</v>
      </c>
      <c r="U290" s="55">
        <v>1</v>
      </c>
      <c r="V290" s="55">
        <v>1</v>
      </c>
      <c r="W290" s="55">
        <v>2</v>
      </c>
    </row>
    <row r="291" spans="1:23" x14ac:dyDescent="0.2">
      <c r="A291" s="86">
        <v>98370</v>
      </c>
      <c r="B291" s="38" t="s">
        <v>352</v>
      </c>
      <c r="C291" s="36">
        <v>6</v>
      </c>
      <c r="D291" s="36">
        <v>6</v>
      </c>
      <c r="E291" s="36">
        <v>10</v>
      </c>
      <c r="M291" s="86">
        <v>98373</v>
      </c>
      <c r="N291" s="38" t="s">
        <v>10</v>
      </c>
      <c r="O291" s="36">
        <v>103</v>
      </c>
      <c r="P291" s="36">
        <v>129</v>
      </c>
      <c r="Q291" s="36">
        <v>102</v>
      </c>
      <c r="S291" s="88">
        <v>98516</v>
      </c>
      <c r="T291" s="15" t="s">
        <v>10</v>
      </c>
      <c r="U291" s="55">
        <v>18</v>
      </c>
      <c r="V291" s="55">
        <v>24</v>
      </c>
      <c r="W291" s="55">
        <v>19</v>
      </c>
    </row>
    <row r="292" spans="1:23" x14ac:dyDescent="0.2">
      <c r="A292" s="86">
        <v>98370</v>
      </c>
      <c r="B292" s="38" t="s">
        <v>10</v>
      </c>
      <c r="C292" s="36">
        <v>108</v>
      </c>
      <c r="D292" s="36">
        <v>102</v>
      </c>
      <c r="E292" s="36">
        <v>111</v>
      </c>
      <c r="M292" s="59">
        <v>98374</v>
      </c>
      <c r="N292" s="38" t="s">
        <v>352</v>
      </c>
      <c r="O292" s="36">
        <v>0</v>
      </c>
      <c r="P292" s="36">
        <v>0</v>
      </c>
      <c r="Q292" s="36">
        <v>1</v>
      </c>
      <c r="S292" s="88">
        <v>98530</v>
      </c>
      <c r="T292" s="15" t="s">
        <v>10</v>
      </c>
      <c r="U292" s="55">
        <v>3</v>
      </c>
      <c r="V292" s="55">
        <v>1</v>
      </c>
      <c r="W292" s="55">
        <v>1</v>
      </c>
    </row>
    <row r="293" spans="1:23" x14ac:dyDescent="0.2">
      <c r="A293" s="86">
        <v>98371</v>
      </c>
      <c r="B293" s="38" t="s">
        <v>352</v>
      </c>
      <c r="C293" s="36">
        <v>1</v>
      </c>
      <c r="D293" s="36">
        <v>2</v>
      </c>
      <c r="E293" s="36">
        <v>0</v>
      </c>
      <c r="M293" s="86">
        <v>98374</v>
      </c>
      <c r="N293" s="38" t="s">
        <v>10</v>
      </c>
      <c r="O293" s="36">
        <v>176</v>
      </c>
      <c r="P293" s="36">
        <v>180</v>
      </c>
      <c r="Q293" s="36">
        <v>153</v>
      </c>
      <c r="S293" s="88">
        <v>98531</v>
      </c>
      <c r="T293" s="15" t="s">
        <v>352</v>
      </c>
      <c r="U293" s="55">
        <v>0</v>
      </c>
      <c r="V293" s="55">
        <v>0</v>
      </c>
      <c r="W293" s="55">
        <v>1</v>
      </c>
    </row>
    <row r="294" spans="1:23" x14ac:dyDescent="0.2">
      <c r="A294" s="86">
        <v>98371</v>
      </c>
      <c r="B294" s="38" t="s">
        <v>10</v>
      </c>
      <c r="C294" s="36">
        <v>114</v>
      </c>
      <c r="D294" s="36">
        <v>109</v>
      </c>
      <c r="E294" s="36">
        <v>131</v>
      </c>
      <c r="M294" s="59">
        <v>98375</v>
      </c>
      <c r="N294" s="38" t="s">
        <v>352</v>
      </c>
      <c r="O294" s="36">
        <v>0</v>
      </c>
      <c r="P294" s="36">
        <v>2</v>
      </c>
      <c r="Q294" s="36">
        <v>1</v>
      </c>
      <c r="S294" s="88">
        <v>98531</v>
      </c>
      <c r="T294" s="15" t="s">
        <v>10</v>
      </c>
      <c r="U294" s="55">
        <v>2</v>
      </c>
      <c r="V294" s="55">
        <v>5</v>
      </c>
      <c r="W294" s="55">
        <v>6</v>
      </c>
    </row>
    <row r="295" spans="1:23" x14ac:dyDescent="0.2">
      <c r="A295" s="86">
        <v>98372</v>
      </c>
      <c r="B295" s="38" t="s">
        <v>352</v>
      </c>
      <c r="C295" s="36">
        <v>1</v>
      </c>
      <c r="D295" s="36">
        <v>2</v>
      </c>
      <c r="E295" s="36">
        <v>1</v>
      </c>
      <c r="M295" s="86">
        <v>98375</v>
      </c>
      <c r="N295" s="38" t="s">
        <v>10</v>
      </c>
      <c r="O295" s="36">
        <v>117</v>
      </c>
      <c r="P295" s="33">
        <v>117</v>
      </c>
      <c r="Q295" s="33">
        <v>107</v>
      </c>
      <c r="S295" s="88">
        <v>98532</v>
      </c>
      <c r="T295" s="15" t="s">
        <v>352</v>
      </c>
      <c r="U295" s="55">
        <v>0</v>
      </c>
      <c r="V295" s="55">
        <v>0</v>
      </c>
      <c r="W295" s="55">
        <v>1</v>
      </c>
    </row>
    <row r="296" spans="1:23" x14ac:dyDescent="0.2">
      <c r="A296" s="86">
        <v>98372</v>
      </c>
      <c r="B296" s="38" t="s">
        <v>10</v>
      </c>
      <c r="C296" s="36">
        <v>155</v>
      </c>
      <c r="D296" s="36">
        <v>173</v>
      </c>
      <c r="E296" s="36">
        <v>176</v>
      </c>
      <c r="M296" s="59">
        <v>98380</v>
      </c>
      <c r="N296" s="38" t="s">
        <v>352</v>
      </c>
      <c r="O296" s="36">
        <v>1</v>
      </c>
      <c r="P296" s="36">
        <v>2</v>
      </c>
      <c r="Q296" s="36">
        <v>2</v>
      </c>
      <c r="S296" s="88">
        <v>98532</v>
      </c>
      <c r="T296" s="15" t="s">
        <v>10</v>
      </c>
      <c r="U296" s="55">
        <v>2</v>
      </c>
      <c r="V296" s="55">
        <v>0</v>
      </c>
      <c r="W296" s="55">
        <v>0</v>
      </c>
    </row>
    <row r="297" spans="1:23" x14ac:dyDescent="0.2">
      <c r="A297" s="86">
        <v>98373</v>
      </c>
      <c r="B297" s="38" t="s">
        <v>352</v>
      </c>
      <c r="C297" s="36">
        <v>1</v>
      </c>
      <c r="D297" s="36">
        <v>2</v>
      </c>
      <c r="E297" s="36">
        <v>2</v>
      </c>
      <c r="M297" s="86">
        <v>98380</v>
      </c>
      <c r="N297" s="38" t="s">
        <v>10</v>
      </c>
      <c r="O297" s="36">
        <v>21</v>
      </c>
      <c r="P297" s="36">
        <v>36</v>
      </c>
      <c r="Q297" s="36">
        <v>21</v>
      </c>
      <c r="S297" s="88">
        <v>98558</v>
      </c>
      <c r="T297" s="15" t="s">
        <v>10</v>
      </c>
      <c r="U297" s="55">
        <v>0</v>
      </c>
      <c r="V297" s="55">
        <v>1</v>
      </c>
      <c r="W297" s="55">
        <v>0</v>
      </c>
    </row>
    <row r="298" spans="1:23" x14ac:dyDescent="0.2">
      <c r="A298" s="86">
        <v>98373</v>
      </c>
      <c r="B298" s="38" t="s">
        <v>10</v>
      </c>
      <c r="C298" s="36">
        <v>137</v>
      </c>
      <c r="D298" s="36">
        <v>130</v>
      </c>
      <c r="E298" s="36">
        <v>164</v>
      </c>
      <c r="M298" s="86">
        <v>98383</v>
      </c>
      <c r="N298" s="38" t="s">
        <v>352</v>
      </c>
      <c r="O298" s="36">
        <v>2</v>
      </c>
      <c r="P298" s="36">
        <v>0</v>
      </c>
      <c r="Q298" s="33">
        <v>1</v>
      </c>
      <c r="S298" s="88">
        <v>98576</v>
      </c>
      <c r="T298" s="15" t="s">
        <v>352</v>
      </c>
      <c r="U298" s="55">
        <v>0</v>
      </c>
      <c r="V298" s="55">
        <v>0</v>
      </c>
      <c r="W298" s="55">
        <v>1</v>
      </c>
    </row>
    <row r="299" spans="1:23" x14ac:dyDescent="0.2">
      <c r="A299" s="86">
        <v>98374</v>
      </c>
      <c r="B299" s="38" t="s">
        <v>352</v>
      </c>
      <c r="C299" s="33">
        <v>1</v>
      </c>
      <c r="D299" s="36">
        <v>0</v>
      </c>
      <c r="E299" s="36">
        <v>0</v>
      </c>
      <c r="M299" s="59">
        <v>98383</v>
      </c>
      <c r="N299" s="38" t="s">
        <v>10</v>
      </c>
      <c r="O299" s="36">
        <v>41</v>
      </c>
      <c r="P299" s="33">
        <v>60</v>
      </c>
      <c r="Q299" s="33">
        <v>59</v>
      </c>
      <c r="S299" s="88">
        <v>98576</v>
      </c>
      <c r="T299" s="15" t="s">
        <v>10</v>
      </c>
      <c r="U299" s="55">
        <v>3</v>
      </c>
      <c r="V299" s="55">
        <v>3</v>
      </c>
      <c r="W299" s="55">
        <v>3</v>
      </c>
    </row>
    <row r="300" spans="1:23" x14ac:dyDescent="0.2">
      <c r="A300" s="59">
        <v>98374</v>
      </c>
      <c r="B300" s="38" t="s">
        <v>10</v>
      </c>
      <c r="C300" s="36">
        <v>235</v>
      </c>
      <c r="D300" s="36">
        <v>258</v>
      </c>
      <c r="E300" s="36">
        <v>285</v>
      </c>
      <c r="M300" s="86">
        <v>98385</v>
      </c>
      <c r="N300" s="38" t="s">
        <v>10</v>
      </c>
      <c r="O300" s="33">
        <v>0</v>
      </c>
      <c r="P300" s="33">
        <v>3</v>
      </c>
      <c r="Q300" s="36">
        <v>0</v>
      </c>
      <c r="S300" s="88">
        <v>98579</v>
      </c>
      <c r="T300" s="15" t="s">
        <v>352</v>
      </c>
      <c r="U300" s="55">
        <v>0</v>
      </c>
      <c r="V300" s="55">
        <v>1</v>
      </c>
      <c r="W300" s="55">
        <v>0</v>
      </c>
    </row>
    <row r="301" spans="1:23" x14ac:dyDescent="0.2">
      <c r="A301" s="86">
        <v>98375</v>
      </c>
      <c r="B301" s="38" t="s">
        <v>352</v>
      </c>
      <c r="C301" s="36">
        <v>1</v>
      </c>
      <c r="D301" s="36">
        <v>0</v>
      </c>
      <c r="E301" s="36">
        <v>0</v>
      </c>
      <c r="M301" s="59">
        <v>98387</v>
      </c>
      <c r="N301" s="38" t="s">
        <v>352</v>
      </c>
      <c r="O301" s="36">
        <v>1</v>
      </c>
      <c r="P301" s="36">
        <v>0</v>
      </c>
      <c r="Q301" s="36">
        <v>1</v>
      </c>
      <c r="S301" s="88">
        <v>98579</v>
      </c>
      <c r="T301" s="15" t="s">
        <v>10</v>
      </c>
      <c r="U301" s="55">
        <v>21</v>
      </c>
      <c r="V301" s="55">
        <v>27</v>
      </c>
      <c r="W301" s="55">
        <v>21</v>
      </c>
    </row>
    <row r="302" spans="1:23" x14ac:dyDescent="0.2">
      <c r="A302" s="59">
        <v>98375</v>
      </c>
      <c r="B302" s="38" t="s">
        <v>10</v>
      </c>
      <c r="C302" s="36">
        <v>137</v>
      </c>
      <c r="D302" s="36">
        <v>154</v>
      </c>
      <c r="E302" s="36">
        <v>161</v>
      </c>
      <c r="M302" s="86">
        <v>98387</v>
      </c>
      <c r="N302" s="38" t="s">
        <v>10</v>
      </c>
      <c r="O302" s="36">
        <v>86</v>
      </c>
      <c r="P302" s="36">
        <v>90</v>
      </c>
      <c r="Q302" s="36">
        <v>100</v>
      </c>
      <c r="S302" s="88">
        <v>98580</v>
      </c>
      <c r="T302" s="15" t="s">
        <v>352</v>
      </c>
      <c r="U302" s="55">
        <v>1</v>
      </c>
      <c r="V302" s="55">
        <v>2</v>
      </c>
      <c r="W302" s="55">
        <v>0</v>
      </c>
    </row>
    <row r="303" spans="1:23" x14ac:dyDescent="0.2">
      <c r="A303" s="86">
        <v>98380</v>
      </c>
      <c r="B303" s="38" t="s">
        <v>352</v>
      </c>
      <c r="C303" s="36">
        <v>3</v>
      </c>
      <c r="D303" s="36">
        <v>1</v>
      </c>
      <c r="E303" s="36">
        <v>2</v>
      </c>
      <c r="M303" s="86">
        <v>98388</v>
      </c>
      <c r="N303" s="38" t="s">
        <v>10</v>
      </c>
      <c r="O303" s="33">
        <v>3</v>
      </c>
      <c r="P303" s="33">
        <v>7</v>
      </c>
      <c r="Q303" s="36">
        <v>4</v>
      </c>
      <c r="S303" s="88">
        <v>98580</v>
      </c>
      <c r="T303" s="15" t="s">
        <v>10</v>
      </c>
      <c r="U303" s="55">
        <v>13</v>
      </c>
      <c r="V303" s="55">
        <v>7</v>
      </c>
      <c r="W303" s="55">
        <v>12</v>
      </c>
    </row>
    <row r="304" spans="1:23" x14ac:dyDescent="0.2">
      <c r="A304" s="59">
        <v>98380</v>
      </c>
      <c r="B304" s="38" t="s">
        <v>10</v>
      </c>
      <c r="C304" s="36">
        <v>39</v>
      </c>
      <c r="D304" s="36">
        <v>33</v>
      </c>
      <c r="E304" s="36">
        <v>50</v>
      </c>
      <c r="M304" s="59">
        <v>98390</v>
      </c>
      <c r="N304" s="38" t="s">
        <v>352</v>
      </c>
      <c r="O304" s="36">
        <v>2</v>
      </c>
      <c r="P304" s="36">
        <v>6</v>
      </c>
      <c r="Q304" s="36">
        <v>2</v>
      </c>
      <c r="S304" s="88">
        <v>98589</v>
      </c>
      <c r="T304" s="15" t="s">
        <v>10</v>
      </c>
      <c r="U304" s="55">
        <v>9</v>
      </c>
      <c r="V304" s="55">
        <v>16</v>
      </c>
      <c r="W304" s="55">
        <v>14</v>
      </c>
    </row>
    <row r="305" spans="1:23" x14ac:dyDescent="0.2">
      <c r="A305" s="86">
        <v>98383</v>
      </c>
      <c r="B305" s="38" t="s">
        <v>352</v>
      </c>
      <c r="C305" s="36">
        <v>1</v>
      </c>
      <c r="D305" s="36">
        <v>2</v>
      </c>
      <c r="E305" s="36">
        <v>2</v>
      </c>
      <c r="M305" s="86">
        <v>98390</v>
      </c>
      <c r="N305" s="38" t="s">
        <v>10</v>
      </c>
      <c r="O305" s="33">
        <v>62</v>
      </c>
      <c r="P305" s="36">
        <v>56</v>
      </c>
      <c r="Q305" s="36">
        <v>42</v>
      </c>
      <c r="S305" s="88">
        <v>98597</v>
      </c>
      <c r="T305" s="15" t="s">
        <v>352</v>
      </c>
      <c r="U305" s="55">
        <v>2</v>
      </c>
      <c r="V305" s="55">
        <v>1</v>
      </c>
      <c r="W305" s="55">
        <v>2</v>
      </c>
    </row>
    <row r="306" spans="1:23" x14ac:dyDescent="0.2">
      <c r="A306" s="59">
        <v>98383</v>
      </c>
      <c r="B306" s="38" t="s">
        <v>10</v>
      </c>
      <c r="C306" s="36">
        <v>77</v>
      </c>
      <c r="D306" s="36">
        <v>78</v>
      </c>
      <c r="E306" s="36">
        <v>82</v>
      </c>
      <c r="M306" s="59">
        <v>98391</v>
      </c>
      <c r="N306" s="38" t="s">
        <v>352</v>
      </c>
      <c r="O306" s="36">
        <v>4</v>
      </c>
      <c r="P306" s="36">
        <v>4</v>
      </c>
      <c r="Q306" s="36">
        <v>5</v>
      </c>
      <c r="S306" s="88">
        <v>98597</v>
      </c>
      <c r="T306" s="15" t="s">
        <v>10</v>
      </c>
      <c r="U306" s="55">
        <v>26</v>
      </c>
      <c r="V306" s="55">
        <v>37</v>
      </c>
      <c r="W306" s="55">
        <v>34</v>
      </c>
    </row>
    <row r="307" spans="1:23" x14ac:dyDescent="0.2">
      <c r="A307" s="86">
        <v>98385</v>
      </c>
      <c r="B307" s="38" t="s">
        <v>10</v>
      </c>
      <c r="C307" s="36">
        <v>1</v>
      </c>
      <c r="D307" s="36">
        <v>0</v>
      </c>
      <c r="E307" s="36">
        <v>1</v>
      </c>
      <c r="M307" s="86">
        <v>98391</v>
      </c>
      <c r="N307" s="38" t="s">
        <v>10</v>
      </c>
      <c r="O307" s="36">
        <v>191</v>
      </c>
      <c r="P307" s="36">
        <v>214</v>
      </c>
      <c r="Q307" s="36">
        <v>173</v>
      </c>
      <c r="S307" s="88">
        <v>98922</v>
      </c>
      <c r="T307" s="15" t="s">
        <v>352</v>
      </c>
      <c r="U307" s="55">
        <v>1</v>
      </c>
      <c r="V307" s="55">
        <v>1</v>
      </c>
      <c r="W307" s="55">
        <v>0</v>
      </c>
    </row>
    <row r="308" spans="1:23" x14ac:dyDescent="0.2">
      <c r="A308" s="59">
        <v>98387</v>
      </c>
      <c r="B308" s="38" t="s">
        <v>352</v>
      </c>
      <c r="C308" s="36">
        <v>0</v>
      </c>
      <c r="D308" s="36">
        <v>1</v>
      </c>
      <c r="E308" s="36">
        <v>1</v>
      </c>
      <c r="M308" s="86">
        <v>98392</v>
      </c>
      <c r="N308" s="38" t="s">
        <v>10</v>
      </c>
      <c r="O308" s="36">
        <v>9</v>
      </c>
      <c r="P308" s="36">
        <v>17</v>
      </c>
      <c r="Q308" s="36">
        <v>12</v>
      </c>
      <c r="S308" s="88">
        <v>98922</v>
      </c>
      <c r="T308" s="15" t="s">
        <v>10</v>
      </c>
      <c r="U308" s="55">
        <v>5</v>
      </c>
      <c r="V308" s="55">
        <v>7</v>
      </c>
      <c r="W308" s="55">
        <v>4</v>
      </c>
    </row>
    <row r="309" spans="1:23" x14ac:dyDescent="0.2">
      <c r="A309" s="86">
        <v>98387</v>
      </c>
      <c r="B309" s="38" t="s">
        <v>10</v>
      </c>
      <c r="C309" s="36">
        <v>123</v>
      </c>
      <c r="D309" s="36">
        <v>128</v>
      </c>
      <c r="E309" s="36">
        <v>130</v>
      </c>
      <c r="M309" s="86">
        <v>98396</v>
      </c>
      <c r="N309" s="38" t="s">
        <v>10</v>
      </c>
      <c r="O309" s="36">
        <v>3</v>
      </c>
      <c r="P309" s="33">
        <v>9</v>
      </c>
      <c r="Q309" s="33">
        <v>5</v>
      </c>
      <c r="S309" s="88">
        <v>98926</v>
      </c>
      <c r="T309" s="15" t="s">
        <v>10</v>
      </c>
      <c r="U309" s="55">
        <v>3</v>
      </c>
      <c r="V309" s="55">
        <v>7</v>
      </c>
      <c r="W309" s="55">
        <v>7</v>
      </c>
    </row>
    <row r="310" spans="1:23" x14ac:dyDescent="0.2">
      <c r="A310" s="86">
        <v>98388</v>
      </c>
      <c r="B310" s="38" t="s">
        <v>10</v>
      </c>
      <c r="C310" s="36">
        <v>6</v>
      </c>
      <c r="D310" s="36">
        <v>6</v>
      </c>
      <c r="E310" s="36">
        <v>8</v>
      </c>
      <c r="M310" s="59">
        <v>98402</v>
      </c>
      <c r="N310" s="38" t="s">
        <v>352</v>
      </c>
      <c r="O310" s="36">
        <v>0</v>
      </c>
      <c r="P310" s="36">
        <v>0</v>
      </c>
      <c r="Q310" s="36">
        <v>1</v>
      </c>
      <c r="S310" s="88">
        <v>98934</v>
      </c>
      <c r="T310" s="15" t="s">
        <v>10</v>
      </c>
      <c r="U310" s="55">
        <v>2</v>
      </c>
      <c r="V310" s="55">
        <v>1</v>
      </c>
      <c r="W310" s="55">
        <v>3</v>
      </c>
    </row>
    <row r="311" spans="1:23" x14ac:dyDescent="0.2">
      <c r="A311" s="59">
        <v>98390</v>
      </c>
      <c r="B311" s="38" t="s">
        <v>352</v>
      </c>
      <c r="C311" s="36">
        <v>5</v>
      </c>
      <c r="D311" s="36">
        <v>5</v>
      </c>
      <c r="E311" s="36">
        <v>9</v>
      </c>
      <c r="M311" s="86">
        <v>98402</v>
      </c>
      <c r="N311" s="38" t="s">
        <v>10</v>
      </c>
      <c r="O311" s="36">
        <v>1</v>
      </c>
      <c r="P311" s="33">
        <v>1</v>
      </c>
      <c r="Q311" s="33">
        <v>0</v>
      </c>
      <c r="S311" s="88">
        <v>98940</v>
      </c>
      <c r="T311" s="15" t="s">
        <v>10</v>
      </c>
      <c r="U311" s="55">
        <v>1</v>
      </c>
      <c r="V311" s="55">
        <v>2</v>
      </c>
      <c r="W311" s="55">
        <v>1</v>
      </c>
    </row>
    <row r="312" spans="1:23" x14ac:dyDescent="0.2">
      <c r="A312" s="86">
        <v>98390</v>
      </c>
      <c r="B312" s="38" t="s">
        <v>10</v>
      </c>
      <c r="C312" s="36">
        <v>80</v>
      </c>
      <c r="D312" s="36">
        <v>89</v>
      </c>
      <c r="E312" s="36">
        <v>84</v>
      </c>
      <c r="M312" s="59">
        <v>98403</v>
      </c>
      <c r="N312" s="38" t="s">
        <v>10</v>
      </c>
      <c r="O312" s="36">
        <v>4</v>
      </c>
      <c r="P312" s="36">
        <v>2</v>
      </c>
      <c r="Q312" s="36">
        <v>3</v>
      </c>
      <c r="S312" s="88">
        <v>98941</v>
      </c>
      <c r="T312" s="15" t="s">
        <v>352</v>
      </c>
      <c r="U312" s="55">
        <v>0</v>
      </c>
      <c r="V312" s="55">
        <v>0</v>
      </c>
      <c r="W312" s="55">
        <v>1</v>
      </c>
    </row>
    <row r="313" spans="1:23" x14ac:dyDescent="0.2">
      <c r="A313" s="59">
        <v>98391</v>
      </c>
      <c r="B313" s="38" t="s">
        <v>352</v>
      </c>
      <c r="C313" s="36">
        <v>0</v>
      </c>
      <c r="D313" s="36">
        <v>4</v>
      </c>
      <c r="E313" s="36">
        <v>3</v>
      </c>
      <c r="M313" s="86">
        <v>98404</v>
      </c>
      <c r="N313" s="38" t="s">
        <v>352</v>
      </c>
      <c r="O313" s="33">
        <v>1</v>
      </c>
      <c r="P313" s="33">
        <v>1</v>
      </c>
      <c r="Q313" s="36">
        <v>0</v>
      </c>
      <c r="S313" s="88">
        <v>98941</v>
      </c>
      <c r="T313" s="15" t="s">
        <v>10</v>
      </c>
      <c r="U313" s="55">
        <v>1</v>
      </c>
      <c r="V313" s="55">
        <v>0</v>
      </c>
      <c r="W313" s="55">
        <v>1</v>
      </c>
    </row>
    <row r="314" spans="1:23" x14ac:dyDescent="0.2">
      <c r="A314" s="86">
        <v>98391</v>
      </c>
      <c r="B314" s="38" t="s">
        <v>10</v>
      </c>
      <c r="C314" s="36">
        <v>310</v>
      </c>
      <c r="D314" s="36">
        <v>305</v>
      </c>
      <c r="E314" s="36">
        <v>319</v>
      </c>
      <c r="M314" s="86">
        <v>98404</v>
      </c>
      <c r="N314" s="38" t="s">
        <v>10</v>
      </c>
      <c r="O314" s="36">
        <v>19</v>
      </c>
      <c r="P314" s="36">
        <v>31</v>
      </c>
      <c r="Q314" s="36">
        <v>28</v>
      </c>
      <c r="S314" s="88">
        <v>98946</v>
      </c>
      <c r="T314" s="15" t="s">
        <v>10</v>
      </c>
      <c r="U314" s="55">
        <v>1</v>
      </c>
      <c r="V314" s="55">
        <v>0</v>
      </c>
      <c r="W314" s="55">
        <v>0</v>
      </c>
    </row>
    <row r="315" spans="1:23" ht="16" thickBot="1" x14ac:dyDescent="0.25">
      <c r="A315" s="59">
        <v>98392</v>
      </c>
      <c r="B315" s="38" t="s">
        <v>352</v>
      </c>
      <c r="C315" s="36">
        <v>1</v>
      </c>
      <c r="D315" s="36">
        <v>0</v>
      </c>
      <c r="E315" s="36">
        <v>0</v>
      </c>
      <c r="M315" s="86">
        <v>98405</v>
      </c>
      <c r="N315" s="38" t="s">
        <v>352</v>
      </c>
      <c r="O315" s="36">
        <v>2</v>
      </c>
      <c r="P315" s="33">
        <v>3</v>
      </c>
      <c r="Q315" s="33">
        <v>3</v>
      </c>
      <c r="S315" s="89"/>
      <c r="T315" s="17" t="s">
        <v>352</v>
      </c>
      <c r="U315" s="56">
        <v>0</v>
      </c>
      <c r="V315" s="56">
        <v>1</v>
      </c>
      <c r="W315" s="56">
        <v>0</v>
      </c>
    </row>
    <row r="316" spans="1:23" x14ac:dyDescent="0.2">
      <c r="A316" s="86">
        <v>98392</v>
      </c>
      <c r="B316" s="38" t="s">
        <v>10</v>
      </c>
      <c r="C316" s="36">
        <v>18</v>
      </c>
      <c r="D316" s="36">
        <v>17</v>
      </c>
      <c r="E316" s="36">
        <v>16</v>
      </c>
      <c r="M316" s="59">
        <v>98405</v>
      </c>
      <c r="N316" s="38" t="s">
        <v>10</v>
      </c>
      <c r="O316" s="36">
        <v>22</v>
      </c>
      <c r="P316" s="36">
        <v>26</v>
      </c>
      <c r="Q316" s="36">
        <v>24</v>
      </c>
    </row>
    <row r="317" spans="1:23" x14ac:dyDescent="0.2">
      <c r="A317" s="86">
        <v>98396</v>
      </c>
      <c r="B317" s="38" t="s">
        <v>10</v>
      </c>
      <c r="C317" s="36">
        <v>9</v>
      </c>
      <c r="D317" s="33">
        <v>8</v>
      </c>
      <c r="E317" s="33">
        <v>8</v>
      </c>
      <c r="M317" s="86">
        <v>98406</v>
      </c>
      <c r="N317" s="38" t="s">
        <v>352</v>
      </c>
      <c r="O317" s="36">
        <v>1</v>
      </c>
      <c r="P317" s="36">
        <v>0</v>
      </c>
      <c r="Q317" s="36">
        <v>2</v>
      </c>
    </row>
    <row r="318" spans="1:23" x14ac:dyDescent="0.2">
      <c r="A318" s="59">
        <v>98402</v>
      </c>
      <c r="B318" s="38" t="s">
        <v>352</v>
      </c>
      <c r="C318" s="36">
        <v>2</v>
      </c>
      <c r="D318" s="36">
        <v>2</v>
      </c>
      <c r="E318" s="36">
        <v>1</v>
      </c>
      <c r="M318" s="86">
        <v>98406</v>
      </c>
      <c r="N318" s="38" t="s">
        <v>10</v>
      </c>
      <c r="O318" s="36">
        <v>21</v>
      </c>
      <c r="P318" s="33">
        <v>19</v>
      </c>
      <c r="Q318" s="33">
        <v>13</v>
      </c>
    </row>
    <row r="319" spans="1:23" x14ac:dyDescent="0.2">
      <c r="A319" s="86">
        <v>98402</v>
      </c>
      <c r="B319" s="38" t="s">
        <v>10</v>
      </c>
      <c r="C319" s="36">
        <v>1</v>
      </c>
      <c r="D319" s="36">
        <v>2</v>
      </c>
      <c r="E319" s="36">
        <v>2</v>
      </c>
      <c r="M319" s="86">
        <v>98407</v>
      </c>
      <c r="N319" s="38" t="s">
        <v>10</v>
      </c>
      <c r="O319" s="33">
        <v>10</v>
      </c>
      <c r="P319" s="33">
        <v>11</v>
      </c>
      <c r="Q319" s="36">
        <v>9</v>
      </c>
    </row>
    <row r="320" spans="1:23" x14ac:dyDescent="0.2">
      <c r="A320" s="86">
        <v>98403</v>
      </c>
      <c r="B320" s="38" t="s">
        <v>352</v>
      </c>
      <c r="C320" s="36">
        <v>2</v>
      </c>
      <c r="D320" s="36">
        <v>2</v>
      </c>
      <c r="E320" s="36">
        <v>1</v>
      </c>
      <c r="M320" s="59">
        <v>98408</v>
      </c>
      <c r="N320" s="38" t="s">
        <v>352</v>
      </c>
      <c r="O320" s="36">
        <v>3</v>
      </c>
      <c r="P320" s="36">
        <v>1</v>
      </c>
      <c r="Q320" s="36">
        <v>0</v>
      </c>
    </row>
    <row r="321" spans="1:17" x14ac:dyDescent="0.2">
      <c r="A321" s="86">
        <v>98403</v>
      </c>
      <c r="B321" s="38" t="s">
        <v>10</v>
      </c>
      <c r="C321" s="36">
        <v>3</v>
      </c>
      <c r="D321" s="36">
        <v>5</v>
      </c>
      <c r="E321" s="36">
        <v>6</v>
      </c>
      <c r="M321" s="86">
        <v>98408</v>
      </c>
      <c r="N321" s="38" t="s">
        <v>10</v>
      </c>
      <c r="O321" s="36">
        <v>24</v>
      </c>
      <c r="P321" s="36">
        <v>20</v>
      </c>
      <c r="Q321" s="36">
        <v>17</v>
      </c>
    </row>
    <row r="322" spans="1:17" x14ac:dyDescent="0.2">
      <c r="A322" s="86">
        <v>98404</v>
      </c>
      <c r="B322" s="38" t="s">
        <v>352</v>
      </c>
      <c r="C322" s="36">
        <v>2</v>
      </c>
      <c r="D322" s="36">
        <v>1</v>
      </c>
      <c r="E322" s="36">
        <v>1</v>
      </c>
      <c r="M322" s="86">
        <v>98409</v>
      </c>
      <c r="N322" s="38" t="s">
        <v>352</v>
      </c>
      <c r="O322" s="36">
        <v>3</v>
      </c>
      <c r="P322" s="36">
        <v>5</v>
      </c>
      <c r="Q322" s="36">
        <v>0</v>
      </c>
    </row>
    <row r="323" spans="1:17" x14ac:dyDescent="0.2">
      <c r="A323" s="59">
        <v>98404</v>
      </c>
      <c r="B323" s="38" t="s">
        <v>10</v>
      </c>
      <c r="C323" s="36">
        <v>35</v>
      </c>
      <c r="D323" s="36">
        <v>34</v>
      </c>
      <c r="E323" s="36">
        <v>39</v>
      </c>
      <c r="M323" s="86">
        <v>98409</v>
      </c>
      <c r="N323" s="38" t="s">
        <v>10</v>
      </c>
      <c r="O323" s="36">
        <v>16</v>
      </c>
      <c r="P323" s="33">
        <v>21</v>
      </c>
      <c r="Q323" s="33">
        <v>20</v>
      </c>
    </row>
    <row r="324" spans="1:17" x14ac:dyDescent="0.2">
      <c r="A324" s="86">
        <v>98405</v>
      </c>
      <c r="B324" s="38" t="s">
        <v>352</v>
      </c>
      <c r="C324" s="36">
        <v>2</v>
      </c>
      <c r="D324" s="36">
        <v>0</v>
      </c>
      <c r="E324" s="36">
        <v>1</v>
      </c>
      <c r="M324" s="86">
        <v>98418</v>
      </c>
      <c r="N324" s="38" t="s">
        <v>352</v>
      </c>
      <c r="O324" s="36">
        <v>2</v>
      </c>
      <c r="P324" s="36">
        <v>0</v>
      </c>
      <c r="Q324" s="36">
        <v>0</v>
      </c>
    </row>
    <row r="325" spans="1:17" x14ac:dyDescent="0.2">
      <c r="A325" s="59">
        <v>98405</v>
      </c>
      <c r="B325" s="38" t="s">
        <v>10</v>
      </c>
      <c r="C325" s="36">
        <v>29</v>
      </c>
      <c r="D325" s="36">
        <v>29</v>
      </c>
      <c r="E325" s="36">
        <v>35</v>
      </c>
      <c r="M325" s="86">
        <v>98418</v>
      </c>
      <c r="N325" s="38" t="s">
        <v>10</v>
      </c>
      <c r="O325" s="36">
        <v>14</v>
      </c>
      <c r="P325" s="36">
        <v>17</v>
      </c>
      <c r="Q325" s="36">
        <v>17</v>
      </c>
    </row>
    <row r="326" spans="1:17" x14ac:dyDescent="0.2">
      <c r="A326" s="86">
        <v>98406</v>
      </c>
      <c r="B326" s="38" t="s">
        <v>352</v>
      </c>
      <c r="C326" s="36">
        <v>1</v>
      </c>
      <c r="D326" s="36">
        <v>2</v>
      </c>
      <c r="E326" s="36">
        <v>2</v>
      </c>
      <c r="M326" s="86">
        <v>98421</v>
      </c>
      <c r="N326" s="38" t="s">
        <v>352</v>
      </c>
      <c r="O326" s="36">
        <v>2</v>
      </c>
      <c r="P326" s="36">
        <v>3</v>
      </c>
      <c r="Q326" s="36">
        <v>2</v>
      </c>
    </row>
    <row r="327" spans="1:17" x14ac:dyDescent="0.2">
      <c r="A327" s="59">
        <v>98406</v>
      </c>
      <c r="B327" s="38" t="s">
        <v>10</v>
      </c>
      <c r="C327" s="36">
        <v>18</v>
      </c>
      <c r="D327" s="36">
        <v>22</v>
      </c>
      <c r="E327" s="36">
        <v>26</v>
      </c>
      <c r="M327" s="59">
        <v>98422</v>
      </c>
      <c r="N327" s="38" t="s">
        <v>10</v>
      </c>
      <c r="O327" s="36">
        <v>26</v>
      </c>
      <c r="P327" s="36">
        <v>20</v>
      </c>
      <c r="Q327" s="36">
        <v>16</v>
      </c>
    </row>
    <row r="328" spans="1:17" x14ac:dyDescent="0.2">
      <c r="A328" s="86">
        <v>98407</v>
      </c>
      <c r="B328" s="38" t="s">
        <v>10</v>
      </c>
      <c r="C328" s="36">
        <v>11</v>
      </c>
      <c r="D328" s="36">
        <v>13</v>
      </c>
      <c r="E328" s="36">
        <v>16</v>
      </c>
      <c r="M328" s="86">
        <v>98424</v>
      </c>
      <c r="N328" s="38" t="s">
        <v>352</v>
      </c>
      <c r="O328" s="36">
        <v>2</v>
      </c>
      <c r="P328" s="36">
        <v>1</v>
      </c>
      <c r="Q328" s="36">
        <v>2</v>
      </c>
    </row>
    <row r="329" spans="1:17" x14ac:dyDescent="0.2">
      <c r="A329" s="59">
        <v>98408</v>
      </c>
      <c r="B329" s="38" t="s">
        <v>352</v>
      </c>
      <c r="C329" s="36">
        <v>0</v>
      </c>
      <c r="D329" s="36">
        <v>3</v>
      </c>
      <c r="E329" s="36">
        <v>2</v>
      </c>
      <c r="M329" s="59">
        <v>98424</v>
      </c>
      <c r="N329" s="38" t="s">
        <v>10</v>
      </c>
      <c r="O329" s="36">
        <v>14</v>
      </c>
      <c r="P329" s="36">
        <v>12</v>
      </c>
      <c r="Q329" s="36">
        <v>16</v>
      </c>
    </row>
    <row r="330" spans="1:17" x14ac:dyDescent="0.2">
      <c r="A330" s="86">
        <v>98408</v>
      </c>
      <c r="B330" s="38" t="s">
        <v>10</v>
      </c>
      <c r="C330" s="36">
        <v>23</v>
      </c>
      <c r="D330" s="36">
        <v>37</v>
      </c>
      <c r="E330" s="36">
        <v>34</v>
      </c>
      <c r="M330" s="86">
        <v>98439</v>
      </c>
      <c r="N330" s="38" t="s">
        <v>10</v>
      </c>
      <c r="O330" s="36">
        <v>20</v>
      </c>
      <c r="P330" s="36">
        <v>19</v>
      </c>
      <c r="Q330" s="36">
        <v>32</v>
      </c>
    </row>
    <row r="331" spans="1:17" x14ac:dyDescent="0.2">
      <c r="A331" s="59">
        <v>98409</v>
      </c>
      <c r="B331" s="38" t="s">
        <v>352</v>
      </c>
      <c r="C331" s="36">
        <v>4</v>
      </c>
      <c r="D331" s="36">
        <v>4</v>
      </c>
      <c r="E331" s="36">
        <v>6</v>
      </c>
      <c r="M331" s="59">
        <v>98443</v>
      </c>
      <c r="N331" s="38" t="s">
        <v>10</v>
      </c>
      <c r="O331" s="36">
        <v>1</v>
      </c>
      <c r="P331" s="36">
        <v>1</v>
      </c>
      <c r="Q331" s="36">
        <v>1</v>
      </c>
    </row>
    <row r="332" spans="1:17" x14ac:dyDescent="0.2">
      <c r="A332" s="86">
        <v>98409</v>
      </c>
      <c r="B332" s="38" t="s">
        <v>10</v>
      </c>
      <c r="C332" s="36">
        <v>18</v>
      </c>
      <c r="D332" s="36">
        <v>17</v>
      </c>
      <c r="E332" s="36">
        <v>27</v>
      </c>
      <c r="M332" s="86">
        <v>98444</v>
      </c>
      <c r="N332" s="38" t="s">
        <v>352</v>
      </c>
      <c r="O332" s="36">
        <v>1</v>
      </c>
      <c r="P332" s="36">
        <v>1</v>
      </c>
      <c r="Q332" s="36">
        <v>0</v>
      </c>
    </row>
    <row r="333" spans="1:17" x14ac:dyDescent="0.2">
      <c r="A333" s="86">
        <v>98418</v>
      </c>
      <c r="B333" s="38" t="s">
        <v>352</v>
      </c>
      <c r="C333" s="36">
        <v>0</v>
      </c>
      <c r="D333" s="36">
        <v>2</v>
      </c>
      <c r="E333" s="36">
        <v>1</v>
      </c>
      <c r="M333" s="59">
        <v>98444</v>
      </c>
      <c r="N333" s="38" t="s">
        <v>10</v>
      </c>
      <c r="O333" s="36">
        <v>22</v>
      </c>
      <c r="P333" s="36">
        <v>22</v>
      </c>
      <c r="Q333" s="36">
        <v>16</v>
      </c>
    </row>
    <row r="334" spans="1:17" x14ac:dyDescent="0.2">
      <c r="A334" s="59">
        <v>98418</v>
      </c>
      <c r="B334" s="38" t="s">
        <v>10</v>
      </c>
      <c r="C334" s="36">
        <v>17</v>
      </c>
      <c r="D334" s="36">
        <v>25</v>
      </c>
      <c r="E334" s="36">
        <v>23</v>
      </c>
      <c r="M334" s="86">
        <v>98445</v>
      </c>
      <c r="N334" s="38" t="s">
        <v>352</v>
      </c>
      <c r="O334" s="36">
        <v>0</v>
      </c>
      <c r="P334" s="36">
        <v>0</v>
      </c>
      <c r="Q334" s="36">
        <v>2</v>
      </c>
    </row>
    <row r="335" spans="1:17" x14ac:dyDescent="0.2">
      <c r="A335" s="86">
        <v>98421</v>
      </c>
      <c r="B335" s="38" t="s">
        <v>352</v>
      </c>
      <c r="C335" s="36">
        <v>3</v>
      </c>
      <c r="D335" s="36">
        <v>4</v>
      </c>
      <c r="E335" s="36">
        <v>2</v>
      </c>
      <c r="M335" s="59">
        <v>98445</v>
      </c>
      <c r="N335" s="38" t="s">
        <v>10</v>
      </c>
      <c r="O335" s="36">
        <v>41</v>
      </c>
      <c r="P335" s="36">
        <v>39</v>
      </c>
      <c r="Q335" s="36">
        <v>29</v>
      </c>
    </row>
    <row r="336" spans="1:17" x14ac:dyDescent="0.2">
      <c r="A336" s="86">
        <v>98422</v>
      </c>
      <c r="B336" s="38" t="s">
        <v>10</v>
      </c>
      <c r="C336" s="36">
        <v>18</v>
      </c>
      <c r="D336" s="36">
        <v>28</v>
      </c>
      <c r="E336" s="36">
        <v>25</v>
      </c>
      <c r="M336" s="86">
        <v>98446</v>
      </c>
      <c r="N336" s="38" t="s">
        <v>10</v>
      </c>
      <c r="O336" s="36">
        <v>24</v>
      </c>
      <c r="P336" s="36">
        <v>23</v>
      </c>
      <c r="Q336" s="36">
        <v>25</v>
      </c>
    </row>
    <row r="337" spans="1:17" x14ac:dyDescent="0.2">
      <c r="A337" s="86">
        <v>98424</v>
      </c>
      <c r="B337" s="38" t="s">
        <v>352</v>
      </c>
      <c r="C337" s="36">
        <v>1</v>
      </c>
      <c r="D337" s="36">
        <v>3</v>
      </c>
      <c r="E337" s="36">
        <v>2</v>
      </c>
      <c r="M337" s="59">
        <v>98465</v>
      </c>
      <c r="N337" s="38" t="s">
        <v>10</v>
      </c>
      <c r="O337" s="36">
        <v>4</v>
      </c>
      <c r="P337" s="36">
        <v>2</v>
      </c>
      <c r="Q337" s="36">
        <v>1</v>
      </c>
    </row>
    <row r="338" spans="1:17" x14ac:dyDescent="0.2">
      <c r="A338" s="86">
        <v>98424</v>
      </c>
      <c r="B338" s="38" t="s">
        <v>10</v>
      </c>
      <c r="C338" s="36">
        <v>17</v>
      </c>
      <c r="D338" s="36">
        <v>19</v>
      </c>
      <c r="E338" s="36">
        <v>18</v>
      </c>
      <c r="M338" s="86">
        <v>98466</v>
      </c>
      <c r="N338" s="38" t="s">
        <v>352</v>
      </c>
      <c r="O338" s="36">
        <v>1</v>
      </c>
      <c r="P338" s="36">
        <v>1</v>
      </c>
      <c r="Q338" s="36">
        <v>0</v>
      </c>
    </row>
    <row r="339" spans="1:17" x14ac:dyDescent="0.2">
      <c r="A339" s="86">
        <v>98439</v>
      </c>
      <c r="B339" s="38" t="s">
        <v>10</v>
      </c>
      <c r="C339" s="36">
        <v>21</v>
      </c>
      <c r="D339" s="36">
        <v>23</v>
      </c>
      <c r="E339" s="36">
        <v>25</v>
      </c>
      <c r="M339" s="59">
        <v>98466</v>
      </c>
      <c r="N339" s="38" t="s">
        <v>10</v>
      </c>
      <c r="O339" s="36">
        <v>18</v>
      </c>
      <c r="P339" s="36">
        <v>14</v>
      </c>
      <c r="Q339" s="36">
        <v>16</v>
      </c>
    </row>
    <row r="340" spans="1:17" x14ac:dyDescent="0.2">
      <c r="A340" s="86">
        <v>98443</v>
      </c>
      <c r="B340" s="38" t="s">
        <v>10</v>
      </c>
      <c r="C340" s="82">
        <v>3</v>
      </c>
      <c r="D340" s="82">
        <v>2</v>
      </c>
      <c r="E340" s="82">
        <v>2</v>
      </c>
      <c r="M340" s="86">
        <v>98467</v>
      </c>
      <c r="N340" s="38" t="s">
        <v>10</v>
      </c>
      <c r="O340" s="36">
        <v>10</v>
      </c>
      <c r="P340" s="36">
        <v>14</v>
      </c>
      <c r="Q340" s="33">
        <v>14</v>
      </c>
    </row>
    <row r="341" spans="1:17" x14ac:dyDescent="0.2">
      <c r="A341" s="59">
        <v>98444</v>
      </c>
      <c r="B341" s="38" t="s">
        <v>352</v>
      </c>
      <c r="C341" s="87">
        <v>1</v>
      </c>
      <c r="D341" s="87">
        <v>1</v>
      </c>
      <c r="E341" s="82">
        <v>1</v>
      </c>
      <c r="M341" s="59">
        <v>98498</v>
      </c>
      <c r="N341" s="38" t="s">
        <v>352</v>
      </c>
      <c r="O341" s="36">
        <v>1</v>
      </c>
      <c r="P341" s="36">
        <v>0</v>
      </c>
      <c r="Q341" s="36">
        <v>6</v>
      </c>
    </row>
    <row r="342" spans="1:17" x14ac:dyDescent="0.2">
      <c r="A342" s="88">
        <v>98444</v>
      </c>
      <c r="B342" s="15" t="s">
        <v>10</v>
      </c>
      <c r="C342" s="55">
        <v>19</v>
      </c>
      <c r="D342" s="55">
        <v>19</v>
      </c>
      <c r="E342" s="55">
        <v>27</v>
      </c>
      <c r="M342" s="86">
        <v>98498</v>
      </c>
      <c r="N342" s="38" t="s">
        <v>10</v>
      </c>
      <c r="O342" s="36">
        <v>94</v>
      </c>
      <c r="P342" s="36">
        <v>113</v>
      </c>
      <c r="Q342" s="33">
        <v>106</v>
      </c>
    </row>
    <row r="343" spans="1:17" x14ac:dyDescent="0.2">
      <c r="A343" s="88">
        <v>98445</v>
      </c>
      <c r="B343" s="15" t="s">
        <v>10</v>
      </c>
      <c r="C343" s="55">
        <v>48</v>
      </c>
      <c r="D343" s="55">
        <v>56</v>
      </c>
      <c r="E343" s="55">
        <v>59</v>
      </c>
      <c r="M343" s="59">
        <v>98499</v>
      </c>
      <c r="N343" s="38" t="s">
        <v>352</v>
      </c>
      <c r="O343" s="36">
        <v>2</v>
      </c>
      <c r="P343" s="36">
        <v>3</v>
      </c>
      <c r="Q343" s="36">
        <v>5</v>
      </c>
    </row>
    <row r="344" spans="1:17" x14ac:dyDescent="0.2">
      <c r="A344" s="88">
        <v>98446</v>
      </c>
      <c r="B344" s="15" t="s">
        <v>10</v>
      </c>
      <c r="C344" s="55">
        <v>28</v>
      </c>
      <c r="D344" s="55">
        <v>29</v>
      </c>
      <c r="E344" s="55">
        <v>32</v>
      </c>
      <c r="M344" s="86">
        <v>98499</v>
      </c>
      <c r="N344" s="38" t="s">
        <v>10</v>
      </c>
      <c r="O344" s="36">
        <v>40</v>
      </c>
      <c r="P344" s="36">
        <v>26</v>
      </c>
      <c r="Q344" s="36">
        <v>32</v>
      </c>
    </row>
    <row r="345" spans="1:17" x14ac:dyDescent="0.2">
      <c r="A345" s="88">
        <v>98465</v>
      </c>
      <c r="B345" s="15" t="s">
        <v>10</v>
      </c>
      <c r="C345" s="55">
        <v>1</v>
      </c>
      <c r="D345" s="55">
        <v>3</v>
      </c>
      <c r="E345" s="55">
        <v>4</v>
      </c>
      <c r="M345" s="86">
        <v>98501</v>
      </c>
      <c r="N345" s="38" t="s">
        <v>352</v>
      </c>
      <c r="O345" s="33">
        <v>3</v>
      </c>
      <c r="P345" s="33">
        <v>11</v>
      </c>
      <c r="Q345" s="36">
        <v>8</v>
      </c>
    </row>
    <row r="346" spans="1:17" x14ac:dyDescent="0.2">
      <c r="A346" s="88">
        <v>98466</v>
      </c>
      <c r="B346" s="15" t="s">
        <v>352</v>
      </c>
      <c r="C346" s="55">
        <v>0</v>
      </c>
      <c r="D346" s="55">
        <v>0</v>
      </c>
      <c r="E346" s="55">
        <v>1</v>
      </c>
      <c r="M346" s="59">
        <v>98501</v>
      </c>
      <c r="N346" s="38" t="s">
        <v>10</v>
      </c>
      <c r="O346" s="36">
        <v>134</v>
      </c>
      <c r="P346" s="36">
        <v>154</v>
      </c>
      <c r="Q346" s="36">
        <v>140</v>
      </c>
    </row>
    <row r="347" spans="1:17" x14ac:dyDescent="0.2">
      <c r="A347" s="88">
        <v>98466</v>
      </c>
      <c r="B347" s="15" t="s">
        <v>10</v>
      </c>
      <c r="C347" s="55">
        <v>18</v>
      </c>
      <c r="D347" s="55">
        <v>18</v>
      </c>
      <c r="E347" s="55">
        <v>18</v>
      </c>
      <c r="M347" s="86">
        <v>98502</v>
      </c>
      <c r="N347" s="38" t="s">
        <v>352</v>
      </c>
      <c r="O347" s="33">
        <v>1</v>
      </c>
      <c r="P347" s="36">
        <v>10</v>
      </c>
      <c r="Q347" s="33">
        <v>3</v>
      </c>
    </row>
    <row r="348" spans="1:17" x14ac:dyDescent="0.2">
      <c r="A348" s="88">
        <v>98467</v>
      </c>
      <c r="B348" s="15" t="s">
        <v>10</v>
      </c>
      <c r="C348" s="55">
        <v>9</v>
      </c>
      <c r="D348" s="55">
        <v>12</v>
      </c>
      <c r="E348" s="55">
        <v>17</v>
      </c>
      <c r="M348" s="59">
        <v>98502</v>
      </c>
      <c r="N348" s="38" t="s">
        <v>10</v>
      </c>
      <c r="O348" s="36">
        <v>103</v>
      </c>
      <c r="P348" s="36">
        <v>105</v>
      </c>
      <c r="Q348" s="36">
        <v>108</v>
      </c>
    </row>
    <row r="349" spans="1:17" x14ac:dyDescent="0.2">
      <c r="A349" s="88">
        <v>98498</v>
      </c>
      <c r="B349" s="15" t="s">
        <v>352</v>
      </c>
      <c r="C349" s="55">
        <v>4</v>
      </c>
      <c r="D349" s="55">
        <v>4</v>
      </c>
      <c r="E349" s="55">
        <v>4</v>
      </c>
      <c r="M349" s="86">
        <v>98503</v>
      </c>
      <c r="N349" s="38" t="s">
        <v>352</v>
      </c>
      <c r="O349" s="36">
        <v>0</v>
      </c>
      <c r="P349" s="36">
        <v>5</v>
      </c>
      <c r="Q349" s="36">
        <v>3</v>
      </c>
    </row>
    <row r="350" spans="1:17" x14ac:dyDescent="0.2">
      <c r="A350" s="88">
        <v>98498</v>
      </c>
      <c r="B350" s="15" t="s">
        <v>10</v>
      </c>
      <c r="C350" s="55">
        <v>133</v>
      </c>
      <c r="D350" s="55">
        <v>139</v>
      </c>
      <c r="E350" s="55">
        <v>162</v>
      </c>
      <c r="M350" s="86">
        <v>98503</v>
      </c>
      <c r="N350" s="38" t="s">
        <v>10</v>
      </c>
      <c r="O350" s="36">
        <v>133</v>
      </c>
      <c r="P350" s="36">
        <v>167</v>
      </c>
      <c r="Q350" s="36">
        <v>181</v>
      </c>
    </row>
    <row r="351" spans="1:17" x14ac:dyDescent="0.2">
      <c r="A351" s="88">
        <v>98499</v>
      </c>
      <c r="B351" s="15" t="s">
        <v>352</v>
      </c>
      <c r="C351" s="55">
        <v>6</v>
      </c>
      <c r="D351" s="55">
        <v>8</v>
      </c>
      <c r="E351" s="55">
        <v>9</v>
      </c>
      <c r="M351" s="59">
        <v>98506</v>
      </c>
      <c r="N351" s="38" t="s">
        <v>352</v>
      </c>
      <c r="O351" s="36">
        <v>4</v>
      </c>
      <c r="P351" s="36">
        <v>4</v>
      </c>
      <c r="Q351" s="36">
        <v>1</v>
      </c>
    </row>
    <row r="352" spans="1:17" x14ac:dyDescent="0.2">
      <c r="A352" s="88">
        <v>98499</v>
      </c>
      <c r="B352" s="15" t="s">
        <v>10</v>
      </c>
      <c r="C352" s="55">
        <v>36</v>
      </c>
      <c r="D352" s="55">
        <v>48</v>
      </c>
      <c r="E352" s="55">
        <v>47</v>
      </c>
      <c r="M352" s="86">
        <v>98506</v>
      </c>
      <c r="N352" s="38" t="s">
        <v>10</v>
      </c>
      <c r="O352" s="36">
        <v>62</v>
      </c>
      <c r="P352" s="36">
        <v>56</v>
      </c>
      <c r="Q352" s="33">
        <v>56</v>
      </c>
    </row>
    <row r="353" spans="1:17" x14ac:dyDescent="0.2">
      <c r="A353" s="88">
        <v>98501</v>
      </c>
      <c r="B353" s="15" t="s">
        <v>352</v>
      </c>
      <c r="C353" s="55">
        <v>12</v>
      </c>
      <c r="D353" s="55">
        <v>12</v>
      </c>
      <c r="E353" s="55">
        <v>14</v>
      </c>
      <c r="M353" s="59">
        <v>98512</v>
      </c>
      <c r="N353" s="38" t="s">
        <v>352</v>
      </c>
      <c r="O353" s="36">
        <v>5</v>
      </c>
      <c r="P353" s="36">
        <v>9</v>
      </c>
      <c r="Q353" s="36">
        <v>7</v>
      </c>
    </row>
    <row r="354" spans="1:17" x14ac:dyDescent="0.2">
      <c r="A354" s="88">
        <v>98501</v>
      </c>
      <c r="B354" s="15" t="s">
        <v>10</v>
      </c>
      <c r="C354" s="55">
        <v>222</v>
      </c>
      <c r="D354" s="55">
        <v>225</v>
      </c>
      <c r="E354" s="55">
        <v>233</v>
      </c>
      <c r="M354" s="86">
        <v>98512</v>
      </c>
      <c r="N354" s="38" t="s">
        <v>10</v>
      </c>
      <c r="O354" s="36">
        <v>93</v>
      </c>
      <c r="P354" s="33">
        <v>94</v>
      </c>
      <c r="Q354" s="33">
        <v>89</v>
      </c>
    </row>
    <row r="355" spans="1:17" x14ac:dyDescent="0.2">
      <c r="A355" s="88">
        <v>98502</v>
      </c>
      <c r="B355" s="15" t="s">
        <v>352</v>
      </c>
      <c r="C355" s="55">
        <v>5</v>
      </c>
      <c r="D355" s="55">
        <v>4</v>
      </c>
      <c r="E355" s="55">
        <v>6</v>
      </c>
      <c r="M355" s="59">
        <v>98513</v>
      </c>
      <c r="N355" s="38" t="s">
        <v>352</v>
      </c>
      <c r="O355" s="36">
        <v>0</v>
      </c>
      <c r="P355" s="36">
        <v>2</v>
      </c>
      <c r="Q355" s="36">
        <v>2</v>
      </c>
    </row>
    <row r="356" spans="1:17" x14ac:dyDescent="0.2">
      <c r="A356" s="88">
        <v>98502</v>
      </c>
      <c r="B356" s="15" t="s">
        <v>10</v>
      </c>
      <c r="C356" s="55">
        <v>168</v>
      </c>
      <c r="D356" s="55">
        <v>170</v>
      </c>
      <c r="E356" s="55">
        <v>174</v>
      </c>
      <c r="M356" s="86">
        <v>98513</v>
      </c>
      <c r="N356" s="38" t="s">
        <v>10</v>
      </c>
      <c r="O356" s="36">
        <v>98</v>
      </c>
      <c r="P356" s="33">
        <v>116</v>
      </c>
      <c r="Q356" s="36">
        <v>110</v>
      </c>
    </row>
    <row r="357" spans="1:17" x14ac:dyDescent="0.2">
      <c r="A357" s="88">
        <v>98503</v>
      </c>
      <c r="B357" s="15" t="s">
        <v>352</v>
      </c>
      <c r="C357" s="55">
        <v>3</v>
      </c>
      <c r="D357" s="55">
        <v>1</v>
      </c>
      <c r="E357" s="55">
        <v>4</v>
      </c>
      <c r="M357" s="86">
        <v>98516</v>
      </c>
      <c r="N357" s="38" t="s">
        <v>352</v>
      </c>
      <c r="O357" s="36">
        <v>5</v>
      </c>
      <c r="P357" s="36">
        <v>2</v>
      </c>
      <c r="Q357" s="36">
        <v>4</v>
      </c>
    </row>
    <row r="358" spans="1:17" x14ac:dyDescent="0.2">
      <c r="A358" s="88">
        <v>98503</v>
      </c>
      <c r="B358" s="15" t="s">
        <v>10</v>
      </c>
      <c r="C358" s="55">
        <v>242</v>
      </c>
      <c r="D358" s="55">
        <v>238</v>
      </c>
      <c r="E358" s="55">
        <v>259</v>
      </c>
      <c r="M358" s="59">
        <v>98516</v>
      </c>
      <c r="N358" s="38" t="s">
        <v>10</v>
      </c>
      <c r="O358" s="36">
        <v>76</v>
      </c>
      <c r="P358" s="36">
        <v>90</v>
      </c>
      <c r="Q358" s="36">
        <v>76</v>
      </c>
    </row>
    <row r="359" spans="1:17" x14ac:dyDescent="0.2">
      <c r="A359" s="88">
        <v>98506</v>
      </c>
      <c r="B359" s="15" t="s">
        <v>352</v>
      </c>
      <c r="C359" s="55">
        <v>1</v>
      </c>
      <c r="D359" s="55">
        <v>3</v>
      </c>
      <c r="E359" s="55">
        <v>6</v>
      </c>
      <c r="M359" s="86">
        <v>98530</v>
      </c>
      <c r="N359" s="38" t="s">
        <v>10</v>
      </c>
      <c r="O359" s="36">
        <v>6</v>
      </c>
      <c r="P359" s="36">
        <v>10</v>
      </c>
      <c r="Q359" s="36">
        <v>4</v>
      </c>
    </row>
    <row r="360" spans="1:17" x14ac:dyDescent="0.2">
      <c r="A360" s="88">
        <v>98506</v>
      </c>
      <c r="B360" s="15" t="s">
        <v>10</v>
      </c>
      <c r="C360" s="55">
        <v>83</v>
      </c>
      <c r="D360" s="55">
        <v>92</v>
      </c>
      <c r="E360" s="55">
        <v>78</v>
      </c>
      <c r="M360" s="59">
        <v>98531</v>
      </c>
      <c r="N360" s="38" t="s">
        <v>352</v>
      </c>
      <c r="O360" s="36">
        <v>1</v>
      </c>
      <c r="P360" s="36">
        <v>1</v>
      </c>
      <c r="Q360" s="36">
        <v>2</v>
      </c>
    </row>
    <row r="361" spans="1:17" x14ac:dyDescent="0.2">
      <c r="A361" s="88">
        <v>98512</v>
      </c>
      <c r="B361" s="15" t="s">
        <v>352</v>
      </c>
      <c r="C361" s="55">
        <v>7</v>
      </c>
      <c r="D361" s="55">
        <v>8</v>
      </c>
      <c r="E361" s="55">
        <v>12</v>
      </c>
      <c r="M361" s="86">
        <v>98531</v>
      </c>
      <c r="N361" s="38" t="s">
        <v>10</v>
      </c>
      <c r="O361" s="33">
        <v>13</v>
      </c>
      <c r="P361" s="36">
        <v>25</v>
      </c>
      <c r="Q361" s="33">
        <v>22</v>
      </c>
    </row>
    <row r="362" spans="1:17" x14ac:dyDescent="0.2">
      <c r="A362" s="88">
        <v>98512</v>
      </c>
      <c r="B362" s="15" t="s">
        <v>10</v>
      </c>
      <c r="C362" s="55">
        <v>178</v>
      </c>
      <c r="D362" s="55">
        <v>171</v>
      </c>
      <c r="E362" s="55">
        <v>174</v>
      </c>
      <c r="M362" s="59">
        <v>98532</v>
      </c>
      <c r="N362" s="38" t="s">
        <v>352</v>
      </c>
      <c r="O362" s="33">
        <v>2</v>
      </c>
      <c r="P362" s="36">
        <v>0</v>
      </c>
      <c r="Q362" s="36">
        <v>1</v>
      </c>
    </row>
    <row r="363" spans="1:17" x14ac:dyDescent="0.2">
      <c r="A363" s="88">
        <v>98513</v>
      </c>
      <c r="B363" s="15" t="s">
        <v>352</v>
      </c>
      <c r="C363" s="55">
        <v>0</v>
      </c>
      <c r="D363" s="55">
        <v>0</v>
      </c>
      <c r="E363" s="55">
        <v>1</v>
      </c>
      <c r="M363" s="86">
        <v>98532</v>
      </c>
      <c r="N363" s="38" t="s">
        <v>10</v>
      </c>
      <c r="O363" s="36">
        <v>3</v>
      </c>
      <c r="P363" s="36">
        <v>10</v>
      </c>
      <c r="Q363" s="36">
        <v>8</v>
      </c>
    </row>
    <row r="364" spans="1:17" x14ac:dyDescent="0.2">
      <c r="A364" s="88">
        <v>98513</v>
      </c>
      <c r="B364" s="15" t="s">
        <v>10</v>
      </c>
      <c r="C364" s="55">
        <v>170</v>
      </c>
      <c r="D364" s="55">
        <v>170</v>
      </c>
      <c r="E364" s="55">
        <v>188</v>
      </c>
      <c r="M364" s="59">
        <v>98558</v>
      </c>
      <c r="N364" s="38" t="s">
        <v>10</v>
      </c>
      <c r="O364" s="36">
        <v>1</v>
      </c>
      <c r="P364" s="36">
        <v>3</v>
      </c>
      <c r="Q364" s="36">
        <v>0</v>
      </c>
    </row>
    <row r="365" spans="1:17" x14ac:dyDescent="0.2">
      <c r="A365" s="88">
        <v>98516</v>
      </c>
      <c r="B365" s="15" t="s">
        <v>352</v>
      </c>
      <c r="C365" s="55">
        <v>1</v>
      </c>
      <c r="D365" s="55">
        <v>3</v>
      </c>
      <c r="E365" s="55">
        <v>5</v>
      </c>
      <c r="M365" s="86">
        <v>98576</v>
      </c>
      <c r="N365" s="38" t="s">
        <v>352</v>
      </c>
      <c r="O365" s="36">
        <v>0</v>
      </c>
      <c r="P365" s="36">
        <v>0</v>
      </c>
      <c r="Q365" s="36">
        <v>2</v>
      </c>
    </row>
    <row r="366" spans="1:17" x14ac:dyDescent="0.2">
      <c r="A366" s="88">
        <v>98516</v>
      </c>
      <c r="B366" s="15" t="s">
        <v>10</v>
      </c>
      <c r="C366" s="55">
        <v>116</v>
      </c>
      <c r="D366" s="55">
        <v>114</v>
      </c>
      <c r="E366" s="55">
        <v>135</v>
      </c>
      <c r="M366" s="86">
        <v>98576</v>
      </c>
      <c r="N366" s="38" t="s">
        <v>10</v>
      </c>
      <c r="O366" s="33">
        <v>18</v>
      </c>
      <c r="P366" s="36">
        <v>13</v>
      </c>
      <c r="Q366" s="33">
        <v>21</v>
      </c>
    </row>
    <row r="367" spans="1:17" x14ac:dyDescent="0.2">
      <c r="A367" s="88">
        <v>98530</v>
      </c>
      <c r="B367" s="15" t="s">
        <v>10</v>
      </c>
      <c r="C367" s="55">
        <v>12</v>
      </c>
      <c r="D367" s="55">
        <v>13</v>
      </c>
      <c r="E367" s="55">
        <v>11</v>
      </c>
      <c r="M367" s="59">
        <v>98579</v>
      </c>
      <c r="N367" s="38" t="s">
        <v>352</v>
      </c>
      <c r="O367" s="33">
        <v>1</v>
      </c>
      <c r="P367" s="36">
        <v>2</v>
      </c>
      <c r="Q367" s="33">
        <v>0</v>
      </c>
    </row>
    <row r="368" spans="1:17" x14ac:dyDescent="0.2">
      <c r="A368" s="88">
        <v>98531</v>
      </c>
      <c r="B368" s="15" t="s">
        <v>352</v>
      </c>
      <c r="C368" s="55">
        <v>2</v>
      </c>
      <c r="D368" s="55">
        <v>2</v>
      </c>
      <c r="E368" s="55">
        <v>2</v>
      </c>
      <c r="M368" s="86">
        <v>98579</v>
      </c>
      <c r="N368" s="38" t="s">
        <v>10</v>
      </c>
      <c r="O368" s="36">
        <v>54</v>
      </c>
      <c r="P368" s="36">
        <v>65</v>
      </c>
      <c r="Q368" s="33">
        <v>52</v>
      </c>
    </row>
    <row r="369" spans="1:17" x14ac:dyDescent="0.2">
      <c r="A369" s="88">
        <v>98531</v>
      </c>
      <c r="B369" s="15" t="s">
        <v>10</v>
      </c>
      <c r="C369" s="55">
        <v>32</v>
      </c>
      <c r="D369" s="55">
        <v>29</v>
      </c>
      <c r="E369" s="55">
        <v>39</v>
      </c>
      <c r="M369" s="59">
        <v>98580</v>
      </c>
      <c r="N369" s="38" t="s">
        <v>352</v>
      </c>
      <c r="O369" s="36">
        <v>2</v>
      </c>
      <c r="P369" s="36">
        <v>5</v>
      </c>
      <c r="Q369" s="36">
        <v>1</v>
      </c>
    </row>
    <row r="370" spans="1:17" x14ac:dyDescent="0.2">
      <c r="A370" s="88">
        <v>98532</v>
      </c>
      <c r="B370" s="15" t="s">
        <v>352</v>
      </c>
      <c r="C370" s="55">
        <v>2</v>
      </c>
      <c r="D370" s="55">
        <v>3</v>
      </c>
      <c r="E370" s="55">
        <v>2</v>
      </c>
      <c r="M370" s="86">
        <v>98580</v>
      </c>
      <c r="N370" s="38" t="s">
        <v>10</v>
      </c>
      <c r="O370" s="36">
        <v>27</v>
      </c>
      <c r="P370" s="33">
        <v>29</v>
      </c>
      <c r="Q370" s="36">
        <v>29</v>
      </c>
    </row>
    <row r="371" spans="1:17" x14ac:dyDescent="0.2">
      <c r="A371" s="88">
        <v>98532</v>
      </c>
      <c r="B371" s="15" t="s">
        <v>10</v>
      </c>
      <c r="C371" s="55">
        <v>9</v>
      </c>
      <c r="D371" s="55">
        <v>6</v>
      </c>
      <c r="E371" s="55">
        <v>13</v>
      </c>
      <c r="M371" s="86">
        <v>98589</v>
      </c>
      <c r="N371" s="38" t="s">
        <v>352</v>
      </c>
      <c r="O371" s="33">
        <v>0</v>
      </c>
      <c r="P371" s="36">
        <v>2</v>
      </c>
      <c r="Q371" s="36">
        <v>2</v>
      </c>
    </row>
    <row r="372" spans="1:17" x14ac:dyDescent="0.2">
      <c r="A372" s="88">
        <v>98558</v>
      </c>
      <c r="B372" s="15" t="s">
        <v>10</v>
      </c>
      <c r="C372" s="55">
        <v>2</v>
      </c>
      <c r="D372" s="55">
        <v>3</v>
      </c>
      <c r="E372" s="55">
        <v>2</v>
      </c>
      <c r="M372" s="91">
        <v>98589</v>
      </c>
      <c r="N372" s="57" t="s">
        <v>10</v>
      </c>
      <c r="O372" s="92">
        <v>38</v>
      </c>
      <c r="P372" s="92">
        <v>52</v>
      </c>
      <c r="Q372" s="58">
        <v>49</v>
      </c>
    </row>
    <row r="373" spans="1:17" x14ac:dyDescent="0.2">
      <c r="A373" s="88">
        <v>98576</v>
      </c>
      <c r="B373" s="15" t="s">
        <v>352</v>
      </c>
      <c r="C373" s="55">
        <v>1</v>
      </c>
      <c r="D373" s="55">
        <v>1</v>
      </c>
      <c r="E373" s="55">
        <v>0</v>
      </c>
      <c r="M373" s="88">
        <v>98591</v>
      </c>
      <c r="N373" s="15" t="s">
        <v>10</v>
      </c>
      <c r="O373" s="55">
        <v>1</v>
      </c>
      <c r="P373" s="55">
        <v>1</v>
      </c>
      <c r="Q373" s="55">
        <v>0</v>
      </c>
    </row>
    <row r="374" spans="1:17" x14ac:dyDescent="0.2">
      <c r="A374" s="88">
        <v>98576</v>
      </c>
      <c r="B374" s="15" t="s">
        <v>10</v>
      </c>
      <c r="C374" s="55">
        <v>32</v>
      </c>
      <c r="D374" s="55">
        <v>32</v>
      </c>
      <c r="E374" s="55">
        <v>24</v>
      </c>
      <c r="M374" s="88">
        <v>98596</v>
      </c>
      <c r="N374" s="15" t="s">
        <v>352</v>
      </c>
      <c r="O374" s="55">
        <v>0</v>
      </c>
      <c r="P374" s="55">
        <v>1</v>
      </c>
      <c r="Q374" s="55">
        <v>0</v>
      </c>
    </row>
    <row r="375" spans="1:17" x14ac:dyDescent="0.2">
      <c r="A375" s="88">
        <v>98579</v>
      </c>
      <c r="B375" s="15" t="s">
        <v>352</v>
      </c>
      <c r="C375" s="55">
        <v>4</v>
      </c>
      <c r="D375" s="55">
        <v>4</v>
      </c>
      <c r="E375" s="55">
        <v>4</v>
      </c>
      <c r="M375" s="88">
        <v>98597</v>
      </c>
      <c r="N375" s="15" t="s">
        <v>352</v>
      </c>
      <c r="O375" s="55">
        <v>5</v>
      </c>
      <c r="P375" s="55">
        <v>3</v>
      </c>
      <c r="Q375" s="55">
        <v>7</v>
      </c>
    </row>
    <row r="376" spans="1:17" x14ac:dyDescent="0.2">
      <c r="A376" s="88">
        <v>98579</v>
      </c>
      <c r="B376" s="15" t="s">
        <v>10</v>
      </c>
      <c r="C376" s="55">
        <v>79</v>
      </c>
      <c r="D376" s="55">
        <v>85</v>
      </c>
      <c r="E376" s="55">
        <v>98</v>
      </c>
      <c r="M376" s="88">
        <v>98597</v>
      </c>
      <c r="N376" s="15" t="s">
        <v>10</v>
      </c>
      <c r="O376" s="55">
        <v>97</v>
      </c>
      <c r="P376" s="55">
        <v>120</v>
      </c>
      <c r="Q376" s="55">
        <v>117</v>
      </c>
    </row>
    <row r="377" spans="1:17" x14ac:dyDescent="0.2">
      <c r="A377" s="88">
        <v>98580</v>
      </c>
      <c r="B377" s="15" t="s">
        <v>352</v>
      </c>
      <c r="C377" s="55">
        <v>4</v>
      </c>
      <c r="D377" s="55">
        <v>3</v>
      </c>
      <c r="E377" s="55">
        <v>6</v>
      </c>
      <c r="M377" s="88">
        <v>98922</v>
      </c>
      <c r="N377" s="15" t="s">
        <v>352</v>
      </c>
      <c r="O377" s="55">
        <v>1</v>
      </c>
      <c r="P377" s="55">
        <v>5</v>
      </c>
      <c r="Q377" s="55">
        <v>0</v>
      </c>
    </row>
    <row r="378" spans="1:17" x14ac:dyDescent="0.2">
      <c r="A378" s="88">
        <v>98580</v>
      </c>
      <c r="B378" s="15" t="s">
        <v>10</v>
      </c>
      <c r="C378" s="55">
        <v>41</v>
      </c>
      <c r="D378" s="55">
        <v>36</v>
      </c>
      <c r="E378" s="55">
        <v>42</v>
      </c>
      <c r="M378" s="88">
        <v>98922</v>
      </c>
      <c r="N378" s="15" t="s">
        <v>10</v>
      </c>
      <c r="O378" s="55">
        <v>22</v>
      </c>
      <c r="P378" s="55">
        <v>26</v>
      </c>
      <c r="Q378" s="55">
        <v>24</v>
      </c>
    </row>
    <row r="379" spans="1:17" x14ac:dyDescent="0.2">
      <c r="A379" s="88">
        <v>98589</v>
      </c>
      <c r="B379" s="15" t="s">
        <v>352</v>
      </c>
      <c r="C379" s="55">
        <v>2</v>
      </c>
      <c r="D379" s="55">
        <v>0</v>
      </c>
      <c r="E379" s="55">
        <v>1</v>
      </c>
      <c r="M379" s="88">
        <v>98925</v>
      </c>
      <c r="N379" s="15" t="s">
        <v>352</v>
      </c>
      <c r="O379" s="55">
        <v>0</v>
      </c>
      <c r="P379" s="55">
        <v>2</v>
      </c>
      <c r="Q379" s="55">
        <v>0</v>
      </c>
    </row>
    <row r="380" spans="1:17" x14ac:dyDescent="0.2">
      <c r="A380" s="88">
        <v>98589</v>
      </c>
      <c r="B380" s="15" t="s">
        <v>10</v>
      </c>
      <c r="C380" s="55">
        <v>66</v>
      </c>
      <c r="D380" s="55">
        <v>54</v>
      </c>
      <c r="E380" s="55">
        <v>60</v>
      </c>
      <c r="M380" s="88">
        <v>98925</v>
      </c>
      <c r="N380" s="15" t="s">
        <v>10</v>
      </c>
      <c r="O380" s="55">
        <v>2</v>
      </c>
      <c r="P380" s="55">
        <v>2</v>
      </c>
      <c r="Q380" s="55">
        <v>1</v>
      </c>
    </row>
    <row r="381" spans="1:17" x14ac:dyDescent="0.2">
      <c r="A381" s="88">
        <v>98591</v>
      </c>
      <c r="B381" s="15" t="s">
        <v>10</v>
      </c>
      <c r="C381" s="55">
        <v>0</v>
      </c>
      <c r="D381" s="55">
        <v>1</v>
      </c>
      <c r="E381" s="55">
        <v>1</v>
      </c>
      <c r="M381" s="88">
        <v>98926</v>
      </c>
      <c r="N381" s="15" t="s">
        <v>352</v>
      </c>
      <c r="O381" s="55">
        <v>1</v>
      </c>
      <c r="P381" s="55">
        <v>0</v>
      </c>
      <c r="Q381" s="55">
        <v>5</v>
      </c>
    </row>
    <row r="382" spans="1:17" x14ac:dyDescent="0.2">
      <c r="A382" s="88">
        <v>98596</v>
      </c>
      <c r="B382" s="15" t="s">
        <v>352</v>
      </c>
      <c r="C382" s="55">
        <v>0</v>
      </c>
      <c r="D382" s="55">
        <v>0</v>
      </c>
      <c r="E382" s="55">
        <v>1</v>
      </c>
      <c r="M382" s="88">
        <v>98926</v>
      </c>
      <c r="N382" s="15" t="s">
        <v>10</v>
      </c>
      <c r="O382" s="55">
        <v>19</v>
      </c>
      <c r="P382" s="55">
        <v>22</v>
      </c>
      <c r="Q382" s="55">
        <v>24</v>
      </c>
    </row>
    <row r="383" spans="1:17" x14ac:dyDescent="0.2">
      <c r="A383" s="88">
        <v>98597</v>
      </c>
      <c r="B383" s="15" t="s">
        <v>352</v>
      </c>
      <c r="C383" s="55">
        <v>11</v>
      </c>
      <c r="D383" s="55">
        <v>9</v>
      </c>
      <c r="E383" s="55">
        <v>9</v>
      </c>
      <c r="M383" s="88">
        <v>98934</v>
      </c>
      <c r="N383" s="15" t="s">
        <v>10</v>
      </c>
      <c r="O383" s="55">
        <v>4</v>
      </c>
      <c r="P383" s="55">
        <v>4</v>
      </c>
      <c r="Q383" s="55">
        <v>3</v>
      </c>
    </row>
    <row r="384" spans="1:17" x14ac:dyDescent="0.2">
      <c r="A384" s="88">
        <v>98597</v>
      </c>
      <c r="B384" s="15" t="s">
        <v>10</v>
      </c>
      <c r="C384" s="55">
        <v>180</v>
      </c>
      <c r="D384" s="55">
        <v>179</v>
      </c>
      <c r="E384" s="55">
        <v>195</v>
      </c>
      <c r="M384" s="88">
        <v>98940</v>
      </c>
      <c r="N384" s="15" t="s">
        <v>352</v>
      </c>
      <c r="O384" s="55">
        <v>1</v>
      </c>
      <c r="P384" s="55">
        <v>0</v>
      </c>
      <c r="Q384" s="55">
        <v>0</v>
      </c>
    </row>
    <row r="385" spans="1:17" x14ac:dyDescent="0.2">
      <c r="A385" s="88">
        <v>98922</v>
      </c>
      <c r="B385" s="15" t="s">
        <v>352</v>
      </c>
      <c r="C385" s="55">
        <v>4</v>
      </c>
      <c r="D385" s="55">
        <v>4</v>
      </c>
      <c r="E385" s="55">
        <v>6</v>
      </c>
      <c r="M385" s="88">
        <v>98940</v>
      </c>
      <c r="N385" s="15" t="s">
        <v>10</v>
      </c>
      <c r="O385" s="55">
        <v>2</v>
      </c>
      <c r="P385" s="55">
        <v>7</v>
      </c>
      <c r="Q385" s="55">
        <v>3</v>
      </c>
    </row>
    <row r="386" spans="1:17" x14ac:dyDescent="0.2">
      <c r="A386" s="88">
        <v>98922</v>
      </c>
      <c r="B386" s="15" t="s">
        <v>10</v>
      </c>
      <c r="C386" s="55">
        <v>33</v>
      </c>
      <c r="D386" s="55">
        <v>36</v>
      </c>
      <c r="E386" s="55">
        <v>44</v>
      </c>
      <c r="M386" s="88">
        <v>98941</v>
      </c>
      <c r="N386" s="15" t="s">
        <v>352</v>
      </c>
      <c r="O386" s="55">
        <v>0</v>
      </c>
      <c r="P386" s="55">
        <v>2</v>
      </c>
      <c r="Q386" s="55">
        <v>1</v>
      </c>
    </row>
    <row r="387" spans="1:17" x14ac:dyDescent="0.2">
      <c r="A387" s="88">
        <v>98925</v>
      </c>
      <c r="B387" s="15" t="s">
        <v>352</v>
      </c>
      <c r="C387" s="55">
        <v>0</v>
      </c>
      <c r="D387" s="55">
        <v>0</v>
      </c>
      <c r="E387" s="55">
        <v>1</v>
      </c>
      <c r="M387" s="88">
        <v>98941</v>
      </c>
      <c r="N387" s="15" t="s">
        <v>10</v>
      </c>
      <c r="O387" s="55">
        <v>4</v>
      </c>
      <c r="P387" s="55">
        <v>1</v>
      </c>
      <c r="Q387" s="55">
        <v>2</v>
      </c>
    </row>
    <row r="388" spans="1:17" x14ac:dyDescent="0.2">
      <c r="A388" s="88">
        <v>98925</v>
      </c>
      <c r="B388" s="15" t="s">
        <v>10</v>
      </c>
      <c r="C388" s="55">
        <v>2</v>
      </c>
      <c r="D388" s="55">
        <v>2</v>
      </c>
      <c r="E388" s="55">
        <v>2</v>
      </c>
      <c r="M388" s="88">
        <v>98943</v>
      </c>
      <c r="N388" s="15" t="s">
        <v>10</v>
      </c>
      <c r="O388" s="55">
        <v>2</v>
      </c>
      <c r="P388" s="55">
        <v>4</v>
      </c>
      <c r="Q388" s="55">
        <v>2</v>
      </c>
    </row>
    <row r="389" spans="1:17" x14ac:dyDescent="0.2">
      <c r="A389" s="88">
        <v>98926</v>
      </c>
      <c r="B389" s="15" t="s">
        <v>352</v>
      </c>
      <c r="C389" s="55">
        <v>5</v>
      </c>
      <c r="D389" s="55">
        <v>4</v>
      </c>
      <c r="E389" s="55">
        <v>2</v>
      </c>
      <c r="M389" s="88">
        <v>98946</v>
      </c>
      <c r="N389" s="15" t="s">
        <v>352</v>
      </c>
      <c r="O389" s="55">
        <v>0</v>
      </c>
      <c r="P389" s="55">
        <v>1</v>
      </c>
      <c r="Q389" s="55">
        <v>0</v>
      </c>
    </row>
    <row r="390" spans="1:17" x14ac:dyDescent="0.2">
      <c r="A390" s="88">
        <v>98926</v>
      </c>
      <c r="B390" s="15" t="s">
        <v>10</v>
      </c>
      <c r="C390" s="55">
        <v>27</v>
      </c>
      <c r="D390" s="55">
        <v>33</v>
      </c>
      <c r="E390" s="55">
        <v>33</v>
      </c>
      <c r="M390" s="88">
        <v>98946</v>
      </c>
      <c r="N390" s="15" t="s">
        <v>10</v>
      </c>
      <c r="O390" s="55">
        <v>3</v>
      </c>
      <c r="P390" s="55">
        <v>0</v>
      </c>
      <c r="Q390" s="55">
        <v>2</v>
      </c>
    </row>
    <row r="391" spans="1:17" x14ac:dyDescent="0.2">
      <c r="A391" s="88">
        <v>98934</v>
      </c>
      <c r="B391" s="15" t="s">
        <v>10</v>
      </c>
      <c r="C391" s="55">
        <v>6</v>
      </c>
      <c r="D391" s="55">
        <v>6</v>
      </c>
      <c r="E391" s="55">
        <v>8</v>
      </c>
      <c r="M391" s="88"/>
      <c r="N391" s="15" t="s">
        <v>352</v>
      </c>
      <c r="O391" s="55">
        <v>2</v>
      </c>
      <c r="P391" s="55">
        <v>2</v>
      </c>
      <c r="Q391" s="55">
        <v>2</v>
      </c>
    </row>
    <row r="392" spans="1:17" ht="16" thickBot="1" x14ac:dyDescent="0.25">
      <c r="A392" s="88">
        <v>98940</v>
      </c>
      <c r="B392" s="15" t="s">
        <v>352</v>
      </c>
      <c r="C392" s="55">
        <v>1</v>
      </c>
      <c r="D392" s="55">
        <v>0</v>
      </c>
      <c r="E392" s="55">
        <v>0</v>
      </c>
      <c r="M392" s="89"/>
      <c r="N392" s="17" t="s">
        <v>10</v>
      </c>
      <c r="O392" s="56">
        <v>1</v>
      </c>
      <c r="P392" s="56">
        <v>5</v>
      </c>
      <c r="Q392" s="56">
        <v>3</v>
      </c>
    </row>
    <row r="393" spans="1:17" x14ac:dyDescent="0.2">
      <c r="A393" s="88">
        <v>98940</v>
      </c>
      <c r="B393" s="15" t="s">
        <v>10</v>
      </c>
      <c r="C393" s="55">
        <v>4</v>
      </c>
      <c r="D393" s="55">
        <v>3</v>
      </c>
      <c r="E393" s="55">
        <v>6</v>
      </c>
    </row>
    <row r="394" spans="1:17" x14ac:dyDescent="0.2">
      <c r="A394" s="88">
        <v>98941</v>
      </c>
      <c r="B394" s="15" t="s">
        <v>352</v>
      </c>
      <c r="C394" s="55">
        <v>2</v>
      </c>
      <c r="D394" s="55">
        <v>1</v>
      </c>
      <c r="E394" s="55">
        <v>2</v>
      </c>
    </row>
    <row r="395" spans="1:17" x14ac:dyDescent="0.2">
      <c r="A395" s="88">
        <v>98941</v>
      </c>
      <c r="B395" s="15" t="s">
        <v>10</v>
      </c>
      <c r="C395" s="55">
        <v>7</v>
      </c>
      <c r="D395" s="55">
        <v>7</v>
      </c>
      <c r="E395" s="55">
        <v>5</v>
      </c>
    </row>
    <row r="396" spans="1:17" x14ac:dyDescent="0.2">
      <c r="A396" s="88">
        <v>98943</v>
      </c>
      <c r="B396" s="15" t="s">
        <v>10</v>
      </c>
      <c r="C396" s="55">
        <v>1</v>
      </c>
      <c r="D396" s="55">
        <v>3</v>
      </c>
      <c r="E396" s="55">
        <v>5</v>
      </c>
    </row>
    <row r="397" spans="1:17" x14ac:dyDescent="0.2">
      <c r="A397" s="88">
        <v>98946</v>
      </c>
      <c r="B397" s="15" t="s">
        <v>10</v>
      </c>
      <c r="C397" s="55">
        <v>1</v>
      </c>
      <c r="D397" s="55">
        <v>2</v>
      </c>
      <c r="E397" s="55">
        <v>1</v>
      </c>
    </row>
    <row r="398" spans="1:17" x14ac:dyDescent="0.2">
      <c r="A398" s="88"/>
      <c r="B398" s="15" t="s">
        <v>352</v>
      </c>
      <c r="C398" s="55">
        <v>0</v>
      </c>
      <c r="D398" s="55">
        <v>1</v>
      </c>
      <c r="E398" s="55">
        <v>0</v>
      </c>
    </row>
    <row r="399" spans="1:17" ht="16" thickBot="1" x14ac:dyDescent="0.25">
      <c r="A399" s="89"/>
      <c r="B399" s="17" t="s">
        <v>10</v>
      </c>
      <c r="C399" s="56">
        <v>1</v>
      </c>
      <c r="D399" s="56">
        <v>1</v>
      </c>
      <c r="E399" s="56">
        <v>4</v>
      </c>
    </row>
    <row r="400" spans="1:17" ht="16" thickBot="1" x14ac:dyDescent="0.25">
      <c r="A400" s="158" t="s">
        <v>356</v>
      </c>
      <c r="B400" s="159"/>
      <c r="C400" s="161">
        <f>SUM($B$11:$B$399,$B$12,C11:C399)</f>
        <v>11516</v>
      </c>
      <c r="D400" s="161">
        <f t="shared" ref="D400:E400" si="0">SUM($B$11:$B$399,$B$12,D11:D399)</f>
        <v>12015</v>
      </c>
      <c r="E400" s="161">
        <f t="shared" si="0"/>
        <v>13258</v>
      </c>
    </row>
  </sheetData>
  <mergeCells count="6">
    <mergeCell ref="M9:Q9"/>
    <mergeCell ref="S9:W9"/>
    <mergeCell ref="A1:I1"/>
    <mergeCell ref="A9:B9"/>
    <mergeCell ref="C9:E9"/>
    <mergeCell ref="G9:K9"/>
  </mergeCells>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15"/>
  <sheetViews>
    <sheetView topLeftCell="P1" workbookViewId="0">
      <selection sqref="A1:I1"/>
    </sheetView>
  </sheetViews>
  <sheetFormatPr baseColWidth="10" defaultColWidth="9.1640625" defaultRowHeight="15" x14ac:dyDescent="0.2"/>
  <cols>
    <col min="1" max="1" width="12.83203125" style="8" customWidth="1"/>
    <col min="2" max="2" width="20.1640625" style="8" customWidth="1"/>
    <col min="3" max="5" width="12.83203125" style="8" customWidth="1"/>
    <col min="6" max="6" width="3.1640625" style="9" customWidth="1"/>
    <col min="7" max="7" width="12.83203125" style="8" customWidth="1"/>
    <col min="8" max="8" width="20.1640625" style="8" customWidth="1"/>
    <col min="9" max="11" width="12.83203125" style="8" customWidth="1"/>
    <col min="12" max="12" width="3.1640625" style="9" customWidth="1"/>
    <col min="13" max="13" width="12.83203125" style="8" customWidth="1"/>
    <col min="14" max="14" width="20.1640625" style="8" customWidth="1"/>
    <col min="15" max="17" width="12.83203125" style="8" customWidth="1"/>
    <col min="18" max="18" width="3.1640625" style="9" customWidth="1"/>
    <col min="19" max="19" width="12.83203125" style="8" customWidth="1"/>
    <col min="20" max="20" width="20.1640625" style="8" customWidth="1"/>
    <col min="21" max="23" width="12.83203125" style="8" customWidth="1"/>
    <col min="24" max="16384" width="9.1640625" style="8"/>
  </cols>
  <sheetData>
    <row r="1" spans="1:23" ht="16" thickBot="1" x14ac:dyDescent="0.25">
      <c r="A1" s="120" t="s">
        <v>0</v>
      </c>
      <c r="B1" s="121"/>
      <c r="C1" s="121"/>
      <c r="D1" s="121"/>
      <c r="E1" s="121"/>
      <c r="F1" s="121"/>
      <c r="G1" s="121"/>
      <c r="H1" s="121"/>
      <c r="I1" s="122"/>
    </row>
    <row r="2" spans="1:23" x14ac:dyDescent="0.2">
      <c r="A2" s="5">
        <v>1</v>
      </c>
      <c r="B2" s="2" t="s">
        <v>1</v>
      </c>
      <c r="C2" s="3"/>
      <c r="D2" s="3"/>
      <c r="E2" s="3"/>
      <c r="F2" s="4"/>
      <c r="G2" s="3"/>
      <c r="H2" s="3"/>
      <c r="I2" s="3"/>
    </row>
    <row r="3" spans="1:23" x14ac:dyDescent="0.2">
      <c r="A3" s="5">
        <v>2</v>
      </c>
      <c r="B3" s="2" t="s">
        <v>2</v>
      </c>
      <c r="C3" s="3"/>
      <c r="D3" s="3"/>
      <c r="E3" s="3"/>
      <c r="F3" s="4"/>
      <c r="G3" s="3"/>
      <c r="H3" s="3"/>
      <c r="I3" s="3"/>
    </row>
    <row r="4" spans="1:23" x14ac:dyDescent="0.2">
      <c r="A4" s="5">
        <v>3</v>
      </c>
      <c r="B4" s="3" t="s">
        <v>18</v>
      </c>
      <c r="C4" s="3"/>
      <c r="D4" s="3"/>
      <c r="E4" s="3"/>
      <c r="F4" s="4"/>
      <c r="G4" s="3"/>
      <c r="H4" s="3"/>
      <c r="I4" s="3"/>
    </row>
    <row r="5" spans="1:23" x14ac:dyDescent="0.2">
      <c r="A5" s="5">
        <v>4</v>
      </c>
      <c r="B5" s="3" t="s">
        <v>19</v>
      </c>
      <c r="C5" s="3"/>
      <c r="D5" s="3"/>
      <c r="E5" s="3"/>
      <c r="F5" s="4"/>
      <c r="G5" s="3"/>
      <c r="H5" s="3"/>
      <c r="I5" s="3"/>
    </row>
    <row r="6" spans="1:23" x14ac:dyDescent="0.2">
      <c r="A6" s="5">
        <v>5</v>
      </c>
      <c r="B6" s="3" t="s">
        <v>20</v>
      </c>
      <c r="C6" s="3"/>
      <c r="D6" s="3"/>
      <c r="E6" s="3"/>
      <c r="F6" s="4"/>
      <c r="G6" s="3"/>
      <c r="H6" s="3"/>
      <c r="I6" s="3"/>
    </row>
    <row r="7" spans="1:23" x14ac:dyDescent="0.2">
      <c r="A7" s="5">
        <v>6</v>
      </c>
      <c r="B7" s="3" t="s">
        <v>21</v>
      </c>
      <c r="C7" s="3"/>
      <c r="D7" s="3"/>
      <c r="E7" s="3"/>
      <c r="F7" s="4"/>
      <c r="G7" s="3"/>
      <c r="H7" s="3"/>
      <c r="I7" s="3"/>
      <c r="J7"/>
    </row>
    <row r="8" spans="1:23" x14ac:dyDescent="0.2">
      <c r="A8" s="5">
        <v>7</v>
      </c>
      <c r="B8" s="3" t="s">
        <v>22</v>
      </c>
      <c r="C8" s="3"/>
      <c r="D8" s="3"/>
      <c r="E8" s="3"/>
      <c r="F8" s="4"/>
      <c r="G8" s="3"/>
      <c r="H8" s="3"/>
      <c r="I8" s="3"/>
    </row>
    <row r="9" spans="1:23" x14ac:dyDescent="0.2">
      <c r="A9" s="5">
        <v>8</v>
      </c>
      <c r="B9" s="3" t="s">
        <v>5</v>
      </c>
      <c r="C9" s="3"/>
      <c r="D9" s="3"/>
      <c r="E9" s="3"/>
      <c r="F9" s="4"/>
      <c r="G9" s="3"/>
      <c r="H9" s="3"/>
      <c r="I9" s="3"/>
      <c r="J9"/>
    </row>
    <row r="10" spans="1:23" ht="16" thickBot="1" x14ac:dyDescent="0.25"/>
    <row r="11" spans="1:23" ht="41.25" customHeight="1" thickBot="1" x14ac:dyDescent="0.25">
      <c r="A11" s="126" t="s">
        <v>89</v>
      </c>
      <c r="B11" s="126"/>
      <c r="C11" s="123" t="s">
        <v>14</v>
      </c>
      <c r="D11" s="124"/>
      <c r="E11" s="125"/>
      <c r="G11" s="133" t="s">
        <v>15</v>
      </c>
      <c r="H11" s="133"/>
      <c r="I11" s="133"/>
      <c r="J11" s="133"/>
      <c r="K11" s="133"/>
      <c r="M11" s="133" t="s">
        <v>16</v>
      </c>
      <c r="N11" s="133"/>
      <c r="O11" s="133"/>
      <c r="P11" s="133"/>
      <c r="Q11" s="133"/>
      <c r="S11" s="133" t="s">
        <v>17</v>
      </c>
      <c r="T11" s="133"/>
      <c r="U11" s="133"/>
      <c r="V11" s="133"/>
      <c r="W11" s="133"/>
    </row>
    <row r="12" spans="1:23" ht="16" thickBot="1" x14ac:dyDescent="0.25">
      <c r="A12" s="18" t="s">
        <v>8</v>
      </c>
      <c r="B12" s="18" t="s">
        <v>9</v>
      </c>
      <c r="C12" s="12">
        <v>44652</v>
      </c>
      <c r="D12" s="12">
        <v>44682</v>
      </c>
      <c r="E12" s="12">
        <v>44713</v>
      </c>
      <c r="G12" s="19" t="s">
        <v>8</v>
      </c>
      <c r="H12" s="19" t="s">
        <v>9</v>
      </c>
      <c r="I12" s="81">
        <v>44681</v>
      </c>
      <c r="J12" s="81">
        <v>44712</v>
      </c>
      <c r="K12" s="81">
        <v>44742</v>
      </c>
      <c r="M12" s="19" t="s">
        <v>8</v>
      </c>
      <c r="N12" s="19" t="s">
        <v>9</v>
      </c>
      <c r="O12" s="81">
        <v>44681</v>
      </c>
      <c r="P12" s="81">
        <v>44712</v>
      </c>
      <c r="Q12" s="81">
        <v>44742</v>
      </c>
      <c r="S12" s="19" t="s">
        <v>8</v>
      </c>
      <c r="T12" s="19" t="s">
        <v>9</v>
      </c>
      <c r="U12" s="81">
        <v>44681</v>
      </c>
      <c r="V12" s="81">
        <v>44712</v>
      </c>
      <c r="W12" s="81">
        <v>44742</v>
      </c>
    </row>
    <row r="13" spans="1:23" x14ac:dyDescent="0.2">
      <c r="A13" s="105">
        <v>98233</v>
      </c>
      <c r="B13" s="105" t="s">
        <v>10</v>
      </c>
      <c r="C13" s="102">
        <v>1</v>
      </c>
      <c r="D13" s="102">
        <v>1</v>
      </c>
      <c r="E13" s="102">
        <v>1</v>
      </c>
      <c r="G13" s="135" t="s">
        <v>94</v>
      </c>
      <c r="H13" s="136"/>
      <c r="I13" s="136"/>
      <c r="J13" s="136"/>
      <c r="K13" s="137"/>
      <c r="M13" s="86">
        <v>98110</v>
      </c>
      <c r="N13" s="38" t="s">
        <v>10</v>
      </c>
      <c r="O13" s="36">
        <v>0</v>
      </c>
      <c r="P13" s="36">
        <v>0</v>
      </c>
      <c r="Q13" s="36">
        <v>1</v>
      </c>
      <c r="S13" s="135" t="s">
        <v>95</v>
      </c>
      <c r="T13" s="136"/>
      <c r="U13" s="136"/>
      <c r="V13" s="136"/>
      <c r="W13" s="137"/>
    </row>
    <row r="14" spans="1:23" ht="16" thickBot="1" x14ac:dyDescent="0.25">
      <c r="A14" s="106">
        <v>98503</v>
      </c>
      <c r="B14" s="106" t="s">
        <v>10</v>
      </c>
      <c r="C14" s="103">
        <v>0</v>
      </c>
      <c r="D14" s="103">
        <v>1</v>
      </c>
      <c r="E14" s="103">
        <v>0</v>
      </c>
      <c r="G14" s="138"/>
      <c r="H14" s="139"/>
      <c r="I14" s="139"/>
      <c r="J14" s="139"/>
      <c r="K14" s="140"/>
      <c r="M14" s="86">
        <v>98310</v>
      </c>
      <c r="N14" s="38" t="s">
        <v>10</v>
      </c>
      <c r="O14" s="36">
        <v>0</v>
      </c>
      <c r="P14" s="36">
        <v>0</v>
      </c>
      <c r="Q14" s="36">
        <v>1</v>
      </c>
      <c r="S14" s="138"/>
      <c r="T14" s="139"/>
      <c r="U14" s="139"/>
      <c r="V14" s="139"/>
      <c r="W14" s="140"/>
    </row>
    <row r="15" spans="1:23" ht="16" thickBot="1" x14ac:dyDescent="0.25">
      <c r="A15" s="22"/>
      <c r="B15" s="22"/>
      <c r="C15" s="22"/>
      <c r="D15" s="22"/>
      <c r="E15" s="22"/>
      <c r="G15" s="141"/>
      <c r="H15" s="142"/>
      <c r="I15" s="142"/>
      <c r="J15" s="142"/>
      <c r="K15" s="143"/>
      <c r="M15" s="109">
        <v>98503</v>
      </c>
      <c r="N15" s="50" t="s">
        <v>10</v>
      </c>
      <c r="O15" s="110">
        <v>1</v>
      </c>
      <c r="P15" s="110">
        <v>0</v>
      </c>
      <c r="Q15" s="110">
        <v>0</v>
      </c>
      <c r="S15" s="141"/>
      <c r="T15" s="142"/>
      <c r="U15" s="142"/>
      <c r="V15" s="142"/>
      <c r="W15" s="143"/>
    </row>
  </sheetData>
  <mergeCells count="8">
    <mergeCell ref="S13:W15"/>
    <mergeCell ref="A1:I1"/>
    <mergeCell ref="A11:B11"/>
    <mergeCell ref="C11:E11"/>
    <mergeCell ref="G11:K11"/>
    <mergeCell ref="M11:Q11"/>
    <mergeCell ref="S11:W11"/>
    <mergeCell ref="G13:K15"/>
  </mergeCells>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448"/>
  <sheetViews>
    <sheetView workbookViewId="0">
      <selection sqref="A1:I1"/>
    </sheetView>
  </sheetViews>
  <sheetFormatPr baseColWidth="10" defaultColWidth="9.1640625" defaultRowHeight="15" x14ac:dyDescent="0.2"/>
  <cols>
    <col min="1" max="1" width="12.83203125" style="8" customWidth="1"/>
    <col min="2" max="2" width="20.1640625" style="8" customWidth="1"/>
    <col min="3" max="5" width="14.83203125" style="8" customWidth="1"/>
    <col min="6" max="6" width="3.1640625" style="9" customWidth="1"/>
    <col min="7" max="7" width="14.83203125" style="8" customWidth="1"/>
    <col min="8" max="8" width="20.1640625" style="8" customWidth="1"/>
    <col min="9" max="11" width="14.83203125" style="8" customWidth="1"/>
    <col min="12" max="12" width="3.1640625" style="9" customWidth="1"/>
    <col min="13" max="13" width="14.83203125" style="8" customWidth="1"/>
    <col min="14" max="14" width="20.1640625" style="8" customWidth="1"/>
    <col min="15" max="17" width="14.83203125" style="8" customWidth="1"/>
    <col min="18" max="18" width="3.1640625" style="9" customWidth="1"/>
    <col min="19" max="19" width="14.83203125" style="8" customWidth="1"/>
    <col min="20" max="20" width="20.1640625" style="8" customWidth="1"/>
    <col min="21" max="23" width="14.83203125" style="8" customWidth="1"/>
    <col min="24" max="16384" width="9.1640625" style="8"/>
  </cols>
  <sheetData>
    <row r="1" spans="1:23" ht="16" thickBot="1" x14ac:dyDescent="0.25">
      <c r="A1" s="120" t="s">
        <v>0</v>
      </c>
      <c r="B1" s="121"/>
      <c r="C1" s="121"/>
      <c r="D1" s="121"/>
      <c r="E1" s="121"/>
      <c r="F1" s="121"/>
      <c r="G1" s="121"/>
      <c r="H1" s="121"/>
      <c r="I1" s="122"/>
    </row>
    <row r="2" spans="1:23" x14ac:dyDescent="0.2">
      <c r="A2" s="1">
        <v>1</v>
      </c>
      <c r="B2" s="2" t="s">
        <v>1</v>
      </c>
    </row>
    <row r="3" spans="1:23" x14ac:dyDescent="0.2">
      <c r="A3" s="5">
        <v>2</v>
      </c>
      <c r="B3" s="2" t="s">
        <v>2</v>
      </c>
    </row>
    <row r="4" spans="1:23" x14ac:dyDescent="0.2">
      <c r="A4" s="5">
        <v>3</v>
      </c>
      <c r="B4" s="2" t="s">
        <v>46</v>
      </c>
    </row>
    <row r="5" spans="1:23" x14ac:dyDescent="0.2">
      <c r="A5" s="5">
        <v>4</v>
      </c>
      <c r="B5" s="2" t="s">
        <v>47</v>
      </c>
    </row>
    <row r="6" spans="1:23" x14ac:dyDescent="0.2">
      <c r="A6" s="5">
        <v>5</v>
      </c>
      <c r="B6" s="2" t="s">
        <v>48</v>
      </c>
    </row>
    <row r="7" spans="1:23" x14ac:dyDescent="0.2">
      <c r="A7" s="5">
        <v>6</v>
      </c>
      <c r="B7" s="2" t="s">
        <v>49</v>
      </c>
    </row>
    <row r="8" spans="1:23" x14ac:dyDescent="0.2">
      <c r="A8" s="5">
        <v>7</v>
      </c>
      <c r="B8" s="2" t="s">
        <v>50</v>
      </c>
    </row>
    <row r="9" spans="1:23" x14ac:dyDescent="0.2">
      <c r="A9" s="3">
        <v>8</v>
      </c>
      <c r="B9" s="29" t="s">
        <v>51</v>
      </c>
    </row>
    <row r="10" spans="1:23" x14ac:dyDescent="0.2">
      <c r="A10" s="3">
        <v>9</v>
      </c>
      <c r="B10" s="6" t="s">
        <v>5</v>
      </c>
    </row>
    <row r="11" spans="1:23" ht="16" thickBot="1" x14ac:dyDescent="0.25"/>
    <row r="12" spans="1:23" ht="30" customHeight="1" thickBot="1" x14ac:dyDescent="0.25">
      <c r="A12" s="126" t="s">
        <v>92</v>
      </c>
      <c r="B12" s="126"/>
      <c r="C12" s="123" t="s">
        <v>52</v>
      </c>
      <c r="D12" s="124"/>
      <c r="E12" s="125"/>
      <c r="G12" s="123" t="s">
        <v>53</v>
      </c>
      <c r="H12" s="124"/>
      <c r="I12" s="124"/>
      <c r="J12" s="124"/>
      <c r="K12" s="125"/>
      <c r="M12" s="123" t="s">
        <v>55</v>
      </c>
      <c r="N12" s="124"/>
      <c r="O12" s="124"/>
      <c r="P12" s="124"/>
      <c r="Q12" s="125"/>
      <c r="S12" s="123" t="s">
        <v>56</v>
      </c>
      <c r="T12" s="124"/>
      <c r="U12" s="124"/>
      <c r="V12" s="124"/>
      <c r="W12" s="125"/>
    </row>
    <row r="13" spans="1:23" ht="16" thickBot="1" x14ac:dyDescent="0.25">
      <c r="A13" s="34" t="s">
        <v>8</v>
      </c>
      <c r="B13" s="7" t="s">
        <v>9</v>
      </c>
      <c r="C13" s="81">
        <v>44681</v>
      </c>
      <c r="D13" s="81">
        <v>44712</v>
      </c>
      <c r="E13" s="81">
        <v>44742</v>
      </c>
      <c r="G13" s="34" t="s">
        <v>8</v>
      </c>
      <c r="H13" s="7" t="s">
        <v>9</v>
      </c>
      <c r="I13" s="81">
        <v>44681</v>
      </c>
      <c r="J13" s="81">
        <v>44712</v>
      </c>
      <c r="K13" s="81">
        <v>44742</v>
      </c>
      <c r="M13" s="34" t="s">
        <v>8</v>
      </c>
      <c r="N13" s="7" t="s">
        <v>9</v>
      </c>
      <c r="O13" s="81">
        <v>44681</v>
      </c>
      <c r="P13" s="81">
        <v>44712</v>
      </c>
      <c r="Q13" s="81">
        <v>44742</v>
      </c>
      <c r="S13" s="34" t="s">
        <v>8</v>
      </c>
      <c r="T13" s="7" t="s">
        <v>9</v>
      </c>
      <c r="U13" s="81">
        <v>44681</v>
      </c>
      <c r="V13" s="81">
        <v>44712</v>
      </c>
      <c r="W13" s="81">
        <v>44742</v>
      </c>
    </row>
    <row r="14" spans="1:23" x14ac:dyDescent="0.2">
      <c r="A14" s="62">
        <v>98001</v>
      </c>
      <c r="B14" s="37" t="s">
        <v>352</v>
      </c>
      <c r="C14" s="47">
        <v>7</v>
      </c>
      <c r="D14" s="47">
        <v>7</v>
      </c>
      <c r="E14" s="47">
        <v>6</v>
      </c>
      <c r="G14" s="127" t="s">
        <v>54</v>
      </c>
      <c r="H14" s="128"/>
      <c r="I14" s="128"/>
      <c r="J14" s="128"/>
      <c r="K14" s="129"/>
      <c r="M14" s="85">
        <v>98001</v>
      </c>
      <c r="N14" s="37" t="s">
        <v>352</v>
      </c>
      <c r="O14" s="35">
        <v>16</v>
      </c>
      <c r="P14" s="35">
        <v>38</v>
      </c>
      <c r="Q14" s="35">
        <v>16</v>
      </c>
      <c r="S14" s="96">
        <v>98001</v>
      </c>
      <c r="T14" s="97" t="s">
        <v>352</v>
      </c>
      <c r="U14" s="98">
        <v>0</v>
      </c>
      <c r="V14" s="98">
        <v>1</v>
      </c>
      <c r="W14" s="99">
        <v>0</v>
      </c>
    </row>
    <row r="15" spans="1:23" ht="16" thickBot="1" x14ac:dyDescent="0.25">
      <c r="A15" s="63">
        <v>98001</v>
      </c>
      <c r="B15" s="38" t="s">
        <v>10</v>
      </c>
      <c r="C15" s="48">
        <v>502</v>
      </c>
      <c r="D15" s="48">
        <v>440</v>
      </c>
      <c r="E15" s="48">
        <v>313</v>
      </c>
      <c r="G15" s="130"/>
      <c r="H15" s="131"/>
      <c r="I15" s="131"/>
      <c r="J15" s="131"/>
      <c r="K15" s="132"/>
      <c r="M15" s="59">
        <v>98001</v>
      </c>
      <c r="N15" s="38" t="s">
        <v>10</v>
      </c>
      <c r="O15" s="36">
        <v>251</v>
      </c>
      <c r="P15" s="36">
        <v>103</v>
      </c>
      <c r="Q15" s="36">
        <v>141</v>
      </c>
      <c r="S15" s="59">
        <v>98001</v>
      </c>
      <c r="T15" s="38" t="s">
        <v>10</v>
      </c>
      <c r="U15" s="36">
        <v>62</v>
      </c>
      <c r="V15" s="36">
        <v>117</v>
      </c>
      <c r="W15" s="36">
        <v>178</v>
      </c>
    </row>
    <row r="16" spans="1:23" x14ac:dyDescent="0.2">
      <c r="A16" s="64">
        <v>98002</v>
      </c>
      <c r="B16" s="38" t="s">
        <v>352</v>
      </c>
      <c r="C16" s="48">
        <v>11</v>
      </c>
      <c r="D16" s="48">
        <v>10</v>
      </c>
      <c r="E16" s="48">
        <v>9</v>
      </c>
      <c r="M16" s="86">
        <v>98002</v>
      </c>
      <c r="N16" s="38" t="s">
        <v>352</v>
      </c>
      <c r="O16" s="36">
        <v>6</v>
      </c>
      <c r="P16" s="36">
        <v>25</v>
      </c>
      <c r="Q16" s="36">
        <v>19</v>
      </c>
      <c r="S16" s="86">
        <v>98002</v>
      </c>
      <c r="T16" s="38" t="s">
        <v>352</v>
      </c>
      <c r="U16" s="33">
        <v>1</v>
      </c>
      <c r="V16" s="33">
        <v>0</v>
      </c>
      <c r="W16" s="36">
        <v>0</v>
      </c>
    </row>
    <row r="17" spans="1:23" x14ac:dyDescent="0.2">
      <c r="A17" s="63">
        <v>98002</v>
      </c>
      <c r="B17" s="38" t="s">
        <v>10</v>
      </c>
      <c r="C17" s="48">
        <v>943</v>
      </c>
      <c r="D17" s="48">
        <v>808</v>
      </c>
      <c r="E17" s="48">
        <v>550</v>
      </c>
      <c r="M17" s="59">
        <v>98002</v>
      </c>
      <c r="N17" s="38" t="s">
        <v>10</v>
      </c>
      <c r="O17" s="36">
        <v>220</v>
      </c>
      <c r="P17" s="36">
        <v>195</v>
      </c>
      <c r="Q17" s="36">
        <v>234</v>
      </c>
      <c r="S17" s="59">
        <v>98002</v>
      </c>
      <c r="T17" s="38" t="s">
        <v>10</v>
      </c>
      <c r="U17" s="36">
        <v>123</v>
      </c>
      <c r="V17" s="36">
        <v>247</v>
      </c>
      <c r="W17" s="36">
        <v>383</v>
      </c>
    </row>
    <row r="18" spans="1:23" x14ac:dyDescent="0.2">
      <c r="A18" s="64">
        <v>98003</v>
      </c>
      <c r="B18" s="38" t="s">
        <v>352</v>
      </c>
      <c r="C18" s="48">
        <v>13</v>
      </c>
      <c r="D18" s="48">
        <v>10</v>
      </c>
      <c r="E18" s="48">
        <v>9</v>
      </c>
      <c r="M18" s="86">
        <v>98003</v>
      </c>
      <c r="N18" s="38" t="s">
        <v>352</v>
      </c>
      <c r="O18" s="36">
        <v>13</v>
      </c>
      <c r="P18" s="36">
        <v>19</v>
      </c>
      <c r="Q18" s="36">
        <v>25</v>
      </c>
      <c r="S18" s="86">
        <v>98003</v>
      </c>
      <c r="T18" s="38" t="s">
        <v>352</v>
      </c>
      <c r="U18" s="33">
        <v>1</v>
      </c>
      <c r="V18" s="36">
        <v>0</v>
      </c>
      <c r="W18" s="33">
        <v>5</v>
      </c>
    </row>
    <row r="19" spans="1:23" x14ac:dyDescent="0.2">
      <c r="A19" s="63">
        <v>98003</v>
      </c>
      <c r="B19" s="38" t="s">
        <v>10</v>
      </c>
      <c r="C19" s="48">
        <v>1190</v>
      </c>
      <c r="D19" s="48">
        <v>1006</v>
      </c>
      <c r="E19" s="48">
        <v>690</v>
      </c>
      <c r="M19" s="59">
        <v>98003</v>
      </c>
      <c r="N19" s="38" t="s">
        <v>10</v>
      </c>
      <c r="O19" s="36">
        <v>258</v>
      </c>
      <c r="P19" s="36">
        <v>263</v>
      </c>
      <c r="Q19" s="36">
        <v>238</v>
      </c>
      <c r="S19" s="59">
        <v>98003</v>
      </c>
      <c r="T19" s="38" t="s">
        <v>10</v>
      </c>
      <c r="U19" s="36">
        <v>177</v>
      </c>
      <c r="V19" s="36">
        <v>285</v>
      </c>
      <c r="W19" s="36">
        <v>482</v>
      </c>
    </row>
    <row r="20" spans="1:23" x14ac:dyDescent="0.2">
      <c r="A20" s="64">
        <v>98004</v>
      </c>
      <c r="B20" s="38" t="s">
        <v>352</v>
      </c>
      <c r="C20" s="48">
        <v>4</v>
      </c>
      <c r="D20" s="48">
        <v>4</v>
      </c>
      <c r="E20" s="48">
        <v>2</v>
      </c>
      <c r="M20" s="86">
        <v>98004</v>
      </c>
      <c r="N20" s="38" t="s">
        <v>352</v>
      </c>
      <c r="O20" s="36">
        <v>17</v>
      </c>
      <c r="P20" s="36">
        <v>17</v>
      </c>
      <c r="Q20" s="36">
        <v>24</v>
      </c>
      <c r="S20" s="86">
        <v>98004</v>
      </c>
      <c r="T20" s="38" t="s">
        <v>352</v>
      </c>
      <c r="U20" s="33">
        <v>0</v>
      </c>
      <c r="V20" s="36">
        <v>2</v>
      </c>
      <c r="W20" s="33">
        <v>1</v>
      </c>
    </row>
    <row r="21" spans="1:23" x14ac:dyDescent="0.2">
      <c r="A21" s="63">
        <v>98004</v>
      </c>
      <c r="B21" s="38" t="s">
        <v>10</v>
      </c>
      <c r="C21" s="48">
        <v>192</v>
      </c>
      <c r="D21" s="48">
        <v>152</v>
      </c>
      <c r="E21" s="48">
        <v>102</v>
      </c>
      <c r="M21" s="59">
        <v>98004</v>
      </c>
      <c r="N21" s="38" t="s">
        <v>10</v>
      </c>
      <c r="O21" s="36">
        <v>287</v>
      </c>
      <c r="P21" s="36">
        <v>346</v>
      </c>
      <c r="Q21" s="36">
        <v>371</v>
      </c>
      <c r="S21" s="59">
        <v>98004</v>
      </c>
      <c r="T21" s="38" t="s">
        <v>10</v>
      </c>
      <c r="U21" s="36">
        <v>38</v>
      </c>
      <c r="V21" s="36">
        <v>41</v>
      </c>
      <c r="W21" s="36">
        <v>47</v>
      </c>
    </row>
    <row r="22" spans="1:23" x14ac:dyDescent="0.2">
      <c r="A22" s="64">
        <v>98005</v>
      </c>
      <c r="B22" s="38" t="s">
        <v>352</v>
      </c>
      <c r="C22" s="48">
        <v>2</v>
      </c>
      <c r="D22" s="48">
        <v>1</v>
      </c>
      <c r="E22" s="48">
        <v>1</v>
      </c>
      <c r="M22" s="86">
        <v>98005</v>
      </c>
      <c r="N22" s="38" t="s">
        <v>352</v>
      </c>
      <c r="O22" s="36">
        <v>7</v>
      </c>
      <c r="P22" s="36">
        <v>4</v>
      </c>
      <c r="Q22" s="36">
        <v>19</v>
      </c>
      <c r="S22" s="86">
        <v>98005</v>
      </c>
      <c r="T22" s="38" t="s">
        <v>352</v>
      </c>
      <c r="U22" s="36">
        <v>1</v>
      </c>
      <c r="V22" s="33">
        <v>0</v>
      </c>
      <c r="W22" s="33">
        <v>0</v>
      </c>
    </row>
    <row r="23" spans="1:23" x14ac:dyDescent="0.2">
      <c r="A23" s="63">
        <v>98005</v>
      </c>
      <c r="B23" s="38" t="s">
        <v>10</v>
      </c>
      <c r="C23" s="48">
        <v>80</v>
      </c>
      <c r="D23" s="48">
        <v>59</v>
      </c>
      <c r="E23" s="48">
        <v>46</v>
      </c>
      <c r="M23" s="59">
        <v>98005</v>
      </c>
      <c r="N23" s="38" t="s">
        <v>10</v>
      </c>
      <c r="O23" s="36">
        <v>142</v>
      </c>
      <c r="P23" s="36">
        <v>191</v>
      </c>
      <c r="Q23" s="36">
        <v>189</v>
      </c>
      <c r="S23" s="59">
        <v>98005</v>
      </c>
      <c r="T23" s="38" t="s">
        <v>10</v>
      </c>
      <c r="U23" s="36">
        <v>18</v>
      </c>
      <c r="V23" s="36">
        <v>14</v>
      </c>
      <c r="W23" s="36">
        <v>17</v>
      </c>
    </row>
    <row r="24" spans="1:23" x14ac:dyDescent="0.2">
      <c r="A24" s="64">
        <v>98006</v>
      </c>
      <c r="B24" s="38" t="s">
        <v>352</v>
      </c>
      <c r="C24" s="48">
        <v>3</v>
      </c>
      <c r="D24" s="48">
        <v>3</v>
      </c>
      <c r="E24" s="48">
        <v>3</v>
      </c>
      <c r="M24" s="86">
        <v>98006</v>
      </c>
      <c r="N24" s="38" t="s">
        <v>352</v>
      </c>
      <c r="O24" s="36">
        <v>13</v>
      </c>
      <c r="P24" s="36">
        <v>11</v>
      </c>
      <c r="Q24" s="36">
        <v>11</v>
      </c>
      <c r="S24" s="86">
        <v>98006</v>
      </c>
      <c r="T24" s="38" t="s">
        <v>10</v>
      </c>
      <c r="U24" s="36">
        <v>24</v>
      </c>
      <c r="V24" s="33">
        <v>36</v>
      </c>
      <c r="W24" s="36">
        <v>62</v>
      </c>
    </row>
    <row r="25" spans="1:23" x14ac:dyDescent="0.2">
      <c r="A25" s="63">
        <v>98006</v>
      </c>
      <c r="B25" s="38" t="s">
        <v>10</v>
      </c>
      <c r="C25" s="48">
        <v>189</v>
      </c>
      <c r="D25" s="48">
        <v>160</v>
      </c>
      <c r="E25" s="48">
        <v>121</v>
      </c>
      <c r="M25" s="59">
        <v>98006</v>
      </c>
      <c r="N25" s="38" t="s">
        <v>10</v>
      </c>
      <c r="O25" s="36">
        <v>127</v>
      </c>
      <c r="P25" s="36">
        <v>107</v>
      </c>
      <c r="Q25" s="36">
        <v>161</v>
      </c>
      <c r="S25" s="59">
        <v>98007</v>
      </c>
      <c r="T25" s="38" t="s">
        <v>352</v>
      </c>
      <c r="U25" s="36">
        <v>0</v>
      </c>
      <c r="V25" s="36">
        <v>1</v>
      </c>
      <c r="W25" s="36">
        <v>0</v>
      </c>
    </row>
    <row r="26" spans="1:23" x14ac:dyDescent="0.2">
      <c r="A26" s="64">
        <v>98007</v>
      </c>
      <c r="B26" s="38" t="s">
        <v>352</v>
      </c>
      <c r="C26" s="48">
        <v>3</v>
      </c>
      <c r="D26" s="48">
        <v>3</v>
      </c>
      <c r="E26" s="48">
        <v>2</v>
      </c>
      <c r="M26" s="86">
        <v>98007</v>
      </c>
      <c r="N26" s="38" t="s">
        <v>352</v>
      </c>
      <c r="O26" s="36">
        <v>5</v>
      </c>
      <c r="P26" s="36">
        <v>9</v>
      </c>
      <c r="Q26" s="36">
        <v>4</v>
      </c>
      <c r="S26" s="86">
        <v>98007</v>
      </c>
      <c r="T26" s="38" t="s">
        <v>10</v>
      </c>
      <c r="U26" s="33">
        <v>36</v>
      </c>
      <c r="V26" s="36">
        <v>40</v>
      </c>
      <c r="W26" s="33">
        <v>67</v>
      </c>
    </row>
    <row r="27" spans="1:23" x14ac:dyDescent="0.2">
      <c r="A27" s="63">
        <v>98007</v>
      </c>
      <c r="B27" s="38" t="s">
        <v>10</v>
      </c>
      <c r="C27" s="48">
        <v>207</v>
      </c>
      <c r="D27" s="48">
        <v>165</v>
      </c>
      <c r="E27" s="48">
        <v>114</v>
      </c>
      <c r="M27" s="59">
        <v>98007</v>
      </c>
      <c r="N27" s="38" t="s">
        <v>10</v>
      </c>
      <c r="O27" s="36">
        <v>220</v>
      </c>
      <c r="P27" s="36">
        <v>237</v>
      </c>
      <c r="Q27" s="36">
        <v>232</v>
      </c>
      <c r="S27" s="59">
        <v>98008</v>
      </c>
      <c r="T27" s="38" t="s">
        <v>10</v>
      </c>
      <c r="U27" s="36">
        <v>17</v>
      </c>
      <c r="V27" s="36">
        <v>34</v>
      </c>
      <c r="W27" s="36">
        <v>49</v>
      </c>
    </row>
    <row r="28" spans="1:23" x14ac:dyDescent="0.2">
      <c r="A28" s="64">
        <v>98008</v>
      </c>
      <c r="B28" s="38" t="s">
        <v>352</v>
      </c>
      <c r="C28" s="48">
        <v>1</v>
      </c>
      <c r="D28" s="48">
        <v>1</v>
      </c>
      <c r="E28" s="48">
        <v>1</v>
      </c>
      <c r="M28" s="86">
        <v>98008</v>
      </c>
      <c r="N28" s="38" t="s">
        <v>352</v>
      </c>
      <c r="O28" s="36">
        <v>11</v>
      </c>
      <c r="P28" s="36">
        <v>8</v>
      </c>
      <c r="Q28" s="36">
        <v>7</v>
      </c>
      <c r="S28" s="86">
        <v>98010</v>
      </c>
      <c r="T28" s="38" t="s">
        <v>10</v>
      </c>
      <c r="U28" s="33">
        <v>5</v>
      </c>
      <c r="V28" s="36">
        <v>14</v>
      </c>
      <c r="W28" s="33">
        <v>19</v>
      </c>
    </row>
    <row r="29" spans="1:23" x14ac:dyDescent="0.2">
      <c r="A29" s="63">
        <v>98008</v>
      </c>
      <c r="B29" s="38" t="s">
        <v>10</v>
      </c>
      <c r="C29" s="48">
        <v>147</v>
      </c>
      <c r="D29" s="48">
        <v>121</v>
      </c>
      <c r="E29" s="48">
        <v>83</v>
      </c>
      <c r="M29" s="59">
        <v>98008</v>
      </c>
      <c r="N29" s="38" t="s">
        <v>10</v>
      </c>
      <c r="O29" s="36">
        <v>89</v>
      </c>
      <c r="P29" s="36">
        <v>78</v>
      </c>
      <c r="Q29" s="36">
        <v>111</v>
      </c>
      <c r="S29" s="59">
        <v>98011</v>
      </c>
      <c r="T29" s="38" t="s">
        <v>10</v>
      </c>
      <c r="U29" s="36">
        <v>30</v>
      </c>
      <c r="V29" s="36">
        <v>55</v>
      </c>
      <c r="W29" s="36">
        <v>103</v>
      </c>
    </row>
    <row r="30" spans="1:23" x14ac:dyDescent="0.2">
      <c r="A30" s="64">
        <v>98010</v>
      </c>
      <c r="B30" s="38" t="s">
        <v>352</v>
      </c>
      <c r="C30" s="48">
        <v>1</v>
      </c>
      <c r="D30" s="48">
        <v>1</v>
      </c>
      <c r="E30" s="48">
        <v>1</v>
      </c>
      <c r="M30" s="86">
        <v>98010</v>
      </c>
      <c r="N30" s="38" t="s">
        <v>352</v>
      </c>
      <c r="O30" s="36">
        <v>27</v>
      </c>
      <c r="P30" s="36">
        <v>10</v>
      </c>
      <c r="Q30" s="36">
        <v>37</v>
      </c>
      <c r="S30" s="86">
        <v>98012</v>
      </c>
      <c r="T30" s="38" t="s">
        <v>352</v>
      </c>
      <c r="U30" s="36">
        <v>0</v>
      </c>
      <c r="V30" s="33">
        <v>0</v>
      </c>
      <c r="W30" s="36">
        <v>1</v>
      </c>
    </row>
    <row r="31" spans="1:23" x14ac:dyDescent="0.2">
      <c r="A31" s="63">
        <v>98010</v>
      </c>
      <c r="B31" s="38" t="s">
        <v>10</v>
      </c>
      <c r="C31" s="48">
        <v>63</v>
      </c>
      <c r="D31" s="48">
        <v>57</v>
      </c>
      <c r="E31" s="48">
        <v>41</v>
      </c>
      <c r="M31" s="59">
        <v>98010</v>
      </c>
      <c r="N31" s="38" t="s">
        <v>10</v>
      </c>
      <c r="O31" s="36">
        <v>69</v>
      </c>
      <c r="P31" s="36">
        <v>94</v>
      </c>
      <c r="Q31" s="36">
        <v>59</v>
      </c>
      <c r="S31" s="86">
        <v>98012</v>
      </c>
      <c r="T31" s="38" t="s">
        <v>10</v>
      </c>
      <c r="U31" s="36">
        <v>40</v>
      </c>
      <c r="V31" s="36">
        <v>59</v>
      </c>
      <c r="W31" s="36">
        <v>54</v>
      </c>
    </row>
    <row r="32" spans="1:23" x14ac:dyDescent="0.2">
      <c r="A32" s="64">
        <v>98011</v>
      </c>
      <c r="B32" s="38" t="s">
        <v>352</v>
      </c>
      <c r="C32" s="48">
        <v>3</v>
      </c>
      <c r="D32" s="48">
        <v>3</v>
      </c>
      <c r="E32" s="48">
        <v>2</v>
      </c>
      <c r="M32" s="86">
        <v>98011</v>
      </c>
      <c r="N32" s="38" t="s">
        <v>352</v>
      </c>
      <c r="O32" s="36">
        <v>1</v>
      </c>
      <c r="P32" s="36">
        <v>13</v>
      </c>
      <c r="Q32" s="36">
        <v>9</v>
      </c>
      <c r="S32" s="86">
        <v>98014</v>
      </c>
      <c r="T32" s="38" t="s">
        <v>10</v>
      </c>
      <c r="U32" s="36">
        <v>12</v>
      </c>
      <c r="V32" s="36">
        <v>22</v>
      </c>
      <c r="W32" s="36">
        <v>24</v>
      </c>
    </row>
    <row r="33" spans="1:23" x14ac:dyDescent="0.2">
      <c r="A33" s="63">
        <v>98011</v>
      </c>
      <c r="B33" s="38" t="s">
        <v>10</v>
      </c>
      <c r="C33" s="48">
        <v>235</v>
      </c>
      <c r="D33" s="48">
        <v>201</v>
      </c>
      <c r="E33" s="48">
        <v>146</v>
      </c>
      <c r="M33" s="59">
        <v>98011</v>
      </c>
      <c r="N33" s="38" t="s">
        <v>10</v>
      </c>
      <c r="O33" s="36">
        <v>121</v>
      </c>
      <c r="P33" s="36">
        <v>136</v>
      </c>
      <c r="Q33" s="36">
        <v>155</v>
      </c>
      <c r="S33" s="86">
        <v>98019</v>
      </c>
      <c r="T33" s="38" t="s">
        <v>10</v>
      </c>
      <c r="U33" s="36">
        <v>14</v>
      </c>
      <c r="V33" s="36">
        <v>23</v>
      </c>
      <c r="W33" s="36">
        <v>29</v>
      </c>
    </row>
    <row r="34" spans="1:23" x14ac:dyDescent="0.2">
      <c r="A34" s="64">
        <v>98012</v>
      </c>
      <c r="B34" s="38" t="s">
        <v>352</v>
      </c>
      <c r="C34" s="48">
        <v>1</v>
      </c>
      <c r="D34" s="48">
        <v>1</v>
      </c>
      <c r="E34" s="48">
        <v>0</v>
      </c>
      <c r="M34" s="86">
        <v>98012</v>
      </c>
      <c r="N34" s="38" t="s">
        <v>352</v>
      </c>
      <c r="O34" s="36">
        <v>4</v>
      </c>
      <c r="P34" s="36">
        <v>6</v>
      </c>
      <c r="Q34" s="36">
        <v>0</v>
      </c>
      <c r="S34" s="86">
        <v>98020</v>
      </c>
      <c r="T34" s="38" t="s">
        <v>10</v>
      </c>
      <c r="U34" s="36">
        <v>9</v>
      </c>
      <c r="V34" s="36">
        <v>4</v>
      </c>
      <c r="W34" s="36">
        <v>8</v>
      </c>
    </row>
    <row r="35" spans="1:23" x14ac:dyDescent="0.2">
      <c r="A35" s="63">
        <v>98012</v>
      </c>
      <c r="B35" s="38" t="s">
        <v>10</v>
      </c>
      <c r="C35" s="48">
        <v>192</v>
      </c>
      <c r="D35" s="48">
        <v>148</v>
      </c>
      <c r="E35" s="48">
        <v>92</v>
      </c>
      <c r="M35" s="59">
        <v>98012</v>
      </c>
      <c r="N35" s="38" t="s">
        <v>10</v>
      </c>
      <c r="O35" s="36">
        <v>116</v>
      </c>
      <c r="P35" s="36">
        <v>147</v>
      </c>
      <c r="Q35" s="36">
        <v>190</v>
      </c>
      <c r="S35" s="86">
        <v>98021</v>
      </c>
      <c r="T35" s="38" t="s">
        <v>10</v>
      </c>
      <c r="U35" s="33">
        <v>20</v>
      </c>
      <c r="V35" s="36">
        <v>24</v>
      </c>
      <c r="W35" s="33">
        <v>18</v>
      </c>
    </row>
    <row r="36" spans="1:23" x14ac:dyDescent="0.2">
      <c r="A36" s="64">
        <v>98014</v>
      </c>
      <c r="B36" s="38" t="s">
        <v>10</v>
      </c>
      <c r="C36" s="48">
        <v>74</v>
      </c>
      <c r="D36" s="48">
        <v>59</v>
      </c>
      <c r="E36" s="48">
        <v>40</v>
      </c>
      <c r="M36" s="86">
        <v>98014</v>
      </c>
      <c r="N36" s="38" t="s">
        <v>352</v>
      </c>
      <c r="O36" s="36">
        <v>4</v>
      </c>
      <c r="P36" s="36">
        <v>3</v>
      </c>
      <c r="Q36" s="36">
        <v>1</v>
      </c>
      <c r="S36" s="86">
        <v>98022</v>
      </c>
      <c r="T36" s="38" t="s">
        <v>10</v>
      </c>
      <c r="U36" s="36">
        <v>34</v>
      </c>
      <c r="V36" s="33">
        <v>74</v>
      </c>
      <c r="W36" s="36">
        <v>97</v>
      </c>
    </row>
    <row r="37" spans="1:23" x14ac:dyDescent="0.2">
      <c r="A37" s="64">
        <v>98019</v>
      </c>
      <c r="B37" s="38" t="s">
        <v>10</v>
      </c>
      <c r="C37" s="48">
        <v>109</v>
      </c>
      <c r="D37" s="48">
        <v>95</v>
      </c>
      <c r="E37" s="48">
        <v>70</v>
      </c>
      <c r="M37" s="59">
        <v>98014</v>
      </c>
      <c r="N37" s="38" t="s">
        <v>10</v>
      </c>
      <c r="O37" s="36">
        <v>13</v>
      </c>
      <c r="P37" s="36">
        <v>14</v>
      </c>
      <c r="Q37" s="36">
        <v>23</v>
      </c>
      <c r="S37" s="86">
        <v>98023</v>
      </c>
      <c r="T37" s="38" t="s">
        <v>352</v>
      </c>
      <c r="U37" s="36">
        <v>1</v>
      </c>
      <c r="V37" s="36">
        <v>0</v>
      </c>
      <c r="W37" s="36">
        <v>0</v>
      </c>
    </row>
    <row r="38" spans="1:23" x14ac:dyDescent="0.2">
      <c r="A38" s="64">
        <v>98020</v>
      </c>
      <c r="B38" s="38" t="s">
        <v>10</v>
      </c>
      <c r="C38" s="48">
        <v>27</v>
      </c>
      <c r="D38" s="48">
        <v>21</v>
      </c>
      <c r="E38" s="74">
        <v>16</v>
      </c>
      <c r="M38" s="86">
        <v>98019</v>
      </c>
      <c r="N38" s="38" t="s">
        <v>352</v>
      </c>
      <c r="O38" s="36">
        <v>1</v>
      </c>
      <c r="P38" s="36">
        <v>7</v>
      </c>
      <c r="Q38" s="36">
        <v>5</v>
      </c>
      <c r="S38" s="86">
        <v>98023</v>
      </c>
      <c r="T38" s="38" t="s">
        <v>10</v>
      </c>
      <c r="U38" s="36">
        <v>155</v>
      </c>
      <c r="V38" s="36">
        <v>249</v>
      </c>
      <c r="W38" s="36">
        <v>301</v>
      </c>
    </row>
    <row r="39" spans="1:23" x14ac:dyDescent="0.2">
      <c r="A39" s="63">
        <v>98021</v>
      </c>
      <c r="B39" s="38" t="s">
        <v>352</v>
      </c>
      <c r="C39" s="48">
        <v>1</v>
      </c>
      <c r="D39" s="48">
        <v>1</v>
      </c>
      <c r="E39" s="48">
        <v>1</v>
      </c>
      <c r="M39" s="59">
        <v>98019</v>
      </c>
      <c r="N39" s="38" t="s">
        <v>10</v>
      </c>
      <c r="O39" s="36">
        <v>42</v>
      </c>
      <c r="P39" s="36">
        <v>41</v>
      </c>
      <c r="Q39" s="36">
        <v>44</v>
      </c>
      <c r="S39" s="86">
        <v>98024</v>
      </c>
      <c r="T39" s="38" t="s">
        <v>10</v>
      </c>
      <c r="U39" s="33">
        <v>6</v>
      </c>
      <c r="V39" s="33">
        <v>12</v>
      </c>
      <c r="W39" s="36">
        <v>13</v>
      </c>
    </row>
    <row r="40" spans="1:23" x14ac:dyDescent="0.2">
      <c r="A40" s="64">
        <v>98021</v>
      </c>
      <c r="B40" s="38" t="s">
        <v>10</v>
      </c>
      <c r="C40" s="48">
        <v>69</v>
      </c>
      <c r="D40" s="48">
        <v>51</v>
      </c>
      <c r="E40" s="48">
        <v>28</v>
      </c>
      <c r="M40" s="86">
        <v>98020</v>
      </c>
      <c r="N40" s="38" t="s">
        <v>10</v>
      </c>
      <c r="O40" s="36">
        <v>26</v>
      </c>
      <c r="P40" s="36">
        <v>17</v>
      </c>
      <c r="Q40" s="36">
        <v>19</v>
      </c>
      <c r="S40" s="86">
        <v>98026</v>
      </c>
      <c r="T40" s="38" t="s">
        <v>10</v>
      </c>
      <c r="U40" s="36">
        <v>19</v>
      </c>
      <c r="V40" s="33">
        <v>33</v>
      </c>
      <c r="W40" s="36">
        <v>46</v>
      </c>
    </row>
    <row r="41" spans="1:23" x14ac:dyDescent="0.2">
      <c r="A41" s="63">
        <v>98022</v>
      </c>
      <c r="B41" s="38" t="s">
        <v>352</v>
      </c>
      <c r="C41" s="48">
        <v>1</v>
      </c>
      <c r="D41" s="48">
        <v>1</v>
      </c>
      <c r="E41" s="48">
        <v>0</v>
      </c>
      <c r="M41" s="59">
        <v>98021</v>
      </c>
      <c r="N41" s="38" t="s">
        <v>352</v>
      </c>
      <c r="O41" s="36">
        <v>1</v>
      </c>
      <c r="P41" s="36">
        <v>1</v>
      </c>
      <c r="Q41" s="36">
        <v>5</v>
      </c>
      <c r="S41" s="86">
        <v>98027</v>
      </c>
      <c r="T41" s="38" t="s">
        <v>10</v>
      </c>
      <c r="U41" s="36">
        <v>33</v>
      </c>
      <c r="V41" s="36">
        <v>47</v>
      </c>
      <c r="W41" s="36">
        <v>69</v>
      </c>
    </row>
    <row r="42" spans="1:23" x14ac:dyDescent="0.2">
      <c r="A42" s="64">
        <v>98022</v>
      </c>
      <c r="B42" s="38" t="s">
        <v>10</v>
      </c>
      <c r="C42" s="48">
        <v>298</v>
      </c>
      <c r="D42" s="48">
        <v>263</v>
      </c>
      <c r="E42" s="48">
        <v>175</v>
      </c>
      <c r="M42" s="86">
        <v>98021</v>
      </c>
      <c r="N42" s="38" t="s">
        <v>10</v>
      </c>
      <c r="O42" s="36">
        <v>70</v>
      </c>
      <c r="P42" s="36">
        <v>66</v>
      </c>
      <c r="Q42" s="36">
        <v>73</v>
      </c>
      <c r="S42" s="86">
        <v>98028</v>
      </c>
      <c r="T42" s="38" t="s">
        <v>352</v>
      </c>
      <c r="U42" s="36">
        <v>1</v>
      </c>
      <c r="V42" s="36">
        <v>0</v>
      </c>
      <c r="W42" s="36">
        <v>0</v>
      </c>
    </row>
    <row r="43" spans="1:23" x14ac:dyDescent="0.2">
      <c r="A43" s="63">
        <v>98023</v>
      </c>
      <c r="B43" s="38" t="s">
        <v>352</v>
      </c>
      <c r="C43" s="48">
        <v>5</v>
      </c>
      <c r="D43" s="48">
        <v>4</v>
      </c>
      <c r="E43" s="48">
        <v>4</v>
      </c>
      <c r="M43" s="59">
        <v>98022</v>
      </c>
      <c r="N43" s="38" t="s">
        <v>352</v>
      </c>
      <c r="O43" s="36">
        <v>17</v>
      </c>
      <c r="P43" s="36">
        <v>7</v>
      </c>
      <c r="Q43" s="36">
        <v>6</v>
      </c>
      <c r="S43" s="86">
        <v>98028</v>
      </c>
      <c r="T43" s="38" t="s">
        <v>10</v>
      </c>
      <c r="U43" s="33">
        <v>20</v>
      </c>
      <c r="V43" s="33">
        <v>33</v>
      </c>
      <c r="W43" s="36">
        <v>77</v>
      </c>
    </row>
    <row r="44" spans="1:23" x14ac:dyDescent="0.2">
      <c r="A44" s="64">
        <v>98023</v>
      </c>
      <c r="B44" s="38" t="s">
        <v>10</v>
      </c>
      <c r="C44" s="48">
        <v>957</v>
      </c>
      <c r="D44" s="48">
        <v>793</v>
      </c>
      <c r="E44" s="48">
        <v>546</v>
      </c>
      <c r="M44" s="86">
        <v>98022</v>
      </c>
      <c r="N44" s="38" t="s">
        <v>10</v>
      </c>
      <c r="O44" s="36">
        <v>77</v>
      </c>
      <c r="P44" s="36">
        <v>85</v>
      </c>
      <c r="Q44" s="36">
        <v>79</v>
      </c>
      <c r="S44" s="59">
        <v>98029</v>
      </c>
      <c r="T44" s="38" t="s">
        <v>10</v>
      </c>
      <c r="U44" s="36">
        <v>23</v>
      </c>
      <c r="V44" s="36">
        <v>35</v>
      </c>
      <c r="W44" s="36">
        <v>62</v>
      </c>
    </row>
    <row r="45" spans="1:23" x14ac:dyDescent="0.2">
      <c r="A45" s="63">
        <v>98024</v>
      </c>
      <c r="B45" s="38" t="s">
        <v>10</v>
      </c>
      <c r="C45" s="48">
        <v>40</v>
      </c>
      <c r="D45" s="48">
        <v>35</v>
      </c>
      <c r="E45" s="48">
        <v>24</v>
      </c>
      <c r="M45" s="59">
        <v>98023</v>
      </c>
      <c r="N45" s="38" t="s">
        <v>352</v>
      </c>
      <c r="O45" s="36">
        <v>7</v>
      </c>
      <c r="P45" s="36">
        <v>3</v>
      </c>
      <c r="Q45" s="36">
        <v>3</v>
      </c>
      <c r="S45" s="86">
        <v>98030</v>
      </c>
      <c r="T45" s="38" t="s">
        <v>352</v>
      </c>
      <c r="U45" s="33">
        <v>0</v>
      </c>
      <c r="V45" s="36">
        <v>0</v>
      </c>
      <c r="W45" s="33">
        <v>1</v>
      </c>
    </row>
    <row r="46" spans="1:23" x14ac:dyDescent="0.2">
      <c r="A46" s="64">
        <v>98026</v>
      </c>
      <c r="B46" s="38" t="s">
        <v>352</v>
      </c>
      <c r="C46" s="48">
        <v>1</v>
      </c>
      <c r="D46" s="48">
        <v>1</v>
      </c>
      <c r="E46" s="48">
        <v>0</v>
      </c>
      <c r="M46" s="86">
        <v>98023</v>
      </c>
      <c r="N46" s="38" t="s">
        <v>10</v>
      </c>
      <c r="O46" s="36">
        <v>209</v>
      </c>
      <c r="P46" s="36">
        <v>210</v>
      </c>
      <c r="Q46" s="36">
        <v>238</v>
      </c>
      <c r="S46" s="59">
        <v>98030</v>
      </c>
      <c r="T46" s="38" t="s">
        <v>10</v>
      </c>
      <c r="U46" s="36">
        <v>81</v>
      </c>
      <c r="V46" s="36">
        <v>169</v>
      </c>
      <c r="W46" s="36">
        <v>218</v>
      </c>
    </row>
    <row r="47" spans="1:23" x14ac:dyDescent="0.2">
      <c r="A47" s="64">
        <v>98026</v>
      </c>
      <c r="B47" s="38" t="s">
        <v>10</v>
      </c>
      <c r="C47" s="48">
        <v>118</v>
      </c>
      <c r="D47" s="48">
        <v>96</v>
      </c>
      <c r="E47" s="48">
        <v>62</v>
      </c>
      <c r="M47" s="59">
        <v>98024</v>
      </c>
      <c r="N47" s="38" t="s">
        <v>352</v>
      </c>
      <c r="O47" s="36">
        <v>1</v>
      </c>
      <c r="P47" s="36">
        <v>3</v>
      </c>
      <c r="Q47" s="36">
        <v>1</v>
      </c>
      <c r="S47" s="86">
        <v>98031</v>
      </c>
      <c r="T47" s="38" t="s">
        <v>352</v>
      </c>
      <c r="U47" s="33">
        <v>0</v>
      </c>
      <c r="V47" s="36">
        <v>1</v>
      </c>
      <c r="W47" s="33">
        <v>3</v>
      </c>
    </row>
    <row r="48" spans="1:23" x14ac:dyDescent="0.2">
      <c r="A48" s="63">
        <v>98027</v>
      </c>
      <c r="B48" s="38" t="s">
        <v>352</v>
      </c>
      <c r="C48" s="48">
        <v>1</v>
      </c>
      <c r="D48" s="48">
        <v>1</v>
      </c>
      <c r="E48" s="48">
        <v>1</v>
      </c>
      <c r="M48" s="86">
        <v>98024</v>
      </c>
      <c r="N48" s="38" t="s">
        <v>10</v>
      </c>
      <c r="O48" s="36">
        <v>11</v>
      </c>
      <c r="P48" s="36">
        <v>20</v>
      </c>
      <c r="Q48" s="36">
        <v>20</v>
      </c>
      <c r="S48" s="59">
        <v>98031</v>
      </c>
      <c r="T48" s="38" t="s">
        <v>10</v>
      </c>
      <c r="U48" s="36">
        <v>79</v>
      </c>
      <c r="V48" s="36">
        <v>143</v>
      </c>
      <c r="W48" s="36">
        <v>234</v>
      </c>
    </row>
    <row r="49" spans="1:23" x14ac:dyDescent="0.2">
      <c r="A49" s="64">
        <v>98027</v>
      </c>
      <c r="B49" s="38" t="s">
        <v>10</v>
      </c>
      <c r="C49" s="48">
        <v>212</v>
      </c>
      <c r="D49" s="48">
        <v>174</v>
      </c>
      <c r="E49" s="48">
        <v>130</v>
      </c>
      <c r="M49" s="86">
        <v>98026</v>
      </c>
      <c r="N49" s="38" t="s">
        <v>352</v>
      </c>
      <c r="O49" s="36">
        <v>0</v>
      </c>
      <c r="P49" s="36">
        <v>1</v>
      </c>
      <c r="Q49" s="36">
        <v>2</v>
      </c>
      <c r="S49" s="86">
        <v>98032</v>
      </c>
      <c r="T49" s="38" t="s">
        <v>352</v>
      </c>
      <c r="U49" s="36">
        <v>2</v>
      </c>
      <c r="V49" s="36">
        <v>2</v>
      </c>
      <c r="W49" s="36">
        <v>3</v>
      </c>
    </row>
    <row r="50" spans="1:23" x14ac:dyDescent="0.2">
      <c r="A50" s="63">
        <v>98028</v>
      </c>
      <c r="B50" s="38" t="s">
        <v>10</v>
      </c>
      <c r="C50" s="48">
        <v>195</v>
      </c>
      <c r="D50" s="48">
        <v>170</v>
      </c>
      <c r="E50" s="48">
        <v>135</v>
      </c>
      <c r="M50" s="59">
        <v>98026</v>
      </c>
      <c r="N50" s="38" t="s">
        <v>10</v>
      </c>
      <c r="O50" s="36">
        <v>46</v>
      </c>
      <c r="P50" s="36">
        <v>48</v>
      </c>
      <c r="Q50" s="36">
        <v>43</v>
      </c>
      <c r="S50" s="86">
        <v>98032</v>
      </c>
      <c r="T50" s="38" t="s">
        <v>10</v>
      </c>
      <c r="U50" s="36">
        <v>116</v>
      </c>
      <c r="V50" s="33">
        <v>234</v>
      </c>
      <c r="W50" s="33">
        <v>250</v>
      </c>
    </row>
    <row r="51" spans="1:23" x14ac:dyDescent="0.2">
      <c r="A51" s="64">
        <v>98029</v>
      </c>
      <c r="B51" s="38" t="s">
        <v>10</v>
      </c>
      <c r="C51" s="48">
        <v>153</v>
      </c>
      <c r="D51" s="48">
        <v>131</v>
      </c>
      <c r="E51" s="74">
        <v>94</v>
      </c>
      <c r="M51" s="86">
        <v>98027</v>
      </c>
      <c r="N51" s="38" t="s">
        <v>352</v>
      </c>
      <c r="O51" s="36">
        <v>10</v>
      </c>
      <c r="P51" s="36">
        <v>9</v>
      </c>
      <c r="Q51" s="36">
        <v>3</v>
      </c>
      <c r="S51" s="59">
        <v>98033</v>
      </c>
      <c r="T51" s="38" t="s">
        <v>352</v>
      </c>
      <c r="U51" s="36">
        <v>1</v>
      </c>
      <c r="V51" s="36">
        <v>0</v>
      </c>
      <c r="W51" s="36">
        <v>0</v>
      </c>
    </row>
    <row r="52" spans="1:23" x14ac:dyDescent="0.2">
      <c r="A52" s="63">
        <v>98030</v>
      </c>
      <c r="B52" s="38" t="s">
        <v>352</v>
      </c>
      <c r="C52" s="48">
        <v>9</v>
      </c>
      <c r="D52" s="48">
        <v>9</v>
      </c>
      <c r="E52" s="48">
        <v>9</v>
      </c>
      <c r="M52" s="59">
        <v>98027</v>
      </c>
      <c r="N52" s="38" t="s">
        <v>10</v>
      </c>
      <c r="O52" s="36">
        <v>112</v>
      </c>
      <c r="P52" s="36">
        <v>104</v>
      </c>
      <c r="Q52" s="36">
        <v>109</v>
      </c>
      <c r="S52" s="86">
        <v>98033</v>
      </c>
      <c r="T52" s="38" t="s">
        <v>10</v>
      </c>
      <c r="U52" s="33">
        <v>37</v>
      </c>
      <c r="V52" s="33">
        <v>43</v>
      </c>
      <c r="W52" s="36">
        <v>53</v>
      </c>
    </row>
    <row r="53" spans="1:23" x14ac:dyDescent="0.2">
      <c r="A53" s="64">
        <v>98030</v>
      </c>
      <c r="B53" s="38" t="s">
        <v>10</v>
      </c>
      <c r="C53" s="48">
        <v>599</v>
      </c>
      <c r="D53" s="48">
        <v>509</v>
      </c>
      <c r="E53" s="48">
        <v>331</v>
      </c>
      <c r="M53" s="86">
        <v>98028</v>
      </c>
      <c r="N53" s="38" t="s">
        <v>352</v>
      </c>
      <c r="O53" s="36">
        <v>6</v>
      </c>
      <c r="P53" s="36">
        <v>7</v>
      </c>
      <c r="Q53" s="36">
        <v>10</v>
      </c>
      <c r="S53" s="59">
        <v>98034</v>
      </c>
      <c r="T53" s="38" t="s">
        <v>352</v>
      </c>
      <c r="U53" s="36">
        <v>1</v>
      </c>
      <c r="V53" s="36">
        <v>0</v>
      </c>
      <c r="W53" s="36">
        <v>0</v>
      </c>
    </row>
    <row r="54" spans="1:23" x14ac:dyDescent="0.2">
      <c r="A54" s="63">
        <v>98031</v>
      </c>
      <c r="B54" s="38" t="s">
        <v>352</v>
      </c>
      <c r="C54" s="48">
        <v>5</v>
      </c>
      <c r="D54" s="48">
        <v>5</v>
      </c>
      <c r="E54" s="48">
        <v>5</v>
      </c>
      <c r="M54" s="59">
        <v>98028</v>
      </c>
      <c r="N54" s="38" t="s">
        <v>10</v>
      </c>
      <c r="O54" s="36">
        <v>79</v>
      </c>
      <c r="P54" s="36">
        <v>120</v>
      </c>
      <c r="Q54" s="36">
        <v>75</v>
      </c>
      <c r="S54" s="86">
        <v>98034</v>
      </c>
      <c r="T54" s="38" t="s">
        <v>10</v>
      </c>
      <c r="U54" s="36">
        <v>64</v>
      </c>
      <c r="V54" s="36">
        <v>91</v>
      </c>
      <c r="W54" s="36">
        <v>118</v>
      </c>
    </row>
    <row r="55" spans="1:23" x14ac:dyDescent="0.2">
      <c r="A55" s="64">
        <v>98031</v>
      </c>
      <c r="B55" s="38" t="s">
        <v>10</v>
      </c>
      <c r="C55" s="48">
        <v>630</v>
      </c>
      <c r="D55" s="48">
        <v>545</v>
      </c>
      <c r="E55" s="48">
        <v>381</v>
      </c>
      <c r="M55" s="86">
        <v>98029</v>
      </c>
      <c r="N55" s="38" t="s">
        <v>352</v>
      </c>
      <c r="O55" s="36">
        <v>4</v>
      </c>
      <c r="P55" s="36">
        <v>19</v>
      </c>
      <c r="Q55" s="36">
        <v>10</v>
      </c>
      <c r="S55" s="86">
        <v>98036</v>
      </c>
      <c r="T55" s="38" t="s">
        <v>352</v>
      </c>
      <c r="U55" s="36">
        <v>0</v>
      </c>
      <c r="V55" s="36">
        <v>2</v>
      </c>
      <c r="W55" s="36">
        <v>1</v>
      </c>
    </row>
    <row r="56" spans="1:23" x14ac:dyDescent="0.2">
      <c r="A56" s="63">
        <v>98032</v>
      </c>
      <c r="B56" s="38" t="s">
        <v>352</v>
      </c>
      <c r="C56" s="48">
        <v>29</v>
      </c>
      <c r="D56" s="48">
        <v>26</v>
      </c>
      <c r="E56" s="48">
        <v>22</v>
      </c>
      <c r="M56" s="59">
        <v>98029</v>
      </c>
      <c r="N56" s="38" t="s">
        <v>10</v>
      </c>
      <c r="O56" s="36">
        <v>135</v>
      </c>
      <c r="P56" s="36">
        <v>124</v>
      </c>
      <c r="Q56" s="36">
        <v>157</v>
      </c>
      <c r="S56" s="86">
        <v>98036</v>
      </c>
      <c r="T56" s="38" t="s">
        <v>10</v>
      </c>
      <c r="U56" s="36">
        <v>21</v>
      </c>
      <c r="V56" s="36">
        <v>34</v>
      </c>
      <c r="W56" s="36">
        <v>52</v>
      </c>
    </row>
    <row r="57" spans="1:23" x14ac:dyDescent="0.2">
      <c r="A57" s="64">
        <v>98032</v>
      </c>
      <c r="B57" s="38" t="s">
        <v>10</v>
      </c>
      <c r="C57" s="48">
        <v>789</v>
      </c>
      <c r="D57" s="48">
        <v>667</v>
      </c>
      <c r="E57" s="48">
        <v>417</v>
      </c>
      <c r="M57" s="86">
        <v>98030</v>
      </c>
      <c r="N57" s="38" t="s">
        <v>352</v>
      </c>
      <c r="O57" s="36">
        <v>12</v>
      </c>
      <c r="P57" s="36">
        <v>4</v>
      </c>
      <c r="Q57" s="36">
        <v>31</v>
      </c>
      <c r="S57" s="86">
        <v>98037</v>
      </c>
      <c r="T57" s="38" t="s">
        <v>10</v>
      </c>
      <c r="U57" s="33">
        <v>20</v>
      </c>
      <c r="V57" s="36">
        <v>23</v>
      </c>
      <c r="W57" s="33">
        <v>31</v>
      </c>
    </row>
    <row r="58" spans="1:23" x14ac:dyDescent="0.2">
      <c r="A58" s="63">
        <v>98033</v>
      </c>
      <c r="B58" s="38" t="s">
        <v>352</v>
      </c>
      <c r="C58" s="48">
        <v>3</v>
      </c>
      <c r="D58" s="48">
        <v>2</v>
      </c>
      <c r="E58" s="48">
        <v>2</v>
      </c>
      <c r="M58" s="59">
        <v>98030</v>
      </c>
      <c r="N58" s="38" t="s">
        <v>10</v>
      </c>
      <c r="O58" s="36">
        <v>158</v>
      </c>
      <c r="P58" s="36">
        <v>164</v>
      </c>
      <c r="Q58" s="36">
        <v>159</v>
      </c>
      <c r="S58" s="86">
        <v>98038</v>
      </c>
      <c r="T58" s="38" t="s">
        <v>352</v>
      </c>
      <c r="U58" s="36">
        <v>1</v>
      </c>
      <c r="V58" s="36">
        <v>0</v>
      </c>
      <c r="W58" s="36">
        <v>0</v>
      </c>
    </row>
    <row r="59" spans="1:23" x14ac:dyDescent="0.2">
      <c r="A59" s="64">
        <v>98033</v>
      </c>
      <c r="B59" s="38" t="s">
        <v>10</v>
      </c>
      <c r="C59" s="48">
        <v>202</v>
      </c>
      <c r="D59" s="48">
        <v>159</v>
      </c>
      <c r="E59" s="48">
        <v>107</v>
      </c>
      <c r="M59" s="86">
        <v>98031</v>
      </c>
      <c r="N59" s="38" t="s">
        <v>352</v>
      </c>
      <c r="O59" s="36">
        <v>20</v>
      </c>
      <c r="P59" s="36">
        <v>12</v>
      </c>
      <c r="Q59" s="36">
        <v>16</v>
      </c>
      <c r="S59" s="86">
        <v>98038</v>
      </c>
      <c r="T59" s="38" t="s">
        <v>10</v>
      </c>
      <c r="U59" s="36">
        <v>39</v>
      </c>
      <c r="V59" s="36">
        <v>78</v>
      </c>
      <c r="W59" s="36">
        <v>137</v>
      </c>
    </row>
    <row r="60" spans="1:23" x14ac:dyDescent="0.2">
      <c r="A60" s="63">
        <v>98034</v>
      </c>
      <c r="B60" s="38" t="s">
        <v>352</v>
      </c>
      <c r="C60" s="48">
        <v>1</v>
      </c>
      <c r="D60" s="48">
        <v>1</v>
      </c>
      <c r="E60" s="48">
        <v>1</v>
      </c>
      <c r="M60" s="59">
        <v>98031</v>
      </c>
      <c r="N60" s="38" t="s">
        <v>10</v>
      </c>
      <c r="O60" s="36">
        <v>148</v>
      </c>
      <c r="P60" s="36">
        <v>161</v>
      </c>
      <c r="Q60" s="36">
        <v>179</v>
      </c>
      <c r="S60" s="86">
        <v>98039</v>
      </c>
      <c r="T60" s="38" t="s">
        <v>10</v>
      </c>
      <c r="U60" s="36">
        <v>1</v>
      </c>
      <c r="V60" s="36">
        <v>0</v>
      </c>
      <c r="W60" s="36">
        <v>2</v>
      </c>
    </row>
    <row r="61" spans="1:23" x14ac:dyDescent="0.2">
      <c r="A61" s="64">
        <v>98034</v>
      </c>
      <c r="B61" s="38" t="s">
        <v>10</v>
      </c>
      <c r="C61" s="48">
        <v>387</v>
      </c>
      <c r="D61" s="48">
        <v>333</v>
      </c>
      <c r="E61" s="48">
        <v>232</v>
      </c>
      <c r="M61" s="86">
        <v>98032</v>
      </c>
      <c r="N61" s="38" t="s">
        <v>352</v>
      </c>
      <c r="O61" s="36">
        <v>45</v>
      </c>
      <c r="P61" s="36">
        <v>59</v>
      </c>
      <c r="Q61" s="36">
        <v>67</v>
      </c>
      <c r="S61" s="86">
        <v>98040</v>
      </c>
      <c r="T61" s="38" t="s">
        <v>352</v>
      </c>
      <c r="U61" s="36">
        <v>1</v>
      </c>
      <c r="V61" s="36">
        <v>0</v>
      </c>
      <c r="W61" s="36">
        <v>0</v>
      </c>
    </row>
    <row r="62" spans="1:23" x14ac:dyDescent="0.2">
      <c r="A62" s="63">
        <v>98036</v>
      </c>
      <c r="B62" s="38" t="s">
        <v>352</v>
      </c>
      <c r="C62" s="48">
        <v>3</v>
      </c>
      <c r="D62" s="48">
        <v>3</v>
      </c>
      <c r="E62" s="48">
        <v>3</v>
      </c>
      <c r="M62" s="59">
        <v>98032</v>
      </c>
      <c r="N62" s="38" t="s">
        <v>10</v>
      </c>
      <c r="O62" s="36">
        <v>265</v>
      </c>
      <c r="P62" s="36">
        <v>279</v>
      </c>
      <c r="Q62" s="36">
        <v>299</v>
      </c>
      <c r="S62" s="86">
        <v>98040</v>
      </c>
      <c r="T62" s="38" t="s">
        <v>10</v>
      </c>
      <c r="U62" s="36">
        <v>17</v>
      </c>
      <c r="V62" s="36">
        <v>19</v>
      </c>
      <c r="W62" s="36">
        <v>27</v>
      </c>
    </row>
    <row r="63" spans="1:23" x14ac:dyDescent="0.2">
      <c r="A63" s="64">
        <v>98036</v>
      </c>
      <c r="B63" s="38" t="s">
        <v>10</v>
      </c>
      <c r="C63" s="48">
        <v>131</v>
      </c>
      <c r="D63" s="48">
        <v>109</v>
      </c>
      <c r="E63" s="48">
        <v>79</v>
      </c>
      <c r="M63" s="86">
        <v>98033</v>
      </c>
      <c r="N63" s="38" t="s">
        <v>352</v>
      </c>
      <c r="O63" s="36">
        <v>26</v>
      </c>
      <c r="P63" s="36">
        <v>17</v>
      </c>
      <c r="Q63" s="36">
        <v>22</v>
      </c>
      <c r="S63" s="86">
        <v>98042</v>
      </c>
      <c r="T63" s="38" t="s">
        <v>352</v>
      </c>
      <c r="U63" s="33">
        <v>0</v>
      </c>
      <c r="V63" s="33">
        <v>1</v>
      </c>
      <c r="W63" s="36">
        <v>0</v>
      </c>
    </row>
    <row r="64" spans="1:23" x14ac:dyDescent="0.2">
      <c r="A64" s="63">
        <v>98037</v>
      </c>
      <c r="B64" s="38" t="s">
        <v>352</v>
      </c>
      <c r="C64" s="48">
        <v>1</v>
      </c>
      <c r="D64" s="48">
        <v>1</v>
      </c>
      <c r="E64" s="48">
        <v>1</v>
      </c>
      <c r="M64" s="59">
        <v>98033</v>
      </c>
      <c r="N64" s="38" t="s">
        <v>10</v>
      </c>
      <c r="O64" s="36">
        <v>205</v>
      </c>
      <c r="P64" s="36">
        <v>222</v>
      </c>
      <c r="Q64" s="36">
        <v>229</v>
      </c>
      <c r="S64" s="86">
        <v>98042</v>
      </c>
      <c r="T64" s="38" t="s">
        <v>10</v>
      </c>
      <c r="U64" s="36">
        <v>65</v>
      </c>
      <c r="V64" s="36">
        <v>135</v>
      </c>
      <c r="W64" s="36">
        <v>234</v>
      </c>
    </row>
    <row r="65" spans="1:23" x14ac:dyDescent="0.2">
      <c r="A65" s="64">
        <v>98037</v>
      </c>
      <c r="B65" s="38" t="s">
        <v>10</v>
      </c>
      <c r="C65" s="48">
        <v>97</v>
      </c>
      <c r="D65" s="48">
        <v>75</v>
      </c>
      <c r="E65" s="48">
        <v>49</v>
      </c>
      <c r="M65" s="86">
        <v>98034</v>
      </c>
      <c r="N65" s="38" t="s">
        <v>352</v>
      </c>
      <c r="O65" s="36">
        <v>37</v>
      </c>
      <c r="P65" s="36">
        <v>16</v>
      </c>
      <c r="Q65" s="36">
        <v>27</v>
      </c>
      <c r="S65" s="86">
        <v>98043</v>
      </c>
      <c r="T65" s="38" t="s">
        <v>352</v>
      </c>
      <c r="U65" s="33">
        <v>0</v>
      </c>
      <c r="V65" s="33">
        <v>1</v>
      </c>
      <c r="W65" s="36">
        <v>0</v>
      </c>
    </row>
    <row r="66" spans="1:23" x14ac:dyDescent="0.2">
      <c r="A66" s="63">
        <v>98038</v>
      </c>
      <c r="B66" s="38" t="s">
        <v>352</v>
      </c>
      <c r="C66" s="48">
        <v>4</v>
      </c>
      <c r="D66" s="48">
        <v>3</v>
      </c>
      <c r="E66" s="48">
        <v>3</v>
      </c>
      <c r="M66" s="59">
        <v>98034</v>
      </c>
      <c r="N66" s="38" t="s">
        <v>10</v>
      </c>
      <c r="O66" s="36">
        <v>294</v>
      </c>
      <c r="P66" s="36">
        <v>348</v>
      </c>
      <c r="Q66" s="36">
        <v>340</v>
      </c>
      <c r="S66" s="59">
        <v>98043</v>
      </c>
      <c r="T66" s="38" t="s">
        <v>10</v>
      </c>
      <c r="U66" s="36">
        <v>13</v>
      </c>
      <c r="V66" s="36">
        <v>23</v>
      </c>
      <c r="W66" s="36">
        <v>30</v>
      </c>
    </row>
    <row r="67" spans="1:23" x14ac:dyDescent="0.2">
      <c r="A67" s="64">
        <v>98038</v>
      </c>
      <c r="B67" s="38" t="s">
        <v>10</v>
      </c>
      <c r="C67" s="48">
        <v>377</v>
      </c>
      <c r="D67" s="48">
        <v>336</v>
      </c>
      <c r="E67" s="48">
        <v>256</v>
      </c>
      <c r="M67" s="86">
        <v>98036</v>
      </c>
      <c r="N67" s="38" t="s">
        <v>352</v>
      </c>
      <c r="O67" s="36">
        <v>4</v>
      </c>
      <c r="P67" s="36">
        <v>7</v>
      </c>
      <c r="Q67" s="36">
        <v>1</v>
      </c>
      <c r="S67" s="86">
        <v>98045</v>
      </c>
      <c r="T67" s="38" t="s">
        <v>10</v>
      </c>
      <c r="U67" s="33">
        <v>13</v>
      </c>
      <c r="V67" s="36">
        <v>38</v>
      </c>
      <c r="W67" s="36">
        <v>52</v>
      </c>
    </row>
    <row r="68" spans="1:23" x14ac:dyDescent="0.2">
      <c r="A68" s="63">
        <v>98039</v>
      </c>
      <c r="B68" s="38" t="s">
        <v>10</v>
      </c>
      <c r="C68" s="48">
        <v>8</v>
      </c>
      <c r="D68" s="48">
        <v>6</v>
      </c>
      <c r="E68" s="48">
        <v>6</v>
      </c>
      <c r="M68" s="59">
        <v>98036</v>
      </c>
      <c r="N68" s="38" t="s">
        <v>10</v>
      </c>
      <c r="O68" s="36">
        <v>31</v>
      </c>
      <c r="P68" s="36">
        <v>37</v>
      </c>
      <c r="Q68" s="36">
        <v>58</v>
      </c>
      <c r="S68" s="86">
        <v>98047</v>
      </c>
      <c r="T68" s="38" t="s">
        <v>10</v>
      </c>
      <c r="U68" s="36">
        <v>24</v>
      </c>
      <c r="V68" s="36">
        <v>37</v>
      </c>
      <c r="W68" s="36">
        <v>56</v>
      </c>
    </row>
    <row r="69" spans="1:23" x14ac:dyDescent="0.2">
      <c r="A69" s="64">
        <v>98040</v>
      </c>
      <c r="B69" s="38" t="s">
        <v>352</v>
      </c>
      <c r="C69" s="48">
        <v>2</v>
      </c>
      <c r="D69" s="48">
        <v>1</v>
      </c>
      <c r="E69" s="48">
        <v>1</v>
      </c>
      <c r="M69" s="86">
        <v>98037</v>
      </c>
      <c r="N69" s="38" t="s">
        <v>352</v>
      </c>
      <c r="O69" s="36">
        <v>2</v>
      </c>
      <c r="P69" s="36">
        <v>6</v>
      </c>
      <c r="Q69" s="33">
        <v>2</v>
      </c>
      <c r="S69" s="86">
        <v>98051</v>
      </c>
      <c r="T69" s="38" t="s">
        <v>10</v>
      </c>
      <c r="U69" s="33">
        <v>3</v>
      </c>
      <c r="V69" s="33">
        <v>5</v>
      </c>
      <c r="W69" s="36">
        <v>14</v>
      </c>
    </row>
    <row r="70" spans="1:23" x14ac:dyDescent="0.2">
      <c r="A70" s="63">
        <v>98040</v>
      </c>
      <c r="B70" s="38" t="s">
        <v>10</v>
      </c>
      <c r="C70" s="48">
        <v>96</v>
      </c>
      <c r="D70" s="48">
        <v>77</v>
      </c>
      <c r="E70" s="48">
        <v>57</v>
      </c>
      <c r="M70" s="59">
        <v>98037</v>
      </c>
      <c r="N70" s="38" t="s">
        <v>10</v>
      </c>
      <c r="O70" s="36">
        <v>30</v>
      </c>
      <c r="P70" s="36">
        <v>28</v>
      </c>
      <c r="Q70" s="36">
        <v>36</v>
      </c>
      <c r="S70" s="59">
        <v>98052</v>
      </c>
      <c r="T70" s="38" t="s">
        <v>352</v>
      </c>
      <c r="U70" s="36">
        <v>1</v>
      </c>
      <c r="V70" s="36">
        <v>1</v>
      </c>
      <c r="W70" s="36">
        <v>0</v>
      </c>
    </row>
    <row r="71" spans="1:23" x14ac:dyDescent="0.2">
      <c r="A71" s="64">
        <v>98042</v>
      </c>
      <c r="B71" s="38" t="s">
        <v>352</v>
      </c>
      <c r="C71" s="48">
        <v>4</v>
      </c>
      <c r="D71" s="48">
        <v>4</v>
      </c>
      <c r="E71" s="48">
        <v>3</v>
      </c>
      <c r="M71" s="86">
        <v>98038</v>
      </c>
      <c r="N71" s="38" t="s">
        <v>352</v>
      </c>
      <c r="O71" s="36">
        <v>14</v>
      </c>
      <c r="P71" s="36">
        <v>11</v>
      </c>
      <c r="Q71" s="36">
        <v>7</v>
      </c>
      <c r="S71" s="86">
        <v>98052</v>
      </c>
      <c r="T71" s="38" t="s">
        <v>10</v>
      </c>
      <c r="U71" s="36">
        <v>60</v>
      </c>
      <c r="V71" s="36">
        <v>85</v>
      </c>
      <c r="W71" s="36">
        <v>88</v>
      </c>
    </row>
    <row r="72" spans="1:23" x14ac:dyDescent="0.2">
      <c r="A72" s="64">
        <v>98042</v>
      </c>
      <c r="B72" s="38" t="s">
        <v>10</v>
      </c>
      <c r="C72" s="48">
        <v>615</v>
      </c>
      <c r="D72" s="48">
        <v>546</v>
      </c>
      <c r="E72" s="48">
        <v>417</v>
      </c>
      <c r="M72" s="59">
        <v>98038</v>
      </c>
      <c r="N72" s="38" t="s">
        <v>10</v>
      </c>
      <c r="O72" s="36">
        <v>93</v>
      </c>
      <c r="P72" s="36">
        <v>86</v>
      </c>
      <c r="Q72" s="36">
        <v>105</v>
      </c>
      <c r="S72" s="59">
        <v>98053</v>
      </c>
      <c r="T72" s="38" t="s">
        <v>10</v>
      </c>
      <c r="U72" s="36">
        <v>9</v>
      </c>
      <c r="V72" s="36">
        <v>24</v>
      </c>
      <c r="W72" s="36">
        <v>17</v>
      </c>
    </row>
    <row r="73" spans="1:23" x14ac:dyDescent="0.2">
      <c r="A73" s="63">
        <v>98043</v>
      </c>
      <c r="B73" s="38" t="s">
        <v>352</v>
      </c>
      <c r="C73" s="48">
        <v>1</v>
      </c>
      <c r="D73" s="48">
        <v>1</v>
      </c>
      <c r="E73" s="48">
        <v>0</v>
      </c>
      <c r="M73" s="86">
        <v>98039</v>
      </c>
      <c r="N73" s="38" t="s">
        <v>352</v>
      </c>
      <c r="O73" s="33">
        <v>0</v>
      </c>
      <c r="P73" s="33">
        <v>0</v>
      </c>
      <c r="Q73" s="36">
        <v>3</v>
      </c>
      <c r="S73" s="86">
        <v>98055</v>
      </c>
      <c r="T73" s="38" t="s">
        <v>10</v>
      </c>
      <c r="U73" s="36">
        <v>49</v>
      </c>
      <c r="V73" s="36">
        <v>87</v>
      </c>
      <c r="W73" s="36">
        <v>106</v>
      </c>
    </row>
    <row r="74" spans="1:23" x14ac:dyDescent="0.2">
      <c r="A74" s="64">
        <v>98043</v>
      </c>
      <c r="B74" s="38" t="s">
        <v>10</v>
      </c>
      <c r="C74" s="48">
        <v>82</v>
      </c>
      <c r="D74" s="48">
        <v>68</v>
      </c>
      <c r="E74" s="48">
        <v>50</v>
      </c>
      <c r="M74" s="59">
        <v>98039</v>
      </c>
      <c r="N74" s="38" t="s">
        <v>10</v>
      </c>
      <c r="O74" s="36">
        <v>7</v>
      </c>
      <c r="P74" s="36">
        <v>15</v>
      </c>
      <c r="Q74" s="36">
        <v>9</v>
      </c>
      <c r="S74" s="86">
        <v>98056</v>
      </c>
      <c r="T74" s="38" t="s">
        <v>352</v>
      </c>
      <c r="U74" s="33">
        <v>0</v>
      </c>
      <c r="V74" s="33">
        <v>0</v>
      </c>
      <c r="W74" s="36">
        <v>2</v>
      </c>
    </row>
    <row r="75" spans="1:23" x14ac:dyDescent="0.2">
      <c r="A75" s="63">
        <v>98045</v>
      </c>
      <c r="B75" s="38" t="s">
        <v>352</v>
      </c>
      <c r="C75" s="48">
        <v>3</v>
      </c>
      <c r="D75" s="48">
        <v>3</v>
      </c>
      <c r="E75" s="48">
        <v>3</v>
      </c>
      <c r="M75" s="86">
        <v>98040</v>
      </c>
      <c r="N75" s="38" t="s">
        <v>352</v>
      </c>
      <c r="O75" s="36">
        <v>3</v>
      </c>
      <c r="P75" s="36">
        <v>7</v>
      </c>
      <c r="Q75" s="36">
        <v>2</v>
      </c>
      <c r="S75" s="59">
        <v>98056</v>
      </c>
      <c r="T75" s="38" t="s">
        <v>10</v>
      </c>
      <c r="U75" s="36">
        <v>52</v>
      </c>
      <c r="V75" s="36">
        <v>115</v>
      </c>
      <c r="W75" s="36">
        <v>149</v>
      </c>
    </row>
    <row r="76" spans="1:23" x14ac:dyDescent="0.2">
      <c r="A76" s="64">
        <v>98045</v>
      </c>
      <c r="B76" s="38" t="s">
        <v>10</v>
      </c>
      <c r="C76" s="48">
        <v>131</v>
      </c>
      <c r="D76" s="48">
        <v>116</v>
      </c>
      <c r="E76" s="48">
        <v>83</v>
      </c>
      <c r="M76" s="59">
        <v>98040</v>
      </c>
      <c r="N76" s="38" t="s">
        <v>10</v>
      </c>
      <c r="O76" s="36">
        <v>69</v>
      </c>
      <c r="P76" s="36">
        <v>75</v>
      </c>
      <c r="Q76" s="36">
        <v>85</v>
      </c>
      <c r="S76" s="86">
        <v>98057</v>
      </c>
      <c r="T76" s="38" t="s">
        <v>352</v>
      </c>
      <c r="U76" s="36">
        <v>2</v>
      </c>
      <c r="V76" s="36">
        <v>0</v>
      </c>
      <c r="W76" s="36">
        <v>0</v>
      </c>
    </row>
    <row r="77" spans="1:23" x14ac:dyDescent="0.2">
      <c r="A77" s="63">
        <v>98047</v>
      </c>
      <c r="B77" s="38" t="s">
        <v>352</v>
      </c>
      <c r="C77" s="48">
        <v>3</v>
      </c>
      <c r="D77" s="48">
        <v>3</v>
      </c>
      <c r="E77" s="48">
        <v>3</v>
      </c>
      <c r="M77" s="86">
        <v>98042</v>
      </c>
      <c r="N77" s="38" t="s">
        <v>352</v>
      </c>
      <c r="O77" s="36">
        <v>4</v>
      </c>
      <c r="P77" s="36">
        <v>11</v>
      </c>
      <c r="Q77" s="36">
        <v>14</v>
      </c>
      <c r="S77" s="86">
        <v>98057</v>
      </c>
      <c r="T77" s="38" t="s">
        <v>10</v>
      </c>
      <c r="U77" s="33">
        <v>44</v>
      </c>
      <c r="V77" s="33">
        <v>43</v>
      </c>
      <c r="W77" s="36">
        <v>94</v>
      </c>
    </row>
    <row r="78" spans="1:23" x14ac:dyDescent="0.2">
      <c r="A78" s="64">
        <v>98047</v>
      </c>
      <c r="B78" s="38" t="s">
        <v>10</v>
      </c>
      <c r="C78" s="48">
        <v>155</v>
      </c>
      <c r="D78" s="48">
        <v>130</v>
      </c>
      <c r="E78" s="48">
        <v>92</v>
      </c>
      <c r="M78" s="59">
        <v>98042</v>
      </c>
      <c r="N78" s="38" t="s">
        <v>10</v>
      </c>
      <c r="O78" s="36">
        <v>169</v>
      </c>
      <c r="P78" s="36">
        <v>174</v>
      </c>
      <c r="Q78" s="36">
        <v>183</v>
      </c>
      <c r="S78" s="86">
        <v>98058</v>
      </c>
      <c r="T78" s="38" t="s">
        <v>10</v>
      </c>
      <c r="U78" s="36">
        <v>76</v>
      </c>
      <c r="V78" s="36">
        <v>142</v>
      </c>
      <c r="W78" s="36">
        <v>150</v>
      </c>
    </row>
    <row r="79" spans="1:23" x14ac:dyDescent="0.2">
      <c r="A79" s="63">
        <v>98050</v>
      </c>
      <c r="B79" s="38" t="s">
        <v>10</v>
      </c>
      <c r="C79" s="48">
        <v>1</v>
      </c>
      <c r="D79" s="48">
        <v>1</v>
      </c>
      <c r="E79" s="48">
        <v>1</v>
      </c>
      <c r="M79" s="86">
        <v>98043</v>
      </c>
      <c r="N79" s="38" t="s">
        <v>352</v>
      </c>
      <c r="O79" s="33">
        <v>5</v>
      </c>
      <c r="P79" s="36">
        <v>4</v>
      </c>
      <c r="Q79" s="36">
        <v>1</v>
      </c>
      <c r="S79" s="86">
        <v>98059</v>
      </c>
      <c r="T79" s="38" t="s">
        <v>352</v>
      </c>
      <c r="U79" s="36">
        <v>0</v>
      </c>
      <c r="V79" s="36">
        <v>1</v>
      </c>
      <c r="W79" s="36">
        <v>0</v>
      </c>
    </row>
    <row r="80" spans="1:23" x14ac:dyDescent="0.2">
      <c r="A80" s="64">
        <v>98051</v>
      </c>
      <c r="B80" s="38" t="s">
        <v>352</v>
      </c>
      <c r="C80" s="48">
        <v>1</v>
      </c>
      <c r="D80" s="48">
        <v>1</v>
      </c>
      <c r="E80" s="48">
        <v>1</v>
      </c>
      <c r="M80" s="59">
        <v>98043</v>
      </c>
      <c r="N80" s="38" t="s">
        <v>10</v>
      </c>
      <c r="O80" s="36">
        <v>22</v>
      </c>
      <c r="P80" s="36">
        <v>19</v>
      </c>
      <c r="Q80" s="36">
        <v>14</v>
      </c>
      <c r="S80" s="86">
        <v>98059</v>
      </c>
      <c r="T80" s="38" t="s">
        <v>10</v>
      </c>
      <c r="U80" s="36">
        <v>38</v>
      </c>
      <c r="V80" s="36">
        <v>78</v>
      </c>
      <c r="W80" s="36">
        <v>107</v>
      </c>
    </row>
    <row r="81" spans="1:23" x14ac:dyDescent="0.2">
      <c r="A81" s="63">
        <v>98051</v>
      </c>
      <c r="B81" s="38" t="s">
        <v>10</v>
      </c>
      <c r="C81" s="48">
        <v>38</v>
      </c>
      <c r="D81" s="48">
        <v>34</v>
      </c>
      <c r="E81" s="48">
        <v>29</v>
      </c>
      <c r="M81" s="86">
        <v>98045</v>
      </c>
      <c r="N81" s="38" t="s">
        <v>352</v>
      </c>
      <c r="O81" s="36">
        <v>10</v>
      </c>
      <c r="P81" s="36">
        <v>4</v>
      </c>
      <c r="Q81" s="36">
        <v>8</v>
      </c>
      <c r="S81" s="86">
        <v>98065</v>
      </c>
      <c r="T81" s="38" t="s">
        <v>352</v>
      </c>
      <c r="U81" s="36">
        <v>0</v>
      </c>
      <c r="V81" s="36">
        <v>1</v>
      </c>
      <c r="W81" s="36">
        <v>0</v>
      </c>
    </row>
    <row r="82" spans="1:23" x14ac:dyDescent="0.2">
      <c r="A82" s="64">
        <v>98052</v>
      </c>
      <c r="B82" s="38" t="s">
        <v>352</v>
      </c>
      <c r="C82" s="48">
        <v>11</v>
      </c>
      <c r="D82" s="48">
        <v>10</v>
      </c>
      <c r="E82" s="48">
        <v>9</v>
      </c>
      <c r="M82" s="59">
        <v>98045</v>
      </c>
      <c r="N82" s="38" t="s">
        <v>10</v>
      </c>
      <c r="O82" s="36">
        <v>36</v>
      </c>
      <c r="P82" s="36">
        <v>35</v>
      </c>
      <c r="Q82" s="36">
        <v>47</v>
      </c>
      <c r="S82" s="86">
        <v>98065</v>
      </c>
      <c r="T82" s="38" t="s">
        <v>10</v>
      </c>
      <c r="U82" s="36">
        <v>10</v>
      </c>
      <c r="V82" s="33">
        <v>30</v>
      </c>
      <c r="W82" s="36">
        <v>29</v>
      </c>
    </row>
    <row r="83" spans="1:23" x14ac:dyDescent="0.2">
      <c r="A83" s="64">
        <v>98052</v>
      </c>
      <c r="B83" s="38" t="s">
        <v>10</v>
      </c>
      <c r="C83" s="48">
        <v>322</v>
      </c>
      <c r="D83" s="48">
        <v>255</v>
      </c>
      <c r="E83" s="48">
        <v>157</v>
      </c>
      <c r="M83" s="86">
        <v>98047</v>
      </c>
      <c r="N83" s="38" t="s">
        <v>352</v>
      </c>
      <c r="O83" s="36">
        <v>0</v>
      </c>
      <c r="P83" s="36">
        <v>2</v>
      </c>
      <c r="Q83" s="36">
        <v>3</v>
      </c>
      <c r="S83" s="86">
        <v>98068</v>
      </c>
      <c r="T83" s="38" t="s">
        <v>10</v>
      </c>
      <c r="U83" s="36">
        <v>1</v>
      </c>
      <c r="V83" s="36">
        <v>0</v>
      </c>
      <c r="W83" s="36">
        <v>3</v>
      </c>
    </row>
    <row r="84" spans="1:23" x14ac:dyDescent="0.2">
      <c r="A84" s="63">
        <v>98053</v>
      </c>
      <c r="B84" s="38" t="s">
        <v>10</v>
      </c>
      <c r="C84" s="48">
        <v>71</v>
      </c>
      <c r="D84" s="48">
        <v>61</v>
      </c>
      <c r="E84" s="48">
        <v>38</v>
      </c>
      <c r="M84" s="59">
        <v>98047</v>
      </c>
      <c r="N84" s="38" t="s">
        <v>10</v>
      </c>
      <c r="O84" s="36">
        <v>28</v>
      </c>
      <c r="P84" s="36">
        <v>27</v>
      </c>
      <c r="Q84" s="36">
        <v>39</v>
      </c>
      <c r="S84" s="86">
        <v>98070</v>
      </c>
      <c r="T84" s="38" t="s">
        <v>10</v>
      </c>
      <c r="U84" s="36">
        <v>14</v>
      </c>
      <c r="V84" s="36">
        <v>32</v>
      </c>
      <c r="W84" s="36">
        <v>43</v>
      </c>
    </row>
    <row r="85" spans="1:23" x14ac:dyDescent="0.2">
      <c r="A85" s="64">
        <v>98055</v>
      </c>
      <c r="B85" s="38" t="s">
        <v>10</v>
      </c>
      <c r="C85" s="48">
        <v>351</v>
      </c>
      <c r="D85" s="48">
        <v>303</v>
      </c>
      <c r="E85" s="48">
        <v>215</v>
      </c>
      <c r="M85" s="86">
        <v>98050</v>
      </c>
      <c r="N85" s="38" t="s">
        <v>352</v>
      </c>
      <c r="O85" s="36">
        <v>1</v>
      </c>
      <c r="P85" s="36">
        <v>0</v>
      </c>
      <c r="Q85" s="33">
        <v>0</v>
      </c>
      <c r="S85" s="86">
        <v>98072</v>
      </c>
      <c r="T85" s="38" t="s">
        <v>352</v>
      </c>
      <c r="U85" s="36">
        <v>2</v>
      </c>
      <c r="V85" s="36">
        <v>1</v>
      </c>
      <c r="W85" s="36">
        <v>0</v>
      </c>
    </row>
    <row r="86" spans="1:23" x14ac:dyDescent="0.2">
      <c r="A86" s="63">
        <v>98056</v>
      </c>
      <c r="B86" s="38" t="s">
        <v>352</v>
      </c>
      <c r="C86" s="48">
        <v>4</v>
      </c>
      <c r="D86" s="48">
        <v>4</v>
      </c>
      <c r="E86" s="48">
        <v>4</v>
      </c>
      <c r="M86" s="59">
        <v>98050</v>
      </c>
      <c r="N86" s="38" t="s">
        <v>10</v>
      </c>
      <c r="O86" s="36">
        <v>1</v>
      </c>
      <c r="P86" s="33">
        <v>0</v>
      </c>
      <c r="Q86" s="33">
        <v>0</v>
      </c>
      <c r="S86" s="86">
        <v>98072</v>
      </c>
      <c r="T86" s="38" t="s">
        <v>10</v>
      </c>
      <c r="U86" s="36">
        <v>15</v>
      </c>
      <c r="V86" s="36">
        <v>34</v>
      </c>
      <c r="W86" s="36">
        <v>46</v>
      </c>
    </row>
    <row r="87" spans="1:23" x14ac:dyDescent="0.2">
      <c r="A87" s="64">
        <v>98056</v>
      </c>
      <c r="B87" s="38" t="s">
        <v>10</v>
      </c>
      <c r="C87" s="48">
        <v>427</v>
      </c>
      <c r="D87" s="48">
        <v>372</v>
      </c>
      <c r="E87" s="48">
        <v>256</v>
      </c>
      <c r="M87" s="86">
        <v>98051</v>
      </c>
      <c r="N87" s="38" t="s">
        <v>352</v>
      </c>
      <c r="O87" s="36">
        <v>3</v>
      </c>
      <c r="P87" s="36">
        <v>4</v>
      </c>
      <c r="Q87" s="36">
        <v>2</v>
      </c>
      <c r="S87" s="86">
        <v>98074</v>
      </c>
      <c r="T87" s="38" t="s">
        <v>10</v>
      </c>
      <c r="U87" s="36">
        <v>14</v>
      </c>
      <c r="V87" s="33">
        <v>27</v>
      </c>
      <c r="W87" s="36">
        <v>29</v>
      </c>
    </row>
    <row r="88" spans="1:23" x14ac:dyDescent="0.2">
      <c r="A88" s="64">
        <v>98057</v>
      </c>
      <c r="B88" s="38" t="s">
        <v>352</v>
      </c>
      <c r="C88" s="48">
        <v>13</v>
      </c>
      <c r="D88" s="48">
        <v>11</v>
      </c>
      <c r="E88" s="48">
        <v>9</v>
      </c>
      <c r="M88" s="59">
        <v>98051</v>
      </c>
      <c r="N88" s="38" t="s">
        <v>10</v>
      </c>
      <c r="O88" s="36">
        <v>5</v>
      </c>
      <c r="P88" s="36">
        <v>9</v>
      </c>
      <c r="Q88" s="36">
        <v>9</v>
      </c>
      <c r="S88" s="86">
        <v>98075</v>
      </c>
      <c r="T88" s="38" t="s">
        <v>10</v>
      </c>
      <c r="U88" s="36">
        <v>5</v>
      </c>
      <c r="V88" s="36">
        <v>15</v>
      </c>
      <c r="W88" s="36">
        <v>17</v>
      </c>
    </row>
    <row r="89" spans="1:23" x14ac:dyDescent="0.2">
      <c r="A89" s="63">
        <v>98057</v>
      </c>
      <c r="B89" s="38" t="s">
        <v>10</v>
      </c>
      <c r="C89" s="48">
        <v>249</v>
      </c>
      <c r="D89" s="48">
        <v>200</v>
      </c>
      <c r="E89" s="48">
        <v>150</v>
      </c>
      <c r="M89" s="86">
        <v>98052</v>
      </c>
      <c r="N89" s="38" t="s">
        <v>352</v>
      </c>
      <c r="O89" s="36">
        <v>17</v>
      </c>
      <c r="P89" s="36">
        <v>35</v>
      </c>
      <c r="Q89" s="36">
        <v>33</v>
      </c>
      <c r="S89" s="86">
        <v>98077</v>
      </c>
      <c r="T89" s="38" t="s">
        <v>10</v>
      </c>
      <c r="U89" s="36">
        <v>4</v>
      </c>
      <c r="V89" s="33">
        <v>20</v>
      </c>
      <c r="W89" s="36">
        <v>15</v>
      </c>
    </row>
    <row r="90" spans="1:23" x14ac:dyDescent="0.2">
      <c r="A90" s="64">
        <v>98058</v>
      </c>
      <c r="B90" s="38" t="s">
        <v>352</v>
      </c>
      <c r="C90" s="48">
        <v>3</v>
      </c>
      <c r="D90" s="48">
        <v>3</v>
      </c>
      <c r="E90" s="48">
        <v>3</v>
      </c>
      <c r="M90" s="59">
        <v>98052</v>
      </c>
      <c r="N90" s="38" t="s">
        <v>10</v>
      </c>
      <c r="O90" s="36">
        <v>561</v>
      </c>
      <c r="P90" s="36">
        <v>498</v>
      </c>
      <c r="Q90" s="36">
        <v>802</v>
      </c>
      <c r="S90" s="86">
        <v>98087</v>
      </c>
      <c r="T90" s="38" t="s">
        <v>10</v>
      </c>
      <c r="U90" s="36">
        <v>12</v>
      </c>
      <c r="V90" s="36">
        <v>35</v>
      </c>
      <c r="W90" s="33">
        <v>47</v>
      </c>
    </row>
    <row r="91" spans="1:23" x14ac:dyDescent="0.2">
      <c r="A91" s="63">
        <v>98058</v>
      </c>
      <c r="B91" s="38" t="s">
        <v>10</v>
      </c>
      <c r="C91" s="48">
        <v>510</v>
      </c>
      <c r="D91" s="48">
        <v>433</v>
      </c>
      <c r="E91" s="48">
        <v>276</v>
      </c>
      <c r="M91" s="86">
        <v>98053</v>
      </c>
      <c r="N91" s="38" t="s">
        <v>352</v>
      </c>
      <c r="O91" s="36">
        <v>1</v>
      </c>
      <c r="P91" s="36">
        <v>4</v>
      </c>
      <c r="Q91" s="36">
        <v>3</v>
      </c>
      <c r="S91" s="86">
        <v>98092</v>
      </c>
      <c r="T91" s="38" t="s">
        <v>10</v>
      </c>
      <c r="U91" s="33">
        <v>87</v>
      </c>
      <c r="V91" s="33">
        <v>163</v>
      </c>
      <c r="W91" s="36">
        <v>236</v>
      </c>
    </row>
    <row r="92" spans="1:23" x14ac:dyDescent="0.2">
      <c r="A92" s="64">
        <v>98059</v>
      </c>
      <c r="B92" s="38" t="s">
        <v>352</v>
      </c>
      <c r="C92" s="48">
        <v>2</v>
      </c>
      <c r="D92" s="48">
        <v>2</v>
      </c>
      <c r="E92" s="48">
        <v>2</v>
      </c>
      <c r="M92" s="59">
        <v>98053</v>
      </c>
      <c r="N92" s="38" t="s">
        <v>10</v>
      </c>
      <c r="O92" s="36">
        <v>39</v>
      </c>
      <c r="P92" s="36">
        <v>41</v>
      </c>
      <c r="Q92" s="36">
        <v>69</v>
      </c>
      <c r="S92" s="59">
        <v>98102</v>
      </c>
      <c r="T92" s="38" t="s">
        <v>352</v>
      </c>
      <c r="U92" s="36">
        <v>0</v>
      </c>
      <c r="V92" s="36">
        <v>1</v>
      </c>
      <c r="W92" s="36">
        <v>0</v>
      </c>
    </row>
    <row r="93" spans="1:23" x14ac:dyDescent="0.2">
      <c r="A93" s="63">
        <v>98059</v>
      </c>
      <c r="B93" s="38" t="s">
        <v>10</v>
      </c>
      <c r="C93" s="48">
        <v>313</v>
      </c>
      <c r="D93" s="48">
        <v>273</v>
      </c>
      <c r="E93" s="48">
        <v>182</v>
      </c>
      <c r="M93" s="86">
        <v>98055</v>
      </c>
      <c r="N93" s="38" t="s">
        <v>352</v>
      </c>
      <c r="O93" s="36">
        <v>3</v>
      </c>
      <c r="P93" s="36">
        <v>13</v>
      </c>
      <c r="Q93" s="36">
        <v>5</v>
      </c>
      <c r="S93" s="86">
        <v>98102</v>
      </c>
      <c r="T93" s="38" t="s">
        <v>10</v>
      </c>
      <c r="U93" s="33">
        <v>0</v>
      </c>
      <c r="V93" s="36">
        <v>6</v>
      </c>
      <c r="W93" s="36">
        <v>14</v>
      </c>
    </row>
    <row r="94" spans="1:23" x14ac:dyDescent="0.2">
      <c r="A94" s="64">
        <v>98065</v>
      </c>
      <c r="B94" s="38" t="s">
        <v>352</v>
      </c>
      <c r="C94" s="48">
        <v>5</v>
      </c>
      <c r="D94" s="48">
        <v>5</v>
      </c>
      <c r="E94" s="48">
        <v>4</v>
      </c>
      <c r="M94" s="59">
        <v>98055</v>
      </c>
      <c r="N94" s="38" t="s">
        <v>10</v>
      </c>
      <c r="O94" s="36">
        <v>123</v>
      </c>
      <c r="P94" s="36">
        <v>146</v>
      </c>
      <c r="Q94" s="36">
        <v>167</v>
      </c>
      <c r="S94" s="86">
        <v>98103</v>
      </c>
      <c r="T94" s="38" t="s">
        <v>352</v>
      </c>
      <c r="U94" s="36">
        <v>0</v>
      </c>
      <c r="V94" s="36">
        <v>2</v>
      </c>
      <c r="W94" s="36">
        <v>0</v>
      </c>
    </row>
    <row r="95" spans="1:23" x14ac:dyDescent="0.2">
      <c r="A95" s="63">
        <v>98065</v>
      </c>
      <c r="B95" s="38" t="s">
        <v>10</v>
      </c>
      <c r="C95" s="48">
        <v>97</v>
      </c>
      <c r="D95" s="48">
        <v>87</v>
      </c>
      <c r="E95" s="48">
        <v>54</v>
      </c>
      <c r="M95" s="86">
        <v>98056</v>
      </c>
      <c r="N95" s="38" t="s">
        <v>352</v>
      </c>
      <c r="O95" s="36">
        <v>10</v>
      </c>
      <c r="P95" s="36">
        <v>7</v>
      </c>
      <c r="Q95" s="36">
        <v>6</v>
      </c>
      <c r="S95" s="86">
        <v>98103</v>
      </c>
      <c r="T95" s="38" t="s">
        <v>10</v>
      </c>
      <c r="U95" s="33">
        <v>12</v>
      </c>
      <c r="V95" s="33">
        <v>25</v>
      </c>
      <c r="W95" s="36">
        <v>27</v>
      </c>
    </row>
    <row r="96" spans="1:23" x14ac:dyDescent="0.2">
      <c r="A96" s="64">
        <v>98068</v>
      </c>
      <c r="B96" s="38" t="s">
        <v>10</v>
      </c>
      <c r="C96" s="48">
        <v>7</v>
      </c>
      <c r="D96" s="48">
        <v>6</v>
      </c>
      <c r="E96" s="48">
        <v>5</v>
      </c>
      <c r="M96" s="59">
        <v>98056</v>
      </c>
      <c r="N96" s="38" t="s">
        <v>10</v>
      </c>
      <c r="O96" s="36">
        <v>132</v>
      </c>
      <c r="P96" s="36">
        <v>182</v>
      </c>
      <c r="Q96" s="36">
        <v>193</v>
      </c>
      <c r="S96" s="86">
        <v>98104</v>
      </c>
      <c r="T96" s="38" t="s">
        <v>10</v>
      </c>
      <c r="U96" s="36">
        <v>1</v>
      </c>
      <c r="V96" s="36">
        <v>0</v>
      </c>
      <c r="W96" s="36">
        <v>0</v>
      </c>
    </row>
    <row r="97" spans="1:23" x14ac:dyDescent="0.2">
      <c r="A97" s="63">
        <v>98070</v>
      </c>
      <c r="B97" s="38" t="s">
        <v>352</v>
      </c>
      <c r="C97" s="48">
        <v>1</v>
      </c>
      <c r="D97" s="48">
        <v>1</v>
      </c>
      <c r="E97" s="48">
        <v>1</v>
      </c>
      <c r="M97" s="86">
        <v>98057</v>
      </c>
      <c r="N97" s="38" t="s">
        <v>352</v>
      </c>
      <c r="O97" s="36">
        <v>11</v>
      </c>
      <c r="P97" s="36">
        <v>5</v>
      </c>
      <c r="Q97" s="36">
        <v>14</v>
      </c>
      <c r="S97" s="86">
        <v>98105</v>
      </c>
      <c r="T97" s="38" t="s">
        <v>10</v>
      </c>
      <c r="U97" s="33">
        <v>3</v>
      </c>
      <c r="V97" s="36">
        <v>7</v>
      </c>
      <c r="W97" s="33">
        <v>10</v>
      </c>
    </row>
    <row r="98" spans="1:23" x14ac:dyDescent="0.2">
      <c r="A98" s="64">
        <v>98070</v>
      </c>
      <c r="B98" s="38" t="s">
        <v>10</v>
      </c>
      <c r="C98" s="48">
        <v>126</v>
      </c>
      <c r="D98" s="48">
        <v>110</v>
      </c>
      <c r="E98" s="48">
        <v>76</v>
      </c>
      <c r="M98" s="59">
        <v>98057</v>
      </c>
      <c r="N98" s="38" t="s">
        <v>10</v>
      </c>
      <c r="O98" s="36">
        <v>94</v>
      </c>
      <c r="P98" s="36">
        <v>98</v>
      </c>
      <c r="Q98" s="36">
        <v>118</v>
      </c>
      <c r="S98" s="59">
        <v>98106</v>
      </c>
      <c r="T98" s="38" t="s">
        <v>352</v>
      </c>
      <c r="U98" s="33">
        <v>0</v>
      </c>
      <c r="V98" s="33">
        <v>0</v>
      </c>
      <c r="W98" s="36">
        <v>1</v>
      </c>
    </row>
    <row r="99" spans="1:23" x14ac:dyDescent="0.2">
      <c r="A99" s="63">
        <v>98072</v>
      </c>
      <c r="B99" s="38" t="s">
        <v>352</v>
      </c>
      <c r="C99" s="48">
        <v>9</v>
      </c>
      <c r="D99" s="48">
        <v>6</v>
      </c>
      <c r="E99" s="48">
        <v>5</v>
      </c>
      <c r="M99" s="86">
        <v>98058</v>
      </c>
      <c r="N99" s="38" t="s">
        <v>352</v>
      </c>
      <c r="O99" s="36">
        <v>8</v>
      </c>
      <c r="P99" s="36">
        <v>2</v>
      </c>
      <c r="Q99" s="36">
        <v>11</v>
      </c>
      <c r="S99" s="86">
        <v>98106</v>
      </c>
      <c r="T99" s="38" t="s">
        <v>10</v>
      </c>
      <c r="U99" s="36">
        <v>18</v>
      </c>
      <c r="V99" s="36">
        <v>27</v>
      </c>
      <c r="W99" s="36">
        <v>27</v>
      </c>
    </row>
    <row r="100" spans="1:23" x14ac:dyDescent="0.2">
      <c r="A100" s="64">
        <v>98072</v>
      </c>
      <c r="B100" s="38" t="s">
        <v>10</v>
      </c>
      <c r="C100" s="48">
        <v>146</v>
      </c>
      <c r="D100" s="48">
        <v>125</v>
      </c>
      <c r="E100" s="48">
        <v>88</v>
      </c>
      <c r="M100" s="59">
        <v>98058</v>
      </c>
      <c r="N100" s="38" t="s">
        <v>10</v>
      </c>
      <c r="O100" s="36">
        <v>132</v>
      </c>
      <c r="P100" s="36">
        <v>132</v>
      </c>
      <c r="Q100" s="36">
        <v>149</v>
      </c>
      <c r="S100" s="86">
        <v>98107</v>
      </c>
      <c r="T100" s="38" t="s">
        <v>10</v>
      </c>
      <c r="U100" s="33">
        <v>7</v>
      </c>
      <c r="V100" s="33">
        <v>12</v>
      </c>
      <c r="W100" s="36">
        <v>22</v>
      </c>
    </row>
    <row r="101" spans="1:23" x14ac:dyDescent="0.2">
      <c r="A101" s="64">
        <v>98074</v>
      </c>
      <c r="B101" s="38" t="s">
        <v>352</v>
      </c>
      <c r="C101" s="48">
        <v>1</v>
      </c>
      <c r="D101" s="48">
        <v>1</v>
      </c>
      <c r="E101" s="48">
        <v>1</v>
      </c>
      <c r="M101" s="86">
        <v>98059</v>
      </c>
      <c r="N101" s="38" t="s">
        <v>352</v>
      </c>
      <c r="O101" s="36">
        <v>8</v>
      </c>
      <c r="P101" s="36">
        <v>5</v>
      </c>
      <c r="Q101" s="36">
        <v>4</v>
      </c>
      <c r="S101" s="59">
        <v>98108</v>
      </c>
      <c r="T101" s="38" t="s">
        <v>352</v>
      </c>
      <c r="U101" s="36">
        <v>0</v>
      </c>
      <c r="V101" s="36">
        <v>1</v>
      </c>
      <c r="W101" s="36">
        <v>2</v>
      </c>
    </row>
    <row r="102" spans="1:23" x14ac:dyDescent="0.2">
      <c r="A102" s="63">
        <v>98074</v>
      </c>
      <c r="B102" s="38" t="s">
        <v>10</v>
      </c>
      <c r="C102" s="48">
        <v>93</v>
      </c>
      <c r="D102" s="48">
        <v>81</v>
      </c>
      <c r="E102" s="48">
        <v>60</v>
      </c>
      <c r="M102" s="59">
        <v>98059</v>
      </c>
      <c r="N102" s="38" t="s">
        <v>10</v>
      </c>
      <c r="O102" s="36">
        <v>108</v>
      </c>
      <c r="P102" s="36">
        <v>147</v>
      </c>
      <c r="Q102" s="36">
        <v>135</v>
      </c>
      <c r="S102" s="86">
        <v>98108</v>
      </c>
      <c r="T102" s="38" t="s">
        <v>10</v>
      </c>
      <c r="U102" s="33">
        <v>32</v>
      </c>
      <c r="V102" s="36">
        <v>50</v>
      </c>
      <c r="W102" s="36">
        <v>73</v>
      </c>
    </row>
    <row r="103" spans="1:23" x14ac:dyDescent="0.2">
      <c r="A103" s="64">
        <v>98075</v>
      </c>
      <c r="B103" s="38" t="s">
        <v>10</v>
      </c>
      <c r="C103" s="48">
        <v>67</v>
      </c>
      <c r="D103" s="48">
        <v>60</v>
      </c>
      <c r="E103" s="48">
        <v>45</v>
      </c>
      <c r="M103" s="86">
        <v>98065</v>
      </c>
      <c r="N103" s="38" t="s">
        <v>352</v>
      </c>
      <c r="O103" s="36">
        <v>8</v>
      </c>
      <c r="P103" s="36">
        <v>9</v>
      </c>
      <c r="Q103" s="36">
        <v>6</v>
      </c>
      <c r="S103" s="86">
        <v>98109</v>
      </c>
      <c r="T103" s="38" t="s">
        <v>352</v>
      </c>
      <c r="U103" s="36">
        <v>0</v>
      </c>
      <c r="V103" s="36">
        <v>1</v>
      </c>
      <c r="W103" s="36">
        <v>0</v>
      </c>
    </row>
    <row r="104" spans="1:23" x14ac:dyDescent="0.2">
      <c r="A104" s="63">
        <v>98077</v>
      </c>
      <c r="B104" s="38" t="s">
        <v>10</v>
      </c>
      <c r="C104" s="48">
        <v>60</v>
      </c>
      <c r="D104" s="48">
        <v>53</v>
      </c>
      <c r="E104" s="48">
        <v>38</v>
      </c>
      <c r="M104" s="59">
        <v>98065</v>
      </c>
      <c r="N104" s="38" t="s">
        <v>10</v>
      </c>
      <c r="O104" s="36">
        <v>31</v>
      </c>
      <c r="P104" s="36">
        <v>42</v>
      </c>
      <c r="Q104" s="36">
        <v>55</v>
      </c>
      <c r="S104" s="86">
        <v>98109</v>
      </c>
      <c r="T104" s="38" t="s">
        <v>10</v>
      </c>
      <c r="U104" s="36">
        <v>1</v>
      </c>
      <c r="V104" s="33">
        <v>10</v>
      </c>
      <c r="W104" s="33">
        <v>10</v>
      </c>
    </row>
    <row r="105" spans="1:23" x14ac:dyDescent="0.2">
      <c r="A105" s="64">
        <v>98087</v>
      </c>
      <c r="B105" s="38" t="s">
        <v>10</v>
      </c>
      <c r="C105" s="48">
        <v>130</v>
      </c>
      <c r="D105" s="48">
        <v>114</v>
      </c>
      <c r="E105" s="48">
        <v>78</v>
      </c>
      <c r="M105" s="86">
        <v>98068</v>
      </c>
      <c r="N105" s="38" t="s">
        <v>352</v>
      </c>
      <c r="O105" s="36">
        <v>0</v>
      </c>
      <c r="P105" s="33">
        <v>0</v>
      </c>
      <c r="Q105" s="33">
        <v>5</v>
      </c>
      <c r="S105" s="59">
        <v>98110</v>
      </c>
      <c r="T105" s="38" t="s">
        <v>10</v>
      </c>
      <c r="U105" s="36">
        <v>11</v>
      </c>
      <c r="V105" s="36">
        <v>25</v>
      </c>
      <c r="W105" s="36">
        <v>34</v>
      </c>
    </row>
    <row r="106" spans="1:23" x14ac:dyDescent="0.2">
      <c r="A106" s="63">
        <v>98092</v>
      </c>
      <c r="B106" s="38" t="s">
        <v>352</v>
      </c>
      <c r="C106" s="48">
        <v>1</v>
      </c>
      <c r="D106" s="48">
        <v>1</v>
      </c>
      <c r="E106" s="48">
        <v>1</v>
      </c>
      <c r="M106" s="59">
        <v>98068</v>
      </c>
      <c r="N106" s="38" t="s">
        <v>10</v>
      </c>
      <c r="O106" s="36">
        <v>2</v>
      </c>
      <c r="P106" s="36">
        <v>4</v>
      </c>
      <c r="Q106" s="36">
        <v>5</v>
      </c>
      <c r="S106" s="86">
        <v>98112</v>
      </c>
      <c r="T106" s="38" t="s">
        <v>352</v>
      </c>
      <c r="U106" s="36">
        <v>1</v>
      </c>
      <c r="V106" s="36">
        <v>0</v>
      </c>
      <c r="W106" s="36">
        <v>0</v>
      </c>
    </row>
    <row r="107" spans="1:23" x14ac:dyDescent="0.2">
      <c r="A107" s="64">
        <v>98092</v>
      </c>
      <c r="B107" s="38" t="s">
        <v>10</v>
      </c>
      <c r="C107" s="48">
        <v>734</v>
      </c>
      <c r="D107" s="48">
        <v>641</v>
      </c>
      <c r="E107" s="48">
        <v>463</v>
      </c>
      <c r="M107" s="86">
        <v>98070</v>
      </c>
      <c r="N107" s="38" t="s">
        <v>352</v>
      </c>
      <c r="O107" s="36">
        <v>4</v>
      </c>
      <c r="P107" s="36">
        <v>7</v>
      </c>
      <c r="Q107" s="36">
        <v>8</v>
      </c>
      <c r="S107" s="86">
        <v>98112</v>
      </c>
      <c r="T107" s="38" t="s">
        <v>10</v>
      </c>
      <c r="U107" s="36">
        <v>7</v>
      </c>
      <c r="V107" s="36">
        <v>9</v>
      </c>
      <c r="W107" s="36">
        <v>21</v>
      </c>
    </row>
    <row r="108" spans="1:23" x14ac:dyDescent="0.2">
      <c r="A108" s="64">
        <v>98101</v>
      </c>
      <c r="B108" s="38" t="s">
        <v>352</v>
      </c>
      <c r="C108" s="48">
        <v>5</v>
      </c>
      <c r="D108" s="48">
        <v>4</v>
      </c>
      <c r="E108" s="48">
        <v>4</v>
      </c>
      <c r="M108" s="59">
        <v>98070</v>
      </c>
      <c r="N108" s="38" t="s">
        <v>10</v>
      </c>
      <c r="O108" s="36">
        <v>21</v>
      </c>
      <c r="P108" s="36">
        <v>22</v>
      </c>
      <c r="Q108" s="36">
        <v>33</v>
      </c>
      <c r="S108" s="86">
        <v>98115</v>
      </c>
      <c r="T108" s="38" t="s">
        <v>10</v>
      </c>
      <c r="U108" s="36">
        <v>19</v>
      </c>
      <c r="V108" s="33">
        <v>23</v>
      </c>
      <c r="W108" s="36">
        <v>18</v>
      </c>
    </row>
    <row r="109" spans="1:23" x14ac:dyDescent="0.2">
      <c r="A109" s="64">
        <v>98102</v>
      </c>
      <c r="B109" s="38" t="s">
        <v>352</v>
      </c>
      <c r="C109" s="48">
        <v>4</v>
      </c>
      <c r="D109" s="48">
        <v>4</v>
      </c>
      <c r="E109" s="48">
        <v>2</v>
      </c>
      <c r="M109" s="86">
        <v>98072</v>
      </c>
      <c r="N109" s="38" t="s">
        <v>352</v>
      </c>
      <c r="O109" s="36">
        <v>18</v>
      </c>
      <c r="P109" s="36">
        <v>15</v>
      </c>
      <c r="Q109" s="36">
        <v>19</v>
      </c>
      <c r="S109" s="86">
        <v>98116</v>
      </c>
      <c r="T109" s="38" t="s">
        <v>352</v>
      </c>
      <c r="U109" s="36">
        <v>0</v>
      </c>
      <c r="V109" s="33">
        <v>1</v>
      </c>
      <c r="W109" s="36">
        <v>0</v>
      </c>
    </row>
    <row r="110" spans="1:23" x14ac:dyDescent="0.2">
      <c r="A110" s="64">
        <v>98102</v>
      </c>
      <c r="B110" s="38" t="s">
        <v>10</v>
      </c>
      <c r="C110" s="48">
        <v>27</v>
      </c>
      <c r="D110" s="48">
        <v>25</v>
      </c>
      <c r="E110" s="48">
        <v>17</v>
      </c>
      <c r="M110" s="59">
        <v>98072</v>
      </c>
      <c r="N110" s="38" t="s">
        <v>10</v>
      </c>
      <c r="O110" s="36">
        <v>57</v>
      </c>
      <c r="P110" s="36">
        <v>156</v>
      </c>
      <c r="Q110" s="36">
        <v>130</v>
      </c>
      <c r="S110" s="59">
        <v>98116</v>
      </c>
      <c r="T110" s="38" t="s">
        <v>10</v>
      </c>
      <c r="U110" s="36">
        <v>11</v>
      </c>
      <c r="V110" s="36">
        <v>11</v>
      </c>
      <c r="W110" s="36">
        <v>23</v>
      </c>
    </row>
    <row r="111" spans="1:23" x14ac:dyDescent="0.2">
      <c r="A111" s="63">
        <v>98103</v>
      </c>
      <c r="B111" s="38" t="s">
        <v>352</v>
      </c>
      <c r="C111" s="48">
        <v>5</v>
      </c>
      <c r="D111" s="48">
        <v>5</v>
      </c>
      <c r="E111" s="48">
        <v>3</v>
      </c>
      <c r="M111" s="86">
        <v>98074</v>
      </c>
      <c r="N111" s="38" t="s">
        <v>352</v>
      </c>
      <c r="O111" s="36">
        <v>2</v>
      </c>
      <c r="P111" s="36">
        <v>10</v>
      </c>
      <c r="Q111" s="36">
        <v>6</v>
      </c>
      <c r="S111" s="86">
        <v>98117</v>
      </c>
      <c r="T111" s="38" t="s">
        <v>352</v>
      </c>
      <c r="U111" s="36">
        <v>1</v>
      </c>
      <c r="V111" s="33">
        <v>0</v>
      </c>
      <c r="W111" s="36">
        <v>0</v>
      </c>
    </row>
    <row r="112" spans="1:23" x14ac:dyDescent="0.2">
      <c r="A112" s="64">
        <v>98103</v>
      </c>
      <c r="B112" s="38" t="s">
        <v>10</v>
      </c>
      <c r="C112" s="48">
        <v>87</v>
      </c>
      <c r="D112" s="48">
        <v>72</v>
      </c>
      <c r="E112" s="48">
        <v>44</v>
      </c>
      <c r="M112" s="59">
        <v>98074</v>
      </c>
      <c r="N112" s="38" t="s">
        <v>10</v>
      </c>
      <c r="O112" s="36">
        <v>55</v>
      </c>
      <c r="P112" s="36">
        <v>53</v>
      </c>
      <c r="Q112" s="36">
        <v>96</v>
      </c>
      <c r="S112" s="59">
        <v>98117</v>
      </c>
      <c r="T112" s="38" t="s">
        <v>10</v>
      </c>
      <c r="U112" s="36">
        <v>19</v>
      </c>
      <c r="V112" s="36">
        <v>17</v>
      </c>
      <c r="W112" s="36">
        <v>30</v>
      </c>
    </row>
    <row r="113" spans="1:23" x14ac:dyDescent="0.2">
      <c r="A113" s="64">
        <v>98104</v>
      </c>
      <c r="B113" s="38" t="s">
        <v>352</v>
      </c>
      <c r="C113" s="48">
        <v>2</v>
      </c>
      <c r="D113" s="48">
        <v>2</v>
      </c>
      <c r="E113" s="48">
        <v>2</v>
      </c>
      <c r="M113" s="86">
        <v>98075</v>
      </c>
      <c r="N113" s="38" t="s">
        <v>352</v>
      </c>
      <c r="O113" s="36">
        <v>13</v>
      </c>
      <c r="P113" s="36">
        <v>2</v>
      </c>
      <c r="Q113" s="36">
        <v>5</v>
      </c>
      <c r="S113" s="86">
        <v>98118</v>
      </c>
      <c r="T113" s="38" t="s">
        <v>10</v>
      </c>
      <c r="U113" s="36">
        <v>35</v>
      </c>
      <c r="V113" s="33">
        <v>68</v>
      </c>
      <c r="W113" s="36">
        <v>77</v>
      </c>
    </row>
    <row r="114" spans="1:23" x14ac:dyDescent="0.2">
      <c r="A114" s="63">
        <v>98104</v>
      </c>
      <c r="B114" s="38" t="s">
        <v>10</v>
      </c>
      <c r="C114" s="48">
        <v>2</v>
      </c>
      <c r="D114" s="48">
        <v>1</v>
      </c>
      <c r="E114" s="48">
        <v>1</v>
      </c>
      <c r="M114" s="59">
        <v>98075</v>
      </c>
      <c r="N114" s="38" t="s">
        <v>10</v>
      </c>
      <c r="O114" s="36">
        <v>38</v>
      </c>
      <c r="P114" s="36">
        <v>39</v>
      </c>
      <c r="Q114" s="36">
        <v>65</v>
      </c>
      <c r="S114" s="59">
        <v>98119</v>
      </c>
      <c r="T114" s="38" t="s">
        <v>352</v>
      </c>
      <c r="U114" s="36">
        <v>0</v>
      </c>
      <c r="V114" s="36">
        <v>0</v>
      </c>
      <c r="W114" s="36">
        <v>1</v>
      </c>
    </row>
    <row r="115" spans="1:23" x14ac:dyDescent="0.2">
      <c r="A115" s="64">
        <v>98105</v>
      </c>
      <c r="B115" s="38" t="s">
        <v>352</v>
      </c>
      <c r="C115" s="48">
        <v>2</v>
      </c>
      <c r="D115" s="48">
        <v>2</v>
      </c>
      <c r="E115" s="48">
        <v>2</v>
      </c>
      <c r="M115" s="86">
        <v>98077</v>
      </c>
      <c r="N115" s="38" t="s">
        <v>352</v>
      </c>
      <c r="O115" s="36">
        <v>2</v>
      </c>
      <c r="P115" s="36">
        <v>2</v>
      </c>
      <c r="Q115" s="36">
        <v>1</v>
      </c>
      <c r="S115" s="86">
        <v>98119</v>
      </c>
      <c r="T115" s="38" t="s">
        <v>10</v>
      </c>
      <c r="U115" s="36">
        <v>9</v>
      </c>
      <c r="V115" s="33">
        <v>7</v>
      </c>
      <c r="W115" s="33">
        <v>10</v>
      </c>
    </row>
    <row r="116" spans="1:23" x14ac:dyDescent="0.2">
      <c r="A116" s="63">
        <v>98105</v>
      </c>
      <c r="B116" s="38" t="s">
        <v>10</v>
      </c>
      <c r="C116" s="48">
        <v>37</v>
      </c>
      <c r="D116" s="48">
        <v>24</v>
      </c>
      <c r="E116" s="48">
        <v>15</v>
      </c>
      <c r="M116" s="59">
        <v>98077</v>
      </c>
      <c r="N116" s="38" t="s">
        <v>10</v>
      </c>
      <c r="O116" s="36">
        <v>15</v>
      </c>
      <c r="P116" s="36">
        <v>18</v>
      </c>
      <c r="Q116" s="36">
        <v>13</v>
      </c>
      <c r="S116" s="59">
        <v>98121</v>
      </c>
      <c r="T116" s="38" t="s">
        <v>352</v>
      </c>
      <c r="U116" s="36">
        <v>0</v>
      </c>
      <c r="V116" s="36">
        <v>0</v>
      </c>
      <c r="W116" s="36">
        <v>1</v>
      </c>
    </row>
    <row r="117" spans="1:23" x14ac:dyDescent="0.2">
      <c r="A117" s="64">
        <v>98106</v>
      </c>
      <c r="B117" s="38" t="s">
        <v>352</v>
      </c>
      <c r="C117" s="48">
        <v>2</v>
      </c>
      <c r="D117" s="48">
        <v>2</v>
      </c>
      <c r="E117" s="48">
        <v>2</v>
      </c>
      <c r="M117" s="86">
        <v>98087</v>
      </c>
      <c r="N117" s="38" t="s">
        <v>352</v>
      </c>
      <c r="O117" s="36">
        <v>6</v>
      </c>
      <c r="P117" s="36">
        <v>2</v>
      </c>
      <c r="Q117" s="36">
        <v>1</v>
      </c>
      <c r="S117" s="86">
        <v>98121</v>
      </c>
      <c r="T117" s="38" t="s">
        <v>10</v>
      </c>
      <c r="U117" s="33">
        <v>0</v>
      </c>
      <c r="V117" s="33">
        <v>0</v>
      </c>
      <c r="W117" s="36">
        <v>3</v>
      </c>
    </row>
    <row r="118" spans="1:23" x14ac:dyDescent="0.2">
      <c r="A118" s="63">
        <v>98106</v>
      </c>
      <c r="B118" s="38" t="s">
        <v>10</v>
      </c>
      <c r="C118" s="48">
        <v>91</v>
      </c>
      <c r="D118" s="48">
        <v>72</v>
      </c>
      <c r="E118" s="48">
        <v>45</v>
      </c>
      <c r="M118" s="59">
        <v>98087</v>
      </c>
      <c r="N118" s="38" t="s">
        <v>10</v>
      </c>
      <c r="O118" s="36">
        <v>52</v>
      </c>
      <c r="P118" s="36">
        <v>43</v>
      </c>
      <c r="Q118" s="36">
        <v>61</v>
      </c>
      <c r="S118" s="86">
        <v>98122</v>
      </c>
      <c r="T118" s="38" t="s">
        <v>10</v>
      </c>
      <c r="U118" s="36">
        <v>12</v>
      </c>
      <c r="V118" s="36">
        <v>29</v>
      </c>
      <c r="W118" s="36">
        <v>29</v>
      </c>
    </row>
    <row r="119" spans="1:23" x14ac:dyDescent="0.2">
      <c r="A119" s="64">
        <v>98107</v>
      </c>
      <c r="B119" s="38" t="s">
        <v>10</v>
      </c>
      <c r="C119" s="48">
        <v>45</v>
      </c>
      <c r="D119" s="48">
        <v>38</v>
      </c>
      <c r="E119" s="48">
        <v>29</v>
      </c>
      <c r="M119" s="86">
        <v>98092</v>
      </c>
      <c r="N119" s="38" t="s">
        <v>352</v>
      </c>
      <c r="O119" s="36">
        <v>12</v>
      </c>
      <c r="P119" s="36">
        <v>8</v>
      </c>
      <c r="Q119" s="36">
        <v>13</v>
      </c>
      <c r="S119" s="86">
        <v>98125</v>
      </c>
      <c r="T119" s="38" t="s">
        <v>10</v>
      </c>
      <c r="U119" s="36">
        <v>17</v>
      </c>
      <c r="V119" s="36">
        <v>24</v>
      </c>
      <c r="W119" s="36">
        <v>18</v>
      </c>
    </row>
    <row r="120" spans="1:23" x14ac:dyDescent="0.2">
      <c r="A120" s="63">
        <v>98108</v>
      </c>
      <c r="B120" s="38" t="s">
        <v>352</v>
      </c>
      <c r="C120" s="48">
        <v>6</v>
      </c>
      <c r="D120" s="48">
        <v>6</v>
      </c>
      <c r="E120" s="48">
        <v>5</v>
      </c>
      <c r="M120" s="59">
        <v>98092</v>
      </c>
      <c r="N120" s="38" t="s">
        <v>10</v>
      </c>
      <c r="O120" s="36">
        <v>135</v>
      </c>
      <c r="P120" s="36">
        <v>159</v>
      </c>
      <c r="Q120" s="36">
        <v>191</v>
      </c>
      <c r="S120" s="86">
        <v>98126</v>
      </c>
      <c r="T120" s="38" t="s">
        <v>10</v>
      </c>
      <c r="U120" s="36">
        <v>34</v>
      </c>
      <c r="V120" s="36">
        <v>34</v>
      </c>
      <c r="W120" s="36">
        <v>56</v>
      </c>
    </row>
    <row r="121" spans="1:23" x14ac:dyDescent="0.2">
      <c r="A121" s="64">
        <v>98108</v>
      </c>
      <c r="B121" s="38" t="s">
        <v>10</v>
      </c>
      <c r="C121" s="48">
        <v>177</v>
      </c>
      <c r="D121" s="48">
        <v>142</v>
      </c>
      <c r="E121" s="48">
        <v>88</v>
      </c>
      <c r="M121" s="86">
        <v>98101</v>
      </c>
      <c r="N121" s="38" t="s">
        <v>352</v>
      </c>
      <c r="O121" s="36">
        <v>4</v>
      </c>
      <c r="P121" s="36">
        <v>1</v>
      </c>
      <c r="Q121" s="36">
        <v>2</v>
      </c>
      <c r="S121" s="86">
        <v>98133</v>
      </c>
      <c r="T121" s="38" t="s">
        <v>10</v>
      </c>
      <c r="U121" s="33">
        <v>30</v>
      </c>
      <c r="V121" s="36">
        <v>35</v>
      </c>
      <c r="W121" s="33">
        <v>52</v>
      </c>
    </row>
    <row r="122" spans="1:23" x14ac:dyDescent="0.2">
      <c r="A122" s="63">
        <v>98109</v>
      </c>
      <c r="B122" s="38" t="s">
        <v>352</v>
      </c>
      <c r="C122" s="48">
        <v>2</v>
      </c>
      <c r="D122" s="48">
        <v>2</v>
      </c>
      <c r="E122" s="48">
        <v>1</v>
      </c>
      <c r="M122" s="59">
        <v>98101</v>
      </c>
      <c r="N122" s="38" t="s">
        <v>10</v>
      </c>
      <c r="O122" s="36">
        <v>4</v>
      </c>
      <c r="P122" s="36">
        <v>3</v>
      </c>
      <c r="Q122" s="36">
        <v>3</v>
      </c>
      <c r="S122" s="59">
        <v>98134</v>
      </c>
      <c r="T122" s="38" t="s">
        <v>352</v>
      </c>
      <c r="U122" s="36">
        <v>0</v>
      </c>
      <c r="V122" s="36">
        <v>1</v>
      </c>
      <c r="W122" s="36">
        <v>2</v>
      </c>
    </row>
    <row r="123" spans="1:23" x14ac:dyDescent="0.2">
      <c r="A123" s="64">
        <v>98109</v>
      </c>
      <c r="B123" s="38" t="s">
        <v>10</v>
      </c>
      <c r="C123" s="48">
        <v>25</v>
      </c>
      <c r="D123" s="48">
        <v>25</v>
      </c>
      <c r="E123" s="48">
        <v>16</v>
      </c>
      <c r="M123" s="86">
        <v>98102</v>
      </c>
      <c r="N123" s="38" t="s">
        <v>352</v>
      </c>
      <c r="O123" s="36">
        <v>1</v>
      </c>
      <c r="P123" s="36">
        <v>2</v>
      </c>
      <c r="Q123" s="36">
        <v>1</v>
      </c>
      <c r="S123" s="86">
        <v>98134</v>
      </c>
      <c r="T123" s="38" t="s">
        <v>10</v>
      </c>
      <c r="U123" s="36">
        <v>0</v>
      </c>
      <c r="V123" s="33">
        <v>1</v>
      </c>
      <c r="W123" s="33">
        <v>3</v>
      </c>
    </row>
    <row r="124" spans="1:23" x14ac:dyDescent="0.2">
      <c r="A124" s="63">
        <v>98110</v>
      </c>
      <c r="B124" s="38" t="s">
        <v>10</v>
      </c>
      <c r="C124" s="48">
        <v>115</v>
      </c>
      <c r="D124" s="48">
        <v>101</v>
      </c>
      <c r="E124" s="48">
        <v>72</v>
      </c>
      <c r="M124" s="59">
        <v>98102</v>
      </c>
      <c r="N124" s="38" t="s">
        <v>10</v>
      </c>
      <c r="O124" s="36">
        <v>42</v>
      </c>
      <c r="P124" s="36">
        <v>26</v>
      </c>
      <c r="Q124" s="36">
        <v>36</v>
      </c>
      <c r="S124" s="59">
        <v>98136</v>
      </c>
      <c r="T124" s="38" t="s">
        <v>352</v>
      </c>
      <c r="U124" s="36">
        <v>0</v>
      </c>
      <c r="V124" s="36">
        <v>0</v>
      </c>
      <c r="W124" s="36">
        <v>1</v>
      </c>
    </row>
    <row r="125" spans="1:23" x14ac:dyDescent="0.2">
      <c r="A125" s="64">
        <v>98112</v>
      </c>
      <c r="B125" s="38" t="s">
        <v>352</v>
      </c>
      <c r="C125" s="48">
        <v>1</v>
      </c>
      <c r="D125" s="48">
        <v>0</v>
      </c>
      <c r="E125" s="48">
        <v>0</v>
      </c>
      <c r="M125" s="86">
        <v>98103</v>
      </c>
      <c r="N125" s="38" t="s">
        <v>352</v>
      </c>
      <c r="O125" s="36">
        <v>13</v>
      </c>
      <c r="P125" s="36">
        <v>7</v>
      </c>
      <c r="Q125" s="36">
        <v>8</v>
      </c>
      <c r="S125" s="86">
        <v>98136</v>
      </c>
      <c r="T125" s="38" t="s">
        <v>10</v>
      </c>
      <c r="U125" s="36">
        <v>8</v>
      </c>
      <c r="V125" s="36">
        <v>10</v>
      </c>
      <c r="W125" s="36">
        <v>16</v>
      </c>
    </row>
    <row r="126" spans="1:23" x14ac:dyDescent="0.2">
      <c r="A126" s="63">
        <v>98112</v>
      </c>
      <c r="B126" s="38" t="s">
        <v>10</v>
      </c>
      <c r="C126" s="48">
        <v>53</v>
      </c>
      <c r="D126" s="48">
        <v>45</v>
      </c>
      <c r="E126" s="48">
        <v>33</v>
      </c>
      <c r="M126" s="59">
        <v>98103</v>
      </c>
      <c r="N126" s="38" t="s">
        <v>10</v>
      </c>
      <c r="O126" s="36">
        <v>70</v>
      </c>
      <c r="P126" s="36">
        <v>85</v>
      </c>
      <c r="Q126" s="36">
        <v>101</v>
      </c>
      <c r="S126" s="86">
        <v>98144</v>
      </c>
      <c r="T126" s="38" t="s">
        <v>352</v>
      </c>
      <c r="U126" s="36">
        <v>1</v>
      </c>
      <c r="V126" s="33">
        <v>0</v>
      </c>
      <c r="W126" s="36">
        <v>0</v>
      </c>
    </row>
    <row r="127" spans="1:23" x14ac:dyDescent="0.2">
      <c r="A127" s="64">
        <v>98115</v>
      </c>
      <c r="B127" s="38" t="s">
        <v>10</v>
      </c>
      <c r="C127" s="48">
        <v>86</v>
      </c>
      <c r="D127" s="48">
        <v>60</v>
      </c>
      <c r="E127" s="48">
        <v>40</v>
      </c>
      <c r="M127" s="86">
        <v>98104</v>
      </c>
      <c r="N127" s="38" t="s">
        <v>352</v>
      </c>
      <c r="O127" s="36">
        <v>5</v>
      </c>
      <c r="P127" s="36">
        <v>2</v>
      </c>
      <c r="Q127" s="36">
        <v>4</v>
      </c>
      <c r="S127" s="86">
        <v>98144</v>
      </c>
      <c r="T127" s="38" t="s">
        <v>10</v>
      </c>
      <c r="U127" s="36">
        <v>12</v>
      </c>
      <c r="V127" s="36">
        <v>23</v>
      </c>
      <c r="W127" s="36">
        <v>30</v>
      </c>
    </row>
    <row r="128" spans="1:23" x14ac:dyDescent="0.2">
      <c r="A128" s="63">
        <v>98116</v>
      </c>
      <c r="B128" s="38" t="s">
        <v>352</v>
      </c>
      <c r="C128" s="48">
        <v>2</v>
      </c>
      <c r="D128" s="48">
        <v>2</v>
      </c>
      <c r="E128" s="48">
        <v>2</v>
      </c>
      <c r="M128" s="59">
        <v>98104</v>
      </c>
      <c r="N128" s="38" t="s">
        <v>10</v>
      </c>
      <c r="O128" s="36">
        <v>5</v>
      </c>
      <c r="P128" s="36">
        <v>2</v>
      </c>
      <c r="Q128" s="36">
        <v>6</v>
      </c>
      <c r="S128" s="86">
        <v>98146</v>
      </c>
      <c r="T128" s="38" t="s">
        <v>10</v>
      </c>
      <c r="U128" s="36">
        <v>17</v>
      </c>
      <c r="V128" s="36">
        <v>41</v>
      </c>
      <c r="W128" s="36">
        <v>39</v>
      </c>
    </row>
    <row r="129" spans="1:23" x14ac:dyDescent="0.2">
      <c r="A129" s="64">
        <v>98116</v>
      </c>
      <c r="B129" s="38" t="s">
        <v>10</v>
      </c>
      <c r="C129" s="48">
        <v>54</v>
      </c>
      <c r="D129" s="48">
        <v>41</v>
      </c>
      <c r="E129" s="48">
        <v>25</v>
      </c>
      <c r="M129" s="86">
        <v>98105</v>
      </c>
      <c r="N129" s="38" t="s">
        <v>352</v>
      </c>
      <c r="O129" s="36">
        <v>2</v>
      </c>
      <c r="P129" s="36">
        <v>7</v>
      </c>
      <c r="Q129" s="36">
        <v>1</v>
      </c>
      <c r="S129" s="86">
        <v>98148</v>
      </c>
      <c r="T129" s="38" t="s">
        <v>352</v>
      </c>
      <c r="U129" s="36">
        <v>1</v>
      </c>
      <c r="V129" s="36">
        <v>1</v>
      </c>
      <c r="W129" s="36">
        <v>0</v>
      </c>
    </row>
    <row r="130" spans="1:23" x14ac:dyDescent="0.2">
      <c r="A130" s="64">
        <v>98117</v>
      </c>
      <c r="B130" s="38" t="s">
        <v>10</v>
      </c>
      <c r="C130" s="48">
        <v>99</v>
      </c>
      <c r="D130" s="48">
        <v>79</v>
      </c>
      <c r="E130" s="48">
        <v>59</v>
      </c>
      <c r="M130" s="59">
        <v>98105</v>
      </c>
      <c r="N130" s="38" t="s">
        <v>10</v>
      </c>
      <c r="O130" s="36">
        <v>40</v>
      </c>
      <c r="P130" s="36">
        <v>35</v>
      </c>
      <c r="Q130" s="36">
        <v>44</v>
      </c>
      <c r="S130" s="86">
        <v>98148</v>
      </c>
      <c r="T130" s="38" t="s">
        <v>10</v>
      </c>
      <c r="U130" s="36">
        <v>26</v>
      </c>
      <c r="V130" s="36">
        <v>27</v>
      </c>
      <c r="W130" s="33">
        <v>46</v>
      </c>
    </row>
    <row r="131" spans="1:23" x14ac:dyDescent="0.2">
      <c r="A131" s="63">
        <v>98118</v>
      </c>
      <c r="B131" s="38" t="s">
        <v>352</v>
      </c>
      <c r="C131" s="48">
        <v>5</v>
      </c>
      <c r="D131" s="48">
        <v>4</v>
      </c>
      <c r="E131" s="48">
        <v>3</v>
      </c>
      <c r="M131" s="86">
        <v>98106</v>
      </c>
      <c r="N131" s="38" t="s">
        <v>352</v>
      </c>
      <c r="O131" s="36">
        <v>3</v>
      </c>
      <c r="P131" s="36">
        <v>1</v>
      </c>
      <c r="Q131" s="36">
        <v>0</v>
      </c>
      <c r="S131" s="59">
        <v>98155</v>
      </c>
      <c r="T131" s="38" t="s">
        <v>10</v>
      </c>
      <c r="U131" s="36">
        <v>17</v>
      </c>
      <c r="V131" s="36">
        <v>30</v>
      </c>
      <c r="W131" s="36">
        <v>32</v>
      </c>
    </row>
    <row r="132" spans="1:23" x14ac:dyDescent="0.2">
      <c r="A132" s="64">
        <v>98118</v>
      </c>
      <c r="B132" s="38" t="s">
        <v>10</v>
      </c>
      <c r="C132" s="48">
        <v>223</v>
      </c>
      <c r="D132" s="48">
        <v>186</v>
      </c>
      <c r="E132" s="48">
        <v>122</v>
      </c>
      <c r="M132" s="59">
        <v>98106</v>
      </c>
      <c r="N132" s="38" t="s">
        <v>10</v>
      </c>
      <c r="O132" s="36">
        <v>35</v>
      </c>
      <c r="P132" s="36">
        <v>48</v>
      </c>
      <c r="Q132" s="36">
        <v>46</v>
      </c>
      <c r="S132" s="86">
        <v>98158</v>
      </c>
      <c r="T132" s="38" t="s">
        <v>10</v>
      </c>
      <c r="U132" s="36">
        <v>1</v>
      </c>
      <c r="V132" s="36">
        <v>1</v>
      </c>
      <c r="W132" s="36">
        <v>0</v>
      </c>
    </row>
    <row r="133" spans="1:23" x14ac:dyDescent="0.2">
      <c r="A133" s="64">
        <v>98119</v>
      </c>
      <c r="B133" s="38" t="s">
        <v>352</v>
      </c>
      <c r="C133" s="48">
        <v>2</v>
      </c>
      <c r="D133" s="48">
        <v>1</v>
      </c>
      <c r="E133" s="48">
        <v>1</v>
      </c>
      <c r="M133" s="86">
        <v>98107</v>
      </c>
      <c r="N133" s="38" t="s">
        <v>352</v>
      </c>
      <c r="O133" s="36">
        <v>7</v>
      </c>
      <c r="P133" s="36">
        <v>4</v>
      </c>
      <c r="Q133" s="36">
        <v>4</v>
      </c>
      <c r="S133" s="86">
        <v>98166</v>
      </c>
      <c r="T133" s="38" t="s">
        <v>10</v>
      </c>
      <c r="U133" s="33">
        <v>19</v>
      </c>
      <c r="V133" s="36">
        <v>21</v>
      </c>
      <c r="W133" s="33">
        <v>31</v>
      </c>
    </row>
    <row r="134" spans="1:23" x14ac:dyDescent="0.2">
      <c r="A134" s="63">
        <v>98119</v>
      </c>
      <c r="B134" s="38" t="s">
        <v>10</v>
      </c>
      <c r="C134" s="48">
        <v>33</v>
      </c>
      <c r="D134" s="48">
        <v>25</v>
      </c>
      <c r="E134" s="48">
        <v>18</v>
      </c>
      <c r="M134" s="59">
        <v>98107</v>
      </c>
      <c r="N134" s="38" t="s">
        <v>10</v>
      </c>
      <c r="O134" s="36">
        <v>40</v>
      </c>
      <c r="P134" s="36">
        <v>61</v>
      </c>
      <c r="Q134" s="36">
        <v>48</v>
      </c>
      <c r="S134" s="86">
        <v>98168</v>
      </c>
      <c r="T134" s="38" t="s">
        <v>352</v>
      </c>
      <c r="U134" s="33">
        <v>1</v>
      </c>
      <c r="V134" s="36">
        <v>1</v>
      </c>
      <c r="W134" s="33">
        <v>0</v>
      </c>
    </row>
    <row r="135" spans="1:23" x14ac:dyDescent="0.2">
      <c r="A135" s="64">
        <v>98121</v>
      </c>
      <c r="B135" s="38" t="s">
        <v>352</v>
      </c>
      <c r="C135" s="48">
        <v>1</v>
      </c>
      <c r="D135" s="48">
        <v>1</v>
      </c>
      <c r="E135" s="48">
        <v>1</v>
      </c>
      <c r="M135" s="86">
        <v>98108</v>
      </c>
      <c r="N135" s="38" t="s">
        <v>352</v>
      </c>
      <c r="O135" s="36">
        <v>12</v>
      </c>
      <c r="P135" s="36">
        <v>13</v>
      </c>
      <c r="Q135" s="36">
        <v>3</v>
      </c>
      <c r="S135" s="86">
        <v>98168</v>
      </c>
      <c r="T135" s="38" t="s">
        <v>10</v>
      </c>
      <c r="U135" s="33">
        <v>24</v>
      </c>
      <c r="V135" s="36">
        <v>54</v>
      </c>
      <c r="W135" s="36">
        <v>76</v>
      </c>
    </row>
    <row r="136" spans="1:23" x14ac:dyDescent="0.2">
      <c r="A136" s="64">
        <v>98121</v>
      </c>
      <c r="B136" s="38" t="s">
        <v>10</v>
      </c>
      <c r="C136" s="48">
        <v>5</v>
      </c>
      <c r="D136" s="48">
        <v>4</v>
      </c>
      <c r="E136" s="48">
        <v>4</v>
      </c>
      <c r="M136" s="59">
        <v>98108</v>
      </c>
      <c r="N136" s="38" t="s">
        <v>10</v>
      </c>
      <c r="O136" s="36">
        <v>18</v>
      </c>
      <c r="P136" s="36">
        <v>28</v>
      </c>
      <c r="Q136" s="36">
        <v>31</v>
      </c>
      <c r="S136" s="59">
        <v>98177</v>
      </c>
      <c r="T136" s="38" t="s">
        <v>10</v>
      </c>
      <c r="U136" s="36">
        <v>19</v>
      </c>
      <c r="V136" s="36">
        <v>17</v>
      </c>
      <c r="W136" s="36">
        <v>29</v>
      </c>
    </row>
    <row r="137" spans="1:23" x14ac:dyDescent="0.2">
      <c r="A137" s="63">
        <v>98122</v>
      </c>
      <c r="B137" s="38" t="s">
        <v>10</v>
      </c>
      <c r="C137" s="48">
        <v>98</v>
      </c>
      <c r="D137" s="48">
        <v>84</v>
      </c>
      <c r="E137" s="48">
        <v>55</v>
      </c>
      <c r="M137" s="86">
        <v>98109</v>
      </c>
      <c r="N137" s="38" t="s">
        <v>352</v>
      </c>
      <c r="O137" s="36">
        <v>4</v>
      </c>
      <c r="P137" s="36">
        <v>4</v>
      </c>
      <c r="Q137" s="36">
        <v>4</v>
      </c>
      <c r="S137" s="86">
        <v>98178</v>
      </c>
      <c r="T137" s="38" t="s">
        <v>10</v>
      </c>
      <c r="U137" s="36">
        <v>25</v>
      </c>
      <c r="V137" s="36">
        <v>35</v>
      </c>
      <c r="W137" s="36">
        <v>57</v>
      </c>
    </row>
    <row r="138" spans="1:23" x14ac:dyDescent="0.2">
      <c r="A138" s="64">
        <v>98125</v>
      </c>
      <c r="B138" s="38" t="s">
        <v>352</v>
      </c>
      <c r="C138" s="48">
        <v>2</v>
      </c>
      <c r="D138" s="48">
        <v>2</v>
      </c>
      <c r="E138" s="48">
        <v>2</v>
      </c>
      <c r="M138" s="59">
        <v>98109</v>
      </c>
      <c r="N138" s="38" t="s">
        <v>10</v>
      </c>
      <c r="O138" s="36">
        <v>25</v>
      </c>
      <c r="P138" s="36">
        <v>37</v>
      </c>
      <c r="Q138" s="36">
        <v>49</v>
      </c>
      <c r="S138" s="86">
        <v>98188</v>
      </c>
      <c r="T138" s="38" t="s">
        <v>352</v>
      </c>
      <c r="U138" s="36">
        <v>0</v>
      </c>
      <c r="V138" s="36">
        <v>2</v>
      </c>
      <c r="W138" s="36">
        <v>0</v>
      </c>
    </row>
    <row r="139" spans="1:23" x14ac:dyDescent="0.2">
      <c r="A139" s="63">
        <v>98125</v>
      </c>
      <c r="B139" s="38" t="s">
        <v>10</v>
      </c>
      <c r="C139" s="48">
        <v>76</v>
      </c>
      <c r="D139" s="48">
        <v>61</v>
      </c>
      <c r="E139" s="48">
        <v>38</v>
      </c>
      <c r="M139" s="86">
        <v>98110</v>
      </c>
      <c r="N139" s="38" t="s">
        <v>352</v>
      </c>
      <c r="O139" s="36">
        <v>10</v>
      </c>
      <c r="P139" s="36">
        <v>11</v>
      </c>
      <c r="Q139" s="36">
        <v>16</v>
      </c>
      <c r="S139" s="86">
        <v>98188</v>
      </c>
      <c r="T139" s="38" t="s">
        <v>10</v>
      </c>
      <c r="U139" s="36">
        <v>52</v>
      </c>
      <c r="V139" s="36">
        <v>88</v>
      </c>
      <c r="W139" s="36">
        <v>158</v>
      </c>
    </row>
    <row r="140" spans="1:23" x14ac:dyDescent="0.2">
      <c r="A140" s="64">
        <v>98126</v>
      </c>
      <c r="B140" s="38" t="s">
        <v>10</v>
      </c>
      <c r="C140" s="48">
        <v>145</v>
      </c>
      <c r="D140" s="48">
        <v>110</v>
      </c>
      <c r="E140" s="48">
        <v>74</v>
      </c>
      <c r="M140" s="59">
        <v>98110</v>
      </c>
      <c r="N140" s="38" t="s">
        <v>10</v>
      </c>
      <c r="O140" s="36">
        <v>57</v>
      </c>
      <c r="P140" s="36">
        <v>84</v>
      </c>
      <c r="Q140" s="36">
        <v>113</v>
      </c>
      <c r="S140" s="86">
        <v>98198</v>
      </c>
      <c r="T140" s="38" t="s">
        <v>352</v>
      </c>
      <c r="U140" s="36">
        <v>1</v>
      </c>
      <c r="V140" s="33">
        <v>0</v>
      </c>
      <c r="W140" s="33">
        <v>0</v>
      </c>
    </row>
    <row r="141" spans="1:23" x14ac:dyDescent="0.2">
      <c r="A141" s="63">
        <v>98133</v>
      </c>
      <c r="B141" s="38" t="s">
        <v>352</v>
      </c>
      <c r="C141" s="48">
        <v>1</v>
      </c>
      <c r="D141" s="48">
        <v>1</v>
      </c>
      <c r="E141" s="48">
        <v>1</v>
      </c>
      <c r="M141" s="86">
        <v>98112</v>
      </c>
      <c r="N141" s="38" t="s">
        <v>10</v>
      </c>
      <c r="O141" s="36">
        <v>32</v>
      </c>
      <c r="P141" s="36">
        <v>32</v>
      </c>
      <c r="Q141" s="36">
        <v>29</v>
      </c>
      <c r="S141" s="59">
        <v>98198</v>
      </c>
      <c r="T141" s="38" t="s">
        <v>10</v>
      </c>
      <c r="U141" s="33">
        <v>82</v>
      </c>
      <c r="V141" s="33">
        <v>206</v>
      </c>
      <c r="W141" s="36">
        <v>244</v>
      </c>
    </row>
    <row r="142" spans="1:23" x14ac:dyDescent="0.2">
      <c r="A142" s="64">
        <v>98133</v>
      </c>
      <c r="B142" s="38" t="s">
        <v>10</v>
      </c>
      <c r="C142" s="48">
        <v>143</v>
      </c>
      <c r="D142" s="48">
        <v>108</v>
      </c>
      <c r="E142" s="48">
        <v>70</v>
      </c>
      <c r="M142" s="86">
        <v>98115</v>
      </c>
      <c r="N142" s="38" t="s">
        <v>352</v>
      </c>
      <c r="O142" s="36">
        <v>2</v>
      </c>
      <c r="P142" s="36">
        <v>5</v>
      </c>
      <c r="Q142" s="36">
        <v>4</v>
      </c>
      <c r="S142" s="86">
        <v>98199</v>
      </c>
      <c r="T142" s="38" t="s">
        <v>10</v>
      </c>
      <c r="U142" s="36">
        <v>10</v>
      </c>
      <c r="V142" s="36">
        <v>14</v>
      </c>
      <c r="W142" s="36">
        <v>24</v>
      </c>
    </row>
    <row r="143" spans="1:23" x14ac:dyDescent="0.2">
      <c r="A143" s="63">
        <v>98134</v>
      </c>
      <c r="B143" s="38" t="s">
        <v>352</v>
      </c>
      <c r="C143" s="48">
        <v>4</v>
      </c>
      <c r="D143" s="48">
        <v>4</v>
      </c>
      <c r="E143" s="48">
        <v>3</v>
      </c>
      <c r="M143" s="59">
        <v>98115</v>
      </c>
      <c r="N143" s="38" t="s">
        <v>10</v>
      </c>
      <c r="O143" s="36">
        <v>61</v>
      </c>
      <c r="P143" s="36">
        <v>69</v>
      </c>
      <c r="Q143" s="36">
        <v>65</v>
      </c>
      <c r="S143" s="86">
        <v>98201</v>
      </c>
      <c r="T143" s="38" t="s">
        <v>352</v>
      </c>
      <c r="U143" s="36">
        <v>0</v>
      </c>
      <c r="V143" s="33">
        <v>1</v>
      </c>
      <c r="W143" s="36">
        <v>1</v>
      </c>
    </row>
    <row r="144" spans="1:23" x14ac:dyDescent="0.2">
      <c r="A144" s="64">
        <v>98134</v>
      </c>
      <c r="B144" s="38" t="s">
        <v>10</v>
      </c>
      <c r="C144" s="48">
        <v>4</v>
      </c>
      <c r="D144" s="48">
        <v>3</v>
      </c>
      <c r="E144" s="48">
        <v>3</v>
      </c>
      <c r="M144" s="86">
        <v>98116</v>
      </c>
      <c r="N144" s="38" t="s">
        <v>352</v>
      </c>
      <c r="O144" s="36">
        <v>4</v>
      </c>
      <c r="P144" s="33">
        <v>0</v>
      </c>
      <c r="Q144" s="36">
        <v>0</v>
      </c>
      <c r="S144" s="86">
        <v>98201</v>
      </c>
      <c r="T144" s="38" t="s">
        <v>10</v>
      </c>
      <c r="U144" s="33">
        <v>20</v>
      </c>
      <c r="V144" s="36">
        <v>35</v>
      </c>
      <c r="W144" s="33">
        <v>45</v>
      </c>
    </row>
    <row r="145" spans="1:23" x14ac:dyDescent="0.2">
      <c r="A145" s="63">
        <v>98136</v>
      </c>
      <c r="B145" s="38" t="s">
        <v>10</v>
      </c>
      <c r="C145" s="48">
        <v>43</v>
      </c>
      <c r="D145" s="48">
        <v>33</v>
      </c>
      <c r="E145" s="48">
        <v>20</v>
      </c>
      <c r="M145" s="59">
        <v>98116</v>
      </c>
      <c r="N145" s="38" t="s">
        <v>10</v>
      </c>
      <c r="O145" s="36">
        <v>38</v>
      </c>
      <c r="P145" s="36">
        <v>35</v>
      </c>
      <c r="Q145" s="36">
        <v>38</v>
      </c>
      <c r="S145" s="59">
        <v>98203</v>
      </c>
      <c r="T145" s="38" t="s">
        <v>10</v>
      </c>
      <c r="U145" s="36">
        <v>18</v>
      </c>
      <c r="V145" s="36">
        <v>32</v>
      </c>
      <c r="W145" s="36">
        <v>46</v>
      </c>
    </row>
    <row r="146" spans="1:23" x14ac:dyDescent="0.2">
      <c r="A146" s="64">
        <v>98144</v>
      </c>
      <c r="B146" s="38" t="s">
        <v>10</v>
      </c>
      <c r="C146" s="48">
        <v>100</v>
      </c>
      <c r="D146" s="48">
        <v>84</v>
      </c>
      <c r="E146" s="48">
        <v>50</v>
      </c>
      <c r="M146" s="86">
        <v>98117</v>
      </c>
      <c r="N146" s="38" t="s">
        <v>352</v>
      </c>
      <c r="O146" s="33">
        <v>1</v>
      </c>
      <c r="P146" s="33">
        <v>2</v>
      </c>
      <c r="Q146" s="36">
        <v>2</v>
      </c>
      <c r="S146" s="86">
        <v>98204</v>
      </c>
      <c r="T146" s="38" t="s">
        <v>352</v>
      </c>
      <c r="U146" s="36">
        <v>0</v>
      </c>
      <c r="V146" s="36">
        <v>1</v>
      </c>
      <c r="W146" s="36">
        <v>0</v>
      </c>
    </row>
    <row r="147" spans="1:23" x14ac:dyDescent="0.2">
      <c r="A147" s="64">
        <v>98146</v>
      </c>
      <c r="B147" s="38" t="s">
        <v>10</v>
      </c>
      <c r="C147" s="48">
        <v>119</v>
      </c>
      <c r="D147" s="48">
        <v>96</v>
      </c>
      <c r="E147" s="48">
        <v>59</v>
      </c>
      <c r="M147" s="59">
        <v>98117</v>
      </c>
      <c r="N147" s="38" t="s">
        <v>10</v>
      </c>
      <c r="O147" s="36">
        <v>57</v>
      </c>
      <c r="P147" s="36">
        <v>45</v>
      </c>
      <c r="Q147" s="36">
        <v>56</v>
      </c>
      <c r="S147" s="86">
        <v>98204</v>
      </c>
      <c r="T147" s="38" t="s">
        <v>10</v>
      </c>
      <c r="U147" s="36">
        <v>15</v>
      </c>
      <c r="V147" s="36">
        <v>14</v>
      </c>
      <c r="W147" s="36">
        <v>27</v>
      </c>
    </row>
    <row r="148" spans="1:23" x14ac:dyDescent="0.2">
      <c r="A148" s="63">
        <v>98148</v>
      </c>
      <c r="B148" s="38" t="s">
        <v>10</v>
      </c>
      <c r="C148" s="48">
        <v>137</v>
      </c>
      <c r="D148" s="48">
        <v>112</v>
      </c>
      <c r="E148" s="48">
        <v>84</v>
      </c>
      <c r="M148" s="86">
        <v>98118</v>
      </c>
      <c r="N148" s="38" t="s">
        <v>352</v>
      </c>
      <c r="O148" s="36">
        <v>2</v>
      </c>
      <c r="P148" s="33">
        <v>3</v>
      </c>
      <c r="Q148" s="36">
        <v>5</v>
      </c>
      <c r="S148" s="86">
        <v>98208</v>
      </c>
      <c r="T148" s="38" t="s">
        <v>10</v>
      </c>
      <c r="U148" s="33">
        <v>36</v>
      </c>
      <c r="V148" s="36">
        <v>32</v>
      </c>
      <c r="W148" s="36">
        <v>65</v>
      </c>
    </row>
    <row r="149" spans="1:23" x14ac:dyDescent="0.2">
      <c r="A149" s="64">
        <v>98155</v>
      </c>
      <c r="B149" s="38" t="s">
        <v>10</v>
      </c>
      <c r="C149" s="48">
        <v>94</v>
      </c>
      <c r="D149" s="48">
        <v>77</v>
      </c>
      <c r="E149" s="48">
        <v>50</v>
      </c>
      <c r="M149" s="59">
        <v>98118</v>
      </c>
      <c r="N149" s="38" t="s">
        <v>10</v>
      </c>
      <c r="O149" s="36">
        <v>44</v>
      </c>
      <c r="P149" s="36">
        <v>64</v>
      </c>
      <c r="Q149" s="36">
        <v>48</v>
      </c>
      <c r="S149" s="86">
        <v>98220</v>
      </c>
      <c r="T149" s="38" t="s">
        <v>10</v>
      </c>
      <c r="U149" s="36">
        <v>3</v>
      </c>
      <c r="V149" s="36">
        <v>2</v>
      </c>
      <c r="W149" s="36">
        <v>3</v>
      </c>
    </row>
    <row r="150" spans="1:23" x14ac:dyDescent="0.2">
      <c r="A150" s="63">
        <v>98158</v>
      </c>
      <c r="B150" s="38" t="s">
        <v>10</v>
      </c>
      <c r="C150" s="48">
        <v>2</v>
      </c>
      <c r="D150" s="48">
        <v>1</v>
      </c>
      <c r="E150" s="48">
        <v>0</v>
      </c>
      <c r="M150" s="86">
        <v>98119</v>
      </c>
      <c r="N150" s="38" t="s">
        <v>352</v>
      </c>
      <c r="O150" s="36">
        <v>0</v>
      </c>
      <c r="P150" s="36">
        <v>2</v>
      </c>
      <c r="Q150" s="36">
        <v>2</v>
      </c>
      <c r="S150" s="86">
        <v>98221</v>
      </c>
      <c r="T150" s="38" t="s">
        <v>10</v>
      </c>
      <c r="U150" s="33">
        <v>24</v>
      </c>
      <c r="V150" s="36">
        <v>42</v>
      </c>
      <c r="W150" s="33">
        <v>46</v>
      </c>
    </row>
    <row r="151" spans="1:23" x14ac:dyDescent="0.2">
      <c r="A151" s="64">
        <v>98166</v>
      </c>
      <c r="B151" s="38" t="s">
        <v>352</v>
      </c>
      <c r="C151" s="48">
        <v>2</v>
      </c>
      <c r="D151" s="48">
        <v>0</v>
      </c>
      <c r="E151" s="48">
        <v>0</v>
      </c>
      <c r="M151" s="59">
        <v>98119</v>
      </c>
      <c r="N151" s="38" t="s">
        <v>10</v>
      </c>
      <c r="O151" s="36">
        <v>32</v>
      </c>
      <c r="P151" s="36">
        <v>35</v>
      </c>
      <c r="Q151" s="36">
        <v>39</v>
      </c>
      <c r="S151" s="59">
        <v>98223</v>
      </c>
      <c r="T151" s="38" t="s">
        <v>10</v>
      </c>
      <c r="U151" s="36">
        <v>2</v>
      </c>
      <c r="V151" s="36">
        <v>0</v>
      </c>
      <c r="W151" s="36">
        <v>2</v>
      </c>
    </row>
    <row r="152" spans="1:23" x14ac:dyDescent="0.2">
      <c r="A152" s="64">
        <v>98166</v>
      </c>
      <c r="B152" s="38" t="s">
        <v>10</v>
      </c>
      <c r="C152" s="48">
        <v>92</v>
      </c>
      <c r="D152" s="48">
        <v>74</v>
      </c>
      <c r="E152" s="48">
        <v>54</v>
      </c>
      <c r="M152" s="86">
        <v>98121</v>
      </c>
      <c r="N152" s="38" t="s">
        <v>352</v>
      </c>
      <c r="O152" s="33">
        <v>2</v>
      </c>
      <c r="P152" s="36">
        <v>2</v>
      </c>
      <c r="Q152" s="36">
        <v>3</v>
      </c>
      <c r="S152" s="86">
        <v>98224</v>
      </c>
      <c r="T152" s="38" t="s">
        <v>10</v>
      </c>
      <c r="U152" s="36">
        <v>2</v>
      </c>
      <c r="V152" s="36">
        <v>0</v>
      </c>
      <c r="W152" s="36">
        <v>1</v>
      </c>
    </row>
    <row r="153" spans="1:23" x14ac:dyDescent="0.2">
      <c r="A153" s="63">
        <v>98168</v>
      </c>
      <c r="B153" s="38" t="s">
        <v>352</v>
      </c>
      <c r="C153" s="48">
        <v>4</v>
      </c>
      <c r="D153" s="48">
        <v>4</v>
      </c>
      <c r="E153" s="48">
        <v>3</v>
      </c>
      <c r="M153" s="59">
        <v>98121</v>
      </c>
      <c r="N153" s="38" t="s">
        <v>10</v>
      </c>
      <c r="O153" s="36">
        <v>6</v>
      </c>
      <c r="P153" s="36">
        <v>7</v>
      </c>
      <c r="Q153" s="36">
        <v>11</v>
      </c>
      <c r="S153" s="86">
        <v>98225</v>
      </c>
      <c r="T153" s="38" t="s">
        <v>352</v>
      </c>
      <c r="U153" s="36">
        <v>1</v>
      </c>
      <c r="V153" s="33">
        <v>1</v>
      </c>
      <c r="W153" s="33">
        <v>1</v>
      </c>
    </row>
    <row r="154" spans="1:23" x14ac:dyDescent="0.2">
      <c r="A154" s="64">
        <v>98168</v>
      </c>
      <c r="B154" s="38" t="s">
        <v>10</v>
      </c>
      <c r="C154" s="48">
        <v>218</v>
      </c>
      <c r="D154" s="48">
        <v>189</v>
      </c>
      <c r="E154" s="48">
        <v>134</v>
      </c>
      <c r="M154" s="86">
        <v>98122</v>
      </c>
      <c r="N154" s="38" t="s">
        <v>352</v>
      </c>
      <c r="O154" s="36">
        <v>7</v>
      </c>
      <c r="P154" s="36">
        <v>4</v>
      </c>
      <c r="Q154" s="36">
        <v>2</v>
      </c>
      <c r="S154" s="86">
        <v>98225</v>
      </c>
      <c r="T154" s="38" t="s">
        <v>10</v>
      </c>
      <c r="U154" s="36">
        <v>50</v>
      </c>
      <c r="V154" s="36">
        <v>83</v>
      </c>
      <c r="W154" s="33">
        <v>113</v>
      </c>
    </row>
    <row r="155" spans="1:23" x14ac:dyDescent="0.2">
      <c r="A155" s="63">
        <v>98177</v>
      </c>
      <c r="B155" s="38" t="s">
        <v>10</v>
      </c>
      <c r="C155" s="48">
        <v>81</v>
      </c>
      <c r="D155" s="48">
        <v>60</v>
      </c>
      <c r="E155" s="48">
        <v>46</v>
      </c>
      <c r="M155" s="59">
        <v>98122</v>
      </c>
      <c r="N155" s="38" t="s">
        <v>10</v>
      </c>
      <c r="O155" s="36">
        <v>63</v>
      </c>
      <c r="P155" s="36">
        <v>86</v>
      </c>
      <c r="Q155" s="36">
        <v>93</v>
      </c>
      <c r="S155" s="86">
        <v>98226</v>
      </c>
      <c r="T155" s="38" t="s">
        <v>10</v>
      </c>
      <c r="U155" s="36">
        <v>87</v>
      </c>
      <c r="V155" s="33">
        <v>130</v>
      </c>
      <c r="W155" s="36">
        <v>164</v>
      </c>
    </row>
    <row r="156" spans="1:23" x14ac:dyDescent="0.2">
      <c r="A156" s="64">
        <v>98178</v>
      </c>
      <c r="B156" s="38" t="s">
        <v>352</v>
      </c>
      <c r="C156" s="48">
        <v>3</v>
      </c>
      <c r="D156" s="48">
        <v>3</v>
      </c>
      <c r="E156" s="48">
        <v>3</v>
      </c>
      <c r="M156" s="86">
        <v>98125</v>
      </c>
      <c r="N156" s="38" t="s">
        <v>352</v>
      </c>
      <c r="O156" s="36">
        <v>3</v>
      </c>
      <c r="P156" s="36">
        <v>1</v>
      </c>
      <c r="Q156" s="36">
        <v>1</v>
      </c>
      <c r="S156" s="86">
        <v>98229</v>
      </c>
      <c r="T156" s="38" t="s">
        <v>10</v>
      </c>
      <c r="U156" s="36">
        <v>44</v>
      </c>
      <c r="V156" s="36">
        <v>68</v>
      </c>
      <c r="W156" s="36">
        <v>104</v>
      </c>
    </row>
    <row r="157" spans="1:23" x14ac:dyDescent="0.2">
      <c r="A157" s="63">
        <v>98178</v>
      </c>
      <c r="B157" s="38" t="s">
        <v>10</v>
      </c>
      <c r="C157" s="48">
        <v>149</v>
      </c>
      <c r="D157" s="48">
        <v>123</v>
      </c>
      <c r="E157" s="48">
        <v>88</v>
      </c>
      <c r="M157" s="59">
        <v>98125</v>
      </c>
      <c r="N157" s="38" t="s">
        <v>10</v>
      </c>
      <c r="O157" s="36">
        <v>29</v>
      </c>
      <c r="P157" s="36">
        <v>29</v>
      </c>
      <c r="Q157" s="36">
        <v>20</v>
      </c>
      <c r="S157" s="86">
        <v>98230</v>
      </c>
      <c r="T157" s="38" t="s">
        <v>10</v>
      </c>
      <c r="U157" s="36">
        <v>16</v>
      </c>
      <c r="V157" s="36">
        <v>33</v>
      </c>
      <c r="W157" s="36">
        <v>47</v>
      </c>
    </row>
    <row r="158" spans="1:23" x14ac:dyDescent="0.2">
      <c r="A158" s="64">
        <v>98188</v>
      </c>
      <c r="B158" s="38" t="s">
        <v>352</v>
      </c>
      <c r="C158" s="48">
        <v>6</v>
      </c>
      <c r="D158" s="48">
        <v>6</v>
      </c>
      <c r="E158" s="48">
        <v>4</v>
      </c>
      <c r="M158" s="86">
        <v>98126</v>
      </c>
      <c r="N158" s="38" t="s">
        <v>352</v>
      </c>
      <c r="O158" s="36">
        <v>1</v>
      </c>
      <c r="P158" s="36">
        <v>1</v>
      </c>
      <c r="Q158" s="36">
        <v>3</v>
      </c>
      <c r="S158" s="86">
        <v>98232</v>
      </c>
      <c r="T158" s="38" t="s">
        <v>10</v>
      </c>
      <c r="U158" s="33">
        <v>5</v>
      </c>
      <c r="V158" s="36">
        <v>1</v>
      </c>
      <c r="W158" s="33">
        <v>9</v>
      </c>
    </row>
    <row r="159" spans="1:23" x14ac:dyDescent="0.2">
      <c r="A159" s="63">
        <v>98188</v>
      </c>
      <c r="B159" s="38" t="s">
        <v>10</v>
      </c>
      <c r="C159" s="48">
        <v>403</v>
      </c>
      <c r="D159" s="48">
        <v>345</v>
      </c>
      <c r="E159" s="48">
        <v>259</v>
      </c>
      <c r="M159" s="86">
        <v>98126</v>
      </c>
      <c r="N159" s="38" t="s">
        <v>10</v>
      </c>
      <c r="O159" s="36">
        <v>22</v>
      </c>
      <c r="P159" s="36">
        <v>28</v>
      </c>
      <c r="Q159" s="36">
        <v>29</v>
      </c>
      <c r="S159" s="86">
        <v>98233</v>
      </c>
      <c r="T159" s="38" t="s">
        <v>10</v>
      </c>
      <c r="U159" s="36">
        <v>22</v>
      </c>
      <c r="V159" s="33">
        <v>48</v>
      </c>
      <c r="W159" s="33">
        <v>74</v>
      </c>
    </row>
    <row r="160" spans="1:23" x14ac:dyDescent="0.2">
      <c r="A160" s="64">
        <v>98198</v>
      </c>
      <c r="B160" s="38" t="s">
        <v>352</v>
      </c>
      <c r="C160" s="48">
        <v>3</v>
      </c>
      <c r="D160" s="48">
        <v>3</v>
      </c>
      <c r="E160" s="48">
        <v>3</v>
      </c>
      <c r="M160" s="59">
        <v>98133</v>
      </c>
      <c r="N160" s="38" t="s">
        <v>352</v>
      </c>
      <c r="O160" s="36">
        <v>5</v>
      </c>
      <c r="P160" s="36">
        <v>10</v>
      </c>
      <c r="Q160" s="36">
        <v>4</v>
      </c>
      <c r="S160" s="86">
        <v>98235</v>
      </c>
      <c r="T160" s="38" t="s">
        <v>10</v>
      </c>
      <c r="U160" s="33">
        <v>0</v>
      </c>
      <c r="V160" s="36">
        <v>0</v>
      </c>
      <c r="W160" s="33">
        <v>2</v>
      </c>
    </row>
    <row r="161" spans="1:23" x14ac:dyDescent="0.2">
      <c r="A161" s="63">
        <v>98198</v>
      </c>
      <c r="B161" s="38" t="s">
        <v>10</v>
      </c>
      <c r="C161" s="48">
        <v>683</v>
      </c>
      <c r="D161" s="48">
        <v>595</v>
      </c>
      <c r="E161" s="48">
        <v>380</v>
      </c>
      <c r="M161" s="86">
        <v>98133</v>
      </c>
      <c r="N161" s="38" t="s">
        <v>10</v>
      </c>
      <c r="O161" s="36">
        <v>33</v>
      </c>
      <c r="P161" s="36">
        <v>41</v>
      </c>
      <c r="Q161" s="36">
        <v>44</v>
      </c>
      <c r="S161" s="86">
        <v>98236</v>
      </c>
      <c r="T161" s="38" t="s">
        <v>10</v>
      </c>
      <c r="U161" s="36">
        <v>8</v>
      </c>
      <c r="V161" s="36">
        <v>14</v>
      </c>
      <c r="W161" s="36">
        <v>18</v>
      </c>
    </row>
    <row r="162" spans="1:23" x14ac:dyDescent="0.2">
      <c r="A162" s="64">
        <v>98199</v>
      </c>
      <c r="B162" s="38" t="s">
        <v>352</v>
      </c>
      <c r="C162" s="48">
        <v>1</v>
      </c>
      <c r="D162" s="48">
        <v>1</v>
      </c>
      <c r="E162" s="48">
        <v>1</v>
      </c>
      <c r="M162" s="59">
        <v>98134</v>
      </c>
      <c r="N162" s="38" t="s">
        <v>352</v>
      </c>
      <c r="O162" s="36">
        <v>5</v>
      </c>
      <c r="P162" s="36">
        <v>13</v>
      </c>
      <c r="Q162" s="33">
        <v>2</v>
      </c>
      <c r="S162" s="86">
        <v>98237</v>
      </c>
      <c r="T162" s="38" t="s">
        <v>352</v>
      </c>
      <c r="U162" s="36">
        <v>1</v>
      </c>
      <c r="V162" s="36">
        <v>0</v>
      </c>
      <c r="W162" s="36">
        <v>0</v>
      </c>
    </row>
    <row r="163" spans="1:23" x14ac:dyDescent="0.2">
      <c r="A163" s="63">
        <v>98199</v>
      </c>
      <c r="B163" s="38" t="s">
        <v>10</v>
      </c>
      <c r="C163" s="48">
        <v>59</v>
      </c>
      <c r="D163" s="48">
        <v>47</v>
      </c>
      <c r="E163" s="48">
        <v>33</v>
      </c>
      <c r="M163" s="86">
        <v>98134</v>
      </c>
      <c r="N163" s="38" t="s">
        <v>10</v>
      </c>
      <c r="O163" s="36">
        <v>3</v>
      </c>
      <c r="P163" s="33">
        <v>1</v>
      </c>
      <c r="Q163" s="33">
        <v>0</v>
      </c>
      <c r="S163" s="86">
        <v>98237</v>
      </c>
      <c r="T163" s="38" t="s">
        <v>10</v>
      </c>
      <c r="U163" s="36">
        <v>11</v>
      </c>
      <c r="V163" s="36">
        <v>17</v>
      </c>
      <c r="W163" s="36">
        <v>41</v>
      </c>
    </row>
    <row r="164" spans="1:23" x14ac:dyDescent="0.2">
      <c r="A164" s="64">
        <v>98201</v>
      </c>
      <c r="B164" s="38" t="s">
        <v>352</v>
      </c>
      <c r="C164" s="48">
        <v>2</v>
      </c>
      <c r="D164" s="48">
        <v>2</v>
      </c>
      <c r="E164" s="48">
        <v>1</v>
      </c>
      <c r="M164" s="59">
        <v>98136</v>
      </c>
      <c r="N164" s="38" t="s">
        <v>10</v>
      </c>
      <c r="O164" s="36">
        <v>12</v>
      </c>
      <c r="P164" s="36">
        <v>30</v>
      </c>
      <c r="Q164" s="36">
        <v>21</v>
      </c>
      <c r="S164" s="86">
        <v>98239</v>
      </c>
      <c r="T164" s="38" t="s">
        <v>10</v>
      </c>
      <c r="U164" s="36">
        <v>6</v>
      </c>
      <c r="V164" s="33">
        <v>13</v>
      </c>
      <c r="W164" s="33">
        <v>23</v>
      </c>
    </row>
    <row r="165" spans="1:23" x14ac:dyDescent="0.2">
      <c r="A165" s="63">
        <v>98201</v>
      </c>
      <c r="B165" s="38" t="s">
        <v>10</v>
      </c>
      <c r="C165" s="48">
        <v>135</v>
      </c>
      <c r="D165" s="48">
        <v>114</v>
      </c>
      <c r="E165" s="48">
        <v>72</v>
      </c>
      <c r="M165" s="86">
        <v>98144</v>
      </c>
      <c r="N165" s="38" t="s">
        <v>352</v>
      </c>
      <c r="O165" s="36">
        <v>1</v>
      </c>
      <c r="P165" s="36">
        <v>3</v>
      </c>
      <c r="Q165" s="36">
        <v>2</v>
      </c>
      <c r="S165" s="86">
        <v>98240</v>
      </c>
      <c r="T165" s="38" t="s">
        <v>10</v>
      </c>
      <c r="U165" s="33">
        <v>4</v>
      </c>
      <c r="V165" s="36">
        <v>9</v>
      </c>
      <c r="W165" s="36">
        <v>23</v>
      </c>
    </row>
    <row r="166" spans="1:23" x14ac:dyDescent="0.2">
      <c r="A166" s="64">
        <v>98203</v>
      </c>
      <c r="B166" s="38" t="s">
        <v>352</v>
      </c>
      <c r="C166" s="48">
        <v>1</v>
      </c>
      <c r="D166" s="48">
        <v>1</v>
      </c>
      <c r="E166" s="48">
        <v>1</v>
      </c>
      <c r="M166" s="59">
        <v>98144</v>
      </c>
      <c r="N166" s="38" t="s">
        <v>10</v>
      </c>
      <c r="O166" s="36">
        <v>60</v>
      </c>
      <c r="P166" s="36">
        <v>37</v>
      </c>
      <c r="Q166" s="36">
        <v>59</v>
      </c>
      <c r="S166" s="86">
        <v>98244</v>
      </c>
      <c r="T166" s="38" t="s">
        <v>10</v>
      </c>
      <c r="U166" s="36">
        <v>9</v>
      </c>
      <c r="V166" s="36">
        <v>14</v>
      </c>
      <c r="W166" s="36">
        <v>13</v>
      </c>
    </row>
    <row r="167" spans="1:23" x14ac:dyDescent="0.2">
      <c r="A167" s="64">
        <v>98203</v>
      </c>
      <c r="B167" s="38" t="s">
        <v>10</v>
      </c>
      <c r="C167" s="48">
        <v>131</v>
      </c>
      <c r="D167" s="48">
        <v>112</v>
      </c>
      <c r="E167" s="48">
        <v>69</v>
      </c>
      <c r="M167" s="86">
        <v>98146</v>
      </c>
      <c r="N167" s="38" t="s">
        <v>10</v>
      </c>
      <c r="O167" s="36">
        <v>24</v>
      </c>
      <c r="P167" s="33">
        <v>24</v>
      </c>
      <c r="Q167" s="36">
        <v>25</v>
      </c>
      <c r="S167" s="86">
        <v>98247</v>
      </c>
      <c r="T167" s="38" t="s">
        <v>10</v>
      </c>
      <c r="U167" s="33">
        <v>15</v>
      </c>
      <c r="V167" s="36">
        <v>22</v>
      </c>
      <c r="W167" s="36">
        <v>37</v>
      </c>
    </row>
    <row r="168" spans="1:23" x14ac:dyDescent="0.2">
      <c r="A168" s="63">
        <v>98204</v>
      </c>
      <c r="B168" s="38" t="s">
        <v>352</v>
      </c>
      <c r="C168" s="48">
        <v>6</v>
      </c>
      <c r="D168" s="48">
        <v>6</v>
      </c>
      <c r="E168" s="48">
        <v>4</v>
      </c>
      <c r="M168" s="59">
        <v>98148</v>
      </c>
      <c r="N168" s="38" t="s">
        <v>352</v>
      </c>
      <c r="O168" s="36">
        <v>3</v>
      </c>
      <c r="P168" s="36">
        <v>6</v>
      </c>
      <c r="Q168" s="36">
        <v>10</v>
      </c>
      <c r="S168" s="86">
        <v>98248</v>
      </c>
      <c r="T168" s="38" t="s">
        <v>352</v>
      </c>
      <c r="U168" s="36">
        <v>1</v>
      </c>
      <c r="V168" s="33">
        <v>0</v>
      </c>
      <c r="W168" s="36">
        <v>0</v>
      </c>
    </row>
    <row r="169" spans="1:23" x14ac:dyDescent="0.2">
      <c r="A169" s="64">
        <v>98204</v>
      </c>
      <c r="B169" s="38" t="s">
        <v>10</v>
      </c>
      <c r="C169" s="48">
        <v>91</v>
      </c>
      <c r="D169" s="48">
        <v>75</v>
      </c>
      <c r="E169" s="48">
        <v>58</v>
      </c>
      <c r="M169" s="86">
        <v>98148</v>
      </c>
      <c r="N169" s="38" t="s">
        <v>10</v>
      </c>
      <c r="O169" s="36">
        <v>23</v>
      </c>
      <c r="P169" s="36">
        <v>29</v>
      </c>
      <c r="Q169" s="36">
        <v>30</v>
      </c>
      <c r="S169" s="86">
        <v>98248</v>
      </c>
      <c r="T169" s="38" t="s">
        <v>10</v>
      </c>
      <c r="U169" s="36">
        <v>52</v>
      </c>
      <c r="V169" s="33">
        <v>48</v>
      </c>
      <c r="W169" s="33">
        <v>108</v>
      </c>
    </row>
    <row r="170" spans="1:23" x14ac:dyDescent="0.2">
      <c r="A170" s="63">
        <v>98208</v>
      </c>
      <c r="B170" s="38" t="s">
        <v>10</v>
      </c>
      <c r="C170" s="48">
        <v>169</v>
      </c>
      <c r="D170" s="48">
        <v>132</v>
      </c>
      <c r="E170" s="48">
        <v>96</v>
      </c>
      <c r="M170" s="59">
        <v>98155</v>
      </c>
      <c r="N170" s="38" t="s">
        <v>352</v>
      </c>
      <c r="O170" s="36">
        <v>2</v>
      </c>
      <c r="P170" s="36">
        <v>1</v>
      </c>
      <c r="Q170" s="36">
        <v>2</v>
      </c>
      <c r="S170" s="86">
        <v>98249</v>
      </c>
      <c r="T170" s="38" t="s">
        <v>10</v>
      </c>
      <c r="U170" s="36">
        <v>12</v>
      </c>
      <c r="V170" s="36">
        <v>14</v>
      </c>
      <c r="W170" s="33">
        <v>19</v>
      </c>
    </row>
    <row r="171" spans="1:23" x14ac:dyDescent="0.2">
      <c r="A171" s="64">
        <v>98220</v>
      </c>
      <c r="B171" s="38" t="s">
        <v>10</v>
      </c>
      <c r="C171" s="48">
        <v>12</v>
      </c>
      <c r="D171" s="48">
        <v>9</v>
      </c>
      <c r="E171" s="48">
        <v>7</v>
      </c>
      <c r="M171" s="86">
        <v>98155</v>
      </c>
      <c r="N171" s="38" t="s">
        <v>10</v>
      </c>
      <c r="O171" s="36">
        <v>38</v>
      </c>
      <c r="P171" s="36">
        <v>43</v>
      </c>
      <c r="Q171" s="36">
        <v>41</v>
      </c>
      <c r="S171" s="59">
        <v>98251</v>
      </c>
      <c r="T171" s="38" t="s">
        <v>10</v>
      </c>
      <c r="U171" s="36">
        <v>2</v>
      </c>
      <c r="V171" s="36">
        <v>2</v>
      </c>
      <c r="W171" s="36">
        <v>6</v>
      </c>
    </row>
    <row r="172" spans="1:23" x14ac:dyDescent="0.2">
      <c r="A172" s="63">
        <v>98221</v>
      </c>
      <c r="B172" s="38" t="s">
        <v>352</v>
      </c>
      <c r="C172" s="48">
        <v>1</v>
      </c>
      <c r="D172" s="48">
        <v>1</v>
      </c>
      <c r="E172" s="48">
        <v>1</v>
      </c>
      <c r="M172" s="59">
        <v>98166</v>
      </c>
      <c r="N172" s="38" t="s">
        <v>352</v>
      </c>
      <c r="O172" s="36">
        <v>2</v>
      </c>
      <c r="P172" s="36">
        <v>1</v>
      </c>
      <c r="Q172" s="36">
        <v>5</v>
      </c>
      <c r="S172" s="86">
        <v>98252</v>
      </c>
      <c r="T172" s="38" t="s">
        <v>10</v>
      </c>
      <c r="U172" s="33">
        <v>5</v>
      </c>
      <c r="V172" s="36">
        <v>6</v>
      </c>
      <c r="W172" s="36">
        <v>16</v>
      </c>
    </row>
    <row r="173" spans="1:23" x14ac:dyDescent="0.2">
      <c r="A173" s="64">
        <v>98221</v>
      </c>
      <c r="B173" s="38" t="s">
        <v>10</v>
      </c>
      <c r="C173" s="48">
        <v>150</v>
      </c>
      <c r="D173" s="48">
        <v>128</v>
      </c>
      <c r="E173" s="48">
        <v>88</v>
      </c>
      <c r="M173" s="86">
        <v>98166</v>
      </c>
      <c r="N173" s="38" t="s">
        <v>10</v>
      </c>
      <c r="O173" s="36">
        <v>50</v>
      </c>
      <c r="P173" s="36">
        <v>41</v>
      </c>
      <c r="Q173" s="36">
        <v>51</v>
      </c>
      <c r="S173" s="86">
        <v>98253</v>
      </c>
      <c r="T173" s="38" t="s">
        <v>10</v>
      </c>
      <c r="U173" s="33">
        <v>2</v>
      </c>
      <c r="V173" s="36">
        <v>3</v>
      </c>
      <c r="W173" s="33">
        <v>3</v>
      </c>
    </row>
    <row r="174" spans="1:23" x14ac:dyDescent="0.2">
      <c r="A174" s="63">
        <v>98223</v>
      </c>
      <c r="B174" s="38" t="s">
        <v>10</v>
      </c>
      <c r="C174" s="48">
        <v>4</v>
      </c>
      <c r="D174" s="48">
        <v>2</v>
      </c>
      <c r="E174" s="48">
        <v>2</v>
      </c>
      <c r="M174" s="59">
        <v>98168</v>
      </c>
      <c r="N174" s="38" t="s">
        <v>352</v>
      </c>
      <c r="O174" s="36">
        <v>1</v>
      </c>
      <c r="P174" s="36">
        <v>3</v>
      </c>
      <c r="Q174" s="36">
        <v>4</v>
      </c>
      <c r="S174" s="59">
        <v>98255</v>
      </c>
      <c r="T174" s="38" t="s">
        <v>10</v>
      </c>
      <c r="U174" s="36">
        <v>1</v>
      </c>
      <c r="V174" s="36">
        <v>2</v>
      </c>
      <c r="W174" s="36">
        <v>1</v>
      </c>
    </row>
    <row r="175" spans="1:23" x14ac:dyDescent="0.2">
      <c r="A175" s="64">
        <v>98224</v>
      </c>
      <c r="B175" s="38" t="s">
        <v>10</v>
      </c>
      <c r="C175" s="48">
        <v>5</v>
      </c>
      <c r="D175" s="48">
        <v>4</v>
      </c>
      <c r="E175" s="48">
        <v>4</v>
      </c>
      <c r="M175" s="86">
        <v>98168</v>
      </c>
      <c r="N175" s="38" t="s">
        <v>10</v>
      </c>
      <c r="O175" s="36">
        <v>27</v>
      </c>
      <c r="P175" s="36">
        <v>35</v>
      </c>
      <c r="Q175" s="36">
        <v>40</v>
      </c>
      <c r="S175" s="86">
        <v>98257</v>
      </c>
      <c r="T175" s="38" t="s">
        <v>10</v>
      </c>
      <c r="U175" s="36">
        <v>9</v>
      </c>
      <c r="V175" s="36">
        <v>13</v>
      </c>
      <c r="W175" s="36">
        <v>23</v>
      </c>
    </row>
    <row r="176" spans="1:23" x14ac:dyDescent="0.2">
      <c r="A176" s="63">
        <v>98225</v>
      </c>
      <c r="B176" s="38" t="s">
        <v>352</v>
      </c>
      <c r="C176" s="48">
        <v>7</v>
      </c>
      <c r="D176" s="48">
        <v>6</v>
      </c>
      <c r="E176" s="48">
        <v>5</v>
      </c>
      <c r="M176" s="59">
        <v>98177</v>
      </c>
      <c r="N176" s="38" t="s">
        <v>352</v>
      </c>
      <c r="O176" s="36">
        <v>2</v>
      </c>
      <c r="P176" s="36">
        <v>2</v>
      </c>
      <c r="Q176" s="36">
        <v>0</v>
      </c>
      <c r="S176" s="86">
        <v>98258</v>
      </c>
      <c r="T176" s="38" t="s">
        <v>10</v>
      </c>
      <c r="U176" s="33">
        <v>33</v>
      </c>
      <c r="V176" s="36">
        <v>55</v>
      </c>
      <c r="W176" s="36">
        <v>59</v>
      </c>
    </row>
    <row r="177" spans="1:23" x14ac:dyDescent="0.2">
      <c r="A177" s="64">
        <v>98225</v>
      </c>
      <c r="B177" s="38" t="s">
        <v>10</v>
      </c>
      <c r="C177" s="48">
        <v>327</v>
      </c>
      <c r="D177" s="48">
        <v>273</v>
      </c>
      <c r="E177" s="48">
        <v>180</v>
      </c>
      <c r="M177" s="86">
        <v>98177</v>
      </c>
      <c r="N177" s="38" t="s">
        <v>10</v>
      </c>
      <c r="O177" s="36">
        <v>25</v>
      </c>
      <c r="P177" s="36">
        <v>25</v>
      </c>
      <c r="Q177" s="36">
        <v>22</v>
      </c>
      <c r="S177" s="86">
        <v>98260</v>
      </c>
      <c r="T177" s="38" t="s">
        <v>10</v>
      </c>
      <c r="U177" s="36">
        <v>9</v>
      </c>
      <c r="V177" s="36">
        <v>11</v>
      </c>
      <c r="W177" s="33">
        <v>13</v>
      </c>
    </row>
    <row r="178" spans="1:23" x14ac:dyDescent="0.2">
      <c r="A178" s="63">
        <v>98226</v>
      </c>
      <c r="B178" s="38" t="s">
        <v>352</v>
      </c>
      <c r="C178" s="48">
        <v>4</v>
      </c>
      <c r="D178" s="48">
        <v>4</v>
      </c>
      <c r="E178" s="48">
        <v>4</v>
      </c>
      <c r="M178" s="86">
        <v>98178</v>
      </c>
      <c r="N178" s="38" t="s">
        <v>352</v>
      </c>
      <c r="O178" s="33">
        <v>1</v>
      </c>
      <c r="P178" s="33">
        <v>0</v>
      </c>
      <c r="Q178" s="36">
        <v>0</v>
      </c>
      <c r="S178" s="86">
        <v>98262</v>
      </c>
      <c r="T178" s="38" t="s">
        <v>10</v>
      </c>
      <c r="U178" s="33">
        <v>6</v>
      </c>
      <c r="V178" s="36">
        <v>1</v>
      </c>
      <c r="W178" s="33">
        <v>2</v>
      </c>
    </row>
    <row r="179" spans="1:23" x14ac:dyDescent="0.2">
      <c r="A179" s="64">
        <v>98226</v>
      </c>
      <c r="B179" s="38" t="s">
        <v>10</v>
      </c>
      <c r="C179" s="48">
        <v>484</v>
      </c>
      <c r="D179" s="48">
        <v>394</v>
      </c>
      <c r="E179" s="48">
        <v>254</v>
      </c>
      <c r="M179" s="59">
        <v>98178</v>
      </c>
      <c r="N179" s="38" t="s">
        <v>10</v>
      </c>
      <c r="O179" s="36">
        <v>30</v>
      </c>
      <c r="P179" s="36">
        <v>28</v>
      </c>
      <c r="Q179" s="36">
        <v>35</v>
      </c>
      <c r="S179" s="86">
        <v>98263</v>
      </c>
      <c r="T179" s="38" t="s">
        <v>10</v>
      </c>
      <c r="U179" s="36">
        <v>1</v>
      </c>
      <c r="V179" s="36">
        <v>1</v>
      </c>
      <c r="W179" s="36">
        <v>3</v>
      </c>
    </row>
    <row r="180" spans="1:23" x14ac:dyDescent="0.2">
      <c r="A180" s="63">
        <v>98229</v>
      </c>
      <c r="B180" s="38" t="s">
        <v>352</v>
      </c>
      <c r="C180" s="48">
        <v>1</v>
      </c>
      <c r="D180" s="48">
        <v>1</v>
      </c>
      <c r="E180" s="48">
        <v>1</v>
      </c>
      <c r="M180" s="86">
        <v>98188</v>
      </c>
      <c r="N180" s="38" t="s">
        <v>352</v>
      </c>
      <c r="O180" s="36">
        <v>19</v>
      </c>
      <c r="P180" s="36">
        <v>30</v>
      </c>
      <c r="Q180" s="36">
        <v>23</v>
      </c>
      <c r="S180" s="86">
        <v>98264</v>
      </c>
      <c r="T180" s="38" t="s">
        <v>352</v>
      </c>
      <c r="U180" s="36">
        <v>1</v>
      </c>
      <c r="V180" s="36">
        <v>0</v>
      </c>
      <c r="W180" s="36">
        <v>0</v>
      </c>
    </row>
    <row r="181" spans="1:23" x14ac:dyDescent="0.2">
      <c r="A181" s="64">
        <v>98229</v>
      </c>
      <c r="B181" s="38" t="s">
        <v>10</v>
      </c>
      <c r="C181" s="48">
        <v>302</v>
      </c>
      <c r="D181" s="48">
        <v>255</v>
      </c>
      <c r="E181" s="48">
        <v>177</v>
      </c>
      <c r="M181" s="59">
        <v>98188</v>
      </c>
      <c r="N181" s="38" t="s">
        <v>10</v>
      </c>
      <c r="O181" s="36">
        <v>85</v>
      </c>
      <c r="P181" s="36">
        <v>118</v>
      </c>
      <c r="Q181" s="36">
        <v>117</v>
      </c>
      <c r="S181" s="86">
        <v>98264</v>
      </c>
      <c r="T181" s="38" t="s">
        <v>10</v>
      </c>
      <c r="U181" s="36">
        <v>25</v>
      </c>
      <c r="V181" s="33">
        <v>40</v>
      </c>
      <c r="W181" s="36">
        <v>69</v>
      </c>
    </row>
    <row r="182" spans="1:23" x14ac:dyDescent="0.2">
      <c r="A182" s="63">
        <v>98230</v>
      </c>
      <c r="B182" s="38" t="s">
        <v>352</v>
      </c>
      <c r="C182" s="48">
        <v>1</v>
      </c>
      <c r="D182" s="48">
        <v>1</v>
      </c>
      <c r="E182" s="48">
        <v>0</v>
      </c>
      <c r="M182" s="86">
        <v>98198</v>
      </c>
      <c r="N182" s="38" t="s">
        <v>352</v>
      </c>
      <c r="O182" s="33">
        <v>5</v>
      </c>
      <c r="P182" s="36">
        <v>10</v>
      </c>
      <c r="Q182" s="33">
        <v>13</v>
      </c>
      <c r="S182" s="59">
        <v>98266</v>
      </c>
      <c r="T182" s="38" t="s">
        <v>10</v>
      </c>
      <c r="U182" s="36">
        <v>18</v>
      </c>
      <c r="V182" s="36">
        <v>22</v>
      </c>
      <c r="W182" s="36">
        <v>39</v>
      </c>
    </row>
    <row r="183" spans="1:23" x14ac:dyDescent="0.2">
      <c r="A183" s="64">
        <v>98230</v>
      </c>
      <c r="B183" s="38" t="s">
        <v>10</v>
      </c>
      <c r="C183" s="48">
        <v>135</v>
      </c>
      <c r="D183" s="48">
        <v>117</v>
      </c>
      <c r="E183" s="48">
        <v>78</v>
      </c>
      <c r="M183" s="86">
        <v>98198</v>
      </c>
      <c r="N183" s="38" t="s">
        <v>10</v>
      </c>
      <c r="O183" s="36">
        <v>160</v>
      </c>
      <c r="P183" s="36">
        <v>141</v>
      </c>
      <c r="Q183" s="36">
        <v>186</v>
      </c>
      <c r="S183" s="86">
        <v>98267</v>
      </c>
      <c r="T183" s="38" t="s">
        <v>10</v>
      </c>
      <c r="U183" s="33">
        <v>1</v>
      </c>
      <c r="V183" s="36">
        <v>1</v>
      </c>
      <c r="W183" s="33">
        <v>2</v>
      </c>
    </row>
    <row r="184" spans="1:23" x14ac:dyDescent="0.2">
      <c r="A184" s="64">
        <v>98232</v>
      </c>
      <c r="B184" s="38" t="s">
        <v>10</v>
      </c>
      <c r="C184" s="48">
        <v>29</v>
      </c>
      <c r="D184" s="48">
        <v>27</v>
      </c>
      <c r="E184" s="48">
        <v>27</v>
      </c>
      <c r="M184" s="59">
        <v>98199</v>
      </c>
      <c r="N184" s="38" t="s">
        <v>352</v>
      </c>
      <c r="O184" s="36">
        <v>0</v>
      </c>
      <c r="P184" s="36">
        <v>1</v>
      </c>
      <c r="Q184" s="36">
        <v>1</v>
      </c>
      <c r="S184" s="59">
        <v>98270</v>
      </c>
      <c r="T184" s="38" t="s">
        <v>352</v>
      </c>
      <c r="U184" s="36">
        <v>0</v>
      </c>
      <c r="V184" s="36">
        <v>0</v>
      </c>
      <c r="W184" s="36">
        <v>1</v>
      </c>
    </row>
    <row r="185" spans="1:23" x14ac:dyDescent="0.2">
      <c r="A185" s="63">
        <v>98233</v>
      </c>
      <c r="B185" s="38" t="s">
        <v>352</v>
      </c>
      <c r="C185" s="48">
        <v>2</v>
      </c>
      <c r="D185" s="48">
        <v>2</v>
      </c>
      <c r="E185" s="48">
        <v>1</v>
      </c>
      <c r="M185" s="86">
        <v>98199</v>
      </c>
      <c r="N185" s="38" t="s">
        <v>10</v>
      </c>
      <c r="O185" s="36">
        <v>17</v>
      </c>
      <c r="P185" s="36">
        <v>26</v>
      </c>
      <c r="Q185" s="36">
        <v>50</v>
      </c>
      <c r="S185" s="86">
        <v>98270</v>
      </c>
      <c r="T185" s="38" t="s">
        <v>10</v>
      </c>
      <c r="U185" s="33">
        <v>35</v>
      </c>
      <c r="V185" s="33">
        <v>73</v>
      </c>
      <c r="W185" s="36">
        <v>106</v>
      </c>
    </row>
    <row r="186" spans="1:23" x14ac:dyDescent="0.2">
      <c r="A186" s="64">
        <v>98233</v>
      </c>
      <c r="B186" s="38" t="s">
        <v>10</v>
      </c>
      <c r="C186" s="48">
        <v>211</v>
      </c>
      <c r="D186" s="48">
        <v>185</v>
      </c>
      <c r="E186" s="48">
        <v>135</v>
      </c>
      <c r="M186" s="59">
        <v>98201</v>
      </c>
      <c r="N186" s="38" t="s">
        <v>352</v>
      </c>
      <c r="O186" s="36">
        <v>6</v>
      </c>
      <c r="P186" s="36">
        <v>8</v>
      </c>
      <c r="Q186" s="36">
        <v>3</v>
      </c>
      <c r="S186" s="59">
        <v>98271</v>
      </c>
      <c r="T186" s="38" t="s">
        <v>352</v>
      </c>
      <c r="U186" s="33">
        <v>0</v>
      </c>
      <c r="V186" s="36">
        <v>0</v>
      </c>
      <c r="W186" s="36">
        <v>1</v>
      </c>
    </row>
    <row r="187" spans="1:23" x14ac:dyDescent="0.2">
      <c r="A187" s="64">
        <v>98235</v>
      </c>
      <c r="B187" s="38" t="s">
        <v>10</v>
      </c>
      <c r="C187" s="48">
        <v>3</v>
      </c>
      <c r="D187" s="48">
        <v>3</v>
      </c>
      <c r="E187" s="48">
        <v>3</v>
      </c>
      <c r="M187" s="86">
        <v>98201</v>
      </c>
      <c r="N187" s="38" t="s">
        <v>10</v>
      </c>
      <c r="O187" s="36">
        <v>40</v>
      </c>
      <c r="P187" s="36">
        <v>27</v>
      </c>
      <c r="Q187" s="36">
        <v>37</v>
      </c>
      <c r="S187" s="86">
        <v>98271</v>
      </c>
      <c r="T187" s="38" t="s">
        <v>10</v>
      </c>
      <c r="U187" s="33">
        <v>8</v>
      </c>
      <c r="V187" s="33">
        <v>31</v>
      </c>
      <c r="W187" s="36">
        <v>18</v>
      </c>
    </row>
    <row r="188" spans="1:23" x14ac:dyDescent="0.2">
      <c r="A188" s="64">
        <v>98236</v>
      </c>
      <c r="B188" s="38" t="s">
        <v>10</v>
      </c>
      <c r="C188" s="48">
        <v>50</v>
      </c>
      <c r="D188" s="48">
        <v>46</v>
      </c>
      <c r="E188" s="48">
        <v>33</v>
      </c>
      <c r="M188" s="59">
        <v>98203</v>
      </c>
      <c r="N188" s="38" t="s">
        <v>352</v>
      </c>
      <c r="O188" s="36">
        <v>6</v>
      </c>
      <c r="P188" s="36">
        <v>6</v>
      </c>
      <c r="Q188" s="36">
        <v>3</v>
      </c>
      <c r="S188" s="86">
        <v>98272</v>
      </c>
      <c r="T188" s="38" t="s">
        <v>352</v>
      </c>
      <c r="U188" s="36">
        <v>0</v>
      </c>
      <c r="V188" s="36">
        <v>1</v>
      </c>
      <c r="W188" s="36">
        <v>0</v>
      </c>
    </row>
    <row r="189" spans="1:23" x14ac:dyDescent="0.2">
      <c r="A189" s="63">
        <v>98237</v>
      </c>
      <c r="B189" s="38" t="s">
        <v>352</v>
      </c>
      <c r="C189" s="48">
        <v>1</v>
      </c>
      <c r="D189" s="48">
        <v>0</v>
      </c>
      <c r="E189" s="48">
        <v>0</v>
      </c>
      <c r="M189" s="86">
        <v>98203</v>
      </c>
      <c r="N189" s="38" t="s">
        <v>10</v>
      </c>
      <c r="O189" s="36">
        <v>35</v>
      </c>
      <c r="P189" s="36">
        <v>41</v>
      </c>
      <c r="Q189" s="36">
        <v>42</v>
      </c>
      <c r="S189" s="86">
        <v>98272</v>
      </c>
      <c r="T189" s="38" t="s">
        <v>10</v>
      </c>
      <c r="U189" s="36">
        <v>15</v>
      </c>
      <c r="V189" s="33">
        <v>22</v>
      </c>
      <c r="W189" s="33">
        <v>12</v>
      </c>
    </row>
    <row r="190" spans="1:23" x14ac:dyDescent="0.2">
      <c r="A190" s="64">
        <v>98237</v>
      </c>
      <c r="B190" s="38" t="s">
        <v>10</v>
      </c>
      <c r="C190" s="48">
        <v>86</v>
      </c>
      <c r="D190" s="48">
        <v>73</v>
      </c>
      <c r="E190" s="48">
        <v>56</v>
      </c>
      <c r="M190" s="59">
        <v>98204</v>
      </c>
      <c r="N190" s="38" t="s">
        <v>352</v>
      </c>
      <c r="O190" s="36">
        <v>2</v>
      </c>
      <c r="P190" s="36">
        <v>3</v>
      </c>
      <c r="Q190" s="36">
        <v>1</v>
      </c>
      <c r="S190" s="59">
        <v>98273</v>
      </c>
      <c r="T190" s="38" t="s">
        <v>352</v>
      </c>
      <c r="U190" s="36">
        <v>0</v>
      </c>
      <c r="V190" s="36">
        <v>1</v>
      </c>
      <c r="W190" s="36">
        <v>0</v>
      </c>
    </row>
    <row r="191" spans="1:23" x14ac:dyDescent="0.2">
      <c r="A191" s="63">
        <v>98239</v>
      </c>
      <c r="B191" s="38" t="s">
        <v>10</v>
      </c>
      <c r="C191" s="48">
        <v>60</v>
      </c>
      <c r="D191" s="48">
        <v>53</v>
      </c>
      <c r="E191" s="48">
        <v>42</v>
      </c>
      <c r="M191" s="86">
        <v>98204</v>
      </c>
      <c r="N191" s="38" t="s">
        <v>10</v>
      </c>
      <c r="O191" s="36">
        <v>28</v>
      </c>
      <c r="P191" s="36">
        <v>36</v>
      </c>
      <c r="Q191" s="36">
        <v>36</v>
      </c>
      <c r="S191" s="86">
        <v>98273</v>
      </c>
      <c r="T191" s="38" t="s">
        <v>10</v>
      </c>
      <c r="U191" s="36">
        <v>42</v>
      </c>
      <c r="V191" s="36">
        <v>87</v>
      </c>
      <c r="W191" s="36">
        <v>160</v>
      </c>
    </row>
    <row r="192" spans="1:23" x14ac:dyDescent="0.2">
      <c r="A192" s="64">
        <v>98240</v>
      </c>
      <c r="B192" s="38" t="s">
        <v>10</v>
      </c>
      <c r="C192" s="48">
        <v>46</v>
      </c>
      <c r="D192" s="48">
        <v>41</v>
      </c>
      <c r="E192" s="48">
        <v>32</v>
      </c>
      <c r="M192" s="59">
        <v>98207</v>
      </c>
      <c r="N192" s="38" t="s">
        <v>352</v>
      </c>
      <c r="O192" s="36">
        <v>2</v>
      </c>
      <c r="P192" s="36">
        <v>0</v>
      </c>
      <c r="Q192" s="36">
        <v>0</v>
      </c>
      <c r="S192" s="86">
        <v>98274</v>
      </c>
      <c r="T192" s="38" t="s">
        <v>10</v>
      </c>
      <c r="U192" s="33">
        <v>19</v>
      </c>
      <c r="V192" s="36">
        <v>36</v>
      </c>
      <c r="W192" s="33">
        <v>60</v>
      </c>
    </row>
    <row r="193" spans="1:23" x14ac:dyDescent="0.2">
      <c r="A193" s="63">
        <v>98244</v>
      </c>
      <c r="B193" s="38" t="s">
        <v>352</v>
      </c>
      <c r="C193" s="48">
        <v>1</v>
      </c>
      <c r="D193" s="48">
        <v>1</v>
      </c>
      <c r="E193" s="48">
        <v>1</v>
      </c>
      <c r="M193" s="86">
        <v>98208</v>
      </c>
      <c r="N193" s="38" t="s">
        <v>352</v>
      </c>
      <c r="O193" s="36">
        <v>1</v>
      </c>
      <c r="P193" s="36">
        <v>2</v>
      </c>
      <c r="Q193" s="36">
        <v>5</v>
      </c>
      <c r="S193" s="86">
        <v>98275</v>
      </c>
      <c r="T193" s="38" t="s">
        <v>10</v>
      </c>
      <c r="U193" s="36">
        <v>8</v>
      </c>
      <c r="V193" s="36">
        <v>11</v>
      </c>
      <c r="W193" s="36">
        <v>14</v>
      </c>
    </row>
    <row r="194" spans="1:23" x14ac:dyDescent="0.2">
      <c r="A194" s="64">
        <v>98244</v>
      </c>
      <c r="B194" s="38" t="s">
        <v>10</v>
      </c>
      <c r="C194" s="48">
        <v>50</v>
      </c>
      <c r="D194" s="48">
        <v>43</v>
      </c>
      <c r="E194" s="48">
        <v>31</v>
      </c>
      <c r="M194" s="59">
        <v>98208</v>
      </c>
      <c r="N194" s="38" t="s">
        <v>10</v>
      </c>
      <c r="O194" s="36">
        <v>65</v>
      </c>
      <c r="P194" s="36">
        <v>76</v>
      </c>
      <c r="Q194" s="36">
        <v>72</v>
      </c>
      <c r="S194" s="86">
        <v>98276</v>
      </c>
      <c r="T194" s="38" t="s">
        <v>10</v>
      </c>
      <c r="U194" s="33">
        <v>1</v>
      </c>
      <c r="V194" s="33">
        <v>3</v>
      </c>
      <c r="W194" s="36">
        <v>6</v>
      </c>
    </row>
    <row r="195" spans="1:23" x14ac:dyDescent="0.2">
      <c r="A195" s="63">
        <v>98247</v>
      </c>
      <c r="B195" s="38" t="s">
        <v>352</v>
      </c>
      <c r="C195" s="48">
        <v>3</v>
      </c>
      <c r="D195" s="48">
        <v>3</v>
      </c>
      <c r="E195" s="48">
        <v>3</v>
      </c>
      <c r="M195" s="86">
        <v>98220</v>
      </c>
      <c r="N195" s="38" t="s">
        <v>352</v>
      </c>
      <c r="O195" s="33">
        <v>0</v>
      </c>
      <c r="P195" s="36">
        <v>1</v>
      </c>
      <c r="Q195" s="36">
        <v>0</v>
      </c>
      <c r="S195" s="86">
        <v>98277</v>
      </c>
      <c r="T195" s="38" t="s">
        <v>352</v>
      </c>
      <c r="U195" s="36">
        <v>0</v>
      </c>
      <c r="V195" s="33">
        <v>0</v>
      </c>
      <c r="W195" s="33">
        <v>1</v>
      </c>
    </row>
    <row r="196" spans="1:23" x14ac:dyDescent="0.2">
      <c r="A196" s="64">
        <v>98247</v>
      </c>
      <c r="B196" s="38" t="s">
        <v>10</v>
      </c>
      <c r="C196" s="48">
        <v>106</v>
      </c>
      <c r="D196" s="48">
        <v>88</v>
      </c>
      <c r="E196" s="48">
        <v>72</v>
      </c>
      <c r="M196" s="86">
        <v>98220</v>
      </c>
      <c r="N196" s="38" t="s">
        <v>10</v>
      </c>
      <c r="O196" s="36">
        <v>1</v>
      </c>
      <c r="P196" s="36">
        <v>1</v>
      </c>
      <c r="Q196" s="36">
        <v>0</v>
      </c>
      <c r="S196" s="86">
        <v>98277</v>
      </c>
      <c r="T196" s="38" t="s">
        <v>10</v>
      </c>
      <c r="U196" s="36">
        <v>50</v>
      </c>
      <c r="V196" s="36">
        <v>75</v>
      </c>
      <c r="W196" s="36">
        <v>156</v>
      </c>
    </row>
    <row r="197" spans="1:23" x14ac:dyDescent="0.2">
      <c r="A197" s="63">
        <v>98248</v>
      </c>
      <c r="B197" s="38" t="s">
        <v>352</v>
      </c>
      <c r="C197" s="48">
        <v>6</v>
      </c>
      <c r="D197" s="48">
        <v>5</v>
      </c>
      <c r="E197" s="48">
        <v>5</v>
      </c>
      <c r="M197" s="59">
        <v>98221</v>
      </c>
      <c r="N197" s="38" t="s">
        <v>352</v>
      </c>
      <c r="O197" s="36">
        <v>13</v>
      </c>
      <c r="P197" s="36">
        <v>20</v>
      </c>
      <c r="Q197" s="36">
        <v>16</v>
      </c>
      <c r="S197" s="86">
        <v>98281</v>
      </c>
      <c r="T197" s="38" t="s">
        <v>10</v>
      </c>
      <c r="U197" s="36">
        <v>1</v>
      </c>
      <c r="V197" s="36">
        <v>10</v>
      </c>
      <c r="W197" s="36">
        <v>6</v>
      </c>
    </row>
    <row r="198" spans="1:23" x14ac:dyDescent="0.2">
      <c r="A198" s="64">
        <v>98248</v>
      </c>
      <c r="B198" s="38" t="s">
        <v>10</v>
      </c>
      <c r="C198" s="48">
        <v>270</v>
      </c>
      <c r="D198" s="48">
        <v>225</v>
      </c>
      <c r="E198" s="48">
        <v>172</v>
      </c>
      <c r="M198" s="86">
        <v>98221</v>
      </c>
      <c r="N198" s="38" t="s">
        <v>10</v>
      </c>
      <c r="O198" s="36">
        <v>110</v>
      </c>
      <c r="P198" s="36">
        <v>106</v>
      </c>
      <c r="Q198" s="33">
        <v>85</v>
      </c>
      <c r="S198" s="86">
        <v>98283</v>
      </c>
      <c r="T198" s="38" t="s">
        <v>10</v>
      </c>
      <c r="U198" s="36">
        <v>0</v>
      </c>
      <c r="V198" s="36">
        <v>1</v>
      </c>
      <c r="W198" s="36">
        <v>1</v>
      </c>
    </row>
    <row r="199" spans="1:23" x14ac:dyDescent="0.2">
      <c r="A199" s="63">
        <v>98249</v>
      </c>
      <c r="B199" s="38" t="s">
        <v>10</v>
      </c>
      <c r="C199" s="48">
        <v>50</v>
      </c>
      <c r="D199" s="48">
        <v>43</v>
      </c>
      <c r="E199" s="48">
        <v>30</v>
      </c>
      <c r="M199" s="59">
        <v>98223</v>
      </c>
      <c r="N199" s="38" t="s">
        <v>352</v>
      </c>
      <c r="O199" s="36">
        <v>3</v>
      </c>
      <c r="P199" s="36">
        <v>0</v>
      </c>
      <c r="Q199" s="36">
        <v>0</v>
      </c>
      <c r="S199" s="86">
        <v>98284</v>
      </c>
      <c r="T199" s="38" t="s">
        <v>10</v>
      </c>
      <c r="U199" s="36">
        <v>68</v>
      </c>
      <c r="V199" s="33">
        <v>98</v>
      </c>
      <c r="W199" s="33">
        <v>95</v>
      </c>
    </row>
    <row r="200" spans="1:23" x14ac:dyDescent="0.2">
      <c r="A200" s="64">
        <v>98251</v>
      </c>
      <c r="B200" s="38" t="s">
        <v>10</v>
      </c>
      <c r="C200" s="48">
        <v>14</v>
      </c>
      <c r="D200" s="48">
        <v>11</v>
      </c>
      <c r="E200" s="48">
        <v>8</v>
      </c>
      <c r="M200" s="86">
        <v>98223</v>
      </c>
      <c r="N200" s="38" t="s">
        <v>10</v>
      </c>
      <c r="O200" s="36">
        <v>3</v>
      </c>
      <c r="P200" s="36">
        <v>2</v>
      </c>
      <c r="Q200" s="33">
        <v>2</v>
      </c>
      <c r="S200" s="59">
        <v>98288</v>
      </c>
      <c r="T200" s="38" t="s">
        <v>10</v>
      </c>
      <c r="U200" s="36">
        <v>0</v>
      </c>
      <c r="V200" s="36">
        <v>1</v>
      </c>
      <c r="W200" s="36">
        <v>3</v>
      </c>
    </row>
    <row r="201" spans="1:23" x14ac:dyDescent="0.2">
      <c r="A201" s="64">
        <v>98252</v>
      </c>
      <c r="B201" s="38" t="s">
        <v>10</v>
      </c>
      <c r="C201" s="48">
        <v>26</v>
      </c>
      <c r="D201" s="48">
        <v>23</v>
      </c>
      <c r="E201" s="48">
        <v>18</v>
      </c>
      <c r="M201" s="59">
        <v>98224</v>
      </c>
      <c r="N201" s="38" t="s">
        <v>352</v>
      </c>
      <c r="O201" s="36">
        <v>0</v>
      </c>
      <c r="P201" s="36">
        <v>1</v>
      </c>
      <c r="Q201" s="36">
        <v>1</v>
      </c>
      <c r="S201" s="86">
        <v>98290</v>
      </c>
      <c r="T201" s="38" t="s">
        <v>10</v>
      </c>
      <c r="U201" s="36">
        <v>8</v>
      </c>
      <c r="V201" s="36">
        <v>20</v>
      </c>
      <c r="W201" s="36">
        <v>12</v>
      </c>
    </row>
    <row r="202" spans="1:23" x14ac:dyDescent="0.2">
      <c r="A202" s="64">
        <v>98253</v>
      </c>
      <c r="B202" s="38" t="s">
        <v>352</v>
      </c>
      <c r="C202" s="48">
        <v>1</v>
      </c>
      <c r="D202" s="48">
        <v>1</v>
      </c>
      <c r="E202" s="48">
        <v>1</v>
      </c>
      <c r="M202" s="86">
        <v>98224</v>
      </c>
      <c r="N202" s="38" t="s">
        <v>10</v>
      </c>
      <c r="O202" s="36">
        <v>0</v>
      </c>
      <c r="P202" s="36">
        <v>0</v>
      </c>
      <c r="Q202" s="36">
        <v>1</v>
      </c>
      <c r="S202" s="86">
        <v>98292</v>
      </c>
      <c r="T202" s="38" t="s">
        <v>10</v>
      </c>
      <c r="U202" s="33">
        <v>0</v>
      </c>
      <c r="V202" s="33">
        <v>1</v>
      </c>
      <c r="W202" s="36">
        <v>6</v>
      </c>
    </row>
    <row r="203" spans="1:23" x14ac:dyDescent="0.2">
      <c r="A203" s="63">
        <v>98253</v>
      </c>
      <c r="B203" s="38" t="s">
        <v>10</v>
      </c>
      <c r="C203" s="48">
        <v>12</v>
      </c>
      <c r="D203" s="48">
        <v>9</v>
      </c>
      <c r="E203" s="48">
        <v>6</v>
      </c>
      <c r="M203" s="59">
        <v>98225</v>
      </c>
      <c r="N203" s="38" t="s">
        <v>352</v>
      </c>
      <c r="O203" s="36">
        <v>18</v>
      </c>
      <c r="P203" s="36">
        <v>25</v>
      </c>
      <c r="Q203" s="36">
        <v>34</v>
      </c>
      <c r="S203" s="59">
        <v>98294</v>
      </c>
      <c r="T203" s="38" t="s">
        <v>10</v>
      </c>
      <c r="U203" s="36">
        <v>5</v>
      </c>
      <c r="V203" s="36">
        <v>7</v>
      </c>
      <c r="W203" s="36">
        <v>11</v>
      </c>
    </row>
    <row r="204" spans="1:23" x14ac:dyDescent="0.2">
      <c r="A204" s="64">
        <v>98255</v>
      </c>
      <c r="B204" s="38" t="s">
        <v>10</v>
      </c>
      <c r="C204" s="48">
        <v>6</v>
      </c>
      <c r="D204" s="48">
        <v>5</v>
      </c>
      <c r="E204" s="48">
        <v>3</v>
      </c>
      <c r="M204" s="86">
        <v>98225</v>
      </c>
      <c r="N204" s="38" t="s">
        <v>10</v>
      </c>
      <c r="O204" s="36">
        <v>231</v>
      </c>
      <c r="P204" s="36">
        <v>246</v>
      </c>
      <c r="Q204" s="36">
        <v>335</v>
      </c>
      <c r="S204" s="86">
        <v>98295</v>
      </c>
      <c r="T204" s="38" t="s">
        <v>10</v>
      </c>
      <c r="U204" s="36">
        <v>2</v>
      </c>
      <c r="V204" s="33">
        <v>3</v>
      </c>
      <c r="W204" s="36">
        <v>3</v>
      </c>
    </row>
    <row r="205" spans="1:23" x14ac:dyDescent="0.2">
      <c r="A205" s="64">
        <v>98257</v>
      </c>
      <c r="B205" s="38" t="s">
        <v>352</v>
      </c>
      <c r="C205" s="48">
        <v>2</v>
      </c>
      <c r="D205" s="48">
        <v>2</v>
      </c>
      <c r="E205" s="48">
        <v>2</v>
      </c>
      <c r="M205" s="59">
        <v>98226</v>
      </c>
      <c r="N205" s="38" t="s">
        <v>352</v>
      </c>
      <c r="O205" s="36">
        <v>19</v>
      </c>
      <c r="P205" s="36">
        <v>22</v>
      </c>
      <c r="Q205" s="36">
        <v>27</v>
      </c>
      <c r="S205" s="59">
        <v>98296</v>
      </c>
      <c r="T205" s="38" t="s">
        <v>10</v>
      </c>
      <c r="U205" s="36">
        <v>7</v>
      </c>
      <c r="V205" s="36">
        <v>22</v>
      </c>
      <c r="W205" s="36">
        <v>11</v>
      </c>
    </row>
    <row r="206" spans="1:23" x14ac:dyDescent="0.2">
      <c r="A206" s="64">
        <v>98257</v>
      </c>
      <c r="B206" s="38" t="s">
        <v>10</v>
      </c>
      <c r="C206" s="48">
        <v>76</v>
      </c>
      <c r="D206" s="48">
        <v>68</v>
      </c>
      <c r="E206" s="48">
        <v>53</v>
      </c>
      <c r="M206" s="86">
        <v>98226</v>
      </c>
      <c r="N206" s="38" t="s">
        <v>10</v>
      </c>
      <c r="O206" s="36">
        <v>309</v>
      </c>
      <c r="P206" s="36">
        <v>217</v>
      </c>
      <c r="Q206" s="36">
        <v>252</v>
      </c>
      <c r="S206" s="86">
        <v>98310</v>
      </c>
      <c r="T206" s="38" t="s">
        <v>10</v>
      </c>
      <c r="U206" s="36">
        <v>40</v>
      </c>
      <c r="V206" s="36">
        <v>50</v>
      </c>
      <c r="W206" s="36">
        <v>120</v>
      </c>
    </row>
    <row r="207" spans="1:23" x14ac:dyDescent="0.2">
      <c r="A207" s="64">
        <v>98258</v>
      </c>
      <c r="B207" s="38" t="s">
        <v>10</v>
      </c>
      <c r="C207" s="48">
        <v>170</v>
      </c>
      <c r="D207" s="48">
        <v>137</v>
      </c>
      <c r="E207" s="48">
        <v>83</v>
      </c>
      <c r="M207" s="59">
        <v>98229</v>
      </c>
      <c r="N207" s="38" t="s">
        <v>352</v>
      </c>
      <c r="O207" s="36">
        <v>3</v>
      </c>
      <c r="P207" s="36">
        <v>9</v>
      </c>
      <c r="Q207" s="36">
        <v>6</v>
      </c>
      <c r="S207" s="86">
        <v>98311</v>
      </c>
      <c r="T207" s="38" t="s">
        <v>10</v>
      </c>
      <c r="U207" s="33">
        <v>32</v>
      </c>
      <c r="V207" s="36">
        <v>58</v>
      </c>
      <c r="W207" s="33">
        <v>156</v>
      </c>
    </row>
    <row r="208" spans="1:23" x14ac:dyDescent="0.2">
      <c r="A208" s="63">
        <v>98260</v>
      </c>
      <c r="B208" s="38" t="s">
        <v>10</v>
      </c>
      <c r="C208" s="48">
        <v>44</v>
      </c>
      <c r="D208" s="48">
        <v>34</v>
      </c>
      <c r="E208" s="48">
        <v>24</v>
      </c>
      <c r="M208" s="86">
        <v>98229</v>
      </c>
      <c r="N208" s="38" t="s">
        <v>10</v>
      </c>
      <c r="O208" s="36">
        <v>93</v>
      </c>
      <c r="P208" s="36">
        <v>120</v>
      </c>
      <c r="Q208" s="36">
        <v>158</v>
      </c>
      <c r="S208" s="59">
        <v>98312</v>
      </c>
      <c r="T208" s="38" t="s">
        <v>10</v>
      </c>
      <c r="U208" s="36">
        <v>64</v>
      </c>
      <c r="V208" s="36">
        <v>119</v>
      </c>
      <c r="W208" s="36">
        <v>161</v>
      </c>
    </row>
    <row r="209" spans="1:23" x14ac:dyDescent="0.2">
      <c r="A209" s="64">
        <v>98262</v>
      </c>
      <c r="B209" s="38" t="s">
        <v>10</v>
      </c>
      <c r="C209" s="48">
        <v>11</v>
      </c>
      <c r="D209" s="48">
        <v>5</v>
      </c>
      <c r="E209" s="48">
        <v>4</v>
      </c>
      <c r="M209" s="59">
        <v>98230</v>
      </c>
      <c r="N209" s="38" t="s">
        <v>352</v>
      </c>
      <c r="O209" s="36">
        <v>4</v>
      </c>
      <c r="P209" s="36">
        <v>14</v>
      </c>
      <c r="Q209" s="36">
        <v>8</v>
      </c>
      <c r="S209" s="86">
        <v>98321</v>
      </c>
      <c r="T209" s="38" t="s">
        <v>10</v>
      </c>
      <c r="U209" s="36">
        <v>17</v>
      </c>
      <c r="V209" s="36">
        <v>49</v>
      </c>
      <c r="W209" s="36">
        <v>72</v>
      </c>
    </row>
    <row r="210" spans="1:23" x14ac:dyDescent="0.2">
      <c r="A210" s="63">
        <v>98263</v>
      </c>
      <c r="B210" s="38" t="s">
        <v>10</v>
      </c>
      <c r="C210" s="48">
        <v>5</v>
      </c>
      <c r="D210" s="48">
        <v>4</v>
      </c>
      <c r="E210" s="48">
        <v>3</v>
      </c>
      <c r="M210" s="86">
        <v>98230</v>
      </c>
      <c r="N210" s="38" t="s">
        <v>10</v>
      </c>
      <c r="O210" s="36">
        <v>49</v>
      </c>
      <c r="P210" s="36">
        <v>50</v>
      </c>
      <c r="Q210" s="33">
        <v>47</v>
      </c>
      <c r="S210" s="86">
        <v>98323</v>
      </c>
      <c r="T210" s="38" t="s">
        <v>10</v>
      </c>
      <c r="U210" s="33">
        <v>1</v>
      </c>
      <c r="V210" s="36">
        <v>0</v>
      </c>
      <c r="W210" s="36">
        <v>2</v>
      </c>
    </row>
    <row r="211" spans="1:23" x14ac:dyDescent="0.2">
      <c r="A211" s="64">
        <v>98264</v>
      </c>
      <c r="B211" s="38" t="s">
        <v>352</v>
      </c>
      <c r="C211" s="48">
        <v>4</v>
      </c>
      <c r="D211" s="48">
        <v>3</v>
      </c>
      <c r="E211" s="48">
        <v>3</v>
      </c>
      <c r="M211" s="59">
        <v>98232</v>
      </c>
      <c r="N211" s="38" t="s">
        <v>352</v>
      </c>
      <c r="O211" s="36">
        <v>1</v>
      </c>
      <c r="P211" s="36">
        <v>4</v>
      </c>
      <c r="Q211" s="36">
        <v>4</v>
      </c>
      <c r="S211" s="86">
        <v>98327</v>
      </c>
      <c r="T211" s="38" t="s">
        <v>10</v>
      </c>
      <c r="U211" s="33">
        <v>7</v>
      </c>
      <c r="V211" s="36">
        <v>10</v>
      </c>
      <c r="W211" s="33">
        <v>7</v>
      </c>
    </row>
    <row r="212" spans="1:23" x14ac:dyDescent="0.2">
      <c r="A212" s="63">
        <v>98264</v>
      </c>
      <c r="B212" s="38" t="s">
        <v>10</v>
      </c>
      <c r="C212" s="48">
        <v>175</v>
      </c>
      <c r="D212" s="48">
        <v>147</v>
      </c>
      <c r="E212" s="48">
        <v>107</v>
      </c>
      <c r="M212" s="86">
        <v>98232</v>
      </c>
      <c r="N212" s="38" t="s">
        <v>10</v>
      </c>
      <c r="O212" s="36">
        <v>4</v>
      </c>
      <c r="P212" s="36">
        <v>9</v>
      </c>
      <c r="Q212" s="36">
        <v>11</v>
      </c>
      <c r="S212" s="59">
        <v>98328</v>
      </c>
      <c r="T212" s="38" t="s">
        <v>10</v>
      </c>
      <c r="U212" s="36">
        <v>0</v>
      </c>
      <c r="V212" s="36">
        <v>2</v>
      </c>
      <c r="W212" s="36">
        <v>1</v>
      </c>
    </row>
    <row r="213" spans="1:23" x14ac:dyDescent="0.2">
      <c r="A213" s="64">
        <v>98266</v>
      </c>
      <c r="B213" s="38" t="s">
        <v>10</v>
      </c>
      <c r="C213" s="48">
        <v>89</v>
      </c>
      <c r="D213" s="48">
        <v>73</v>
      </c>
      <c r="E213" s="48">
        <v>49</v>
      </c>
      <c r="M213" s="59">
        <v>98233</v>
      </c>
      <c r="N213" s="38" t="s">
        <v>352</v>
      </c>
      <c r="O213" s="36">
        <v>6</v>
      </c>
      <c r="P213" s="36">
        <v>14</v>
      </c>
      <c r="Q213" s="36">
        <v>9</v>
      </c>
      <c r="S213" s="86">
        <v>98329</v>
      </c>
      <c r="T213" s="38" t="s">
        <v>10</v>
      </c>
      <c r="U213" s="33">
        <v>0</v>
      </c>
      <c r="V213" s="33">
        <v>0</v>
      </c>
      <c r="W213" s="36">
        <v>1</v>
      </c>
    </row>
    <row r="214" spans="1:23" x14ac:dyDescent="0.2">
      <c r="A214" s="64">
        <v>98267</v>
      </c>
      <c r="B214" s="38" t="s">
        <v>10</v>
      </c>
      <c r="C214" s="48">
        <v>8</v>
      </c>
      <c r="D214" s="48">
        <v>7</v>
      </c>
      <c r="E214" s="48">
        <v>6</v>
      </c>
      <c r="M214" s="86">
        <v>98233</v>
      </c>
      <c r="N214" s="38" t="s">
        <v>10</v>
      </c>
      <c r="O214" s="36">
        <v>73</v>
      </c>
      <c r="P214" s="36">
        <v>82</v>
      </c>
      <c r="Q214" s="36">
        <v>98</v>
      </c>
      <c r="S214" s="59">
        <v>98332</v>
      </c>
      <c r="T214" s="38" t="s">
        <v>10</v>
      </c>
      <c r="U214" s="36">
        <v>2</v>
      </c>
      <c r="V214" s="36">
        <v>14</v>
      </c>
      <c r="W214" s="36">
        <v>20</v>
      </c>
    </row>
    <row r="215" spans="1:23" x14ac:dyDescent="0.2">
      <c r="A215" s="64">
        <v>98270</v>
      </c>
      <c r="B215" s="38" t="s">
        <v>352</v>
      </c>
      <c r="C215" s="48">
        <v>1</v>
      </c>
      <c r="D215" s="48">
        <v>1</v>
      </c>
      <c r="E215" s="48">
        <v>1</v>
      </c>
      <c r="M215" s="59">
        <v>98235</v>
      </c>
      <c r="N215" s="38" t="s">
        <v>10</v>
      </c>
      <c r="O215" s="36">
        <v>4</v>
      </c>
      <c r="P215" s="36">
        <v>2</v>
      </c>
      <c r="Q215" s="36">
        <v>0</v>
      </c>
      <c r="S215" s="86">
        <v>98335</v>
      </c>
      <c r="T215" s="38" t="s">
        <v>10</v>
      </c>
      <c r="U215" s="33">
        <v>12</v>
      </c>
      <c r="V215" s="36">
        <v>21</v>
      </c>
      <c r="W215" s="36">
        <v>24</v>
      </c>
    </row>
    <row r="216" spans="1:23" x14ac:dyDescent="0.2">
      <c r="A216" s="64">
        <v>98270</v>
      </c>
      <c r="B216" s="38" t="s">
        <v>10</v>
      </c>
      <c r="C216" s="48">
        <v>275</v>
      </c>
      <c r="D216" s="48">
        <v>238</v>
      </c>
      <c r="E216" s="48">
        <v>157</v>
      </c>
      <c r="M216" s="86">
        <v>98236</v>
      </c>
      <c r="N216" s="38" t="s">
        <v>352</v>
      </c>
      <c r="O216" s="36">
        <v>5</v>
      </c>
      <c r="P216" s="36">
        <v>4</v>
      </c>
      <c r="Q216" s="36">
        <v>8</v>
      </c>
      <c r="S216" s="86">
        <v>98337</v>
      </c>
      <c r="T216" s="38" t="s">
        <v>352</v>
      </c>
      <c r="U216" s="36">
        <v>0</v>
      </c>
      <c r="V216" s="33">
        <v>0</v>
      </c>
      <c r="W216" s="33">
        <v>1</v>
      </c>
    </row>
    <row r="217" spans="1:23" x14ac:dyDescent="0.2">
      <c r="A217" s="63">
        <v>98271</v>
      </c>
      <c r="B217" s="38" t="s">
        <v>352</v>
      </c>
      <c r="C217" s="48">
        <v>1</v>
      </c>
      <c r="D217" s="48">
        <v>1</v>
      </c>
      <c r="E217" s="48">
        <v>1</v>
      </c>
      <c r="M217" s="59">
        <v>98236</v>
      </c>
      <c r="N217" s="38" t="s">
        <v>10</v>
      </c>
      <c r="O217" s="36">
        <v>11</v>
      </c>
      <c r="P217" s="36">
        <v>18</v>
      </c>
      <c r="Q217" s="36">
        <v>18</v>
      </c>
      <c r="S217" s="59">
        <v>98337</v>
      </c>
      <c r="T217" s="38" t="s">
        <v>10</v>
      </c>
      <c r="U217" s="36">
        <v>12</v>
      </c>
      <c r="V217" s="36">
        <v>27</v>
      </c>
      <c r="W217" s="36">
        <v>44</v>
      </c>
    </row>
    <row r="218" spans="1:23" x14ac:dyDescent="0.2">
      <c r="A218" s="64">
        <v>98271</v>
      </c>
      <c r="B218" s="38" t="s">
        <v>10</v>
      </c>
      <c r="C218" s="48">
        <v>68</v>
      </c>
      <c r="D218" s="48">
        <v>57</v>
      </c>
      <c r="E218" s="48">
        <v>30</v>
      </c>
      <c r="M218" s="86">
        <v>98237</v>
      </c>
      <c r="N218" s="38" t="s">
        <v>352</v>
      </c>
      <c r="O218" s="36">
        <v>0</v>
      </c>
      <c r="P218" s="36">
        <v>1</v>
      </c>
      <c r="Q218" s="36">
        <v>1</v>
      </c>
      <c r="S218" s="86">
        <v>98338</v>
      </c>
      <c r="T218" s="38" t="s">
        <v>352</v>
      </c>
      <c r="U218" s="36">
        <v>0</v>
      </c>
      <c r="V218" s="36">
        <v>1</v>
      </c>
      <c r="W218" s="36">
        <v>1</v>
      </c>
    </row>
    <row r="219" spans="1:23" x14ac:dyDescent="0.2">
      <c r="A219" s="64">
        <v>98272</v>
      </c>
      <c r="B219" s="38" t="s">
        <v>352</v>
      </c>
      <c r="C219" s="48">
        <v>1</v>
      </c>
      <c r="D219" s="48">
        <v>1</v>
      </c>
      <c r="E219" s="48">
        <v>0</v>
      </c>
      <c r="M219" s="59">
        <v>98237</v>
      </c>
      <c r="N219" s="38" t="s">
        <v>10</v>
      </c>
      <c r="O219" s="36">
        <v>19</v>
      </c>
      <c r="P219" s="36">
        <v>12</v>
      </c>
      <c r="Q219" s="36">
        <v>12</v>
      </c>
      <c r="S219" s="86">
        <v>98338</v>
      </c>
      <c r="T219" s="38" t="s">
        <v>10</v>
      </c>
      <c r="U219" s="36">
        <v>31</v>
      </c>
      <c r="V219" s="36">
        <v>53</v>
      </c>
      <c r="W219" s="36">
        <v>92</v>
      </c>
    </row>
    <row r="220" spans="1:23" x14ac:dyDescent="0.2">
      <c r="A220" s="63">
        <v>98272</v>
      </c>
      <c r="B220" s="38" t="s">
        <v>10</v>
      </c>
      <c r="C220" s="48">
        <v>63</v>
      </c>
      <c r="D220" s="48">
        <v>47</v>
      </c>
      <c r="E220" s="48">
        <v>27</v>
      </c>
      <c r="M220" s="86">
        <v>98239</v>
      </c>
      <c r="N220" s="38" t="s">
        <v>352</v>
      </c>
      <c r="O220" s="33">
        <v>4</v>
      </c>
      <c r="P220" s="36">
        <v>3</v>
      </c>
      <c r="Q220" s="36">
        <v>8</v>
      </c>
      <c r="S220" s="86">
        <v>98340</v>
      </c>
      <c r="T220" s="38" t="s">
        <v>10</v>
      </c>
      <c r="U220" s="36">
        <v>3</v>
      </c>
      <c r="V220" s="33">
        <v>6</v>
      </c>
      <c r="W220" s="33">
        <v>11</v>
      </c>
    </row>
    <row r="221" spans="1:23" x14ac:dyDescent="0.2">
      <c r="A221" s="64">
        <v>98273</v>
      </c>
      <c r="B221" s="38" t="s">
        <v>352</v>
      </c>
      <c r="C221" s="48">
        <v>6</v>
      </c>
      <c r="D221" s="48">
        <v>6</v>
      </c>
      <c r="E221" s="48">
        <v>6</v>
      </c>
      <c r="M221" s="59">
        <v>98239</v>
      </c>
      <c r="N221" s="38" t="s">
        <v>10</v>
      </c>
      <c r="O221" s="36">
        <v>28</v>
      </c>
      <c r="P221" s="36">
        <v>21</v>
      </c>
      <c r="Q221" s="36">
        <v>32</v>
      </c>
      <c r="S221" s="86">
        <v>98342</v>
      </c>
      <c r="T221" s="38" t="s">
        <v>10</v>
      </c>
      <c r="U221" s="33">
        <v>4</v>
      </c>
      <c r="V221" s="33">
        <v>3</v>
      </c>
      <c r="W221" s="36">
        <v>8</v>
      </c>
    </row>
    <row r="222" spans="1:23" x14ac:dyDescent="0.2">
      <c r="A222" s="63">
        <v>98273</v>
      </c>
      <c r="B222" s="38" t="s">
        <v>10</v>
      </c>
      <c r="C222" s="48">
        <v>398</v>
      </c>
      <c r="D222" s="48">
        <v>344</v>
      </c>
      <c r="E222" s="48">
        <v>244</v>
      </c>
      <c r="M222" s="86">
        <v>98240</v>
      </c>
      <c r="N222" s="38" t="s">
        <v>352</v>
      </c>
      <c r="O222" s="36">
        <v>2</v>
      </c>
      <c r="P222" s="36">
        <v>8</v>
      </c>
      <c r="Q222" s="36">
        <v>2</v>
      </c>
      <c r="S222" s="86">
        <v>98345</v>
      </c>
      <c r="T222" s="38" t="s">
        <v>10</v>
      </c>
      <c r="U222" s="36">
        <v>1</v>
      </c>
      <c r="V222" s="36">
        <v>2</v>
      </c>
      <c r="W222" s="36">
        <v>2</v>
      </c>
    </row>
    <row r="223" spans="1:23" x14ac:dyDescent="0.2">
      <c r="A223" s="64">
        <v>98274</v>
      </c>
      <c r="B223" s="38" t="s">
        <v>352</v>
      </c>
      <c r="C223" s="48">
        <v>2</v>
      </c>
      <c r="D223" s="48">
        <v>2</v>
      </c>
      <c r="E223" s="48">
        <v>2</v>
      </c>
      <c r="M223" s="59">
        <v>98240</v>
      </c>
      <c r="N223" s="38" t="s">
        <v>10</v>
      </c>
      <c r="O223" s="36">
        <v>5</v>
      </c>
      <c r="P223" s="36">
        <v>7</v>
      </c>
      <c r="Q223" s="36">
        <v>6</v>
      </c>
      <c r="S223" s="86">
        <v>98346</v>
      </c>
      <c r="T223" s="38" t="s">
        <v>10</v>
      </c>
      <c r="U223" s="36">
        <v>17</v>
      </c>
      <c r="V223" s="33">
        <v>30</v>
      </c>
      <c r="W223" s="33">
        <v>49</v>
      </c>
    </row>
    <row r="224" spans="1:23" x14ac:dyDescent="0.2">
      <c r="A224" s="64">
        <v>98274</v>
      </c>
      <c r="B224" s="38" t="s">
        <v>10</v>
      </c>
      <c r="C224" s="48">
        <v>168</v>
      </c>
      <c r="D224" s="48">
        <v>142</v>
      </c>
      <c r="E224" s="48">
        <v>99</v>
      </c>
      <c r="M224" s="86">
        <v>98244</v>
      </c>
      <c r="N224" s="38" t="s">
        <v>352</v>
      </c>
      <c r="O224" s="36">
        <v>0</v>
      </c>
      <c r="P224" s="36">
        <v>0</v>
      </c>
      <c r="Q224" s="36">
        <v>1</v>
      </c>
      <c r="S224" s="59">
        <v>98354</v>
      </c>
      <c r="T224" s="38" t="s">
        <v>10</v>
      </c>
      <c r="U224" s="36">
        <v>5</v>
      </c>
      <c r="V224" s="36">
        <v>6</v>
      </c>
      <c r="W224" s="36">
        <v>3</v>
      </c>
    </row>
    <row r="225" spans="1:23" x14ac:dyDescent="0.2">
      <c r="A225" s="64">
        <v>98275</v>
      </c>
      <c r="B225" s="38" t="s">
        <v>352</v>
      </c>
      <c r="C225" s="48">
        <v>2</v>
      </c>
      <c r="D225" s="48">
        <v>2</v>
      </c>
      <c r="E225" s="48">
        <v>2</v>
      </c>
      <c r="M225" s="59">
        <v>98244</v>
      </c>
      <c r="N225" s="38" t="s">
        <v>10</v>
      </c>
      <c r="O225" s="36">
        <v>6</v>
      </c>
      <c r="P225" s="36">
        <v>13</v>
      </c>
      <c r="Q225" s="36">
        <v>9</v>
      </c>
      <c r="S225" s="86">
        <v>98359</v>
      </c>
      <c r="T225" s="38" t="s">
        <v>10</v>
      </c>
      <c r="U225" s="36">
        <v>7</v>
      </c>
      <c r="V225" s="36">
        <v>20</v>
      </c>
      <c r="W225" s="36">
        <v>18</v>
      </c>
    </row>
    <row r="226" spans="1:23" x14ac:dyDescent="0.2">
      <c r="A226" s="64">
        <v>98275</v>
      </c>
      <c r="B226" s="38" t="s">
        <v>10</v>
      </c>
      <c r="C226" s="48">
        <v>54</v>
      </c>
      <c r="D226" s="48">
        <v>40</v>
      </c>
      <c r="E226" s="48">
        <v>29</v>
      </c>
      <c r="M226" s="86">
        <v>98247</v>
      </c>
      <c r="N226" s="38" t="s">
        <v>352</v>
      </c>
      <c r="O226" s="36">
        <v>4</v>
      </c>
      <c r="P226" s="36">
        <v>7</v>
      </c>
      <c r="Q226" s="36">
        <v>5</v>
      </c>
      <c r="S226" s="86">
        <v>98360</v>
      </c>
      <c r="T226" s="38" t="s">
        <v>10</v>
      </c>
      <c r="U226" s="36">
        <v>24</v>
      </c>
      <c r="V226" s="36">
        <v>36</v>
      </c>
      <c r="W226" s="36">
        <v>62</v>
      </c>
    </row>
    <row r="227" spans="1:23" x14ac:dyDescent="0.2">
      <c r="A227" s="63">
        <v>98276</v>
      </c>
      <c r="B227" s="38" t="s">
        <v>10</v>
      </c>
      <c r="C227" s="48">
        <v>14</v>
      </c>
      <c r="D227" s="48">
        <v>13</v>
      </c>
      <c r="E227" s="48">
        <v>10</v>
      </c>
      <c r="M227" s="59">
        <v>98247</v>
      </c>
      <c r="N227" s="38" t="s">
        <v>10</v>
      </c>
      <c r="O227" s="36">
        <v>18</v>
      </c>
      <c r="P227" s="36">
        <v>33</v>
      </c>
      <c r="Q227" s="36">
        <v>27</v>
      </c>
      <c r="S227" s="86">
        <v>98366</v>
      </c>
      <c r="T227" s="38" t="s">
        <v>352</v>
      </c>
      <c r="U227" s="36">
        <v>0</v>
      </c>
      <c r="V227" s="36">
        <v>1</v>
      </c>
      <c r="W227" s="36">
        <v>0</v>
      </c>
    </row>
    <row r="228" spans="1:23" x14ac:dyDescent="0.2">
      <c r="A228" s="64">
        <v>98277</v>
      </c>
      <c r="B228" s="38" t="s">
        <v>352</v>
      </c>
      <c r="C228" s="48">
        <v>1</v>
      </c>
      <c r="D228" s="48">
        <v>1</v>
      </c>
      <c r="E228" s="48">
        <v>1</v>
      </c>
      <c r="M228" s="86">
        <v>98248</v>
      </c>
      <c r="N228" s="38" t="s">
        <v>352</v>
      </c>
      <c r="O228" s="36">
        <v>50</v>
      </c>
      <c r="P228" s="36">
        <v>29</v>
      </c>
      <c r="Q228" s="36">
        <v>19</v>
      </c>
      <c r="S228" s="86">
        <v>98366</v>
      </c>
      <c r="T228" s="38" t="s">
        <v>10</v>
      </c>
      <c r="U228" s="36">
        <v>80</v>
      </c>
      <c r="V228" s="36">
        <v>119</v>
      </c>
      <c r="W228" s="36">
        <v>227</v>
      </c>
    </row>
    <row r="229" spans="1:23" x14ac:dyDescent="0.2">
      <c r="A229" s="64">
        <v>98277</v>
      </c>
      <c r="B229" s="38" t="s">
        <v>10</v>
      </c>
      <c r="C229" s="48">
        <v>409</v>
      </c>
      <c r="D229" s="48">
        <v>356</v>
      </c>
      <c r="E229" s="48">
        <v>271</v>
      </c>
      <c r="M229" s="59">
        <v>98248</v>
      </c>
      <c r="N229" s="38" t="s">
        <v>10</v>
      </c>
      <c r="O229" s="36">
        <v>68</v>
      </c>
      <c r="P229" s="36">
        <v>101</v>
      </c>
      <c r="Q229" s="36">
        <v>98</v>
      </c>
      <c r="S229" s="86">
        <v>98367</v>
      </c>
      <c r="T229" s="38" t="s">
        <v>352</v>
      </c>
      <c r="U229" s="33">
        <v>0</v>
      </c>
      <c r="V229" s="36">
        <v>1</v>
      </c>
      <c r="W229" s="36">
        <v>0</v>
      </c>
    </row>
    <row r="230" spans="1:23" x14ac:dyDescent="0.2">
      <c r="A230" s="64">
        <v>98281</v>
      </c>
      <c r="B230" s="38" t="s">
        <v>10</v>
      </c>
      <c r="C230" s="48">
        <v>19</v>
      </c>
      <c r="D230" s="48">
        <v>17</v>
      </c>
      <c r="E230" s="48">
        <v>8</v>
      </c>
      <c r="M230" s="86">
        <v>98249</v>
      </c>
      <c r="N230" s="38" t="s">
        <v>352</v>
      </c>
      <c r="O230" s="33">
        <v>6</v>
      </c>
      <c r="P230" s="33">
        <v>3</v>
      </c>
      <c r="Q230" s="36">
        <v>5</v>
      </c>
      <c r="S230" s="86">
        <v>98367</v>
      </c>
      <c r="T230" s="38" t="s">
        <v>10</v>
      </c>
      <c r="U230" s="36">
        <v>33</v>
      </c>
      <c r="V230" s="36">
        <v>68</v>
      </c>
      <c r="W230" s="36">
        <v>102</v>
      </c>
    </row>
    <row r="231" spans="1:23" x14ac:dyDescent="0.2">
      <c r="A231" s="63">
        <v>98283</v>
      </c>
      <c r="B231" s="38" t="s">
        <v>352</v>
      </c>
      <c r="C231" s="48">
        <v>6</v>
      </c>
      <c r="D231" s="48">
        <v>6</v>
      </c>
      <c r="E231" s="48">
        <v>6</v>
      </c>
      <c r="M231" s="59">
        <v>98249</v>
      </c>
      <c r="N231" s="38" t="s">
        <v>10</v>
      </c>
      <c r="O231" s="36">
        <v>22</v>
      </c>
      <c r="P231" s="36">
        <v>24</v>
      </c>
      <c r="Q231" s="36">
        <v>22</v>
      </c>
      <c r="S231" s="86">
        <v>98370</v>
      </c>
      <c r="T231" s="38" t="s">
        <v>10</v>
      </c>
      <c r="U231" s="36">
        <v>39</v>
      </c>
      <c r="V231" s="36">
        <v>82</v>
      </c>
      <c r="W231" s="36">
        <v>91</v>
      </c>
    </row>
    <row r="232" spans="1:23" x14ac:dyDescent="0.2">
      <c r="A232" s="64">
        <v>98283</v>
      </c>
      <c r="B232" s="38" t="s">
        <v>10</v>
      </c>
      <c r="C232" s="48">
        <v>7</v>
      </c>
      <c r="D232" s="48">
        <v>7</v>
      </c>
      <c r="E232" s="48">
        <v>5</v>
      </c>
      <c r="M232" s="86">
        <v>98251</v>
      </c>
      <c r="N232" s="38" t="s">
        <v>352</v>
      </c>
      <c r="O232" s="36">
        <v>0</v>
      </c>
      <c r="P232" s="33">
        <v>1</v>
      </c>
      <c r="Q232" s="33">
        <v>0</v>
      </c>
      <c r="S232" s="86">
        <v>98371</v>
      </c>
      <c r="T232" s="38" t="s">
        <v>352</v>
      </c>
      <c r="U232" s="36">
        <v>1</v>
      </c>
      <c r="V232" s="36">
        <v>0</v>
      </c>
      <c r="W232" s="36">
        <v>0</v>
      </c>
    </row>
    <row r="233" spans="1:23" x14ac:dyDescent="0.2">
      <c r="A233" s="63">
        <v>98284</v>
      </c>
      <c r="B233" s="38" t="s">
        <v>10</v>
      </c>
      <c r="C233" s="48">
        <v>360</v>
      </c>
      <c r="D233" s="48">
        <v>285</v>
      </c>
      <c r="E233" s="48">
        <v>175</v>
      </c>
      <c r="M233" s="59">
        <v>98251</v>
      </c>
      <c r="N233" s="38" t="s">
        <v>10</v>
      </c>
      <c r="O233" s="36">
        <v>2</v>
      </c>
      <c r="P233" s="36">
        <v>1</v>
      </c>
      <c r="Q233" s="36">
        <v>5</v>
      </c>
      <c r="S233" s="86">
        <v>98371</v>
      </c>
      <c r="T233" s="38" t="s">
        <v>10</v>
      </c>
      <c r="U233" s="36">
        <v>25</v>
      </c>
      <c r="V233" s="36">
        <v>73</v>
      </c>
      <c r="W233" s="36">
        <v>121</v>
      </c>
    </row>
    <row r="234" spans="1:23" x14ac:dyDescent="0.2">
      <c r="A234" s="64">
        <v>98288</v>
      </c>
      <c r="B234" s="38" t="s">
        <v>10</v>
      </c>
      <c r="C234" s="48">
        <v>7</v>
      </c>
      <c r="D234" s="48">
        <v>7</v>
      </c>
      <c r="E234" s="48">
        <v>6</v>
      </c>
      <c r="M234" s="86">
        <v>98252</v>
      </c>
      <c r="N234" s="38" t="s">
        <v>10</v>
      </c>
      <c r="O234" s="36">
        <v>4</v>
      </c>
      <c r="P234" s="36">
        <v>5</v>
      </c>
      <c r="Q234" s="36">
        <v>14</v>
      </c>
      <c r="S234" s="86">
        <v>98372</v>
      </c>
      <c r="T234" s="38" t="s">
        <v>352</v>
      </c>
      <c r="U234" s="36">
        <v>0</v>
      </c>
      <c r="V234" s="36">
        <v>1</v>
      </c>
      <c r="W234" s="36">
        <v>1</v>
      </c>
    </row>
    <row r="235" spans="1:23" x14ac:dyDescent="0.2">
      <c r="A235" s="63">
        <v>98290</v>
      </c>
      <c r="B235" s="38" t="s">
        <v>352</v>
      </c>
      <c r="C235" s="48">
        <v>1</v>
      </c>
      <c r="D235" s="48">
        <v>1</v>
      </c>
      <c r="E235" s="48">
        <v>1</v>
      </c>
      <c r="M235" s="59">
        <v>98253</v>
      </c>
      <c r="N235" s="38" t="s">
        <v>352</v>
      </c>
      <c r="O235" s="36">
        <v>2</v>
      </c>
      <c r="P235" s="36">
        <v>2</v>
      </c>
      <c r="Q235" s="36">
        <v>2</v>
      </c>
      <c r="S235" s="86">
        <v>98372</v>
      </c>
      <c r="T235" s="38" t="s">
        <v>10</v>
      </c>
      <c r="U235" s="33">
        <v>42</v>
      </c>
      <c r="V235" s="36">
        <v>81</v>
      </c>
      <c r="W235" s="36">
        <v>114</v>
      </c>
    </row>
    <row r="236" spans="1:23" x14ac:dyDescent="0.2">
      <c r="A236" s="64">
        <v>98290</v>
      </c>
      <c r="B236" s="38" t="s">
        <v>10</v>
      </c>
      <c r="C236" s="48">
        <v>50</v>
      </c>
      <c r="D236" s="48">
        <v>41</v>
      </c>
      <c r="E236" s="48">
        <v>23</v>
      </c>
      <c r="M236" s="86">
        <v>98253</v>
      </c>
      <c r="N236" s="38" t="s">
        <v>10</v>
      </c>
      <c r="O236" s="33">
        <v>7</v>
      </c>
      <c r="P236" s="33">
        <v>10</v>
      </c>
      <c r="Q236" s="36">
        <v>6</v>
      </c>
      <c r="S236" s="86">
        <v>98373</v>
      </c>
      <c r="T236" s="38" t="s">
        <v>352</v>
      </c>
      <c r="U236" s="33">
        <v>1</v>
      </c>
      <c r="V236" s="33">
        <v>0</v>
      </c>
      <c r="W236" s="36">
        <v>0</v>
      </c>
    </row>
    <row r="237" spans="1:23" x14ac:dyDescent="0.2">
      <c r="A237" s="63">
        <v>98292</v>
      </c>
      <c r="B237" s="38" t="s">
        <v>10</v>
      </c>
      <c r="C237" s="48">
        <v>8</v>
      </c>
      <c r="D237" s="48">
        <v>8</v>
      </c>
      <c r="E237" s="48">
        <v>7</v>
      </c>
      <c r="M237" s="59">
        <v>98255</v>
      </c>
      <c r="N237" s="38" t="s">
        <v>352</v>
      </c>
      <c r="O237" s="36">
        <v>1</v>
      </c>
      <c r="P237" s="36">
        <v>0</v>
      </c>
      <c r="Q237" s="36">
        <v>1</v>
      </c>
      <c r="S237" s="86">
        <v>98373</v>
      </c>
      <c r="T237" s="38" t="s">
        <v>10</v>
      </c>
      <c r="U237" s="36">
        <v>41</v>
      </c>
      <c r="V237" s="36">
        <v>80</v>
      </c>
      <c r="W237" s="36">
        <v>132</v>
      </c>
    </row>
    <row r="238" spans="1:23" x14ac:dyDescent="0.2">
      <c r="A238" s="64">
        <v>98294</v>
      </c>
      <c r="B238" s="38" t="s">
        <v>10</v>
      </c>
      <c r="C238" s="48">
        <v>33</v>
      </c>
      <c r="D238" s="48">
        <v>27</v>
      </c>
      <c r="E238" s="48">
        <v>20</v>
      </c>
      <c r="M238" s="86">
        <v>98255</v>
      </c>
      <c r="N238" s="38" t="s">
        <v>10</v>
      </c>
      <c r="O238" s="36">
        <v>4</v>
      </c>
      <c r="P238" s="36">
        <v>6</v>
      </c>
      <c r="Q238" s="36">
        <v>0</v>
      </c>
      <c r="S238" s="86">
        <v>98374</v>
      </c>
      <c r="T238" s="38" t="s">
        <v>352</v>
      </c>
      <c r="U238" s="36">
        <v>0</v>
      </c>
      <c r="V238" s="33">
        <v>1</v>
      </c>
      <c r="W238" s="33">
        <v>0</v>
      </c>
    </row>
    <row r="239" spans="1:23" x14ac:dyDescent="0.2">
      <c r="A239" s="63">
        <v>98295</v>
      </c>
      <c r="B239" s="38" t="s">
        <v>10</v>
      </c>
      <c r="C239" s="48">
        <v>11</v>
      </c>
      <c r="D239" s="48">
        <v>9</v>
      </c>
      <c r="E239" s="48">
        <v>6</v>
      </c>
      <c r="M239" s="59">
        <v>98257</v>
      </c>
      <c r="N239" s="38" t="s">
        <v>352</v>
      </c>
      <c r="O239" s="36">
        <v>6</v>
      </c>
      <c r="P239" s="36">
        <v>8</v>
      </c>
      <c r="Q239" s="36">
        <v>5</v>
      </c>
      <c r="S239" s="86">
        <v>98374</v>
      </c>
      <c r="T239" s="38" t="s">
        <v>10</v>
      </c>
      <c r="U239" s="33">
        <v>55</v>
      </c>
      <c r="V239" s="36">
        <v>111</v>
      </c>
      <c r="W239" s="33">
        <v>223</v>
      </c>
    </row>
    <row r="240" spans="1:23" x14ac:dyDescent="0.2">
      <c r="A240" s="64">
        <v>98296</v>
      </c>
      <c r="B240" s="38" t="s">
        <v>10</v>
      </c>
      <c r="C240" s="48">
        <v>63</v>
      </c>
      <c r="D240" s="48">
        <v>56</v>
      </c>
      <c r="E240" s="48">
        <v>29</v>
      </c>
      <c r="M240" s="86">
        <v>98257</v>
      </c>
      <c r="N240" s="38" t="s">
        <v>10</v>
      </c>
      <c r="O240" s="36">
        <v>15</v>
      </c>
      <c r="P240" s="33">
        <v>15</v>
      </c>
      <c r="Q240" s="36">
        <v>14</v>
      </c>
      <c r="S240" s="59">
        <v>98375</v>
      </c>
      <c r="T240" s="38" t="s">
        <v>10</v>
      </c>
      <c r="U240" s="36">
        <v>42</v>
      </c>
      <c r="V240" s="36">
        <v>86</v>
      </c>
      <c r="W240" s="36">
        <v>125</v>
      </c>
    </row>
    <row r="241" spans="1:23" x14ac:dyDescent="0.2">
      <c r="A241" s="63">
        <v>98310</v>
      </c>
      <c r="B241" s="38" t="s">
        <v>352</v>
      </c>
      <c r="C241" s="48">
        <v>4</v>
      </c>
      <c r="D241" s="48">
        <v>4</v>
      </c>
      <c r="E241" s="48">
        <v>4</v>
      </c>
      <c r="M241" s="59">
        <v>98258</v>
      </c>
      <c r="N241" s="38" t="s">
        <v>352</v>
      </c>
      <c r="O241" s="36">
        <v>0</v>
      </c>
      <c r="P241" s="36">
        <v>2</v>
      </c>
      <c r="Q241" s="36">
        <v>0</v>
      </c>
      <c r="S241" s="86">
        <v>98380</v>
      </c>
      <c r="T241" s="38" t="s">
        <v>10</v>
      </c>
      <c r="U241" s="36">
        <v>5</v>
      </c>
      <c r="V241" s="33">
        <v>9</v>
      </c>
      <c r="W241" s="33">
        <v>15</v>
      </c>
    </row>
    <row r="242" spans="1:23" x14ac:dyDescent="0.2">
      <c r="A242" s="64">
        <v>98310</v>
      </c>
      <c r="B242" s="38" t="s">
        <v>10</v>
      </c>
      <c r="C242" s="48">
        <v>287</v>
      </c>
      <c r="D242" s="48">
        <v>251</v>
      </c>
      <c r="E242" s="48">
        <v>192</v>
      </c>
      <c r="M242" s="86">
        <v>98258</v>
      </c>
      <c r="N242" s="38" t="s">
        <v>10</v>
      </c>
      <c r="O242" s="36">
        <v>95</v>
      </c>
      <c r="P242" s="36">
        <v>76</v>
      </c>
      <c r="Q242" s="36">
        <v>88</v>
      </c>
      <c r="S242" s="59">
        <v>98383</v>
      </c>
      <c r="T242" s="38" t="s">
        <v>352</v>
      </c>
      <c r="U242" s="36">
        <v>0</v>
      </c>
      <c r="V242" s="36">
        <v>0</v>
      </c>
      <c r="W242" s="36">
        <v>2</v>
      </c>
    </row>
    <row r="243" spans="1:23" x14ac:dyDescent="0.2">
      <c r="A243" s="64">
        <v>98311</v>
      </c>
      <c r="B243" s="38" t="s">
        <v>352</v>
      </c>
      <c r="C243" s="48">
        <v>2</v>
      </c>
      <c r="D243" s="48">
        <v>2</v>
      </c>
      <c r="E243" s="48">
        <v>2</v>
      </c>
      <c r="M243" s="59">
        <v>98260</v>
      </c>
      <c r="N243" s="38" t="s">
        <v>352</v>
      </c>
      <c r="O243" s="36">
        <v>4</v>
      </c>
      <c r="P243" s="36">
        <v>6</v>
      </c>
      <c r="Q243" s="36">
        <v>7</v>
      </c>
      <c r="S243" s="86">
        <v>98383</v>
      </c>
      <c r="T243" s="38" t="s">
        <v>10</v>
      </c>
      <c r="U243" s="36">
        <v>14</v>
      </c>
      <c r="V243" s="36">
        <v>27</v>
      </c>
      <c r="W243" s="36">
        <v>52</v>
      </c>
    </row>
    <row r="244" spans="1:23" x14ac:dyDescent="0.2">
      <c r="A244" s="63">
        <v>98311</v>
      </c>
      <c r="B244" s="38" t="s">
        <v>10</v>
      </c>
      <c r="C244" s="48">
        <v>319</v>
      </c>
      <c r="D244" s="48">
        <v>284</v>
      </c>
      <c r="E244" s="48">
        <v>225</v>
      </c>
      <c r="M244" s="86">
        <v>98260</v>
      </c>
      <c r="N244" s="38" t="s">
        <v>10</v>
      </c>
      <c r="O244" s="33">
        <v>10</v>
      </c>
      <c r="P244" s="36">
        <v>21</v>
      </c>
      <c r="Q244" s="33">
        <v>18</v>
      </c>
      <c r="S244" s="86">
        <v>98385</v>
      </c>
      <c r="T244" s="38" t="s">
        <v>10</v>
      </c>
      <c r="U244" s="36">
        <v>0</v>
      </c>
      <c r="V244" s="33">
        <v>2</v>
      </c>
      <c r="W244" s="33">
        <v>1</v>
      </c>
    </row>
    <row r="245" spans="1:23" x14ac:dyDescent="0.2">
      <c r="A245" s="64">
        <v>98312</v>
      </c>
      <c r="B245" s="38" t="s">
        <v>352</v>
      </c>
      <c r="C245" s="48">
        <v>4</v>
      </c>
      <c r="D245" s="48">
        <v>4</v>
      </c>
      <c r="E245" s="48">
        <v>4</v>
      </c>
      <c r="M245" s="59">
        <v>98262</v>
      </c>
      <c r="N245" s="38" t="s">
        <v>352</v>
      </c>
      <c r="O245" s="36">
        <v>0</v>
      </c>
      <c r="P245" s="36">
        <v>0</v>
      </c>
      <c r="Q245" s="36">
        <v>1</v>
      </c>
      <c r="S245" s="59">
        <v>98387</v>
      </c>
      <c r="T245" s="38" t="s">
        <v>10</v>
      </c>
      <c r="U245" s="36">
        <v>51</v>
      </c>
      <c r="V245" s="36">
        <v>98</v>
      </c>
      <c r="W245" s="36">
        <v>141</v>
      </c>
    </row>
    <row r="246" spans="1:23" x14ac:dyDescent="0.2">
      <c r="A246" s="64">
        <v>98312</v>
      </c>
      <c r="B246" s="38" t="s">
        <v>10</v>
      </c>
      <c r="C246" s="48">
        <v>445</v>
      </c>
      <c r="D246" s="48">
        <v>373</v>
      </c>
      <c r="E246" s="48">
        <v>255</v>
      </c>
      <c r="M246" s="86">
        <v>98262</v>
      </c>
      <c r="N246" s="38" t="s">
        <v>10</v>
      </c>
      <c r="O246" s="36">
        <v>3</v>
      </c>
      <c r="P246" s="36">
        <v>4</v>
      </c>
      <c r="Q246" s="33">
        <v>4</v>
      </c>
      <c r="S246" s="86">
        <v>98388</v>
      </c>
      <c r="T246" s="38" t="s">
        <v>10</v>
      </c>
      <c r="U246" s="36">
        <v>5</v>
      </c>
      <c r="V246" s="36">
        <v>6</v>
      </c>
      <c r="W246" s="36">
        <v>9</v>
      </c>
    </row>
    <row r="247" spans="1:23" x14ac:dyDescent="0.2">
      <c r="A247" s="63">
        <v>98321</v>
      </c>
      <c r="B247" s="38" t="s">
        <v>352</v>
      </c>
      <c r="C247" s="48">
        <v>2</v>
      </c>
      <c r="D247" s="48">
        <v>2</v>
      </c>
      <c r="E247" s="48">
        <v>2</v>
      </c>
      <c r="M247" s="59">
        <v>98263</v>
      </c>
      <c r="N247" s="38" t="s">
        <v>352</v>
      </c>
      <c r="O247" s="33">
        <v>0</v>
      </c>
      <c r="P247" s="36">
        <v>1</v>
      </c>
      <c r="Q247" s="36">
        <v>1</v>
      </c>
      <c r="S247" s="86">
        <v>98390</v>
      </c>
      <c r="T247" s="38" t="s">
        <v>10</v>
      </c>
      <c r="U247" s="36">
        <v>27</v>
      </c>
      <c r="V247" s="36">
        <v>48</v>
      </c>
      <c r="W247" s="36">
        <v>72</v>
      </c>
    </row>
    <row r="248" spans="1:23" x14ac:dyDescent="0.2">
      <c r="A248" s="64">
        <v>98321</v>
      </c>
      <c r="B248" s="38" t="s">
        <v>10</v>
      </c>
      <c r="C248" s="48">
        <v>217</v>
      </c>
      <c r="D248" s="48">
        <v>200</v>
      </c>
      <c r="E248" s="48">
        <v>152</v>
      </c>
      <c r="M248" s="86">
        <v>98263</v>
      </c>
      <c r="N248" s="38" t="s">
        <v>10</v>
      </c>
      <c r="O248" s="36">
        <v>0</v>
      </c>
      <c r="P248" s="36">
        <v>1</v>
      </c>
      <c r="Q248" s="36">
        <v>2</v>
      </c>
      <c r="S248" s="86">
        <v>98391</v>
      </c>
      <c r="T248" s="38" t="s">
        <v>10</v>
      </c>
      <c r="U248" s="36">
        <v>102</v>
      </c>
      <c r="V248" s="36">
        <v>168</v>
      </c>
      <c r="W248" s="36">
        <v>225</v>
      </c>
    </row>
    <row r="249" spans="1:23" x14ac:dyDescent="0.2">
      <c r="A249" s="63">
        <v>98323</v>
      </c>
      <c r="B249" s="38" t="s">
        <v>10</v>
      </c>
      <c r="C249" s="48">
        <v>9</v>
      </c>
      <c r="D249" s="48">
        <v>7</v>
      </c>
      <c r="E249" s="48">
        <v>6</v>
      </c>
      <c r="M249" s="59">
        <v>98264</v>
      </c>
      <c r="N249" s="38" t="s">
        <v>352</v>
      </c>
      <c r="O249" s="36">
        <v>21</v>
      </c>
      <c r="P249" s="36">
        <v>28</v>
      </c>
      <c r="Q249" s="36">
        <v>25</v>
      </c>
      <c r="S249" s="86">
        <v>98392</v>
      </c>
      <c r="T249" s="38" t="s">
        <v>10</v>
      </c>
      <c r="U249" s="36">
        <v>6</v>
      </c>
      <c r="V249" s="36">
        <v>14</v>
      </c>
      <c r="W249" s="36">
        <v>25</v>
      </c>
    </row>
    <row r="250" spans="1:23" x14ac:dyDescent="0.2">
      <c r="A250" s="64">
        <v>98327</v>
      </c>
      <c r="B250" s="38" t="s">
        <v>352</v>
      </c>
      <c r="C250" s="48">
        <v>2</v>
      </c>
      <c r="D250" s="48">
        <v>2</v>
      </c>
      <c r="E250" s="48">
        <v>1</v>
      </c>
      <c r="M250" s="86">
        <v>98264</v>
      </c>
      <c r="N250" s="38" t="s">
        <v>10</v>
      </c>
      <c r="O250" s="36">
        <v>128</v>
      </c>
      <c r="P250" s="33">
        <v>87</v>
      </c>
      <c r="Q250" s="36">
        <v>103</v>
      </c>
      <c r="S250" s="86">
        <v>98396</v>
      </c>
      <c r="T250" s="38" t="s">
        <v>10</v>
      </c>
      <c r="U250" s="36">
        <v>1</v>
      </c>
      <c r="V250" s="33">
        <v>0</v>
      </c>
      <c r="W250" s="33">
        <v>3</v>
      </c>
    </row>
    <row r="251" spans="1:23" x14ac:dyDescent="0.2">
      <c r="A251" s="64">
        <v>98327</v>
      </c>
      <c r="B251" s="38" t="s">
        <v>10</v>
      </c>
      <c r="C251" s="48">
        <v>34</v>
      </c>
      <c r="D251" s="48">
        <v>27</v>
      </c>
      <c r="E251" s="48">
        <v>16</v>
      </c>
      <c r="M251" s="59">
        <v>98266</v>
      </c>
      <c r="N251" s="38" t="s">
        <v>352</v>
      </c>
      <c r="O251" s="36">
        <v>1</v>
      </c>
      <c r="P251" s="36">
        <v>5</v>
      </c>
      <c r="Q251" s="36">
        <v>0</v>
      </c>
      <c r="S251" s="59">
        <v>98402</v>
      </c>
      <c r="T251" s="38" t="s">
        <v>352</v>
      </c>
      <c r="U251" s="36">
        <v>1</v>
      </c>
      <c r="V251" s="36">
        <v>0</v>
      </c>
      <c r="W251" s="36">
        <v>0</v>
      </c>
    </row>
    <row r="252" spans="1:23" x14ac:dyDescent="0.2">
      <c r="A252" s="63">
        <v>98328</v>
      </c>
      <c r="B252" s="38" t="s">
        <v>10</v>
      </c>
      <c r="C252" s="48">
        <v>5</v>
      </c>
      <c r="D252" s="48">
        <v>5</v>
      </c>
      <c r="E252" s="48">
        <v>3</v>
      </c>
      <c r="M252" s="86">
        <v>98266</v>
      </c>
      <c r="N252" s="38" t="s">
        <v>10</v>
      </c>
      <c r="O252" s="33">
        <v>20</v>
      </c>
      <c r="P252" s="36">
        <v>21</v>
      </c>
      <c r="Q252" s="33">
        <v>26</v>
      </c>
      <c r="S252" s="86">
        <v>98402</v>
      </c>
      <c r="T252" s="38" t="s">
        <v>10</v>
      </c>
      <c r="U252" s="36">
        <v>0</v>
      </c>
      <c r="V252" s="33">
        <v>1</v>
      </c>
      <c r="W252" s="36">
        <v>1</v>
      </c>
    </row>
    <row r="253" spans="1:23" x14ac:dyDescent="0.2">
      <c r="A253" s="64">
        <v>98329</v>
      </c>
      <c r="B253" s="38" t="s">
        <v>10</v>
      </c>
      <c r="C253" s="48">
        <v>1</v>
      </c>
      <c r="D253" s="48">
        <v>1</v>
      </c>
      <c r="E253" s="48">
        <v>1</v>
      </c>
      <c r="M253" s="59">
        <v>98267</v>
      </c>
      <c r="N253" s="38" t="s">
        <v>10</v>
      </c>
      <c r="O253" s="36">
        <v>1</v>
      </c>
      <c r="P253" s="36">
        <v>1</v>
      </c>
      <c r="Q253" s="33">
        <v>0</v>
      </c>
      <c r="S253" s="86">
        <v>98403</v>
      </c>
      <c r="T253" s="38" t="s">
        <v>352</v>
      </c>
      <c r="U253" s="33">
        <v>1</v>
      </c>
      <c r="V253" s="36">
        <v>1</v>
      </c>
      <c r="W253" s="33">
        <v>0</v>
      </c>
    </row>
    <row r="254" spans="1:23" x14ac:dyDescent="0.2">
      <c r="A254" s="64">
        <v>98332</v>
      </c>
      <c r="B254" s="38" t="s">
        <v>10</v>
      </c>
      <c r="C254" s="48">
        <v>53</v>
      </c>
      <c r="D254" s="48">
        <v>52</v>
      </c>
      <c r="E254" s="48">
        <v>38</v>
      </c>
      <c r="M254" s="86">
        <v>98270</v>
      </c>
      <c r="N254" s="38" t="s">
        <v>352</v>
      </c>
      <c r="O254" s="36">
        <v>5</v>
      </c>
      <c r="P254" s="33">
        <v>2</v>
      </c>
      <c r="Q254" s="36">
        <v>3</v>
      </c>
      <c r="S254" s="86">
        <v>98403</v>
      </c>
      <c r="T254" s="38" t="s">
        <v>10</v>
      </c>
      <c r="U254" s="36">
        <v>2</v>
      </c>
      <c r="V254" s="36">
        <v>10</v>
      </c>
      <c r="W254" s="36">
        <v>9</v>
      </c>
    </row>
    <row r="255" spans="1:23" x14ac:dyDescent="0.2">
      <c r="A255" s="63">
        <v>98335</v>
      </c>
      <c r="B255" s="38" t="s">
        <v>10</v>
      </c>
      <c r="C255" s="48">
        <v>74</v>
      </c>
      <c r="D255" s="48">
        <v>59</v>
      </c>
      <c r="E255" s="48">
        <v>37</v>
      </c>
      <c r="M255" s="59">
        <v>98270</v>
      </c>
      <c r="N255" s="38" t="s">
        <v>10</v>
      </c>
      <c r="O255" s="36">
        <v>79</v>
      </c>
      <c r="P255" s="36">
        <v>83</v>
      </c>
      <c r="Q255" s="36">
        <v>93</v>
      </c>
      <c r="S255" s="86">
        <v>98404</v>
      </c>
      <c r="T255" s="38" t="s">
        <v>10</v>
      </c>
      <c r="U255" s="36">
        <v>31</v>
      </c>
      <c r="V255" s="36">
        <v>44</v>
      </c>
      <c r="W255" s="36">
        <v>71</v>
      </c>
    </row>
    <row r="256" spans="1:23" x14ac:dyDescent="0.2">
      <c r="A256" s="64">
        <v>98337</v>
      </c>
      <c r="B256" s="38" t="s">
        <v>352</v>
      </c>
      <c r="C256" s="48">
        <v>4</v>
      </c>
      <c r="D256" s="48">
        <v>4</v>
      </c>
      <c r="E256" s="48">
        <v>4</v>
      </c>
      <c r="M256" s="86">
        <v>98271</v>
      </c>
      <c r="N256" s="38" t="s">
        <v>352</v>
      </c>
      <c r="O256" s="36">
        <v>16</v>
      </c>
      <c r="P256" s="36">
        <v>5</v>
      </c>
      <c r="Q256" s="36">
        <v>3</v>
      </c>
      <c r="S256" s="86">
        <v>98405</v>
      </c>
      <c r="T256" s="38" t="s">
        <v>352</v>
      </c>
      <c r="U256" s="36">
        <v>1</v>
      </c>
      <c r="V256" s="36">
        <v>0</v>
      </c>
      <c r="W256" s="36">
        <v>0</v>
      </c>
    </row>
    <row r="257" spans="1:23" x14ac:dyDescent="0.2">
      <c r="A257" s="64">
        <v>98337</v>
      </c>
      <c r="B257" s="38" t="s">
        <v>10</v>
      </c>
      <c r="C257" s="48">
        <v>107</v>
      </c>
      <c r="D257" s="48">
        <v>92</v>
      </c>
      <c r="E257" s="48">
        <v>62</v>
      </c>
      <c r="M257" s="59">
        <v>98271</v>
      </c>
      <c r="N257" s="38" t="s">
        <v>10</v>
      </c>
      <c r="O257" s="36">
        <v>28</v>
      </c>
      <c r="P257" s="36">
        <v>17</v>
      </c>
      <c r="Q257" s="36">
        <v>18</v>
      </c>
      <c r="S257" s="86">
        <v>98405</v>
      </c>
      <c r="T257" s="38" t="s">
        <v>10</v>
      </c>
      <c r="U257" s="36">
        <v>32</v>
      </c>
      <c r="V257" s="36">
        <v>39</v>
      </c>
      <c r="W257" s="36">
        <v>58</v>
      </c>
    </row>
    <row r="258" spans="1:23" x14ac:dyDescent="0.2">
      <c r="A258" s="64">
        <v>98338</v>
      </c>
      <c r="B258" s="38" t="s">
        <v>352</v>
      </c>
      <c r="C258" s="48">
        <v>2</v>
      </c>
      <c r="D258" s="48">
        <v>2</v>
      </c>
      <c r="E258" s="48">
        <v>1</v>
      </c>
      <c r="M258" s="86">
        <v>98272</v>
      </c>
      <c r="N258" s="38" t="s">
        <v>352</v>
      </c>
      <c r="O258" s="36">
        <v>5</v>
      </c>
      <c r="P258" s="36">
        <v>4</v>
      </c>
      <c r="Q258" s="36">
        <v>1</v>
      </c>
      <c r="S258" s="86">
        <v>98406</v>
      </c>
      <c r="T258" s="38" t="s">
        <v>10</v>
      </c>
      <c r="U258" s="33">
        <v>24</v>
      </c>
      <c r="V258" s="36">
        <v>25</v>
      </c>
      <c r="W258" s="33">
        <v>24</v>
      </c>
    </row>
    <row r="259" spans="1:23" x14ac:dyDescent="0.2">
      <c r="A259" s="63">
        <v>98338</v>
      </c>
      <c r="B259" s="38" t="s">
        <v>10</v>
      </c>
      <c r="C259" s="48">
        <v>244</v>
      </c>
      <c r="D259" s="48">
        <v>214</v>
      </c>
      <c r="E259" s="48">
        <v>157</v>
      </c>
      <c r="M259" s="59">
        <v>98272</v>
      </c>
      <c r="N259" s="38" t="s">
        <v>10</v>
      </c>
      <c r="O259" s="36">
        <v>46</v>
      </c>
      <c r="P259" s="36">
        <v>46</v>
      </c>
      <c r="Q259" s="36">
        <v>34</v>
      </c>
      <c r="S259" s="86">
        <v>98407</v>
      </c>
      <c r="T259" s="38" t="s">
        <v>10</v>
      </c>
      <c r="U259" s="33">
        <v>13</v>
      </c>
      <c r="V259" s="36">
        <v>23</v>
      </c>
      <c r="W259" s="36">
        <v>27</v>
      </c>
    </row>
    <row r="260" spans="1:23" x14ac:dyDescent="0.2">
      <c r="A260" s="64">
        <v>98340</v>
      </c>
      <c r="B260" s="38" t="s">
        <v>10</v>
      </c>
      <c r="C260" s="48">
        <v>25</v>
      </c>
      <c r="D260" s="48">
        <v>23</v>
      </c>
      <c r="E260" s="48">
        <v>16</v>
      </c>
      <c r="M260" s="86">
        <v>98273</v>
      </c>
      <c r="N260" s="38" t="s">
        <v>352</v>
      </c>
      <c r="O260" s="36">
        <v>9</v>
      </c>
      <c r="P260" s="36">
        <v>8</v>
      </c>
      <c r="Q260" s="36">
        <v>13</v>
      </c>
      <c r="S260" s="86">
        <v>98408</v>
      </c>
      <c r="T260" s="38" t="s">
        <v>10</v>
      </c>
      <c r="U260" s="36">
        <v>29</v>
      </c>
      <c r="V260" s="36">
        <v>34</v>
      </c>
      <c r="W260" s="36">
        <v>80</v>
      </c>
    </row>
    <row r="261" spans="1:23" x14ac:dyDescent="0.2">
      <c r="A261" s="63">
        <v>98342</v>
      </c>
      <c r="B261" s="38" t="s">
        <v>10</v>
      </c>
      <c r="C261" s="48">
        <v>27</v>
      </c>
      <c r="D261" s="48">
        <v>23</v>
      </c>
      <c r="E261" s="48">
        <v>18</v>
      </c>
      <c r="M261" s="59">
        <v>98273</v>
      </c>
      <c r="N261" s="38" t="s">
        <v>10</v>
      </c>
      <c r="O261" s="36">
        <v>77</v>
      </c>
      <c r="P261" s="36">
        <v>85</v>
      </c>
      <c r="Q261" s="36">
        <v>103</v>
      </c>
      <c r="S261" s="86">
        <v>98409</v>
      </c>
      <c r="T261" s="38" t="s">
        <v>352</v>
      </c>
      <c r="U261" s="33">
        <v>2</v>
      </c>
      <c r="V261" s="36">
        <v>0</v>
      </c>
      <c r="W261" s="36">
        <v>0</v>
      </c>
    </row>
    <row r="262" spans="1:23" x14ac:dyDescent="0.2">
      <c r="A262" s="64">
        <v>98345</v>
      </c>
      <c r="B262" s="38" t="s">
        <v>10</v>
      </c>
      <c r="C262" s="48">
        <v>11</v>
      </c>
      <c r="D262" s="48">
        <v>10</v>
      </c>
      <c r="E262" s="48">
        <v>8</v>
      </c>
      <c r="M262" s="86">
        <v>98274</v>
      </c>
      <c r="N262" s="38" t="s">
        <v>352</v>
      </c>
      <c r="O262" s="36">
        <v>4</v>
      </c>
      <c r="P262" s="36">
        <v>6</v>
      </c>
      <c r="Q262" s="36">
        <v>6</v>
      </c>
      <c r="S262" s="86">
        <v>98409</v>
      </c>
      <c r="T262" s="38" t="s">
        <v>10</v>
      </c>
      <c r="U262" s="36">
        <v>21</v>
      </c>
      <c r="V262" s="33">
        <v>35</v>
      </c>
      <c r="W262" s="33">
        <v>45</v>
      </c>
    </row>
    <row r="263" spans="1:23" x14ac:dyDescent="0.2">
      <c r="A263" s="63">
        <v>98346</v>
      </c>
      <c r="B263" s="38" t="s">
        <v>352</v>
      </c>
      <c r="C263" s="48">
        <v>1</v>
      </c>
      <c r="D263" s="48">
        <v>1</v>
      </c>
      <c r="E263" s="48">
        <v>1</v>
      </c>
      <c r="M263" s="59">
        <v>98274</v>
      </c>
      <c r="N263" s="38" t="s">
        <v>10</v>
      </c>
      <c r="O263" s="36">
        <v>52</v>
      </c>
      <c r="P263" s="36">
        <v>52</v>
      </c>
      <c r="Q263" s="36">
        <v>53</v>
      </c>
      <c r="S263" s="59">
        <v>98418</v>
      </c>
      <c r="T263" s="38" t="s">
        <v>10</v>
      </c>
      <c r="U263" s="36">
        <v>12</v>
      </c>
      <c r="V263" s="36">
        <v>25</v>
      </c>
      <c r="W263" s="36">
        <v>28</v>
      </c>
    </row>
    <row r="264" spans="1:23" x14ac:dyDescent="0.2">
      <c r="A264" s="64">
        <v>98346</v>
      </c>
      <c r="B264" s="38" t="s">
        <v>10</v>
      </c>
      <c r="C264" s="48">
        <v>134</v>
      </c>
      <c r="D264" s="48">
        <v>119</v>
      </c>
      <c r="E264" s="48">
        <v>88</v>
      </c>
      <c r="M264" s="86">
        <v>98275</v>
      </c>
      <c r="N264" s="38" t="s">
        <v>352</v>
      </c>
      <c r="O264" s="36">
        <v>3</v>
      </c>
      <c r="P264" s="36">
        <v>4</v>
      </c>
      <c r="Q264" s="36">
        <v>1</v>
      </c>
      <c r="S264" s="86">
        <v>98422</v>
      </c>
      <c r="T264" s="38" t="s">
        <v>10</v>
      </c>
      <c r="U264" s="33">
        <v>24</v>
      </c>
      <c r="V264" s="33">
        <v>23</v>
      </c>
      <c r="W264" s="36">
        <v>23</v>
      </c>
    </row>
    <row r="265" spans="1:23" x14ac:dyDescent="0.2">
      <c r="A265" s="63">
        <v>98353</v>
      </c>
      <c r="B265" s="38" t="s">
        <v>10</v>
      </c>
      <c r="C265" s="48">
        <v>1</v>
      </c>
      <c r="D265" s="48">
        <v>1</v>
      </c>
      <c r="E265" s="48">
        <v>1</v>
      </c>
      <c r="M265" s="59">
        <v>98275</v>
      </c>
      <c r="N265" s="38" t="s">
        <v>10</v>
      </c>
      <c r="O265" s="36">
        <v>24</v>
      </c>
      <c r="P265" s="36">
        <v>11</v>
      </c>
      <c r="Q265" s="36">
        <v>24</v>
      </c>
      <c r="S265" s="86">
        <v>98424</v>
      </c>
      <c r="T265" s="38" t="s">
        <v>352</v>
      </c>
      <c r="U265" s="36">
        <v>1</v>
      </c>
      <c r="V265" s="36">
        <v>0</v>
      </c>
      <c r="W265" s="33">
        <v>0</v>
      </c>
    </row>
    <row r="266" spans="1:23" x14ac:dyDescent="0.2">
      <c r="A266" s="64">
        <v>98354</v>
      </c>
      <c r="B266" s="38" t="s">
        <v>10</v>
      </c>
      <c r="C266" s="48">
        <v>22</v>
      </c>
      <c r="D266" s="48">
        <v>18</v>
      </c>
      <c r="E266" s="48">
        <v>9</v>
      </c>
      <c r="M266" s="86">
        <v>98276</v>
      </c>
      <c r="N266" s="38" t="s">
        <v>10</v>
      </c>
      <c r="O266" s="33">
        <v>3</v>
      </c>
      <c r="P266" s="36">
        <v>5</v>
      </c>
      <c r="Q266" s="36">
        <v>5</v>
      </c>
      <c r="S266" s="86">
        <v>98424</v>
      </c>
      <c r="T266" s="38" t="s">
        <v>10</v>
      </c>
      <c r="U266" s="36">
        <v>4</v>
      </c>
      <c r="V266" s="36">
        <v>12</v>
      </c>
      <c r="W266" s="33">
        <v>19</v>
      </c>
    </row>
    <row r="267" spans="1:23" x14ac:dyDescent="0.2">
      <c r="A267" s="64">
        <v>98359</v>
      </c>
      <c r="B267" s="38" t="s">
        <v>10</v>
      </c>
      <c r="C267" s="48">
        <v>58</v>
      </c>
      <c r="D267" s="48">
        <v>52</v>
      </c>
      <c r="E267" s="48">
        <v>36</v>
      </c>
      <c r="M267" s="59">
        <v>98277</v>
      </c>
      <c r="N267" s="38" t="s">
        <v>352</v>
      </c>
      <c r="O267" s="36">
        <v>15</v>
      </c>
      <c r="P267" s="36">
        <v>14</v>
      </c>
      <c r="Q267" s="36">
        <v>19</v>
      </c>
      <c r="S267" s="86">
        <v>98439</v>
      </c>
      <c r="T267" s="38" t="s">
        <v>10</v>
      </c>
      <c r="U267" s="36">
        <v>11</v>
      </c>
      <c r="V267" s="33">
        <v>29</v>
      </c>
      <c r="W267" s="33">
        <v>47</v>
      </c>
    </row>
    <row r="268" spans="1:23" x14ac:dyDescent="0.2">
      <c r="A268" s="63">
        <v>98360</v>
      </c>
      <c r="B268" s="38" t="s">
        <v>352</v>
      </c>
      <c r="C268" s="48">
        <v>2</v>
      </c>
      <c r="D268" s="48">
        <v>2</v>
      </c>
      <c r="E268" s="48">
        <v>2</v>
      </c>
      <c r="M268" s="86">
        <v>98277</v>
      </c>
      <c r="N268" s="38" t="s">
        <v>10</v>
      </c>
      <c r="O268" s="36">
        <v>156</v>
      </c>
      <c r="P268" s="36">
        <v>148</v>
      </c>
      <c r="Q268" s="36">
        <v>163</v>
      </c>
      <c r="S268" s="86">
        <v>98443</v>
      </c>
      <c r="T268" s="38" t="s">
        <v>10</v>
      </c>
      <c r="U268" s="82">
        <v>5</v>
      </c>
      <c r="V268" s="82">
        <v>2</v>
      </c>
      <c r="W268" s="87">
        <v>4</v>
      </c>
    </row>
    <row r="269" spans="1:23" x14ac:dyDescent="0.2">
      <c r="A269" s="64">
        <v>98360</v>
      </c>
      <c r="B269" s="38" t="s">
        <v>10</v>
      </c>
      <c r="C269" s="48">
        <v>225</v>
      </c>
      <c r="D269" s="48">
        <v>203</v>
      </c>
      <c r="E269" s="48">
        <v>166</v>
      </c>
      <c r="M269" s="59">
        <v>98281</v>
      </c>
      <c r="N269" s="38" t="s">
        <v>352</v>
      </c>
      <c r="O269" s="36">
        <v>1</v>
      </c>
      <c r="P269" s="36">
        <v>1</v>
      </c>
      <c r="Q269" s="36">
        <v>4</v>
      </c>
      <c r="S269" s="59">
        <v>98444</v>
      </c>
      <c r="T269" s="38" t="s">
        <v>10</v>
      </c>
      <c r="U269" s="82">
        <v>16</v>
      </c>
      <c r="V269" s="82">
        <v>25</v>
      </c>
      <c r="W269" s="82">
        <v>41</v>
      </c>
    </row>
    <row r="270" spans="1:23" x14ac:dyDescent="0.2">
      <c r="A270" s="64">
        <v>98364</v>
      </c>
      <c r="B270" s="38" t="s">
        <v>10</v>
      </c>
      <c r="C270" s="48">
        <v>1</v>
      </c>
      <c r="D270" s="48">
        <v>1</v>
      </c>
      <c r="E270" s="48">
        <v>0</v>
      </c>
      <c r="M270" s="86">
        <v>98281</v>
      </c>
      <c r="N270" s="38" t="s">
        <v>10</v>
      </c>
      <c r="O270" s="33">
        <v>11</v>
      </c>
      <c r="P270" s="36">
        <v>12</v>
      </c>
      <c r="Q270" s="33">
        <v>9</v>
      </c>
      <c r="S270" s="86">
        <v>98445</v>
      </c>
      <c r="T270" s="38" t="s">
        <v>10</v>
      </c>
      <c r="U270" s="82">
        <v>26</v>
      </c>
      <c r="V270" s="82">
        <v>48</v>
      </c>
      <c r="W270" s="82">
        <v>40</v>
      </c>
    </row>
    <row r="271" spans="1:23" x14ac:dyDescent="0.2">
      <c r="A271" s="64">
        <v>98366</v>
      </c>
      <c r="B271" s="38" t="s">
        <v>352</v>
      </c>
      <c r="C271" s="48">
        <v>3</v>
      </c>
      <c r="D271" s="48">
        <v>3</v>
      </c>
      <c r="E271" s="48">
        <v>3</v>
      </c>
      <c r="M271" s="59">
        <v>98283</v>
      </c>
      <c r="N271" s="38" t="s">
        <v>352</v>
      </c>
      <c r="O271" s="36">
        <v>0</v>
      </c>
      <c r="P271" s="36">
        <v>2</v>
      </c>
      <c r="Q271" s="36">
        <v>0</v>
      </c>
      <c r="S271" s="86">
        <v>98446</v>
      </c>
      <c r="T271" s="38" t="s">
        <v>10</v>
      </c>
      <c r="U271" s="82">
        <v>9</v>
      </c>
      <c r="V271" s="82">
        <v>9</v>
      </c>
      <c r="W271" s="82">
        <v>14</v>
      </c>
    </row>
    <row r="272" spans="1:23" x14ac:dyDescent="0.2">
      <c r="A272" s="64">
        <v>98366</v>
      </c>
      <c r="B272" s="38" t="s">
        <v>10</v>
      </c>
      <c r="C272" s="48">
        <v>589</v>
      </c>
      <c r="D272" s="48">
        <v>509</v>
      </c>
      <c r="E272" s="48">
        <v>376</v>
      </c>
      <c r="M272" s="86">
        <v>98283</v>
      </c>
      <c r="N272" s="38" t="s">
        <v>10</v>
      </c>
      <c r="O272" s="36">
        <v>3</v>
      </c>
      <c r="P272" s="36">
        <v>2</v>
      </c>
      <c r="Q272" s="36">
        <v>0</v>
      </c>
      <c r="S272" s="86">
        <v>98465</v>
      </c>
      <c r="T272" s="38" t="s">
        <v>10</v>
      </c>
      <c r="U272" s="87">
        <v>4</v>
      </c>
      <c r="V272" s="82">
        <v>11</v>
      </c>
      <c r="W272" s="82">
        <v>7</v>
      </c>
    </row>
    <row r="273" spans="1:23" x14ac:dyDescent="0.2">
      <c r="A273" s="64">
        <v>98367</v>
      </c>
      <c r="B273" s="38" t="s">
        <v>352</v>
      </c>
      <c r="C273" s="48">
        <v>1</v>
      </c>
      <c r="D273" s="48">
        <v>1</v>
      </c>
      <c r="E273" s="48">
        <v>0</v>
      </c>
      <c r="M273" s="86">
        <v>98284</v>
      </c>
      <c r="N273" s="38" t="s">
        <v>352</v>
      </c>
      <c r="O273" s="36">
        <v>7</v>
      </c>
      <c r="P273" s="36">
        <v>12</v>
      </c>
      <c r="Q273" s="36">
        <v>15</v>
      </c>
      <c r="S273" s="59">
        <v>98466</v>
      </c>
      <c r="T273" s="38" t="s">
        <v>352</v>
      </c>
      <c r="U273" s="82">
        <v>0</v>
      </c>
      <c r="V273" s="82">
        <v>1</v>
      </c>
      <c r="W273" s="82">
        <v>0</v>
      </c>
    </row>
    <row r="274" spans="1:23" x14ac:dyDescent="0.2">
      <c r="A274" s="63">
        <v>98367</v>
      </c>
      <c r="B274" s="38" t="s">
        <v>10</v>
      </c>
      <c r="C274" s="48">
        <v>310</v>
      </c>
      <c r="D274" s="48">
        <v>276</v>
      </c>
      <c r="E274" s="48">
        <v>202</v>
      </c>
      <c r="M274" s="59">
        <v>98284</v>
      </c>
      <c r="N274" s="38" t="s">
        <v>10</v>
      </c>
      <c r="O274" s="36">
        <v>110</v>
      </c>
      <c r="P274" s="36">
        <v>94</v>
      </c>
      <c r="Q274" s="36">
        <v>171</v>
      </c>
      <c r="S274" s="86">
        <v>98466</v>
      </c>
      <c r="T274" s="38" t="s">
        <v>10</v>
      </c>
      <c r="U274" s="82">
        <v>17</v>
      </c>
      <c r="V274" s="82">
        <v>24</v>
      </c>
      <c r="W274" s="82">
        <v>29</v>
      </c>
    </row>
    <row r="275" spans="1:23" x14ac:dyDescent="0.2">
      <c r="A275" s="64">
        <v>98370</v>
      </c>
      <c r="B275" s="38" t="s">
        <v>352</v>
      </c>
      <c r="C275" s="48">
        <v>1</v>
      </c>
      <c r="D275" s="48">
        <v>1</v>
      </c>
      <c r="E275" s="48">
        <v>1</v>
      </c>
      <c r="M275" s="86">
        <v>98288</v>
      </c>
      <c r="N275" s="38" t="s">
        <v>352</v>
      </c>
      <c r="O275" s="36">
        <v>0</v>
      </c>
      <c r="P275" s="33">
        <v>1</v>
      </c>
      <c r="Q275" s="33">
        <v>0</v>
      </c>
      <c r="S275" s="86">
        <v>98467</v>
      </c>
      <c r="T275" s="38" t="s">
        <v>10</v>
      </c>
      <c r="U275" s="82">
        <v>5</v>
      </c>
      <c r="V275" s="82">
        <v>11</v>
      </c>
      <c r="W275" s="82">
        <v>20</v>
      </c>
    </row>
    <row r="276" spans="1:23" x14ac:dyDescent="0.2">
      <c r="A276" s="63">
        <v>98370</v>
      </c>
      <c r="B276" s="38" t="s">
        <v>10</v>
      </c>
      <c r="C276" s="48">
        <v>307</v>
      </c>
      <c r="D276" s="48">
        <v>269</v>
      </c>
      <c r="E276" s="48">
        <v>189</v>
      </c>
      <c r="M276" s="59">
        <v>98288</v>
      </c>
      <c r="N276" s="38" t="s">
        <v>10</v>
      </c>
      <c r="O276" s="36">
        <v>5</v>
      </c>
      <c r="P276" s="36">
        <v>2</v>
      </c>
      <c r="Q276" s="36">
        <v>1</v>
      </c>
      <c r="S276" s="86">
        <v>98498</v>
      </c>
      <c r="T276" s="38" t="s">
        <v>352</v>
      </c>
      <c r="U276" s="82">
        <v>0</v>
      </c>
      <c r="V276" s="82">
        <v>1</v>
      </c>
      <c r="W276" s="87">
        <v>0</v>
      </c>
    </row>
    <row r="277" spans="1:23" x14ac:dyDescent="0.2">
      <c r="A277" s="64">
        <v>98371</v>
      </c>
      <c r="B277" s="38" t="s">
        <v>352</v>
      </c>
      <c r="C277" s="48">
        <v>2</v>
      </c>
      <c r="D277" s="48">
        <v>1</v>
      </c>
      <c r="E277" s="48">
        <v>1</v>
      </c>
      <c r="M277" s="86">
        <v>98290</v>
      </c>
      <c r="N277" s="38" t="s">
        <v>352</v>
      </c>
      <c r="O277" s="36">
        <v>7</v>
      </c>
      <c r="P277" s="36">
        <v>2</v>
      </c>
      <c r="Q277" s="36">
        <v>0</v>
      </c>
      <c r="S277" s="86">
        <v>98498</v>
      </c>
      <c r="T277" s="38" t="s">
        <v>10</v>
      </c>
      <c r="U277" s="87">
        <v>45</v>
      </c>
      <c r="V277" s="82">
        <v>101</v>
      </c>
      <c r="W277" s="87">
        <v>134</v>
      </c>
    </row>
    <row r="278" spans="1:23" x14ac:dyDescent="0.2">
      <c r="A278" s="64">
        <v>98371</v>
      </c>
      <c r="B278" s="38" t="s">
        <v>10</v>
      </c>
      <c r="C278" s="48">
        <v>305</v>
      </c>
      <c r="D278" s="48">
        <v>275</v>
      </c>
      <c r="E278" s="48">
        <v>200</v>
      </c>
      <c r="M278" s="59">
        <v>98290</v>
      </c>
      <c r="N278" s="38" t="s">
        <v>10</v>
      </c>
      <c r="O278" s="36">
        <v>27</v>
      </c>
      <c r="P278" s="36">
        <v>15</v>
      </c>
      <c r="Q278" s="36">
        <v>27</v>
      </c>
      <c r="S278" s="59">
        <v>98499</v>
      </c>
      <c r="T278" s="38" t="s">
        <v>352</v>
      </c>
      <c r="U278" s="87">
        <v>0</v>
      </c>
      <c r="V278" s="82">
        <v>0</v>
      </c>
      <c r="W278" s="87">
        <v>1</v>
      </c>
    </row>
    <row r="279" spans="1:23" x14ac:dyDescent="0.2">
      <c r="A279" s="64">
        <v>98372</v>
      </c>
      <c r="B279" s="38" t="s">
        <v>352</v>
      </c>
      <c r="C279" s="48">
        <v>3</v>
      </c>
      <c r="D279" s="48">
        <v>3</v>
      </c>
      <c r="E279" s="48">
        <v>2</v>
      </c>
      <c r="M279" s="86">
        <v>98292</v>
      </c>
      <c r="N279" s="38" t="s">
        <v>10</v>
      </c>
      <c r="O279" s="36">
        <v>3</v>
      </c>
      <c r="P279" s="36">
        <v>2</v>
      </c>
      <c r="Q279" s="33">
        <v>0</v>
      </c>
      <c r="S279" s="86">
        <v>98499</v>
      </c>
      <c r="T279" s="38" t="s">
        <v>10</v>
      </c>
      <c r="U279" s="82">
        <v>22</v>
      </c>
      <c r="V279" s="87">
        <v>24</v>
      </c>
      <c r="W279" s="87">
        <v>53</v>
      </c>
    </row>
    <row r="280" spans="1:23" x14ac:dyDescent="0.2">
      <c r="A280" s="64">
        <v>98372</v>
      </c>
      <c r="B280" s="38" t="s">
        <v>10</v>
      </c>
      <c r="C280" s="48">
        <v>362</v>
      </c>
      <c r="D280" s="48">
        <v>313</v>
      </c>
      <c r="E280" s="48">
        <v>224</v>
      </c>
      <c r="M280" s="86">
        <v>98294</v>
      </c>
      <c r="N280" s="38" t="s">
        <v>352</v>
      </c>
      <c r="O280" s="36">
        <v>0</v>
      </c>
      <c r="P280" s="36">
        <v>0</v>
      </c>
      <c r="Q280" s="36">
        <v>1</v>
      </c>
      <c r="S280" s="86">
        <v>98501</v>
      </c>
      <c r="T280" s="38" t="s">
        <v>352</v>
      </c>
      <c r="U280" s="82">
        <v>0</v>
      </c>
      <c r="V280" s="82">
        <v>1</v>
      </c>
      <c r="W280" s="82">
        <v>1</v>
      </c>
    </row>
    <row r="281" spans="1:23" x14ac:dyDescent="0.2">
      <c r="A281" s="63">
        <v>98373</v>
      </c>
      <c r="B281" s="38" t="s">
        <v>352</v>
      </c>
      <c r="C281" s="48">
        <v>6</v>
      </c>
      <c r="D281" s="48">
        <v>5</v>
      </c>
      <c r="E281" s="48">
        <v>5</v>
      </c>
      <c r="M281" s="86">
        <v>98294</v>
      </c>
      <c r="N281" s="38" t="s">
        <v>10</v>
      </c>
      <c r="O281" s="36">
        <v>30</v>
      </c>
      <c r="P281" s="36">
        <v>28</v>
      </c>
      <c r="Q281" s="36">
        <v>46</v>
      </c>
      <c r="S281" s="86">
        <v>98501</v>
      </c>
      <c r="T281" s="38" t="s">
        <v>10</v>
      </c>
      <c r="U281" s="87">
        <v>52</v>
      </c>
      <c r="V281" s="82">
        <v>119</v>
      </c>
      <c r="W281" s="87">
        <v>223</v>
      </c>
    </row>
    <row r="282" spans="1:23" x14ac:dyDescent="0.2">
      <c r="A282" s="64">
        <v>98373</v>
      </c>
      <c r="B282" s="38" t="s">
        <v>10</v>
      </c>
      <c r="C282" s="48">
        <v>343</v>
      </c>
      <c r="D282" s="48">
        <v>303</v>
      </c>
      <c r="E282" s="48">
        <v>216</v>
      </c>
      <c r="M282" s="59">
        <v>98295</v>
      </c>
      <c r="N282" s="38" t="s">
        <v>352</v>
      </c>
      <c r="O282" s="36">
        <v>1</v>
      </c>
      <c r="P282" s="36">
        <v>1</v>
      </c>
      <c r="Q282" s="36">
        <v>1</v>
      </c>
      <c r="S282" s="59">
        <v>98502</v>
      </c>
      <c r="T282" s="38" t="s">
        <v>352</v>
      </c>
      <c r="U282" s="82">
        <v>0</v>
      </c>
      <c r="V282" s="82">
        <v>0</v>
      </c>
      <c r="W282" s="82">
        <v>1</v>
      </c>
    </row>
    <row r="283" spans="1:23" x14ac:dyDescent="0.2">
      <c r="A283" s="64">
        <v>98374</v>
      </c>
      <c r="B283" s="38" t="s">
        <v>352</v>
      </c>
      <c r="C283" s="48">
        <v>3</v>
      </c>
      <c r="D283" s="48">
        <v>3</v>
      </c>
      <c r="E283" s="48">
        <v>2</v>
      </c>
      <c r="M283" s="86">
        <v>98295</v>
      </c>
      <c r="N283" s="38" t="s">
        <v>10</v>
      </c>
      <c r="O283" s="36">
        <v>6</v>
      </c>
      <c r="P283" s="33">
        <v>5</v>
      </c>
      <c r="Q283" s="36">
        <v>5</v>
      </c>
      <c r="S283" s="86">
        <v>98502</v>
      </c>
      <c r="T283" s="38" t="s">
        <v>10</v>
      </c>
      <c r="U283" s="82">
        <v>65</v>
      </c>
      <c r="V283" s="82">
        <v>116</v>
      </c>
      <c r="W283" s="82">
        <v>164</v>
      </c>
    </row>
    <row r="284" spans="1:23" x14ac:dyDescent="0.2">
      <c r="A284" s="64">
        <v>98374</v>
      </c>
      <c r="B284" s="38" t="s">
        <v>10</v>
      </c>
      <c r="C284" s="48">
        <v>529</v>
      </c>
      <c r="D284" s="48">
        <v>477</v>
      </c>
      <c r="E284" s="48">
        <v>375</v>
      </c>
      <c r="M284" s="59">
        <v>98296</v>
      </c>
      <c r="N284" s="38" t="s">
        <v>352</v>
      </c>
      <c r="O284" s="36">
        <v>1</v>
      </c>
      <c r="P284" s="36">
        <v>1</v>
      </c>
      <c r="Q284" s="36">
        <v>0</v>
      </c>
      <c r="S284" s="86">
        <v>98503</v>
      </c>
      <c r="T284" s="38" t="s">
        <v>352</v>
      </c>
      <c r="U284" s="87">
        <v>0</v>
      </c>
      <c r="V284" s="87">
        <v>2</v>
      </c>
      <c r="W284" s="82">
        <v>0</v>
      </c>
    </row>
    <row r="285" spans="1:23" x14ac:dyDescent="0.2">
      <c r="A285" s="63">
        <v>98375</v>
      </c>
      <c r="B285" s="38" t="s">
        <v>352</v>
      </c>
      <c r="C285" s="48">
        <v>1</v>
      </c>
      <c r="D285" s="48">
        <v>1</v>
      </c>
      <c r="E285" s="48">
        <v>1</v>
      </c>
      <c r="M285" s="86">
        <v>98296</v>
      </c>
      <c r="N285" s="38" t="s">
        <v>10</v>
      </c>
      <c r="O285" s="36">
        <v>52</v>
      </c>
      <c r="P285" s="36">
        <v>45</v>
      </c>
      <c r="Q285" s="36">
        <v>45</v>
      </c>
      <c r="S285" s="59">
        <v>98503</v>
      </c>
      <c r="T285" s="38" t="s">
        <v>10</v>
      </c>
      <c r="U285" s="82">
        <v>75</v>
      </c>
      <c r="V285" s="82">
        <v>137</v>
      </c>
      <c r="W285" s="82">
        <v>256</v>
      </c>
    </row>
    <row r="286" spans="1:23" x14ac:dyDescent="0.2">
      <c r="A286" s="64">
        <v>98375</v>
      </c>
      <c r="B286" s="38" t="s">
        <v>10</v>
      </c>
      <c r="C286" s="48">
        <v>376</v>
      </c>
      <c r="D286" s="48">
        <v>332</v>
      </c>
      <c r="E286" s="48">
        <v>243</v>
      </c>
      <c r="M286" s="59">
        <v>98310</v>
      </c>
      <c r="N286" s="38" t="s">
        <v>352</v>
      </c>
      <c r="O286" s="36">
        <v>8</v>
      </c>
      <c r="P286" s="36">
        <v>5</v>
      </c>
      <c r="Q286" s="36">
        <v>5</v>
      </c>
      <c r="S286" s="86">
        <v>98506</v>
      </c>
      <c r="T286" s="38" t="s">
        <v>352</v>
      </c>
      <c r="U286" s="82">
        <v>1</v>
      </c>
      <c r="V286" s="82">
        <v>0</v>
      </c>
      <c r="W286" s="82">
        <v>0</v>
      </c>
    </row>
    <row r="287" spans="1:23" x14ac:dyDescent="0.2">
      <c r="A287" s="63">
        <v>98380</v>
      </c>
      <c r="B287" s="38" t="s">
        <v>10</v>
      </c>
      <c r="C287" s="48">
        <v>49</v>
      </c>
      <c r="D287" s="48">
        <v>44</v>
      </c>
      <c r="E287" s="48">
        <v>34</v>
      </c>
      <c r="M287" s="86">
        <v>98310</v>
      </c>
      <c r="N287" s="38" t="s">
        <v>10</v>
      </c>
      <c r="O287" s="36">
        <v>159</v>
      </c>
      <c r="P287" s="36">
        <v>146</v>
      </c>
      <c r="Q287" s="36">
        <v>143</v>
      </c>
      <c r="S287" s="86">
        <v>98506</v>
      </c>
      <c r="T287" s="38" t="s">
        <v>10</v>
      </c>
      <c r="U287" s="82">
        <v>31</v>
      </c>
      <c r="V287" s="87">
        <v>75</v>
      </c>
      <c r="W287" s="87">
        <v>102</v>
      </c>
    </row>
    <row r="288" spans="1:23" x14ac:dyDescent="0.2">
      <c r="A288" s="64">
        <v>98383</v>
      </c>
      <c r="B288" s="38" t="s">
        <v>352</v>
      </c>
      <c r="C288" s="48">
        <v>2</v>
      </c>
      <c r="D288" s="48">
        <v>2</v>
      </c>
      <c r="E288" s="48">
        <v>2</v>
      </c>
      <c r="M288" s="59">
        <v>98311</v>
      </c>
      <c r="N288" s="38" t="s">
        <v>352</v>
      </c>
      <c r="O288" s="36">
        <v>21</v>
      </c>
      <c r="P288" s="36">
        <v>17</v>
      </c>
      <c r="Q288" s="36">
        <v>11</v>
      </c>
      <c r="S288" s="86">
        <v>98512</v>
      </c>
      <c r="T288" s="38" t="s">
        <v>352</v>
      </c>
      <c r="U288" s="82">
        <v>0</v>
      </c>
      <c r="V288" s="87">
        <v>0</v>
      </c>
      <c r="W288" s="87">
        <v>1</v>
      </c>
    </row>
    <row r="289" spans="1:23" x14ac:dyDescent="0.2">
      <c r="A289" s="63">
        <v>98383</v>
      </c>
      <c r="B289" s="38" t="s">
        <v>10</v>
      </c>
      <c r="C289" s="48">
        <v>138</v>
      </c>
      <c r="D289" s="48">
        <v>125</v>
      </c>
      <c r="E289" s="48">
        <v>95</v>
      </c>
      <c r="M289" s="86">
        <v>98311</v>
      </c>
      <c r="N289" s="38" t="s">
        <v>10</v>
      </c>
      <c r="O289" s="36">
        <v>92</v>
      </c>
      <c r="P289" s="36">
        <v>110</v>
      </c>
      <c r="Q289" s="36">
        <v>84</v>
      </c>
      <c r="S289" s="86">
        <v>98512</v>
      </c>
      <c r="T289" s="38" t="s">
        <v>10</v>
      </c>
      <c r="U289" s="82">
        <v>47</v>
      </c>
      <c r="V289" s="87">
        <v>83</v>
      </c>
      <c r="W289" s="87">
        <v>133</v>
      </c>
    </row>
    <row r="290" spans="1:23" x14ac:dyDescent="0.2">
      <c r="A290" s="64">
        <v>98385</v>
      </c>
      <c r="B290" s="38" t="s">
        <v>10</v>
      </c>
      <c r="C290" s="48">
        <v>7</v>
      </c>
      <c r="D290" s="48">
        <v>7</v>
      </c>
      <c r="E290" s="48">
        <v>4</v>
      </c>
      <c r="M290" s="59">
        <v>98312</v>
      </c>
      <c r="N290" s="38" t="s">
        <v>352</v>
      </c>
      <c r="O290" s="36">
        <v>12</v>
      </c>
      <c r="P290" s="36">
        <v>19</v>
      </c>
      <c r="Q290" s="36">
        <v>19</v>
      </c>
      <c r="S290" s="86">
        <v>98513</v>
      </c>
      <c r="T290" s="38" t="s">
        <v>10</v>
      </c>
      <c r="U290" s="82">
        <v>46</v>
      </c>
      <c r="V290" s="87">
        <v>94</v>
      </c>
      <c r="W290" s="87">
        <v>164</v>
      </c>
    </row>
    <row r="291" spans="1:23" x14ac:dyDescent="0.2">
      <c r="A291" s="63">
        <v>98387</v>
      </c>
      <c r="B291" s="38" t="s">
        <v>352</v>
      </c>
      <c r="C291" s="48">
        <v>1</v>
      </c>
      <c r="D291" s="48">
        <v>1</v>
      </c>
      <c r="E291" s="48">
        <v>1</v>
      </c>
      <c r="M291" s="86">
        <v>98312</v>
      </c>
      <c r="N291" s="38" t="s">
        <v>10</v>
      </c>
      <c r="O291" s="36">
        <v>148</v>
      </c>
      <c r="P291" s="36">
        <v>179</v>
      </c>
      <c r="Q291" s="36">
        <v>184</v>
      </c>
      <c r="S291" s="86">
        <v>98516</v>
      </c>
      <c r="T291" s="38" t="s">
        <v>352</v>
      </c>
      <c r="U291" s="82">
        <v>2</v>
      </c>
      <c r="V291" s="87">
        <v>0</v>
      </c>
      <c r="W291" s="87">
        <v>0</v>
      </c>
    </row>
    <row r="292" spans="1:23" x14ac:dyDescent="0.2">
      <c r="A292" s="64">
        <v>98387</v>
      </c>
      <c r="B292" s="38" t="s">
        <v>10</v>
      </c>
      <c r="C292" s="48">
        <v>363</v>
      </c>
      <c r="D292" s="48">
        <v>314</v>
      </c>
      <c r="E292" s="48">
        <v>219</v>
      </c>
      <c r="M292" s="59">
        <v>98321</v>
      </c>
      <c r="N292" s="38" t="s">
        <v>352</v>
      </c>
      <c r="O292" s="36">
        <v>15</v>
      </c>
      <c r="P292" s="36">
        <v>11</v>
      </c>
      <c r="Q292" s="36">
        <v>30</v>
      </c>
      <c r="S292" s="86">
        <v>98516</v>
      </c>
      <c r="T292" s="38" t="s">
        <v>10</v>
      </c>
      <c r="U292" s="82">
        <v>27</v>
      </c>
      <c r="V292" s="87">
        <v>48</v>
      </c>
      <c r="W292" s="87">
        <v>113</v>
      </c>
    </row>
    <row r="293" spans="1:23" x14ac:dyDescent="0.2">
      <c r="A293" s="63">
        <v>98388</v>
      </c>
      <c r="B293" s="38" t="s">
        <v>10</v>
      </c>
      <c r="C293" s="48">
        <v>23</v>
      </c>
      <c r="D293" s="48">
        <v>17</v>
      </c>
      <c r="E293" s="48">
        <v>12</v>
      </c>
      <c r="M293" s="86">
        <v>98321</v>
      </c>
      <c r="N293" s="38" t="s">
        <v>10</v>
      </c>
      <c r="O293" s="33">
        <v>60</v>
      </c>
      <c r="P293" s="33">
        <v>56</v>
      </c>
      <c r="Q293" s="36">
        <v>79</v>
      </c>
      <c r="S293" s="86">
        <v>98530</v>
      </c>
      <c r="T293" s="38" t="s">
        <v>10</v>
      </c>
      <c r="U293" s="82">
        <v>0</v>
      </c>
      <c r="V293" s="87">
        <v>0</v>
      </c>
      <c r="W293" s="87">
        <v>5</v>
      </c>
    </row>
    <row r="294" spans="1:23" x14ac:dyDescent="0.2">
      <c r="A294" s="64">
        <v>98390</v>
      </c>
      <c r="B294" s="38" t="s">
        <v>352</v>
      </c>
      <c r="C294" s="48">
        <v>5</v>
      </c>
      <c r="D294" s="48">
        <v>5</v>
      </c>
      <c r="E294" s="48">
        <v>4</v>
      </c>
      <c r="M294" s="59">
        <v>98323</v>
      </c>
      <c r="N294" s="38" t="s">
        <v>352</v>
      </c>
      <c r="O294" s="36">
        <v>1</v>
      </c>
      <c r="P294" s="33">
        <v>0</v>
      </c>
      <c r="Q294" s="36">
        <v>0</v>
      </c>
      <c r="S294" s="86">
        <v>98531</v>
      </c>
      <c r="T294" s="38" t="s">
        <v>10</v>
      </c>
      <c r="U294" s="82">
        <v>9</v>
      </c>
      <c r="V294" s="87">
        <v>23</v>
      </c>
      <c r="W294" s="87">
        <v>37</v>
      </c>
    </row>
    <row r="295" spans="1:23" x14ac:dyDescent="0.2">
      <c r="A295" s="63">
        <v>98390</v>
      </c>
      <c r="B295" s="38" t="s">
        <v>10</v>
      </c>
      <c r="C295" s="48">
        <v>206</v>
      </c>
      <c r="D295" s="48">
        <v>178</v>
      </c>
      <c r="E295" s="48">
        <v>123</v>
      </c>
      <c r="M295" s="86">
        <v>98323</v>
      </c>
      <c r="N295" s="38" t="s">
        <v>10</v>
      </c>
      <c r="O295" s="36">
        <v>1</v>
      </c>
      <c r="P295" s="36">
        <v>1</v>
      </c>
      <c r="Q295" s="36">
        <v>2</v>
      </c>
      <c r="S295" s="86">
        <v>98532</v>
      </c>
      <c r="T295" s="38" t="s">
        <v>10</v>
      </c>
      <c r="U295" s="82">
        <v>0</v>
      </c>
      <c r="V295" s="87">
        <v>6</v>
      </c>
      <c r="W295" s="87">
        <v>11</v>
      </c>
    </row>
    <row r="296" spans="1:23" x14ac:dyDescent="0.2">
      <c r="A296" s="64">
        <v>98391</v>
      </c>
      <c r="B296" s="38" t="s">
        <v>352</v>
      </c>
      <c r="C296" s="48">
        <v>3</v>
      </c>
      <c r="D296" s="48">
        <v>3</v>
      </c>
      <c r="E296" s="48">
        <v>3</v>
      </c>
      <c r="M296" s="59">
        <v>98327</v>
      </c>
      <c r="N296" s="38" t="s">
        <v>352</v>
      </c>
      <c r="O296" s="36">
        <v>1</v>
      </c>
      <c r="P296" s="36">
        <v>0</v>
      </c>
      <c r="Q296" s="36">
        <v>3</v>
      </c>
      <c r="S296" s="86">
        <v>98558</v>
      </c>
      <c r="T296" s="38" t="s">
        <v>10</v>
      </c>
      <c r="U296" s="82">
        <v>0</v>
      </c>
      <c r="V296" s="87">
        <v>2</v>
      </c>
      <c r="W296" s="87">
        <v>1</v>
      </c>
    </row>
    <row r="297" spans="1:23" x14ac:dyDescent="0.2">
      <c r="A297" s="63">
        <v>98391</v>
      </c>
      <c r="B297" s="38" t="s">
        <v>10</v>
      </c>
      <c r="C297" s="48">
        <v>746</v>
      </c>
      <c r="D297" s="48">
        <v>636</v>
      </c>
      <c r="E297" s="48">
        <v>445</v>
      </c>
      <c r="M297" s="86">
        <v>98327</v>
      </c>
      <c r="N297" s="38" t="s">
        <v>10</v>
      </c>
      <c r="O297" s="36">
        <v>41</v>
      </c>
      <c r="P297" s="36">
        <v>50</v>
      </c>
      <c r="Q297" s="36">
        <v>65</v>
      </c>
      <c r="S297" s="86">
        <v>98576</v>
      </c>
      <c r="T297" s="38" t="s">
        <v>10</v>
      </c>
      <c r="U297" s="82">
        <v>5</v>
      </c>
      <c r="V297" s="87">
        <v>18</v>
      </c>
      <c r="W297" s="87">
        <v>31</v>
      </c>
    </row>
    <row r="298" spans="1:23" x14ac:dyDescent="0.2">
      <c r="A298" s="64">
        <v>98392</v>
      </c>
      <c r="B298" s="38" t="s">
        <v>10</v>
      </c>
      <c r="C298" s="48">
        <v>61</v>
      </c>
      <c r="D298" s="48">
        <v>56</v>
      </c>
      <c r="E298" s="48">
        <v>43</v>
      </c>
      <c r="M298" s="86">
        <v>98328</v>
      </c>
      <c r="N298" s="38" t="s">
        <v>352</v>
      </c>
      <c r="O298" s="33">
        <v>0</v>
      </c>
      <c r="P298" s="33">
        <v>1</v>
      </c>
      <c r="Q298" s="36">
        <v>2</v>
      </c>
      <c r="S298" s="86">
        <v>98579</v>
      </c>
      <c r="T298" s="38" t="s">
        <v>352</v>
      </c>
      <c r="U298" s="82">
        <v>0</v>
      </c>
      <c r="V298" s="87">
        <v>1</v>
      </c>
      <c r="W298" s="87">
        <v>0</v>
      </c>
    </row>
    <row r="299" spans="1:23" x14ac:dyDescent="0.2">
      <c r="A299" s="63">
        <v>98396</v>
      </c>
      <c r="B299" s="38" t="s">
        <v>10</v>
      </c>
      <c r="C299" s="48">
        <v>9</v>
      </c>
      <c r="D299" s="48">
        <v>8</v>
      </c>
      <c r="E299" s="48">
        <v>7</v>
      </c>
      <c r="M299" s="86">
        <v>98328</v>
      </c>
      <c r="N299" s="38" t="s">
        <v>10</v>
      </c>
      <c r="O299" s="36">
        <v>2</v>
      </c>
      <c r="P299" s="36">
        <v>1</v>
      </c>
      <c r="Q299" s="36">
        <v>3</v>
      </c>
      <c r="S299" s="86">
        <v>98579</v>
      </c>
      <c r="T299" s="38" t="s">
        <v>10</v>
      </c>
      <c r="U299" s="82">
        <v>27</v>
      </c>
      <c r="V299" s="87">
        <v>37</v>
      </c>
      <c r="W299" s="87">
        <v>85</v>
      </c>
    </row>
    <row r="300" spans="1:23" x14ac:dyDescent="0.2">
      <c r="A300" s="64">
        <v>98402</v>
      </c>
      <c r="B300" s="38" t="s">
        <v>352</v>
      </c>
      <c r="C300" s="48">
        <v>4</v>
      </c>
      <c r="D300" s="48">
        <v>2</v>
      </c>
      <c r="E300" s="48">
        <v>2</v>
      </c>
      <c r="M300" s="59">
        <v>98332</v>
      </c>
      <c r="N300" s="38" t="s">
        <v>352</v>
      </c>
      <c r="O300" s="36">
        <v>1</v>
      </c>
      <c r="P300" s="36">
        <v>2</v>
      </c>
      <c r="Q300" s="36">
        <v>6</v>
      </c>
      <c r="S300" s="86">
        <v>98580</v>
      </c>
      <c r="T300" s="38" t="s">
        <v>352</v>
      </c>
      <c r="U300" s="82">
        <v>0</v>
      </c>
      <c r="V300" s="87">
        <v>2</v>
      </c>
      <c r="W300" s="87">
        <v>0</v>
      </c>
    </row>
    <row r="301" spans="1:23" x14ac:dyDescent="0.2">
      <c r="A301" s="63">
        <v>98402</v>
      </c>
      <c r="B301" s="38" t="s">
        <v>10</v>
      </c>
      <c r="C301" s="48">
        <v>3</v>
      </c>
      <c r="D301" s="48">
        <v>3</v>
      </c>
      <c r="E301" s="48">
        <v>2</v>
      </c>
      <c r="M301" s="86">
        <v>98332</v>
      </c>
      <c r="N301" s="38" t="s">
        <v>10</v>
      </c>
      <c r="O301" s="36">
        <v>29</v>
      </c>
      <c r="P301" s="36">
        <v>39</v>
      </c>
      <c r="Q301" s="36">
        <v>51</v>
      </c>
      <c r="S301" s="86">
        <v>98580</v>
      </c>
      <c r="T301" s="38" t="s">
        <v>10</v>
      </c>
      <c r="U301" s="82">
        <v>13</v>
      </c>
      <c r="V301" s="87">
        <v>20</v>
      </c>
      <c r="W301" s="87">
        <v>47</v>
      </c>
    </row>
    <row r="302" spans="1:23" x14ac:dyDescent="0.2">
      <c r="A302" s="64">
        <v>98403</v>
      </c>
      <c r="B302" s="38" t="s">
        <v>352</v>
      </c>
      <c r="C302" s="48">
        <v>1</v>
      </c>
      <c r="D302" s="48">
        <v>1</v>
      </c>
      <c r="E302" s="48">
        <v>0</v>
      </c>
      <c r="M302" s="59">
        <v>98335</v>
      </c>
      <c r="N302" s="38" t="s">
        <v>352</v>
      </c>
      <c r="O302" s="36">
        <v>1</v>
      </c>
      <c r="P302" s="36">
        <v>2</v>
      </c>
      <c r="Q302" s="36">
        <v>7</v>
      </c>
      <c r="S302" s="86">
        <v>98589</v>
      </c>
      <c r="T302" s="38" t="s">
        <v>10</v>
      </c>
      <c r="U302" s="82">
        <v>12</v>
      </c>
      <c r="V302" s="87">
        <v>19</v>
      </c>
      <c r="W302" s="87">
        <v>39</v>
      </c>
    </row>
    <row r="303" spans="1:23" x14ac:dyDescent="0.2">
      <c r="A303" s="63">
        <v>98403</v>
      </c>
      <c r="B303" s="38" t="s">
        <v>10</v>
      </c>
      <c r="C303" s="48">
        <v>33</v>
      </c>
      <c r="D303" s="48">
        <v>29</v>
      </c>
      <c r="E303" s="48">
        <v>19</v>
      </c>
      <c r="M303" s="86">
        <v>98335</v>
      </c>
      <c r="N303" s="38" t="s">
        <v>10</v>
      </c>
      <c r="O303" s="36">
        <v>39</v>
      </c>
      <c r="P303" s="36">
        <v>69</v>
      </c>
      <c r="Q303" s="36">
        <v>49</v>
      </c>
      <c r="S303" s="86">
        <v>98591</v>
      </c>
      <c r="T303" s="38" t="s">
        <v>10</v>
      </c>
      <c r="U303" s="82">
        <v>0</v>
      </c>
      <c r="V303" s="87">
        <v>1</v>
      </c>
      <c r="W303" s="87">
        <v>0</v>
      </c>
    </row>
    <row r="304" spans="1:23" x14ac:dyDescent="0.2">
      <c r="A304" s="64">
        <v>98404</v>
      </c>
      <c r="B304" s="38" t="s">
        <v>352</v>
      </c>
      <c r="C304" s="48">
        <v>1</v>
      </c>
      <c r="D304" s="48">
        <v>1</v>
      </c>
      <c r="E304" s="48">
        <v>1</v>
      </c>
      <c r="M304" s="59">
        <v>98337</v>
      </c>
      <c r="N304" s="38" t="s">
        <v>352</v>
      </c>
      <c r="O304" s="36">
        <v>4</v>
      </c>
      <c r="P304" s="36">
        <v>7</v>
      </c>
      <c r="Q304" s="36">
        <v>3</v>
      </c>
      <c r="S304" s="86">
        <v>98596</v>
      </c>
      <c r="T304" s="38" t="s">
        <v>10</v>
      </c>
      <c r="U304" s="82">
        <v>1</v>
      </c>
      <c r="V304" s="87">
        <v>0</v>
      </c>
      <c r="W304" s="87">
        <v>1</v>
      </c>
    </row>
    <row r="305" spans="1:23" x14ac:dyDescent="0.2">
      <c r="A305" s="64">
        <v>98404</v>
      </c>
      <c r="B305" s="38" t="s">
        <v>10</v>
      </c>
      <c r="C305" s="48">
        <v>181</v>
      </c>
      <c r="D305" s="48">
        <v>148</v>
      </c>
      <c r="E305" s="48">
        <v>104</v>
      </c>
      <c r="M305" s="86">
        <v>98337</v>
      </c>
      <c r="N305" s="38" t="s">
        <v>10</v>
      </c>
      <c r="O305" s="36">
        <v>49</v>
      </c>
      <c r="P305" s="36">
        <v>70</v>
      </c>
      <c r="Q305" s="36">
        <v>182</v>
      </c>
      <c r="S305" s="86">
        <v>98597</v>
      </c>
      <c r="T305" s="38" t="s">
        <v>10</v>
      </c>
      <c r="U305" s="82">
        <v>38</v>
      </c>
      <c r="V305" s="87">
        <v>83</v>
      </c>
      <c r="W305" s="87">
        <v>170</v>
      </c>
    </row>
    <row r="306" spans="1:23" x14ac:dyDescent="0.2">
      <c r="A306" s="63">
        <v>98405</v>
      </c>
      <c r="B306" s="38" t="s">
        <v>352</v>
      </c>
      <c r="C306" s="48">
        <v>1</v>
      </c>
      <c r="D306" s="48">
        <v>1</v>
      </c>
      <c r="E306" s="48">
        <v>1</v>
      </c>
      <c r="M306" s="59">
        <v>98338</v>
      </c>
      <c r="N306" s="38" t="s">
        <v>352</v>
      </c>
      <c r="O306" s="36">
        <v>5</v>
      </c>
      <c r="P306" s="36">
        <v>11</v>
      </c>
      <c r="Q306" s="36">
        <v>5</v>
      </c>
      <c r="S306" s="86">
        <v>98922</v>
      </c>
      <c r="T306" s="38" t="s">
        <v>10</v>
      </c>
      <c r="U306" s="82">
        <v>10</v>
      </c>
      <c r="V306" s="87">
        <v>21</v>
      </c>
      <c r="W306" s="87">
        <v>40</v>
      </c>
    </row>
    <row r="307" spans="1:23" x14ac:dyDescent="0.2">
      <c r="A307" s="64">
        <v>98405</v>
      </c>
      <c r="B307" s="38" t="s">
        <v>10</v>
      </c>
      <c r="C307" s="48">
        <v>161</v>
      </c>
      <c r="D307" s="48">
        <v>127</v>
      </c>
      <c r="E307" s="48">
        <v>84</v>
      </c>
      <c r="M307" s="86">
        <v>98338</v>
      </c>
      <c r="N307" s="38" t="s">
        <v>10</v>
      </c>
      <c r="O307" s="36">
        <v>56</v>
      </c>
      <c r="P307" s="36">
        <v>49</v>
      </c>
      <c r="Q307" s="36">
        <v>46</v>
      </c>
      <c r="S307" s="86">
        <v>98925</v>
      </c>
      <c r="T307" s="38" t="s">
        <v>10</v>
      </c>
      <c r="U307" s="82">
        <v>0</v>
      </c>
      <c r="V307" s="87">
        <v>1</v>
      </c>
      <c r="W307" s="87">
        <v>3</v>
      </c>
    </row>
    <row r="308" spans="1:23" x14ac:dyDescent="0.2">
      <c r="A308" s="64">
        <v>98406</v>
      </c>
      <c r="B308" s="38" t="s">
        <v>352</v>
      </c>
      <c r="C308" s="48">
        <v>3</v>
      </c>
      <c r="D308" s="48">
        <v>3</v>
      </c>
      <c r="E308" s="48">
        <v>3</v>
      </c>
      <c r="M308" s="59">
        <v>98340</v>
      </c>
      <c r="N308" s="38" t="s">
        <v>352</v>
      </c>
      <c r="O308" s="36">
        <v>3</v>
      </c>
      <c r="P308" s="36">
        <v>0</v>
      </c>
      <c r="Q308" s="36">
        <v>1</v>
      </c>
      <c r="S308" s="86">
        <v>98926</v>
      </c>
      <c r="T308" s="38" t="s">
        <v>352</v>
      </c>
      <c r="U308" s="82">
        <v>0</v>
      </c>
      <c r="V308" s="87">
        <v>1</v>
      </c>
      <c r="W308" s="87">
        <v>0</v>
      </c>
    </row>
    <row r="309" spans="1:23" x14ac:dyDescent="0.2">
      <c r="A309" s="63">
        <v>98406</v>
      </c>
      <c r="B309" s="38" t="s">
        <v>10</v>
      </c>
      <c r="C309" s="48">
        <v>93</v>
      </c>
      <c r="D309" s="48">
        <v>70</v>
      </c>
      <c r="E309" s="48">
        <v>46</v>
      </c>
      <c r="M309" s="86">
        <v>98340</v>
      </c>
      <c r="N309" s="38" t="s">
        <v>10</v>
      </c>
      <c r="O309" s="36">
        <v>5</v>
      </c>
      <c r="P309" s="36">
        <v>6</v>
      </c>
      <c r="Q309" s="33">
        <v>7</v>
      </c>
      <c r="S309" s="86">
        <v>98926</v>
      </c>
      <c r="T309" s="38" t="s">
        <v>10</v>
      </c>
      <c r="U309" s="82">
        <v>8</v>
      </c>
      <c r="V309" s="87">
        <v>23</v>
      </c>
      <c r="W309" s="87">
        <v>34</v>
      </c>
    </row>
    <row r="310" spans="1:23" x14ac:dyDescent="0.2">
      <c r="A310" s="64">
        <v>98407</v>
      </c>
      <c r="B310" s="38" t="s">
        <v>352</v>
      </c>
      <c r="C310" s="48">
        <v>1</v>
      </c>
      <c r="D310" s="48">
        <v>1</v>
      </c>
      <c r="E310" s="48">
        <v>1</v>
      </c>
      <c r="M310" s="59">
        <v>98342</v>
      </c>
      <c r="N310" s="38" t="s">
        <v>10</v>
      </c>
      <c r="O310" s="36">
        <v>1</v>
      </c>
      <c r="P310" s="36">
        <v>5</v>
      </c>
      <c r="Q310" s="36">
        <v>5</v>
      </c>
      <c r="S310" s="86">
        <v>98934</v>
      </c>
      <c r="T310" s="38" t="s">
        <v>10</v>
      </c>
      <c r="U310" s="82">
        <v>4</v>
      </c>
      <c r="V310" s="87">
        <v>3</v>
      </c>
      <c r="W310" s="87">
        <v>7</v>
      </c>
    </row>
    <row r="311" spans="1:23" x14ac:dyDescent="0.2">
      <c r="A311" s="64">
        <v>98407</v>
      </c>
      <c r="B311" s="38" t="s">
        <v>10</v>
      </c>
      <c r="C311" s="48">
        <v>84</v>
      </c>
      <c r="D311" s="48">
        <v>70</v>
      </c>
      <c r="E311" s="48">
        <v>50</v>
      </c>
      <c r="M311" s="86">
        <v>98345</v>
      </c>
      <c r="N311" s="38" t="s">
        <v>352</v>
      </c>
      <c r="O311" s="36">
        <v>0</v>
      </c>
      <c r="P311" s="33">
        <v>1</v>
      </c>
      <c r="Q311" s="33">
        <v>0</v>
      </c>
      <c r="S311" s="86">
        <v>98940</v>
      </c>
      <c r="T311" s="38" t="s">
        <v>10</v>
      </c>
      <c r="U311" s="82">
        <v>3</v>
      </c>
      <c r="V311" s="87">
        <v>4</v>
      </c>
      <c r="W311" s="87">
        <v>6</v>
      </c>
    </row>
    <row r="312" spans="1:23" x14ac:dyDescent="0.2">
      <c r="A312" s="63">
        <v>98408</v>
      </c>
      <c r="B312" s="38" t="s">
        <v>352</v>
      </c>
      <c r="C312" s="48">
        <v>1</v>
      </c>
      <c r="D312" s="48">
        <v>1</v>
      </c>
      <c r="E312" s="48">
        <v>1</v>
      </c>
      <c r="M312" s="59">
        <v>98345</v>
      </c>
      <c r="N312" s="38" t="s">
        <v>10</v>
      </c>
      <c r="O312" s="36">
        <v>1</v>
      </c>
      <c r="P312" s="36">
        <v>1</v>
      </c>
      <c r="Q312" s="36">
        <v>3</v>
      </c>
      <c r="S312" s="86">
        <v>98941</v>
      </c>
      <c r="T312" s="38" t="s">
        <v>10</v>
      </c>
      <c r="U312" s="82">
        <v>3</v>
      </c>
      <c r="V312" s="87">
        <v>6</v>
      </c>
      <c r="W312" s="87">
        <v>6</v>
      </c>
    </row>
    <row r="313" spans="1:23" x14ac:dyDescent="0.2">
      <c r="A313" s="64">
        <v>98408</v>
      </c>
      <c r="B313" s="38" t="s">
        <v>10</v>
      </c>
      <c r="C313" s="48">
        <v>174</v>
      </c>
      <c r="D313" s="48">
        <v>147</v>
      </c>
      <c r="E313" s="48">
        <v>109</v>
      </c>
      <c r="M313" s="86">
        <v>98346</v>
      </c>
      <c r="N313" s="38" t="s">
        <v>352</v>
      </c>
      <c r="O313" s="36">
        <v>3</v>
      </c>
      <c r="P313" s="36">
        <v>4</v>
      </c>
      <c r="Q313" s="36">
        <v>5</v>
      </c>
      <c r="S313" s="86">
        <v>98943</v>
      </c>
      <c r="T313" s="38" t="s">
        <v>10</v>
      </c>
      <c r="U313" s="82">
        <v>4</v>
      </c>
      <c r="V313" s="87">
        <v>6</v>
      </c>
      <c r="W313" s="87">
        <v>5</v>
      </c>
    </row>
    <row r="314" spans="1:23" x14ac:dyDescent="0.2">
      <c r="A314" s="63">
        <v>98409</v>
      </c>
      <c r="B314" s="38" t="s">
        <v>352</v>
      </c>
      <c r="C314" s="48">
        <v>5</v>
      </c>
      <c r="D314" s="48">
        <v>3</v>
      </c>
      <c r="E314" s="48">
        <v>3</v>
      </c>
      <c r="M314" s="59">
        <v>98346</v>
      </c>
      <c r="N314" s="38" t="s">
        <v>10</v>
      </c>
      <c r="O314" s="36">
        <v>26</v>
      </c>
      <c r="P314" s="36">
        <v>38</v>
      </c>
      <c r="Q314" s="36">
        <v>21</v>
      </c>
      <c r="S314" s="86">
        <v>98946</v>
      </c>
      <c r="T314" s="38" t="s">
        <v>352</v>
      </c>
      <c r="U314" s="82">
        <v>0</v>
      </c>
      <c r="V314" s="87">
        <v>0</v>
      </c>
      <c r="W314" s="87">
        <v>1</v>
      </c>
    </row>
    <row r="315" spans="1:23" ht="16" thickBot="1" x14ac:dyDescent="0.25">
      <c r="A315" s="64">
        <v>98409</v>
      </c>
      <c r="B315" s="38" t="s">
        <v>10</v>
      </c>
      <c r="C315" s="48">
        <v>126</v>
      </c>
      <c r="D315" s="48">
        <v>107</v>
      </c>
      <c r="E315" s="48">
        <v>65</v>
      </c>
      <c r="M315" s="86">
        <v>98354</v>
      </c>
      <c r="N315" s="38" t="s">
        <v>352</v>
      </c>
      <c r="O315" s="36">
        <v>6</v>
      </c>
      <c r="P315" s="36">
        <v>0</v>
      </c>
      <c r="Q315" s="33">
        <v>0</v>
      </c>
      <c r="S315" s="109">
        <v>98946</v>
      </c>
      <c r="T315" s="50" t="s">
        <v>10</v>
      </c>
      <c r="U315" s="83">
        <v>0</v>
      </c>
      <c r="V315" s="111">
        <v>1</v>
      </c>
      <c r="W315" s="111">
        <v>3</v>
      </c>
    </row>
    <row r="316" spans="1:23" x14ac:dyDescent="0.2">
      <c r="A316" s="64">
        <v>98418</v>
      </c>
      <c r="B316" s="38" t="s">
        <v>352</v>
      </c>
      <c r="C316" s="48">
        <v>1</v>
      </c>
      <c r="D316" s="48">
        <v>1</v>
      </c>
      <c r="E316" s="48">
        <v>1</v>
      </c>
      <c r="M316" s="59">
        <v>98354</v>
      </c>
      <c r="N316" s="38" t="s">
        <v>10</v>
      </c>
      <c r="O316" s="36">
        <v>6</v>
      </c>
      <c r="P316" s="36">
        <v>16</v>
      </c>
      <c r="Q316" s="36">
        <v>16</v>
      </c>
      <c r="S316" s="43"/>
      <c r="T316" s="41"/>
      <c r="U316" s="46"/>
      <c r="V316" s="46"/>
      <c r="W316" s="46"/>
    </row>
    <row r="317" spans="1:23" x14ac:dyDescent="0.2">
      <c r="A317" s="64">
        <v>98418</v>
      </c>
      <c r="B317" s="38" t="s">
        <v>10</v>
      </c>
      <c r="C317" s="48">
        <v>84</v>
      </c>
      <c r="D317" s="48">
        <v>73</v>
      </c>
      <c r="E317" s="48">
        <v>47</v>
      </c>
      <c r="M317" s="86">
        <v>98359</v>
      </c>
      <c r="N317" s="38" t="s">
        <v>352</v>
      </c>
      <c r="O317" s="36">
        <v>1</v>
      </c>
      <c r="P317" s="33">
        <v>2</v>
      </c>
      <c r="Q317" s="36">
        <v>3</v>
      </c>
      <c r="S317" s="40"/>
      <c r="T317" s="41"/>
      <c r="U317" s="46"/>
      <c r="V317" s="46"/>
      <c r="W317" s="43"/>
    </row>
    <row r="318" spans="1:23" x14ac:dyDescent="0.2">
      <c r="A318" s="63">
        <v>98422</v>
      </c>
      <c r="B318" s="38" t="s">
        <v>10</v>
      </c>
      <c r="C318" s="48">
        <v>109</v>
      </c>
      <c r="D318" s="48">
        <v>79</v>
      </c>
      <c r="E318" s="48">
        <v>53</v>
      </c>
      <c r="M318" s="59">
        <v>98359</v>
      </c>
      <c r="N318" s="38" t="s">
        <v>10</v>
      </c>
      <c r="O318" s="36">
        <v>5</v>
      </c>
      <c r="P318" s="36">
        <v>16</v>
      </c>
      <c r="Q318" s="36">
        <v>13</v>
      </c>
      <c r="S318" s="43"/>
      <c r="T318" s="41"/>
      <c r="U318" s="46"/>
      <c r="V318" s="46"/>
      <c r="W318" s="46"/>
    </row>
    <row r="319" spans="1:23" x14ac:dyDescent="0.2">
      <c r="A319" s="64">
        <v>98424</v>
      </c>
      <c r="B319" s="38" t="s">
        <v>352</v>
      </c>
      <c r="C319" s="48">
        <v>1</v>
      </c>
      <c r="D319" s="48">
        <v>1</v>
      </c>
      <c r="E319" s="48">
        <v>1</v>
      </c>
      <c r="M319" s="86">
        <v>98360</v>
      </c>
      <c r="N319" s="38" t="s">
        <v>352</v>
      </c>
      <c r="O319" s="36">
        <v>4</v>
      </c>
      <c r="P319" s="36">
        <v>2</v>
      </c>
      <c r="Q319" s="36">
        <v>7</v>
      </c>
      <c r="S319" s="41"/>
      <c r="T319" s="41"/>
      <c r="U319" s="46"/>
      <c r="V319" s="46"/>
      <c r="W319" s="46"/>
    </row>
    <row r="320" spans="1:23" x14ac:dyDescent="0.2">
      <c r="A320" s="63">
        <v>98424</v>
      </c>
      <c r="B320" s="38" t="s">
        <v>10</v>
      </c>
      <c r="C320" s="48">
        <v>55</v>
      </c>
      <c r="D320" s="48">
        <v>51</v>
      </c>
      <c r="E320" s="48">
        <v>35</v>
      </c>
      <c r="M320" s="59">
        <v>98360</v>
      </c>
      <c r="N320" s="38" t="s">
        <v>10</v>
      </c>
      <c r="O320" s="36">
        <v>47</v>
      </c>
      <c r="P320" s="36">
        <v>45</v>
      </c>
      <c r="Q320" s="36">
        <v>61</v>
      </c>
      <c r="S320" s="40"/>
      <c r="T320" s="41"/>
      <c r="U320" s="46"/>
      <c r="V320" s="43"/>
      <c r="W320" s="43"/>
    </row>
    <row r="321" spans="1:23" x14ac:dyDescent="0.2">
      <c r="A321" s="64">
        <v>98439</v>
      </c>
      <c r="B321" s="38" t="s">
        <v>10</v>
      </c>
      <c r="C321" s="48">
        <v>104</v>
      </c>
      <c r="D321" s="48">
        <v>90</v>
      </c>
      <c r="E321" s="48">
        <v>57</v>
      </c>
      <c r="M321" s="86">
        <v>98366</v>
      </c>
      <c r="N321" s="38" t="s">
        <v>352</v>
      </c>
      <c r="O321" s="36">
        <v>12</v>
      </c>
      <c r="P321" s="36">
        <v>19</v>
      </c>
      <c r="Q321" s="36">
        <v>15</v>
      </c>
      <c r="S321" s="43"/>
      <c r="T321" s="41"/>
      <c r="U321" s="46"/>
      <c r="V321" s="43"/>
      <c r="W321" s="46"/>
    </row>
    <row r="322" spans="1:23" x14ac:dyDescent="0.2">
      <c r="A322" s="63">
        <v>98443</v>
      </c>
      <c r="B322" s="38" t="s">
        <v>10</v>
      </c>
      <c r="C322" s="48">
        <v>9</v>
      </c>
      <c r="D322" s="48">
        <v>6</v>
      </c>
      <c r="E322" s="48">
        <v>5</v>
      </c>
      <c r="M322" s="59">
        <v>98366</v>
      </c>
      <c r="N322" s="38" t="s">
        <v>10</v>
      </c>
      <c r="O322" s="36">
        <v>141</v>
      </c>
      <c r="P322" s="36">
        <v>170</v>
      </c>
      <c r="Q322" s="36">
        <v>173</v>
      </c>
      <c r="S322" s="41"/>
      <c r="T322" s="41"/>
      <c r="U322" s="46"/>
      <c r="V322" s="46"/>
      <c r="W322" s="46"/>
    </row>
    <row r="323" spans="1:23" x14ac:dyDescent="0.2">
      <c r="A323" s="64">
        <v>98444</v>
      </c>
      <c r="B323" s="38" t="s">
        <v>352</v>
      </c>
      <c r="C323" s="48">
        <v>4</v>
      </c>
      <c r="D323" s="48">
        <v>3</v>
      </c>
      <c r="E323" s="48">
        <v>3</v>
      </c>
      <c r="M323" s="86">
        <v>98367</v>
      </c>
      <c r="N323" s="38" t="s">
        <v>352</v>
      </c>
      <c r="O323" s="36">
        <v>17</v>
      </c>
      <c r="P323" s="36">
        <v>13</v>
      </c>
      <c r="Q323" s="36">
        <v>19</v>
      </c>
      <c r="S323" s="41"/>
      <c r="T323" s="41"/>
      <c r="U323" s="46"/>
      <c r="V323" s="46"/>
      <c r="W323" s="46"/>
    </row>
    <row r="324" spans="1:23" x14ac:dyDescent="0.2">
      <c r="A324" s="63">
        <v>98444</v>
      </c>
      <c r="B324" s="38" t="s">
        <v>10</v>
      </c>
      <c r="C324" s="48">
        <v>90</v>
      </c>
      <c r="D324" s="48">
        <v>75</v>
      </c>
      <c r="E324" s="48">
        <v>51</v>
      </c>
      <c r="M324" s="59">
        <v>98367</v>
      </c>
      <c r="N324" s="38" t="s">
        <v>10</v>
      </c>
      <c r="O324" s="36">
        <v>86</v>
      </c>
      <c r="P324" s="36">
        <v>90</v>
      </c>
      <c r="Q324" s="36">
        <v>96</v>
      </c>
      <c r="S324" s="41"/>
      <c r="T324" s="41"/>
      <c r="U324" s="46"/>
      <c r="V324" s="46"/>
      <c r="W324" s="46"/>
    </row>
    <row r="325" spans="1:23" x14ac:dyDescent="0.2">
      <c r="A325" s="64">
        <v>98445</v>
      </c>
      <c r="B325" s="38" t="s">
        <v>10</v>
      </c>
      <c r="C325" s="48">
        <v>155</v>
      </c>
      <c r="D325" s="48">
        <v>123</v>
      </c>
      <c r="E325" s="48">
        <v>80</v>
      </c>
      <c r="M325" s="86">
        <v>98370</v>
      </c>
      <c r="N325" s="38" t="s">
        <v>352</v>
      </c>
      <c r="O325" s="36">
        <v>32</v>
      </c>
      <c r="P325" s="36">
        <v>20</v>
      </c>
      <c r="Q325" s="36">
        <v>29</v>
      </c>
      <c r="S325" s="40"/>
      <c r="T325" s="41"/>
      <c r="U325" s="46"/>
      <c r="V325" s="46"/>
      <c r="W325" s="43"/>
    </row>
    <row r="326" spans="1:23" x14ac:dyDescent="0.2">
      <c r="A326" s="63">
        <v>98446</v>
      </c>
      <c r="B326" s="38" t="s">
        <v>10</v>
      </c>
      <c r="C326" s="48">
        <v>43</v>
      </c>
      <c r="D326" s="48">
        <v>32</v>
      </c>
      <c r="E326" s="48">
        <v>22</v>
      </c>
      <c r="M326" s="59">
        <v>98370</v>
      </c>
      <c r="N326" s="38" t="s">
        <v>10</v>
      </c>
      <c r="O326" s="36">
        <v>113</v>
      </c>
      <c r="P326" s="36">
        <v>97</v>
      </c>
      <c r="Q326" s="36">
        <v>137</v>
      </c>
      <c r="S326" s="43"/>
      <c r="T326" s="41"/>
      <c r="U326" s="46"/>
      <c r="V326" s="46"/>
      <c r="W326" s="46"/>
    </row>
    <row r="327" spans="1:23" x14ac:dyDescent="0.2">
      <c r="A327" s="64">
        <v>98465</v>
      </c>
      <c r="B327" s="38" t="s">
        <v>352</v>
      </c>
      <c r="C327" s="48">
        <v>1</v>
      </c>
      <c r="D327" s="48">
        <v>1</v>
      </c>
      <c r="E327" s="48">
        <v>0</v>
      </c>
      <c r="M327" s="86">
        <v>98371</v>
      </c>
      <c r="N327" s="38" t="s">
        <v>352</v>
      </c>
      <c r="O327" s="36">
        <v>20</v>
      </c>
      <c r="P327" s="36">
        <v>13</v>
      </c>
      <c r="Q327" s="36">
        <v>14</v>
      </c>
      <c r="S327" s="41"/>
      <c r="T327" s="41"/>
      <c r="U327" s="43"/>
      <c r="V327" s="46"/>
      <c r="W327" s="46"/>
    </row>
    <row r="328" spans="1:23" x14ac:dyDescent="0.2">
      <c r="A328" s="63">
        <v>98465</v>
      </c>
      <c r="B328" s="38" t="s">
        <v>10</v>
      </c>
      <c r="C328" s="48">
        <v>25</v>
      </c>
      <c r="D328" s="48">
        <v>20</v>
      </c>
      <c r="E328" s="48">
        <v>12</v>
      </c>
      <c r="M328" s="59">
        <v>98371</v>
      </c>
      <c r="N328" s="38" t="s">
        <v>10</v>
      </c>
      <c r="O328" s="36">
        <v>121</v>
      </c>
      <c r="P328" s="36">
        <v>116</v>
      </c>
      <c r="Q328" s="36">
        <v>112</v>
      </c>
      <c r="S328" s="41"/>
      <c r="T328" s="41"/>
      <c r="U328" s="46"/>
      <c r="V328" s="46"/>
      <c r="W328" s="46"/>
    </row>
    <row r="329" spans="1:23" x14ac:dyDescent="0.2">
      <c r="A329" s="64">
        <v>98466</v>
      </c>
      <c r="B329" s="38" t="s">
        <v>352</v>
      </c>
      <c r="C329" s="48">
        <v>1</v>
      </c>
      <c r="D329" s="48">
        <v>1</v>
      </c>
      <c r="E329" s="48">
        <v>0</v>
      </c>
      <c r="M329" s="86">
        <v>98372</v>
      </c>
      <c r="N329" s="38" t="s">
        <v>352</v>
      </c>
      <c r="O329" s="36">
        <v>12</v>
      </c>
      <c r="P329" s="36">
        <v>15</v>
      </c>
      <c r="Q329" s="36">
        <v>15</v>
      </c>
      <c r="S329" s="40"/>
      <c r="T329" s="41"/>
      <c r="U329" s="43"/>
      <c r="V329" s="46"/>
      <c r="W329" s="43"/>
    </row>
    <row r="330" spans="1:23" x14ac:dyDescent="0.2">
      <c r="A330" s="63">
        <v>98466</v>
      </c>
      <c r="B330" s="38" t="s">
        <v>10</v>
      </c>
      <c r="C330" s="48">
        <v>89</v>
      </c>
      <c r="D330" s="48">
        <v>70</v>
      </c>
      <c r="E330" s="48">
        <v>45</v>
      </c>
      <c r="M330" s="59">
        <v>98372</v>
      </c>
      <c r="N330" s="38" t="s">
        <v>354</v>
      </c>
      <c r="O330" s="36">
        <v>0</v>
      </c>
      <c r="P330" s="36">
        <v>0</v>
      </c>
      <c r="Q330" s="36">
        <v>1</v>
      </c>
      <c r="S330" s="43"/>
      <c r="T330" s="41"/>
      <c r="U330" s="46"/>
      <c r="V330" s="46"/>
      <c r="W330" s="46"/>
    </row>
    <row r="331" spans="1:23" x14ac:dyDescent="0.2">
      <c r="A331" s="64">
        <v>98467</v>
      </c>
      <c r="B331" s="38" t="s">
        <v>10</v>
      </c>
      <c r="C331" s="48">
        <v>45</v>
      </c>
      <c r="D331" s="48">
        <v>42</v>
      </c>
      <c r="E331" s="48">
        <v>31</v>
      </c>
      <c r="M331" s="86">
        <v>98372</v>
      </c>
      <c r="N331" s="38" t="s">
        <v>10</v>
      </c>
      <c r="O331" s="36">
        <v>168</v>
      </c>
      <c r="P331" s="36">
        <v>203</v>
      </c>
      <c r="Q331" s="36">
        <v>187</v>
      </c>
      <c r="S331" s="41"/>
      <c r="T331" s="41"/>
      <c r="U331" s="46"/>
      <c r="V331" s="43"/>
      <c r="W331" s="46"/>
    </row>
    <row r="332" spans="1:23" x14ac:dyDescent="0.2">
      <c r="A332" s="63">
        <v>98498</v>
      </c>
      <c r="B332" s="38" t="s">
        <v>352</v>
      </c>
      <c r="C332" s="48">
        <v>2</v>
      </c>
      <c r="D332" s="48">
        <v>2</v>
      </c>
      <c r="E332" s="48">
        <v>1</v>
      </c>
      <c r="M332" s="59">
        <v>98373</v>
      </c>
      <c r="N332" s="38" t="s">
        <v>352</v>
      </c>
      <c r="O332" s="36">
        <v>5</v>
      </c>
      <c r="P332" s="36">
        <v>13</v>
      </c>
      <c r="Q332" s="36">
        <v>7</v>
      </c>
      <c r="S332" s="41"/>
      <c r="T332" s="41"/>
      <c r="U332" s="46"/>
      <c r="V332" s="46"/>
      <c r="W332" s="46"/>
    </row>
    <row r="333" spans="1:23" x14ac:dyDescent="0.2">
      <c r="A333" s="64">
        <v>98498</v>
      </c>
      <c r="B333" s="38" t="s">
        <v>10</v>
      </c>
      <c r="C333" s="48">
        <v>351</v>
      </c>
      <c r="D333" s="48">
        <v>303</v>
      </c>
      <c r="E333" s="48">
        <v>204</v>
      </c>
      <c r="M333" s="86">
        <v>98373</v>
      </c>
      <c r="N333" s="38" t="s">
        <v>10</v>
      </c>
      <c r="O333" s="36">
        <v>135</v>
      </c>
      <c r="P333" s="36">
        <v>127</v>
      </c>
      <c r="Q333" s="36">
        <v>131</v>
      </c>
      <c r="S333" s="41"/>
      <c r="T333" s="41"/>
      <c r="U333" s="46"/>
      <c r="V333" s="46"/>
      <c r="W333" s="46"/>
    </row>
    <row r="334" spans="1:23" x14ac:dyDescent="0.2">
      <c r="A334" s="63">
        <v>98499</v>
      </c>
      <c r="B334" s="38" t="s">
        <v>352</v>
      </c>
      <c r="C334" s="48">
        <v>4</v>
      </c>
      <c r="D334" s="48">
        <v>4</v>
      </c>
      <c r="E334" s="48">
        <v>4</v>
      </c>
      <c r="M334" s="59">
        <v>98374</v>
      </c>
      <c r="N334" s="38" t="s">
        <v>352</v>
      </c>
      <c r="O334" s="36">
        <v>36</v>
      </c>
      <c r="P334" s="36">
        <v>20</v>
      </c>
      <c r="Q334" s="36">
        <v>67</v>
      </c>
      <c r="S334" s="41"/>
      <c r="T334" s="41"/>
      <c r="U334" s="43"/>
      <c r="V334" s="46"/>
      <c r="W334" s="46"/>
    </row>
    <row r="335" spans="1:23" x14ac:dyDescent="0.2">
      <c r="A335" s="64">
        <v>98499</v>
      </c>
      <c r="B335" s="38" t="s">
        <v>10</v>
      </c>
      <c r="C335" s="48">
        <v>125</v>
      </c>
      <c r="D335" s="48">
        <v>102</v>
      </c>
      <c r="E335" s="48">
        <v>75</v>
      </c>
      <c r="M335" s="86">
        <v>98374</v>
      </c>
      <c r="N335" s="38" t="s">
        <v>10</v>
      </c>
      <c r="O335" s="36">
        <v>238</v>
      </c>
      <c r="P335" s="36">
        <v>271</v>
      </c>
      <c r="Q335" s="36">
        <v>227</v>
      </c>
      <c r="S335" s="41"/>
      <c r="T335" s="41"/>
      <c r="U335" s="46"/>
      <c r="V335" s="46"/>
      <c r="W335" s="43"/>
    </row>
    <row r="336" spans="1:23" x14ac:dyDescent="0.2">
      <c r="A336" s="64">
        <v>98501</v>
      </c>
      <c r="B336" s="38" t="s">
        <v>352</v>
      </c>
      <c r="C336" s="48">
        <v>13</v>
      </c>
      <c r="D336" s="48">
        <v>13</v>
      </c>
      <c r="E336" s="48">
        <v>12</v>
      </c>
      <c r="M336" s="59">
        <v>98375</v>
      </c>
      <c r="N336" s="38" t="s">
        <v>352</v>
      </c>
      <c r="O336" s="36">
        <v>7</v>
      </c>
      <c r="P336" s="36">
        <v>17</v>
      </c>
      <c r="Q336" s="36">
        <v>5</v>
      </c>
      <c r="S336" s="41"/>
      <c r="T336" s="41"/>
      <c r="U336" s="46"/>
      <c r="V336" s="43"/>
      <c r="W336" s="43"/>
    </row>
    <row r="337" spans="1:23" x14ac:dyDescent="0.2">
      <c r="A337" s="64">
        <v>98501</v>
      </c>
      <c r="B337" s="38" t="s">
        <v>10</v>
      </c>
      <c r="C337" s="48">
        <v>545</v>
      </c>
      <c r="D337" s="48">
        <v>484</v>
      </c>
      <c r="E337" s="48">
        <v>355</v>
      </c>
      <c r="M337" s="86">
        <v>98375</v>
      </c>
      <c r="N337" s="38" t="s">
        <v>10</v>
      </c>
      <c r="O337" s="36">
        <v>84</v>
      </c>
      <c r="P337" s="36">
        <v>81</v>
      </c>
      <c r="Q337" s="36">
        <v>120</v>
      </c>
      <c r="S337" s="40"/>
      <c r="T337" s="41"/>
      <c r="U337" s="46"/>
      <c r="V337" s="46"/>
      <c r="W337" s="46"/>
    </row>
    <row r="338" spans="1:23" x14ac:dyDescent="0.2">
      <c r="A338" s="63">
        <v>98502</v>
      </c>
      <c r="B338" s="38" t="s">
        <v>352</v>
      </c>
      <c r="C338" s="48">
        <v>3</v>
      </c>
      <c r="D338" s="48">
        <v>3</v>
      </c>
      <c r="E338" s="48">
        <v>3</v>
      </c>
      <c r="M338" s="59">
        <v>98380</v>
      </c>
      <c r="N338" s="38" t="s">
        <v>352</v>
      </c>
      <c r="O338" s="36">
        <v>1</v>
      </c>
      <c r="P338" s="36">
        <v>10</v>
      </c>
      <c r="Q338" s="36">
        <v>2</v>
      </c>
      <c r="S338" s="43"/>
      <c r="T338" s="41"/>
      <c r="U338" s="46"/>
      <c r="V338" s="46"/>
      <c r="W338" s="46"/>
    </row>
    <row r="339" spans="1:23" x14ac:dyDescent="0.2">
      <c r="A339" s="64">
        <v>98502</v>
      </c>
      <c r="B339" s="38" t="s">
        <v>10</v>
      </c>
      <c r="C339" s="48">
        <v>435</v>
      </c>
      <c r="D339" s="48">
        <v>367</v>
      </c>
      <c r="E339" s="48">
        <v>249</v>
      </c>
      <c r="M339" s="86">
        <v>98380</v>
      </c>
      <c r="N339" s="38" t="s">
        <v>10</v>
      </c>
      <c r="O339" s="36">
        <v>13</v>
      </c>
      <c r="P339" s="36">
        <v>12</v>
      </c>
      <c r="Q339" s="36">
        <v>17</v>
      </c>
      <c r="S339" s="3"/>
      <c r="T339" s="53"/>
      <c r="U339" s="2"/>
      <c r="V339" s="3"/>
      <c r="W339" s="2"/>
    </row>
    <row r="340" spans="1:23" x14ac:dyDescent="0.2">
      <c r="A340" s="64">
        <v>98503</v>
      </c>
      <c r="B340" s="38" t="s">
        <v>352</v>
      </c>
      <c r="C340" s="48">
        <v>4</v>
      </c>
      <c r="D340" s="48">
        <v>4</v>
      </c>
      <c r="E340" s="48">
        <v>2</v>
      </c>
      <c r="M340" s="59">
        <v>98383</v>
      </c>
      <c r="N340" s="38" t="s">
        <v>352</v>
      </c>
      <c r="O340" s="36">
        <v>17</v>
      </c>
      <c r="P340" s="36">
        <v>12</v>
      </c>
      <c r="Q340" s="36">
        <v>13</v>
      </c>
      <c r="S340" s="53"/>
      <c r="T340" s="53"/>
      <c r="U340" s="2"/>
      <c r="V340" s="2"/>
      <c r="W340" s="3"/>
    </row>
    <row r="341" spans="1:23" x14ac:dyDescent="0.2">
      <c r="A341" s="64">
        <v>98503</v>
      </c>
      <c r="B341" s="38" t="s">
        <v>10</v>
      </c>
      <c r="C341" s="48">
        <v>631</v>
      </c>
      <c r="D341" s="48">
        <v>554</v>
      </c>
      <c r="E341" s="48">
        <v>416</v>
      </c>
      <c r="M341" s="86">
        <v>98383</v>
      </c>
      <c r="N341" s="38" t="s">
        <v>10</v>
      </c>
      <c r="O341" s="33">
        <v>134</v>
      </c>
      <c r="P341" s="33">
        <v>113</v>
      </c>
      <c r="Q341" s="36">
        <v>137</v>
      </c>
      <c r="S341" s="53"/>
      <c r="T341" s="53"/>
      <c r="U341" s="2"/>
      <c r="V341" s="2"/>
      <c r="W341" s="2"/>
    </row>
    <row r="342" spans="1:23" x14ac:dyDescent="0.2">
      <c r="A342" s="63">
        <v>98506</v>
      </c>
      <c r="B342" s="38" t="s">
        <v>352</v>
      </c>
      <c r="C342" s="48">
        <v>4</v>
      </c>
      <c r="D342" s="48">
        <v>2</v>
      </c>
      <c r="E342" s="48">
        <v>2</v>
      </c>
      <c r="M342" s="86">
        <v>98385</v>
      </c>
      <c r="N342" s="38" t="s">
        <v>352</v>
      </c>
      <c r="O342" s="36">
        <v>0</v>
      </c>
      <c r="P342" s="36">
        <v>0</v>
      </c>
      <c r="Q342" s="36">
        <v>1</v>
      </c>
      <c r="S342" s="53"/>
      <c r="T342" s="53"/>
      <c r="U342" s="3"/>
      <c r="V342" s="2"/>
      <c r="W342" s="3"/>
    </row>
    <row r="343" spans="1:23" x14ac:dyDescent="0.2">
      <c r="A343" s="64">
        <v>98506</v>
      </c>
      <c r="B343" s="38" t="s">
        <v>10</v>
      </c>
      <c r="C343" s="48">
        <v>269</v>
      </c>
      <c r="D343" s="48">
        <v>237</v>
      </c>
      <c r="E343" s="48">
        <v>160</v>
      </c>
      <c r="M343" s="59">
        <v>98385</v>
      </c>
      <c r="N343" s="38" t="s">
        <v>10</v>
      </c>
      <c r="O343" s="36">
        <v>1</v>
      </c>
      <c r="P343" s="36">
        <v>1</v>
      </c>
      <c r="Q343" s="36">
        <v>0</v>
      </c>
      <c r="S343" s="54"/>
      <c r="T343" s="53"/>
      <c r="U343" s="2"/>
      <c r="V343" s="2"/>
      <c r="W343" s="2"/>
    </row>
    <row r="344" spans="1:23" x14ac:dyDescent="0.2">
      <c r="A344" s="63">
        <v>98512</v>
      </c>
      <c r="B344" s="38" t="s">
        <v>352</v>
      </c>
      <c r="C344" s="48">
        <v>4</v>
      </c>
      <c r="D344" s="48">
        <v>4</v>
      </c>
      <c r="E344" s="48">
        <v>4</v>
      </c>
      <c r="M344" s="86">
        <v>98387</v>
      </c>
      <c r="N344" s="38" t="s">
        <v>352</v>
      </c>
      <c r="O344" s="36">
        <v>2</v>
      </c>
      <c r="P344" s="36">
        <v>3</v>
      </c>
      <c r="Q344" s="36">
        <v>2</v>
      </c>
      <c r="S344" s="3"/>
      <c r="T344" s="53"/>
      <c r="U344" s="2"/>
      <c r="V344" s="2"/>
      <c r="W344" s="2"/>
    </row>
    <row r="345" spans="1:23" x14ac:dyDescent="0.2">
      <c r="A345" s="64">
        <v>98512</v>
      </c>
      <c r="B345" s="38" t="s">
        <v>10</v>
      </c>
      <c r="C345" s="48">
        <v>366</v>
      </c>
      <c r="D345" s="48">
        <v>316</v>
      </c>
      <c r="E345" s="48">
        <v>224</v>
      </c>
      <c r="M345" s="86">
        <v>98387</v>
      </c>
      <c r="N345" s="38" t="s">
        <v>10</v>
      </c>
      <c r="O345" s="36">
        <v>118</v>
      </c>
      <c r="P345" s="36">
        <v>141</v>
      </c>
      <c r="Q345" s="36">
        <v>127</v>
      </c>
      <c r="S345" s="40"/>
      <c r="T345" s="41"/>
      <c r="U345" s="43"/>
      <c r="V345" s="46"/>
      <c r="W345" s="46"/>
    </row>
    <row r="346" spans="1:23" x14ac:dyDescent="0.2">
      <c r="A346" s="64">
        <v>98513</v>
      </c>
      <c r="B346" s="38" t="s">
        <v>352</v>
      </c>
      <c r="C346" s="48">
        <v>2</v>
      </c>
      <c r="D346" s="48">
        <v>2</v>
      </c>
      <c r="E346" s="48">
        <v>2</v>
      </c>
      <c r="M346" s="59">
        <v>98388</v>
      </c>
      <c r="N346" s="38" t="s">
        <v>352</v>
      </c>
      <c r="O346" s="36">
        <v>0</v>
      </c>
      <c r="P346" s="36">
        <v>0</v>
      </c>
      <c r="Q346" s="36">
        <v>1</v>
      </c>
      <c r="S346" s="43"/>
      <c r="T346" s="41"/>
      <c r="U346" s="46"/>
      <c r="V346" s="46"/>
      <c r="W346" s="46"/>
    </row>
    <row r="347" spans="1:23" x14ac:dyDescent="0.2">
      <c r="A347" s="63">
        <v>98513</v>
      </c>
      <c r="B347" s="38" t="s">
        <v>10</v>
      </c>
      <c r="C347" s="48">
        <v>421</v>
      </c>
      <c r="D347" s="48">
        <v>377</v>
      </c>
      <c r="E347" s="48">
        <v>278</v>
      </c>
      <c r="M347" s="86">
        <v>98388</v>
      </c>
      <c r="N347" s="38" t="s">
        <v>10</v>
      </c>
      <c r="O347" s="36">
        <v>11</v>
      </c>
      <c r="P347" s="36">
        <v>11</v>
      </c>
      <c r="Q347" s="36">
        <v>12</v>
      </c>
      <c r="S347" s="41"/>
      <c r="T347" s="41"/>
      <c r="U347" s="46"/>
      <c r="V347" s="46"/>
      <c r="W347" s="46"/>
    </row>
    <row r="348" spans="1:23" x14ac:dyDescent="0.2">
      <c r="A348" s="64">
        <v>98516</v>
      </c>
      <c r="B348" s="38" t="s">
        <v>352</v>
      </c>
      <c r="C348" s="48">
        <v>5</v>
      </c>
      <c r="D348" s="48">
        <v>4</v>
      </c>
      <c r="E348" s="48">
        <v>4</v>
      </c>
      <c r="M348" s="59">
        <v>98390</v>
      </c>
      <c r="N348" s="38" t="s">
        <v>352</v>
      </c>
      <c r="O348" s="36">
        <v>21</v>
      </c>
      <c r="P348" s="36">
        <v>16</v>
      </c>
      <c r="Q348" s="36">
        <v>18</v>
      </c>
      <c r="S348" s="41"/>
      <c r="T348" s="41"/>
      <c r="U348" s="46"/>
      <c r="V348" s="43"/>
      <c r="W348" s="43"/>
    </row>
    <row r="349" spans="1:23" x14ac:dyDescent="0.2">
      <c r="A349" s="63">
        <v>98516</v>
      </c>
      <c r="B349" s="38" t="s">
        <v>10</v>
      </c>
      <c r="C349" s="48">
        <v>250</v>
      </c>
      <c r="D349" s="48">
        <v>227</v>
      </c>
      <c r="E349" s="48">
        <v>171</v>
      </c>
      <c r="M349" s="86">
        <v>98390</v>
      </c>
      <c r="N349" s="38" t="s">
        <v>10</v>
      </c>
      <c r="O349" s="36">
        <v>75</v>
      </c>
      <c r="P349" s="36">
        <v>63</v>
      </c>
      <c r="Q349" s="36">
        <v>72</v>
      </c>
      <c r="S349" s="40"/>
      <c r="T349" s="41"/>
      <c r="U349" s="43"/>
      <c r="V349" s="43"/>
      <c r="W349" s="46"/>
    </row>
    <row r="350" spans="1:23" x14ac:dyDescent="0.2">
      <c r="A350" s="64">
        <v>98530</v>
      </c>
      <c r="B350" s="38" t="s">
        <v>10</v>
      </c>
      <c r="C350" s="48">
        <v>11</v>
      </c>
      <c r="D350" s="48">
        <v>9</v>
      </c>
      <c r="E350" s="48">
        <v>9</v>
      </c>
      <c r="M350" s="59">
        <v>98391</v>
      </c>
      <c r="N350" s="38" t="s">
        <v>352</v>
      </c>
      <c r="O350" s="36">
        <v>34</v>
      </c>
      <c r="P350" s="36">
        <v>64</v>
      </c>
      <c r="Q350" s="36">
        <v>67</v>
      </c>
      <c r="S350" s="43"/>
      <c r="T350" s="41"/>
      <c r="U350" s="46"/>
      <c r="V350" s="46"/>
      <c r="W350" s="46"/>
    </row>
    <row r="351" spans="1:23" x14ac:dyDescent="0.2">
      <c r="A351" s="64">
        <v>98531</v>
      </c>
      <c r="B351" s="38" t="s">
        <v>352</v>
      </c>
      <c r="C351" s="48">
        <v>2</v>
      </c>
      <c r="D351" s="48">
        <v>2</v>
      </c>
      <c r="E351" s="48">
        <v>2</v>
      </c>
      <c r="M351" s="86">
        <v>98391</v>
      </c>
      <c r="N351" s="38" t="s">
        <v>10</v>
      </c>
      <c r="O351" s="33">
        <v>253</v>
      </c>
      <c r="P351" s="36">
        <v>251</v>
      </c>
      <c r="Q351" s="33">
        <v>292</v>
      </c>
      <c r="S351" s="40"/>
      <c r="T351" s="41"/>
      <c r="U351" s="46"/>
      <c r="V351" s="43"/>
      <c r="W351" s="43"/>
    </row>
    <row r="352" spans="1:23" x14ac:dyDescent="0.2">
      <c r="A352" s="63">
        <v>98531</v>
      </c>
      <c r="B352" s="38" t="s">
        <v>10</v>
      </c>
      <c r="C352" s="48">
        <v>86</v>
      </c>
      <c r="D352" s="48">
        <v>73</v>
      </c>
      <c r="E352" s="48">
        <v>52</v>
      </c>
      <c r="M352" s="86">
        <v>98392</v>
      </c>
      <c r="N352" s="38" t="s">
        <v>352</v>
      </c>
      <c r="O352" s="36">
        <v>1</v>
      </c>
      <c r="P352" s="36">
        <v>1</v>
      </c>
      <c r="Q352" s="36">
        <v>0</v>
      </c>
      <c r="S352" s="43"/>
      <c r="T352" s="41"/>
      <c r="U352" s="46"/>
      <c r="V352" s="46"/>
      <c r="W352" s="46"/>
    </row>
    <row r="353" spans="1:23" x14ac:dyDescent="0.2">
      <c r="A353" s="64">
        <v>98532</v>
      </c>
      <c r="B353" s="38" t="s">
        <v>352</v>
      </c>
      <c r="C353" s="48">
        <v>1</v>
      </c>
      <c r="D353" s="48">
        <v>1</v>
      </c>
      <c r="E353" s="48">
        <v>1</v>
      </c>
      <c r="M353" s="59">
        <v>98392</v>
      </c>
      <c r="N353" s="38" t="s">
        <v>10</v>
      </c>
      <c r="O353" s="36">
        <v>17</v>
      </c>
      <c r="P353" s="36">
        <v>10</v>
      </c>
      <c r="Q353" s="36">
        <v>15</v>
      </c>
      <c r="S353" s="40"/>
      <c r="T353" s="41"/>
      <c r="U353" s="46"/>
      <c r="V353" s="46"/>
      <c r="W353" s="46"/>
    </row>
    <row r="354" spans="1:23" x14ac:dyDescent="0.2">
      <c r="A354" s="63">
        <v>98532</v>
      </c>
      <c r="B354" s="38" t="s">
        <v>10</v>
      </c>
      <c r="C354" s="48">
        <v>23</v>
      </c>
      <c r="D354" s="48">
        <v>22</v>
      </c>
      <c r="E354" s="48">
        <v>17</v>
      </c>
      <c r="M354" s="86">
        <v>98396</v>
      </c>
      <c r="N354" s="38" t="s">
        <v>10</v>
      </c>
      <c r="O354" s="36">
        <v>1</v>
      </c>
      <c r="P354" s="36">
        <v>2</v>
      </c>
      <c r="Q354" s="33">
        <v>2</v>
      </c>
      <c r="S354" s="43"/>
      <c r="T354" s="41"/>
      <c r="U354" s="46"/>
      <c r="V354" s="46"/>
      <c r="W354" s="46"/>
    </row>
    <row r="355" spans="1:23" x14ac:dyDescent="0.2">
      <c r="A355" s="64">
        <v>98558</v>
      </c>
      <c r="B355" s="38" t="s">
        <v>10</v>
      </c>
      <c r="C355" s="48">
        <v>3</v>
      </c>
      <c r="D355" s="48">
        <v>3</v>
      </c>
      <c r="E355" s="48">
        <v>1</v>
      </c>
      <c r="M355" s="59">
        <v>98402</v>
      </c>
      <c r="N355" s="38" t="s">
        <v>352</v>
      </c>
      <c r="O355" s="36">
        <v>7</v>
      </c>
      <c r="P355" s="36">
        <v>3</v>
      </c>
      <c r="Q355" s="36">
        <v>1</v>
      </c>
      <c r="S355" s="41"/>
      <c r="T355" s="41"/>
      <c r="U355" s="46"/>
      <c r="V355" s="46"/>
      <c r="W355" s="46"/>
    </row>
    <row r="356" spans="1:23" x14ac:dyDescent="0.2">
      <c r="A356" s="63">
        <v>98576</v>
      </c>
      <c r="B356" s="38" t="s">
        <v>10</v>
      </c>
      <c r="C356" s="48">
        <v>74</v>
      </c>
      <c r="D356" s="48">
        <v>70</v>
      </c>
      <c r="E356" s="48">
        <v>52</v>
      </c>
      <c r="M356" s="86">
        <v>98402</v>
      </c>
      <c r="N356" s="38" t="s">
        <v>10</v>
      </c>
      <c r="O356" s="36">
        <v>3</v>
      </c>
      <c r="P356" s="36">
        <v>3</v>
      </c>
      <c r="Q356" s="36">
        <v>2</v>
      </c>
      <c r="S356" s="40"/>
      <c r="T356" s="41"/>
      <c r="U356" s="46"/>
      <c r="V356" s="43"/>
      <c r="W356" s="46"/>
    </row>
    <row r="357" spans="1:23" x14ac:dyDescent="0.2">
      <c r="A357" s="64">
        <v>98579</v>
      </c>
      <c r="B357" s="38" t="s">
        <v>352</v>
      </c>
      <c r="C357" s="48">
        <v>4</v>
      </c>
      <c r="D357" s="48">
        <v>4</v>
      </c>
      <c r="E357" s="48">
        <v>3</v>
      </c>
      <c r="M357" s="59">
        <v>98403</v>
      </c>
      <c r="N357" s="38" t="s">
        <v>352</v>
      </c>
      <c r="O357" s="36">
        <v>1</v>
      </c>
      <c r="P357" s="36">
        <v>3</v>
      </c>
      <c r="Q357" s="36">
        <v>3</v>
      </c>
      <c r="S357" s="43"/>
      <c r="T357" s="41"/>
      <c r="U357" s="46"/>
      <c r="V357" s="46"/>
      <c r="W357" s="46"/>
    </row>
    <row r="358" spans="1:23" x14ac:dyDescent="0.2">
      <c r="A358" s="63">
        <v>98579</v>
      </c>
      <c r="B358" s="38" t="s">
        <v>10</v>
      </c>
      <c r="C358" s="48">
        <v>200</v>
      </c>
      <c r="D358" s="48">
        <v>171</v>
      </c>
      <c r="E358" s="48">
        <v>136</v>
      </c>
      <c r="M358" s="86">
        <v>98403</v>
      </c>
      <c r="N358" s="38" t="s">
        <v>10</v>
      </c>
      <c r="O358" s="33">
        <v>10</v>
      </c>
      <c r="P358" s="36">
        <v>14</v>
      </c>
      <c r="Q358" s="36">
        <v>12</v>
      </c>
      <c r="S358" s="41"/>
      <c r="T358" s="41"/>
      <c r="U358" s="46"/>
      <c r="V358" s="46"/>
      <c r="W358" s="46"/>
    </row>
    <row r="359" spans="1:23" x14ac:dyDescent="0.2">
      <c r="A359" s="64">
        <v>98580</v>
      </c>
      <c r="B359" s="38" t="s">
        <v>352</v>
      </c>
      <c r="C359" s="48">
        <v>2</v>
      </c>
      <c r="D359" s="48">
        <v>2</v>
      </c>
      <c r="E359" s="48">
        <v>1</v>
      </c>
      <c r="M359" s="59">
        <v>98404</v>
      </c>
      <c r="N359" s="38" t="s">
        <v>352</v>
      </c>
      <c r="O359" s="36">
        <v>2</v>
      </c>
      <c r="P359" s="36">
        <v>0</v>
      </c>
      <c r="Q359" s="36">
        <v>1</v>
      </c>
      <c r="S359" s="41"/>
      <c r="T359" s="41"/>
      <c r="U359" s="43"/>
      <c r="V359" s="46"/>
      <c r="W359" s="43"/>
    </row>
    <row r="360" spans="1:23" x14ac:dyDescent="0.2">
      <c r="A360" s="63">
        <v>98580</v>
      </c>
      <c r="B360" s="38" t="s">
        <v>10</v>
      </c>
      <c r="C360" s="48">
        <v>110</v>
      </c>
      <c r="D360" s="48">
        <v>99</v>
      </c>
      <c r="E360" s="48">
        <v>77</v>
      </c>
      <c r="M360" s="86">
        <v>98404</v>
      </c>
      <c r="N360" s="38" t="s">
        <v>10</v>
      </c>
      <c r="O360" s="36">
        <v>30</v>
      </c>
      <c r="P360" s="36">
        <v>39</v>
      </c>
      <c r="Q360" s="36">
        <v>26</v>
      </c>
      <c r="S360" s="40"/>
      <c r="T360" s="41"/>
      <c r="U360" s="43"/>
      <c r="V360" s="46"/>
      <c r="W360" s="43"/>
    </row>
    <row r="361" spans="1:23" x14ac:dyDescent="0.2">
      <c r="A361" s="64">
        <v>98589</v>
      </c>
      <c r="B361" s="38" t="s">
        <v>10</v>
      </c>
      <c r="C361" s="48">
        <v>114</v>
      </c>
      <c r="D361" s="48">
        <v>99</v>
      </c>
      <c r="E361" s="48">
        <v>78</v>
      </c>
      <c r="M361" s="59">
        <v>98405</v>
      </c>
      <c r="N361" s="38" t="s">
        <v>352</v>
      </c>
      <c r="O361" s="36">
        <v>4</v>
      </c>
      <c r="P361" s="36">
        <v>6</v>
      </c>
      <c r="Q361" s="36">
        <v>5</v>
      </c>
      <c r="S361" s="43"/>
      <c r="T361" s="41"/>
      <c r="U361" s="46"/>
      <c r="V361" s="46"/>
      <c r="W361" s="46"/>
    </row>
    <row r="362" spans="1:23" x14ac:dyDescent="0.2">
      <c r="A362" s="63">
        <v>98591</v>
      </c>
      <c r="B362" s="38" t="s">
        <v>10</v>
      </c>
      <c r="C362" s="48">
        <v>2</v>
      </c>
      <c r="D362" s="48">
        <v>1</v>
      </c>
      <c r="E362" s="48">
        <v>0</v>
      </c>
      <c r="M362" s="86">
        <v>98405</v>
      </c>
      <c r="N362" s="38" t="s">
        <v>10</v>
      </c>
      <c r="O362" s="33">
        <v>50</v>
      </c>
      <c r="P362" s="33">
        <v>32</v>
      </c>
      <c r="Q362" s="36">
        <v>29</v>
      </c>
      <c r="S362" s="41"/>
      <c r="T362" s="41"/>
      <c r="U362" s="43"/>
      <c r="V362" s="46"/>
      <c r="W362" s="46"/>
    </row>
    <row r="363" spans="1:23" x14ac:dyDescent="0.2">
      <c r="A363" s="64">
        <v>98596</v>
      </c>
      <c r="B363" s="38" t="s">
        <v>10</v>
      </c>
      <c r="C363" s="48">
        <v>2</v>
      </c>
      <c r="D363" s="48">
        <v>1</v>
      </c>
      <c r="E363" s="48">
        <v>1</v>
      </c>
      <c r="M363" s="59">
        <v>98406</v>
      </c>
      <c r="N363" s="38" t="s">
        <v>352</v>
      </c>
      <c r="O363" s="36">
        <v>1</v>
      </c>
      <c r="P363" s="36">
        <v>1</v>
      </c>
      <c r="Q363" s="36">
        <v>1</v>
      </c>
      <c r="S363" s="41"/>
      <c r="T363" s="41"/>
      <c r="U363" s="46"/>
      <c r="V363" s="43"/>
      <c r="W363" s="43"/>
    </row>
    <row r="364" spans="1:23" x14ac:dyDescent="0.2">
      <c r="A364" s="63">
        <v>98597</v>
      </c>
      <c r="B364" s="38" t="s">
        <v>352</v>
      </c>
      <c r="C364" s="48">
        <v>4</v>
      </c>
      <c r="D364" s="48">
        <v>4</v>
      </c>
      <c r="E364" s="48">
        <v>4</v>
      </c>
      <c r="M364" s="86">
        <v>98406</v>
      </c>
      <c r="N364" s="38" t="s">
        <v>10</v>
      </c>
      <c r="O364" s="36">
        <v>33</v>
      </c>
      <c r="P364" s="36">
        <v>37</v>
      </c>
      <c r="Q364" s="33">
        <v>37</v>
      </c>
      <c r="S364" s="40"/>
      <c r="T364" s="41"/>
      <c r="U364" s="46"/>
      <c r="V364" s="43"/>
      <c r="W364" s="43"/>
    </row>
    <row r="365" spans="1:23" x14ac:dyDescent="0.2">
      <c r="A365" s="64">
        <v>98597</v>
      </c>
      <c r="B365" s="38" t="s">
        <v>10</v>
      </c>
      <c r="C365" s="48">
        <v>413</v>
      </c>
      <c r="D365" s="48">
        <v>376</v>
      </c>
      <c r="E365" s="48">
        <v>285</v>
      </c>
      <c r="M365" s="59">
        <v>98407</v>
      </c>
      <c r="N365" s="38" t="s">
        <v>352</v>
      </c>
      <c r="O365" s="36">
        <v>0</v>
      </c>
      <c r="P365" s="36">
        <v>1</v>
      </c>
      <c r="Q365" s="36">
        <v>0</v>
      </c>
      <c r="S365" s="43"/>
      <c r="T365" s="41"/>
      <c r="U365" s="46"/>
      <c r="V365" s="43"/>
      <c r="W365" s="46"/>
    </row>
    <row r="366" spans="1:23" x14ac:dyDescent="0.2">
      <c r="A366" s="63">
        <v>98922</v>
      </c>
      <c r="B366" s="38" t="s">
        <v>10</v>
      </c>
      <c r="C366" s="48">
        <v>92</v>
      </c>
      <c r="D366" s="48">
        <v>80</v>
      </c>
      <c r="E366" s="48">
        <v>64</v>
      </c>
      <c r="M366" s="86">
        <v>98407</v>
      </c>
      <c r="N366" s="38" t="s">
        <v>10</v>
      </c>
      <c r="O366" s="36">
        <v>30</v>
      </c>
      <c r="P366" s="36">
        <v>35</v>
      </c>
      <c r="Q366" s="36">
        <v>21</v>
      </c>
      <c r="S366" s="41"/>
      <c r="T366" s="41"/>
      <c r="U366" s="46"/>
      <c r="V366" s="46"/>
      <c r="W366" s="46"/>
    </row>
    <row r="367" spans="1:23" x14ac:dyDescent="0.2">
      <c r="A367" s="64">
        <v>98925</v>
      </c>
      <c r="B367" s="38" t="s">
        <v>10</v>
      </c>
      <c r="C367" s="48">
        <v>10</v>
      </c>
      <c r="D367" s="48">
        <v>10</v>
      </c>
      <c r="E367" s="48">
        <v>9</v>
      </c>
      <c r="M367" s="59">
        <v>98408</v>
      </c>
      <c r="N367" s="38" t="s">
        <v>10</v>
      </c>
      <c r="O367" s="36">
        <v>25</v>
      </c>
      <c r="P367" s="36">
        <v>24</v>
      </c>
      <c r="Q367" s="36">
        <v>23</v>
      </c>
      <c r="S367" s="40"/>
      <c r="T367" s="41"/>
      <c r="U367" s="46"/>
      <c r="V367" s="46"/>
      <c r="W367" s="46"/>
    </row>
    <row r="368" spans="1:23" x14ac:dyDescent="0.2">
      <c r="A368" s="63">
        <v>98926</v>
      </c>
      <c r="B368" s="38" t="s">
        <v>352</v>
      </c>
      <c r="C368" s="48">
        <v>3</v>
      </c>
      <c r="D368" s="48">
        <v>3</v>
      </c>
      <c r="E368" s="48">
        <v>2</v>
      </c>
      <c r="M368" s="86">
        <v>98409</v>
      </c>
      <c r="N368" s="38" t="s">
        <v>352</v>
      </c>
      <c r="O368" s="33">
        <v>4</v>
      </c>
      <c r="P368" s="36">
        <v>3</v>
      </c>
      <c r="Q368" s="33">
        <v>2</v>
      </c>
      <c r="S368" s="43"/>
      <c r="T368" s="41"/>
      <c r="U368" s="46"/>
      <c r="V368" s="46"/>
      <c r="W368" s="46"/>
    </row>
    <row r="369" spans="1:17" x14ac:dyDescent="0.2">
      <c r="A369" s="64">
        <v>98926</v>
      </c>
      <c r="B369" s="38" t="s">
        <v>10</v>
      </c>
      <c r="C369" s="48">
        <v>74</v>
      </c>
      <c r="D369" s="48">
        <v>67</v>
      </c>
      <c r="E369" s="48">
        <v>49</v>
      </c>
      <c r="M369" s="59">
        <v>98409</v>
      </c>
      <c r="N369" s="38" t="s">
        <v>10</v>
      </c>
      <c r="O369" s="36">
        <v>28</v>
      </c>
      <c r="P369" s="36">
        <v>24</v>
      </c>
      <c r="Q369" s="36">
        <v>28</v>
      </c>
    </row>
    <row r="370" spans="1:17" x14ac:dyDescent="0.2">
      <c r="A370" s="64">
        <v>98934</v>
      </c>
      <c r="B370" s="38" t="s">
        <v>10</v>
      </c>
      <c r="C370" s="48">
        <v>19</v>
      </c>
      <c r="D370" s="48">
        <v>13</v>
      </c>
      <c r="E370" s="48">
        <v>10</v>
      </c>
      <c r="M370" s="86">
        <v>98418</v>
      </c>
      <c r="N370" s="38" t="s">
        <v>10</v>
      </c>
      <c r="O370" s="36">
        <v>22</v>
      </c>
      <c r="P370" s="36">
        <v>22</v>
      </c>
      <c r="Q370" s="36">
        <v>6</v>
      </c>
    </row>
    <row r="371" spans="1:17" x14ac:dyDescent="0.2">
      <c r="A371" s="63">
        <v>98940</v>
      </c>
      <c r="B371" s="38" t="s">
        <v>10</v>
      </c>
      <c r="C371" s="48">
        <v>16</v>
      </c>
      <c r="D371" s="48">
        <v>15</v>
      </c>
      <c r="E371" s="48">
        <v>11</v>
      </c>
      <c r="M371" s="59">
        <v>98421</v>
      </c>
      <c r="N371" s="38" t="s">
        <v>352</v>
      </c>
      <c r="O371" s="36">
        <v>0</v>
      </c>
      <c r="P371" s="33">
        <v>2</v>
      </c>
      <c r="Q371" s="33">
        <v>1</v>
      </c>
    </row>
    <row r="372" spans="1:17" x14ac:dyDescent="0.2">
      <c r="A372" s="64">
        <v>98941</v>
      </c>
      <c r="B372" s="38" t="s">
        <v>352</v>
      </c>
      <c r="C372" s="48">
        <v>1</v>
      </c>
      <c r="D372" s="48">
        <v>1</v>
      </c>
      <c r="E372" s="48">
        <v>1</v>
      </c>
      <c r="M372" s="86">
        <v>98421</v>
      </c>
      <c r="N372" s="38" t="s">
        <v>10</v>
      </c>
      <c r="O372" s="33">
        <v>0</v>
      </c>
      <c r="P372" s="33">
        <v>0</v>
      </c>
      <c r="Q372" s="36">
        <v>1</v>
      </c>
    </row>
    <row r="373" spans="1:17" x14ac:dyDescent="0.2">
      <c r="A373" s="63">
        <v>98941</v>
      </c>
      <c r="B373" s="38" t="s">
        <v>10</v>
      </c>
      <c r="C373" s="48">
        <v>22</v>
      </c>
      <c r="D373" s="48">
        <v>18</v>
      </c>
      <c r="E373" s="48">
        <v>13</v>
      </c>
      <c r="M373" s="59">
        <v>98422</v>
      </c>
      <c r="N373" s="38" t="s">
        <v>10</v>
      </c>
      <c r="O373" s="36">
        <v>24</v>
      </c>
      <c r="P373" s="36">
        <v>25</v>
      </c>
      <c r="Q373" s="36">
        <v>28</v>
      </c>
    </row>
    <row r="374" spans="1:17" x14ac:dyDescent="0.2">
      <c r="A374" s="64">
        <v>98943</v>
      </c>
      <c r="B374" s="38" t="s">
        <v>10</v>
      </c>
      <c r="C374" s="48">
        <v>15</v>
      </c>
      <c r="D374" s="48">
        <v>14</v>
      </c>
      <c r="E374" s="48">
        <v>7</v>
      </c>
      <c r="M374" s="86">
        <v>98424</v>
      </c>
      <c r="N374" s="38" t="s">
        <v>352</v>
      </c>
      <c r="O374" s="36">
        <v>6</v>
      </c>
      <c r="P374" s="36">
        <v>5</v>
      </c>
      <c r="Q374" s="36">
        <v>6</v>
      </c>
    </row>
    <row r="375" spans="1:17" x14ac:dyDescent="0.2">
      <c r="A375" s="64">
        <v>98946</v>
      </c>
      <c r="B375" s="38" t="s">
        <v>352</v>
      </c>
      <c r="C375" s="48">
        <v>1</v>
      </c>
      <c r="D375" s="48">
        <v>1</v>
      </c>
      <c r="E375" s="48">
        <v>1</v>
      </c>
      <c r="M375" s="59">
        <v>98424</v>
      </c>
      <c r="N375" s="38" t="s">
        <v>10</v>
      </c>
      <c r="O375" s="36">
        <v>14</v>
      </c>
      <c r="P375" s="36">
        <v>15</v>
      </c>
      <c r="Q375" s="36">
        <v>12</v>
      </c>
    </row>
    <row r="376" spans="1:17" ht="16" thickBot="1" x14ac:dyDescent="0.25">
      <c r="A376" s="64">
        <v>98946</v>
      </c>
      <c r="B376" s="38" t="s">
        <v>10</v>
      </c>
      <c r="C376" s="48">
        <v>10</v>
      </c>
      <c r="D376" s="48">
        <v>10</v>
      </c>
      <c r="E376" s="48">
        <v>8</v>
      </c>
      <c r="M376" s="86">
        <v>98430</v>
      </c>
      <c r="N376" s="38" t="s">
        <v>352</v>
      </c>
      <c r="O376" s="36">
        <v>0</v>
      </c>
      <c r="P376" s="36">
        <v>1</v>
      </c>
      <c r="Q376" s="36">
        <v>0</v>
      </c>
    </row>
    <row r="377" spans="1:17" x14ac:dyDescent="0.2">
      <c r="A377" s="84"/>
      <c r="B377" s="39"/>
      <c r="C377" s="94"/>
      <c r="D377" s="94"/>
      <c r="E377" s="94"/>
      <c r="M377" s="59">
        <v>98433</v>
      </c>
      <c r="N377" s="38" t="s">
        <v>352</v>
      </c>
      <c r="O377" s="36">
        <v>0</v>
      </c>
      <c r="P377" s="33">
        <v>1</v>
      </c>
      <c r="Q377" s="33">
        <v>0</v>
      </c>
    </row>
    <row r="378" spans="1:17" x14ac:dyDescent="0.2">
      <c r="A378" s="67"/>
      <c r="B378" s="41"/>
      <c r="C378" s="95"/>
      <c r="D378" s="95"/>
      <c r="E378" s="95"/>
      <c r="M378" s="86">
        <v>98439</v>
      </c>
      <c r="N378" s="38" t="s">
        <v>352</v>
      </c>
      <c r="O378" s="33">
        <v>3</v>
      </c>
      <c r="P378" s="33">
        <v>1</v>
      </c>
      <c r="Q378" s="36">
        <v>0</v>
      </c>
    </row>
    <row r="379" spans="1:17" x14ac:dyDescent="0.2">
      <c r="A379" s="67"/>
      <c r="B379" s="41"/>
      <c r="C379" s="95"/>
      <c r="D379" s="95"/>
      <c r="E379" s="95"/>
      <c r="M379" s="86">
        <v>98439</v>
      </c>
      <c r="N379" s="38" t="s">
        <v>10</v>
      </c>
      <c r="O379" s="36">
        <v>22</v>
      </c>
      <c r="P379" s="33">
        <v>27</v>
      </c>
      <c r="Q379" s="36">
        <v>19</v>
      </c>
    </row>
    <row r="380" spans="1:17" x14ac:dyDescent="0.2">
      <c r="A380" s="68"/>
      <c r="B380" s="41"/>
      <c r="C380" s="95"/>
      <c r="D380" s="95"/>
      <c r="E380" s="95"/>
      <c r="M380" s="59">
        <v>98443</v>
      </c>
      <c r="N380" s="38" t="s">
        <v>10</v>
      </c>
      <c r="O380" s="36">
        <v>1</v>
      </c>
      <c r="P380" s="36">
        <v>2</v>
      </c>
      <c r="Q380" s="36">
        <v>1</v>
      </c>
    </row>
    <row r="381" spans="1:17" x14ac:dyDescent="0.2">
      <c r="A381" s="67"/>
      <c r="B381" s="41"/>
      <c r="C381" s="95"/>
      <c r="D381" s="95"/>
      <c r="E381" s="95"/>
      <c r="M381" s="86">
        <v>98444</v>
      </c>
      <c r="N381" s="38" t="s">
        <v>352</v>
      </c>
      <c r="O381" s="33">
        <v>4</v>
      </c>
      <c r="P381" s="36">
        <v>5</v>
      </c>
      <c r="Q381" s="36">
        <v>5</v>
      </c>
    </row>
    <row r="382" spans="1:17" x14ac:dyDescent="0.2">
      <c r="A382" s="67"/>
      <c r="B382" s="41"/>
      <c r="C382" s="95"/>
      <c r="D382" s="95"/>
      <c r="E382" s="95"/>
      <c r="M382" s="86">
        <v>98444</v>
      </c>
      <c r="N382" s="38" t="s">
        <v>10</v>
      </c>
      <c r="O382" s="36">
        <v>28</v>
      </c>
      <c r="P382" s="36">
        <v>26</v>
      </c>
      <c r="Q382" s="36">
        <v>19</v>
      </c>
    </row>
    <row r="383" spans="1:17" x14ac:dyDescent="0.2">
      <c r="A383" s="67"/>
      <c r="B383" s="41"/>
      <c r="C383" s="95"/>
      <c r="D383" s="95"/>
      <c r="E383" s="95"/>
      <c r="M383" s="59">
        <v>98445</v>
      </c>
      <c r="N383" s="38" t="s">
        <v>352</v>
      </c>
      <c r="O383" s="36">
        <v>0</v>
      </c>
      <c r="P383" s="36">
        <v>1</v>
      </c>
      <c r="Q383" s="36">
        <v>1</v>
      </c>
    </row>
    <row r="384" spans="1:17" x14ac:dyDescent="0.2">
      <c r="A384" s="43"/>
      <c r="B384" s="41"/>
      <c r="C384" s="46"/>
      <c r="D384" s="46"/>
      <c r="E384" s="46"/>
      <c r="M384" s="86">
        <v>98445</v>
      </c>
      <c r="N384" s="38" t="s">
        <v>10</v>
      </c>
      <c r="O384" s="36">
        <v>34</v>
      </c>
      <c r="P384" s="33">
        <v>32</v>
      </c>
      <c r="Q384" s="36">
        <v>28</v>
      </c>
    </row>
    <row r="385" spans="1:17" x14ac:dyDescent="0.2">
      <c r="A385" s="41"/>
      <c r="B385" s="41"/>
      <c r="C385" s="46"/>
      <c r="D385" s="46"/>
      <c r="E385" s="46"/>
      <c r="M385" s="59">
        <v>98446</v>
      </c>
      <c r="N385" s="38" t="s">
        <v>352</v>
      </c>
      <c r="O385" s="36">
        <v>1</v>
      </c>
      <c r="P385" s="36">
        <v>1</v>
      </c>
      <c r="Q385" s="36">
        <v>4</v>
      </c>
    </row>
    <row r="386" spans="1:17" x14ac:dyDescent="0.2">
      <c r="A386" s="40"/>
      <c r="B386" s="41"/>
      <c r="C386" s="46"/>
      <c r="D386" s="46"/>
      <c r="E386" s="46"/>
      <c r="M386" s="86">
        <v>98446</v>
      </c>
      <c r="N386" s="38" t="s">
        <v>10</v>
      </c>
      <c r="O386" s="36">
        <v>27</v>
      </c>
      <c r="P386" s="36">
        <v>38</v>
      </c>
      <c r="Q386" s="36">
        <v>35</v>
      </c>
    </row>
    <row r="387" spans="1:17" x14ac:dyDescent="0.2">
      <c r="A387" s="43"/>
      <c r="B387" s="41"/>
      <c r="C387" s="46"/>
      <c r="D387" s="46"/>
      <c r="E387" s="46"/>
      <c r="M387" s="59">
        <v>98447</v>
      </c>
      <c r="N387" s="38" t="s">
        <v>352</v>
      </c>
      <c r="O387" s="36">
        <v>8</v>
      </c>
      <c r="P387" s="36">
        <v>0</v>
      </c>
      <c r="Q387" s="36">
        <v>0</v>
      </c>
    </row>
    <row r="388" spans="1:17" x14ac:dyDescent="0.2">
      <c r="A388" s="41"/>
      <c r="B388" s="41"/>
      <c r="C388" s="46"/>
      <c r="D388" s="46"/>
      <c r="E388" s="43"/>
      <c r="M388" s="86">
        <v>98465</v>
      </c>
      <c r="N388" s="38" t="s">
        <v>352</v>
      </c>
      <c r="O388" s="36">
        <v>0</v>
      </c>
      <c r="P388" s="33">
        <v>0</v>
      </c>
      <c r="Q388" s="33">
        <v>1</v>
      </c>
    </row>
    <row r="389" spans="1:17" x14ac:dyDescent="0.2">
      <c r="A389" s="3"/>
      <c r="B389" s="3"/>
      <c r="C389" s="52"/>
      <c r="D389" s="52"/>
      <c r="E389" s="52"/>
      <c r="M389" s="59">
        <v>98465</v>
      </c>
      <c r="N389" s="38" t="s">
        <v>10</v>
      </c>
      <c r="O389" s="36">
        <v>3</v>
      </c>
      <c r="P389" s="36">
        <v>5</v>
      </c>
      <c r="Q389" s="36">
        <v>7</v>
      </c>
    </row>
    <row r="390" spans="1:17" x14ac:dyDescent="0.2">
      <c r="A390" s="3"/>
      <c r="B390" s="3"/>
      <c r="C390" s="52"/>
      <c r="D390" s="52"/>
      <c r="E390" s="52"/>
      <c r="M390" s="86">
        <v>98466</v>
      </c>
      <c r="N390" s="38" t="s">
        <v>352</v>
      </c>
      <c r="O390" s="36">
        <v>3</v>
      </c>
      <c r="P390" s="36">
        <v>3</v>
      </c>
      <c r="Q390" s="36">
        <v>3</v>
      </c>
    </row>
    <row r="391" spans="1:17" x14ac:dyDescent="0.2">
      <c r="A391" s="3"/>
      <c r="B391" s="3"/>
      <c r="C391" s="52"/>
      <c r="D391" s="52"/>
      <c r="E391" s="52"/>
      <c r="M391" s="59">
        <v>98466</v>
      </c>
      <c r="N391" s="38" t="s">
        <v>10</v>
      </c>
      <c r="O391" s="36">
        <v>26</v>
      </c>
      <c r="P391" s="36">
        <v>26</v>
      </c>
      <c r="Q391" s="36">
        <v>29</v>
      </c>
    </row>
    <row r="392" spans="1:17" x14ac:dyDescent="0.2">
      <c r="A392" s="3"/>
      <c r="B392" s="3"/>
      <c r="C392" s="52"/>
      <c r="D392" s="52"/>
      <c r="E392" s="52"/>
      <c r="M392" s="86">
        <v>98467</v>
      </c>
      <c r="N392" s="38" t="s">
        <v>352</v>
      </c>
      <c r="O392" s="36">
        <v>1</v>
      </c>
      <c r="P392" s="33">
        <v>0</v>
      </c>
      <c r="Q392" s="33">
        <v>0</v>
      </c>
    </row>
    <row r="393" spans="1:17" x14ac:dyDescent="0.2">
      <c r="A393" s="3"/>
      <c r="B393" s="3"/>
      <c r="C393" s="52"/>
      <c r="D393" s="52"/>
      <c r="E393" s="52"/>
      <c r="M393" s="59">
        <v>98467</v>
      </c>
      <c r="N393" s="38" t="s">
        <v>10</v>
      </c>
      <c r="O393" s="36">
        <v>19</v>
      </c>
      <c r="P393" s="36">
        <v>17</v>
      </c>
      <c r="Q393" s="36">
        <v>14</v>
      </c>
    </row>
    <row r="394" spans="1:17" x14ac:dyDescent="0.2">
      <c r="A394" s="3"/>
      <c r="B394" s="3"/>
      <c r="C394" s="52"/>
      <c r="D394" s="52"/>
      <c r="E394" s="52"/>
      <c r="M394" s="86">
        <v>98498</v>
      </c>
      <c r="N394" s="38" t="s">
        <v>352</v>
      </c>
      <c r="O394" s="36">
        <v>2</v>
      </c>
      <c r="P394" s="36">
        <v>4</v>
      </c>
      <c r="Q394" s="36">
        <v>4</v>
      </c>
    </row>
    <row r="395" spans="1:17" x14ac:dyDescent="0.2">
      <c r="A395" s="3"/>
      <c r="B395" s="3"/>
      <c r="C395" s="52"/>
      <c r="D395" s="52"/>
      <c r="E395" s="52"/>
      <c r="M395" s="59">
        <v>98498</v>
      </c>
      <c r="N395" s="38" t="s">
        <v>10</v>
      </c>
      <c r="O395" s="36">
        <v>94</v>
      </c>
      <c r="P395" s="36">
        <v>101</v>
      </c>
      <c r="Q395" s="36">
        <v>120</v>
      </c>
    </row>
    <row r="396" spans="1:17" x14ac:dyDescent="0.2">
      <c r="A396" s="3"/>
      <c r="B396" s="3"/>
      <c r="C396" s="52"/>
      <c r="D396" s="52"/>
      <c r="E396" s="52"/>
      <c r="M396" s="86">
        <v>98499</v>
      </c>
      <c r="N396" s="38" t="s">
        <v>352</v>
      </c>
      <c r="O396" s="36">
        <v>8</v>
      </c>
      <c r="P396" s="36">
        <v>6</v>
      </c>
      <c r="Q396" s="36">
        <v>15</v>
      </c>
    </row>
    <row r="397" spans="1:17" x14ac:dyDescent="0.2">
      <c r="A397" s="3"/>
      <c r="B397" s="3"/>
      <c r="C397" s="52"/>
      <c r="D397" s="52"/>
      <c r="E397" s="52"/>
      <c r="M397" s="59">
        <v>98499</v>
      </c>
      <c r="N397" s="38" t="s">
        <v>10</v>
      </c>
      <c r="O397" s="36">
        <v>24</v>
      </c>
      <c r="P397" s="36">
        <v>31</v>
      </c>
      <c r="Q397" s="36">
        <v>28</v>
      </c>
    </row>
    <row r="398" spans="1:17" x14ac:dyDescent="0.2">
      <c r="A398" s="3"/>
      <c r="B398" s="3"/>
      <c r="C398" s="52"/>
      <c r="D398" s="52"/>
      <c r="E398" s="52"/>
      <c r="M398" s="86">
        <v>98501</v>
      </c>
      <c r="N398" s="38" t="s">
        <v>352</v>
      </c>
      <c r="O398" s="36">
        <v>35</v>
      </c>
      <c r="P398" s="36">
        <v>33</v>
      </c>
      <c r="Q398" s="36">
        <v>51</v>
      </c>
    </row>
    <row r="399" spans="1:17" x14ac:dyDescent="0.2">
      <c r="A399" s="3"/>
      <c r="B399" s="3"/>
      <c r="C399" s="52"/>
      <c r="D399" s="52"/>
      <c r="E399" s="52"/>
      <c r="M399" s="59">
        <v>98501</v>
      </c>
      <c r="N399" s="38" t="s">
        <v>10</v>
      </c>
      <c r="O399" s="36">
        <v>234</v>
      </c>
      <c r="P399" s="36">
        <v>237</v>
      </c>
      <c r="Q399" s="36">
        <v>255</v>
      </c>
    </row>
    <row r="400" spans="1:17" x14ac:dyDescent="0.2">
      <c r="A400" s="3"/>
      <c r="B400" s="3"/>
      <c r="C400" s="52"/>
      <c r="D400" s="52"/>
      <c r="E400" s="52"/>
      <c r="M400" s="86">
        <v>98502</v>
      </c>
      <c r="N400" s="38" t="s">
        <v>352</v>
      </c>
      <c r="O400" s="36">
        <v>15</v>
      </c>
      <c r="P400" s="36">
        <v>8</v>
      </c>
      <c r="Q400" s="36">
        <v>17</v>
      </c>
    </row>
    <row r="401" spans="1:17" x14ac:dyDescent="0.2">
      <c r="A401" s="3"/>
      <c r="B401" s="3"/>
      <c r="C401" s="52"/>
      <c r="D401" s="52"/>
      <c r="E401" s="52"/>
      <c r="M401" s="59">
        <v>98502</v>
      </c>
      <c r="N401" s="38" t="s">
        <v>10</v>
      </c>
      <c r="O401" s="36">
        <v>166</v>
      </c>
      <c r="P401" s="36">
        <v>206</v>
      </c>
      <c r="Q401" s="36">
        <v>194</v>
      </c>
    </row>
    <row r="402" spans="1:17" x14ac:dyDescent="0.2">
      <c r="A402" s="3"/>
      <c r="B402" s="3"/>
      <c r="C402" s="52"/>
      <c r="D402" s="52"/>
      <c r="E402" s="52"/>
      <c r="M402" s="86">
        <v>98503</v>
      </c>
      <c r="N402" s="38" t="s">
        <v>352</v>
      </c>
      <c r="O402" s="36">
        <v>21</v>
      </c>
      <c r="P402" s="36">
        <v>29</v>
      </c>
      <c r="Q402" s="36">
        <v>20</v>
      </c>
    </row>
    <row r="403" spans="1:17" x14ac:dyDescent="0.2">
      <c r="A403" s="3"/>
      <c r="B403" s="3"/>
      <c r="C403" s="52"/>
      <c r="D403" s="52"/>
      <c r="E403" s="52"/>
      <c r="M403" s="59">
        <v>98503</v>
      </c>
      <c r="N403" s="38" t="s">
        <v>10</v>
      </c>
      <c r="O403" s="36">
        <v>239</v>
      </c>
      <c r="P403" s="36">
        <v>197</v>
      </c>
      <c r="Q403" s="36">
        <v>303</v>
      </c>
    </row>
    <row r="404" spans="1:17" x14ac:dyDescent="0.2">
      <c r="A404" s="3"/>
      <c r="B404" s="3"/>
      <c r="C404" s="52"/>
      <c r="D404" s="52"/>
      <c r="E404" s="52"/>
      <c r="M404" s="86">
        <v>98506</v>
      </c>
      <c r="N404" s="38" t="s">
        <v>352</v>
      </c>
      <c r="O404" s="36">
        <v>7</v>
      </c>
      <c r="P404" s="36">
        <v>15</v>
      </c>
      <c r="Q404" s="36">
        <v>8</v>
      </c>
    </row>
    <row r="405" spans="1:17" x14ac:dyDescent="0.2">
      <c r="A405" s="3"/>
      <c r="B405" s="3"/>
      <c r="C405" s="52"/>
      <c r="D405" s="52"/>
      <c r="E405" s="52"/>
      <c r="M405" s="59">
        <v>98506</v>
      </c>
      <c r="N405" s="38" t="s">
        <v>10</v>
      </c>
      <c r="O405" s="36">
        <v>81</v>
      </c>
      <c r="P405" s="36">
        <v>82</v>
      </c>
      <c r="Q405" s="36">
        <v>81</v>
      </c>
    </row>
    <row r="406" spans="1:17" x14ac:dyDescent="0.2">
      <c r="A406" s="3"/>
      <c r="B406" s="3"/>
      <c r="C406" s="52"/>
      <c r="D406" s="52"/>
      <c r="E406" s="52"/>
      <c r="M406" s="86">
        <v>98512</v>
      </c>
      <c r="N406" s="38" t="s">
        <v>352</v>
      </c>
      <c r="O406" s="36">
        <v>11</v>
      </c>
      <c r="P406" s="36">
        <v>27</v>
      </c>
      <c r="Q406" s="36">
        <v>33</v>
      </c>
    </row>
    <row r="407" spans="1:17" x14ac:dyDescent="0.2">
      <c r="A407" s="3"/>
      <c r="B407" s="3"/>
      <c r="C407" s="52"/>
      <c r="D407" s="52"/>
      <c r="E407" s="52"/>
      <c r="M407" s="59">
        <v>98512</v>
      </c>
      <c r="N407" s="38" t="s">
        <v>10</v>
      </c>
      <c r="O407" s="36">
        <v>181</v>
      </c>
      <c r="P407" s="36">
        <v>169</v>
      </c>
      <c r="Q407" s="36">
        <v>148</v>
      </c>
    </row>
    <row r="408" spans="1:17" x14ac:dyDescent="0.2">
      <c r="A408" s="3"/>
      <c r="B408" s="3"/>
      <c r="C408" s="52"/>
      <c r="D408" s="52"/>
      <c r="E408" s="52"/>
      <c r="M408" s="86">
        <v>98513</v>
      </c>
      <c r="N408" s="38" t="s">
        <v>352</v>
      </c>
      <c r="O408" s="36">
        <v>27</v>
      </c>
      <c r="P408" s="36">
        <v>11</v>
      </c>
      <c r="Q408" s="36">
        <v>13</v>
      </c>
    </row>
    <row r="409" spans="1:17" x14ac:dyDescent="0.2">
      <c r="A409" s="3"/>
      <c r="B409" s="3"/>
      <c r="C409" s="52"/>
      <c r="D409" s="52"/>
      <c r="E409" s="52"/>
      <c r="M409" s="59">
        <v>98513</v>
      </c>
      <c r="N409" s="38" t="s">
        <v>10</v>
      </c>
      <c r="O409" s="36">
        <v>160</v>
      </c>
      <c r="P409" s="36">
        <v>124</v>
      </c>
      <c r="Q409" s="36">
        <v>152</v>
      </c>
    </row>
    <row r="410" spans="1:17" x14ac:dyDescent="0.2">
      <c r="A410" s="3"/>
      <c r="B410" s="3"/>
      <c r="C410" s="52"/>
      <c r="D410" s="52"/>
      <c r="E410" s="52"/>
      <c r="M410" s="86">
        <v>98516</v>
      </c>
      <c r="N410" s="38" t="s">
        <v>352</v>
      </c>
      <c r="O410" s="36">
        <v>57</v>
      </c>
      <c r="P410" s="36">
        <v>36</v>
      </c>
      <c r="Q410" s="36">
        <v>33</v>
      </c>
    </row>
    <row r="411" spans="1:17" x14ac:dyDescent="0.2">
      <c r="A411" s="3"/>
      <c r="B411" s="3"/>
      <c r="C411" s="52"/>
      <c r="D411" s="52"/>
      <c r="E411" s="52"/>
      <c r="M411" s="59">
        <v>98516</v>
      </c>
      <c r="N411" s="38" t="s">
        <v>10</v>
      </c>
      <c r="O411" s="36">
        <v>155</v>
      </c>
      <c r="P411" s="36">
        <v>178</v>
      </c>
      <c r="Q411" s="36">
        <v>234</v>
      </c>
    </row>
    <row r="412" spans="1:17" x14ac:dyDescent="0.2">
      <c r="A412" s="3"/>
      <c r="B412" s="3"/>
      <c r="C412" s="52"/>
      <c r="D412" s="52"/>
      <c r="E412" s="52"/>
      <c r="M412" s="86">
        <v>98530</v>
      </c>
      <c r="N412" s="38" t="s">
        <v>352</v>
      </c>
      <c r="O412" s="36">
        <v>1</v>
      </c>
      <c r="P412" s="33">
        <v>0</v>
      </c>
      <c r="Q412" s="36">
        <v>0</v>
      </c>
    </row>
    <row r="413" spans="1:17" x14ac:dyDescent="0.2">
      <c r="A413" s="3"/>
      <c r="B413" s="3"/>
      <c r="C413" s="52"/>
      <c r="D413" s="52"/>
      <c r="E413" s="52"/>
      <c r="M413" s="86">
        <v>98530</v>
      </c>
      <c r="N413" s="38" t="s">
        <v>10</v>
      </c>
      <c r="O413" s="36">
        <v>3</v>
      </c>
      <c r="P413" s="36">
        <v>3</v>
      </c>
      <c r="Q413" s="36">
        <v>5</v>
      </c>
    </row>
    <row r="414" spans="1:17" x14ac:dyDescent="0.2">
      <c r="A414" s="44"/>
      <c r="B414" s="3"/>
      <c r="C414" s="52"/>
      <c r="D414" s="52"/>
      <c r="E414" s="52"/>
      <c r="M414" s="59">
        <v>98531</v>
      </c>
      <c r="N414" s="38" t="s">
        <v>352</v>
      </c>
      <c r="O414" s="36">
        <v>2</v>
      </c>
      <c r="P414" s="36">
        <v>3</v>
      </c>
      <c r="Q414" s="36">
        <v>2</v>
      </c>
    </row>
    <row r="415" spans="1:17" x14ac:dyDescent="0.2">
      <c r="A415" s="44"/>
      <c r="B415" s="3"/>
      <c r="C415" s="3"/>
      <c r="D415" s="3"/>
      <c r="E415" s="3"/>
      <c r="M415" s="86">
        <v>98531</v>
      </c>
      <c r="N415" s="38" t="s">
        <v>10</v>
      </c>
      <c r="O415" s="36">
        <v>22</v>
      </c>
      <c r="P415" s="36">
        <v>21</v>
      </c>
      <c r="Q415" s="36">
        <v>22</v>
      </c>
    </row>
    <row r="416" spans="1:17" x14ac:dyDescent="0.2">
      <c r="A416" s="44"/>
      <c r="B416" s="3"/>
      <c r="C416" s="3"/>
      <c r="D416" s="3"/>
      <c r="E416" s="3"/>
      <c r="M416" s="59">
        <v>98532</v>
      </c>
      <c r="N416" s="38" t="s">
        <v>352</v>
      </c>
      <c r="O416" s="36">
        <v>2</v>
      </c>
      <c r="P416" s="36">
        <v>0</v>
      </c>
      <c r="Q416" s="36">
        <v>2</v>
      </c>
    </row>
    <row r="417" spans="1:17" x14ac:dyDescent="0.2">
      <c r="A417" s="44"/>
      <c r="B417" s="3"/>
      <c r="C417" s="3"/>
      <c r="D417" s="3"/>
      <c r="E417" s="3"/>
      <c r="M417" s="86">
        <v>98532</v>
      </c>
      <c r="N417" s="38" t="s">
        <v>10</v>
      </c>
      <c r="O417" s="33">
        <v>5</v>
      </c>
      <c r="P417" s="36">
        <v>7</v>
      </c>
      <c r="Q417" s="33">
        <v>8</v>
      </c>
    </row>
    <row r="418" spans="1:17" x14ac:dyDescent="0.2">
      <c r="A418" s="44"/>
      <c r="B418" s="3"/>
      <c r="C418" s="3"/>
      <c r="D418" s="3"/>
      <c r="E418" s="3"/>
      <c r="M418" s="59">
        <v>98558</v>
      </c>
      <c r="N418" s="38" t="s">
        <v>10</v>
      </c>
      <c r="O418" s="36">
        <v>0</v>
      </c>
      <c r="P418" s="36">
        <v>2</v>
      </c>
      <c r="Q418" s="33">
        <v>1</v>
      </c>
    </row>
    <row r="419" spans="1:17" x14ac:dyDescent="0.2">
      <c r="A419" s="44"/>
      <c r="B419" s="3"/>
      <c r="C419" s="3"/>
      <c r="D419" s="3"/>
      <c r="E419" s="3"/>
      <c r="M419" s="86">
        <v>98576</v>
      </c>
      <c r="N419" s="38" t="s">
        <v>352</v>
      </c>
      <c r="O419" s="36">
        <v>0</v>
      </c>
      <c r="P419" s="33">
        <v>0</v>
      </c>
      <c r="Q419" s="36">
        <v>4</v>
      </c>
    </row>
    <row r="420" spans="1:17" x14ac:dyDescent="0.2">
      <c r="A420" s="44"/>
      <c r="B420" s="3"/>
      <c r="C420" s="3"/>
      <c r="D420" s="3"/>
      <c r="E420" s="3"/>
      <c r="M420" s="59">
        <v>98576</v>
      </c>
      <c r="N420" s="38" t="s">
        <v>10</v>
      </c>
      <c r="O420" s="36">
        <v>21</v>
      </c>
      <c r="P420" s="36">
        <v>17</v>
      </c>
      <c r="Q420" s="36">
        <v>15</v>
      </c>
    </row>
    <row r="421" spans="1:17" x14ac:dyDescent="0.2">
      <c r="M421" s="86">
        <v>98579</v>
      </c>
      <c r="N421" s="38" t="s">
        <v>352</v>
      </c>
      <c r="O421" s="36">
        <v>3</v>
      </c>
      <c r="P421" s="36">
        <v>5</v>
      </c>
      <c r="Q421" s="36">
        <v>7</v>
      </c>
    </row>
    <row r="422" spans="1:17" x14ac:dyDescent="0.2">
      <c r="M422" s="59">
        <v>98579</v>
      </c>
      <c r="N422" s="38" t="s">
        <v>10</v>
      </c>
      <c r="O422" s="36">
        <v>30</v>
      </c>
      <c r="P422" s="36">
        <v>22</v>
      </c>
      <c r="Q422" s="36">
        <v>32</v>
      </c>
    </row>
    <row r="423" spans="1:17" x14ac:dyDescent="0.2">
      <c r="M423" s="86">
        <v>98580</v>
      </c>
      <c r="N423" s="38" t="s">
        <v>352</v>
      </c>
      <c r="O423" s="36">
        <v>3</v>
      </c>
      <c r="P423" s="36">
        <v>1</v>
      </c>
      <c r="Q423" s="36">
        <v>1</v>
      </c>
    </row>
    <row r="424" spans="1:17" x14ac:dyDescent="0.2">
      <c r="M424" s="59">
        <v>98580</v>
      </c>
      <c r="N424" s="38" t="s">
        <v>10</v>
      </c>
      <c r="O424" s="36">
        <v>19</v>
      </c>
      <c r="P424" s="36">
        <v>17</v>
      </c>
      <c r="Q424" s="36">
        <v>18</v>
      </c>
    </row>
    <row r="425" spans="1:17" x14ac:dyDescent="0.2">
      <c r="M425" s="86">
        <v>98589</v>
      </c>
      <c r="N425" s="38" t="s">
        <v>352</v>
      </c>
      <c r="O425" s="36">
        <v>4</v>
      </c>
      <c r="P425" s="36">
        <v>3</v>
      </c>
      <c r="Q425" s="36">
        <v>8</v>
      </c>
    </row>
    <row r="426" spans="1:17" x14ac:dyDescent="0.2">
      <c r="M426" s="59">
        <v>98589</v>
      </c>
      <c r="N426" s="38" t="s">
        <v>10</v>
      </c>
      <c r="O426" s="36">
        <v>20</v>
      </c>
      <c r="P426" s="36">
        <v>25</v>
      </c>
      <c r="Q426" s="36">
        <v>33</v>
      </c>
    </row>
    <row r="427" spans="1:17" x14ac:dyDescent="0.2">
      <c r="M427" s="86">
        <v>98591</v>
      </c>
      <c r="N427" s="38" t="s">
        <v>10</v>
      </c>
      <c r="O427" s="36">
        <v>1</v>
      </c>
      <c r="P427" s="33">
        <v>0</v>
      </c>
      <c r="Q427" s="33">
        <v>0</v>
      </c>
    </row>
    <row r="428" spans="1:17" x14ac:dyDescent="0.2">
      <c r="M428" s="86">
        <v>98596</v>
      </c>
      <c r="N428" s="38" t="s">
        <v>10</v>
      </c>
      <c r="O428" s="36">
        <v>2</v>
      </c>
      <c r="P428" s="36">
        <v>1</v>
      </c>
      <c r="Q428" s="36">
        <v>1</v>
      </c>
    </row>
    <row r="429" spans="1:17" x14ac:dyDescent="0.2">
      <c r="M429" s="86">
        <v>98597</v>
      </c>
      <c r="N429" s="38" t="s">
        <v>352</v>
      </c>
      <c r="O429" s="36">
        <v>21</v>
      </c>
      <c r="P429" s="36">
        <v>22</v>
      </c>
      <c r="Q429" s="36">
        <v>28</v>
      </c>
    </row>
    <row r="430" spans="1:17" x14ac:dyDescent="0.2">
      <c r="M430" s="59">
        <v>98597</v>
      </c>
      <c r="N430" s="38" t="s">
        <v>10</v>
      </c>
      <c r="O430" s="36">
        <v>93</v>
      </c>
      <c r="P430" s="36">
        <v>104</v>
      </c>
      <c r="Q430" s="36">
        <v>122</v>
      </c>
    </row>
    <row r="431" spans="1:17" x14ac:dyDescent="0.2">
      <c r="M431" s="86">
        <v>98922</v>
      </c>
      <c r="N431" s="38" t="s">
        <v>352</v>
      </c>
      <c r="O431" s="36">
        <v>19</v>
      </c>
      <c r="P431" s="36">
        <v>33</v>
      </c>
      <c r="Q431" s="36">
        <v>14</v>
      </c>
    </row>
    <row r="432" spans="1:17" x14ac:dyDescent="0.2">
      <c r="M432" s="59">
        <v>98922</v>
      </c>
      <c r="N432" s="38" t="s">
        <v>10</v>
      </c>
      <c r="O432" s="36">
        <v>45</v>
      </c>
      <c r="P432" s="36">
        <v>48</v>
      </c>
      <c r="Q432" s="36">
        <v>53</v>
      </c>
    </row>
    <row r="433" spans="13:17" x14ac:dyDescent="0.2">
      <c r="M433" s="86">
        <v>98925</v>
      </c>
      <c r="N433" s="38" t="s">
        <v>352</v>
      </c>
      <c r="O433" s="36">
        <v>0</v>
      </c>
      <c r="P433" s="36">
        <v>1</v>
      </c>
      <c r="Q433" s="36">
        <v>1</v>
      </c>
    </row>
    <row r="434" spans="13:17" x14ac:dyDescent="0.2">
      <c r="M434" s="59">
        <v>98925</v>
      </c>
      <c r="N434" s="38" t="s">
        <v>10</v>
      </c>
      <c r="O434" s="36">
        <v>2</v>
      </c>
      <c r="P434" s="36">
        <v>3</v>
      </c>
      <c r="Q434" s="36">
        <v>5</v>
      </c>
    </row>
    <row r="435" spans="13:17" x14ac:dyDescent="0.2">
      <c r="M435" s="86">
        <v>98926</v>
      </c>
      <c r="N435" s="38" t="s">
        <v>352</v>
      </c>
      <c r="O435" s="36">
        <v>38</v>
      </c>
      <c r="P435" s="36">
        <v>25</v>
      </c>
      <c r="Q435" s="36">
        <v>18</v>
      </c>
    </row>
    <row r="436" spans="13:17" x14ac:dyDescent="0.2">
      <c r="M436" s="59">
        <v>98926</v>
      </c>
      <c r="N436" s="38" t="s">
        <v>10</v>
      </c>
      <c r="O436" s="36">
        <v>30</v>
      </c>
      <c r="P436" s="36">
        <v>24</v>
      </c>
      <c r="Q436" s="36">
        <v>23</v>
      </c>
    </row>
    <row r="437" spans="13:17" x14ac:dyDescent="0.2">
      <c r="M437" s="86">
        <v>98934</v>
      </c>
      <c r="N437" s="38" t="s">
        <v>352</v>
      </c>
      <c r="O437" s="36">
        <v>2</v>
      </c>
      <c r="P437" s="36">
        <v>0</v>
      </c>
      <c r="Q437" s="36">
        <v>0</v>
      </c>
    </row>
    <row r="438" spans="13:17" x14ac:dyDescent="0.2">
      <c r="M438" s="86">
        <v>98934</v>
      </c>
      <c r="N438" s="38" t="s">
        <v>10</v>
      </c>
      <c r="O438" s="36">
        <v>3</v>
      </c>
      <c r="P438" s="36">
        <v>11</v>
      </c>
      <c r="Q438" s="33">
        <v>7</v>
      </c>
    </row>
    <row r="439" spans="13:17" x14ac:dyDescent="0.2">
      <c r="M439" s="59">
        <v>98940</v>
      </c>
      <c r="N439" s="38" t="s">
        <v>352</v>
      </c>
      <c r="O439" s="36">
        <v>0</v>
      </c>
      <c r="P439" s="36">
        <v>2</v>
      </c>
      <c r="Q439" s="36">
        <v>1</v>
      </c>
    </row>
    <row r="440" spans="13:17" x14ac:dyDescent="0.2">
      <c r="M440" s="86">
        <v>98940</v>
      </c>
      <c r="N440" s="38" t="s">
        <v>10</v>
      </c>
      <c r="O440" s="33">
        <v>5</v>
      </c>
      <c r="P440" s="36">
        <v>7</v>
      </c>
      <c r="Q440" s="36">
        <v>16</v>
      </c>
    </row>
    <row r="441" spans="13:17" x14ac:dyDescent="0.2">
      <c r="M441" s="59">
        <v>98941</v>
      </c>
      <c r="N441" s="38" t="s">
        <v>352</v>
      </c>
      <c r="O441" s="36">
        <v>1</v>
      </c>
      <c r="P441" s="36">
        <v>0</v>
      </c>
      <c r="Q441" s="36">
        <v>0</v>
      </c>
    </row>
    <row r="442" spans="13:17" x14ac:dyDescent="0.2">
      <c r="M442" s="86">
        <v>98941</v>
      </c>
      <c r="N442" s="38" t="s">
        <v>10</v>
      </c>
      <c r="O442" s="33">
        <v>4</v>
      </c>
      <c r="P442" s="33">
        <v>3</v>
      </c>
      <c r="Q442" s="36">
        <v>7</v>
      </c>
    </row>
    <row r="443" spans="13:17" x14ac:dyDescent="0.2">
      <c r="M443" s="59">
        <v>98943</v>
      </c>
      <c r="N443" s="38" t="s">
        <v>10</v>
      </c>
      <c r="O443" s="36">
        <v>3</v>
      </c>
      <c r="P443" s="36">
        <v>6</v>
      </c>
      <c r="Q443" s="36">
        <v>4</v>
      </c>
    </row>
    <row r="444" spans="13:17" x14ac:dyDescent="0.2">
      <c r="M444" s="86">
        <v>98946</v>
      </c>
      <c r="N444" s="38" t="s">
        <v>352</v>
      </c>
      <c r="O444" s="36">
        <v>1</v>
      </c>
      <c r="P444" s="36">
        <v>1</v>
      </c>
      <c r="Q444" s="33">
        <v>2</v>
      </c>
    </row>
    <row r="445" spans="13:17" x14ac:dyDescent="0.2">
      <c r="M445" s="86">
        <v>98946</v>
      </c>
      <c r="N445" s="38" t="s">
        <v>10</v>
      </c>
      <c r="O445" s="36">
        <v>2</v>
      </c>
      <c r="P445" s="36">
        <v>2</v>
      </c>
      <c r="Q445" s="36">
        <v>3</v>
      </c>
    </row>
    <row r="446" spans="13:17" x14ac:dyDescent="0.2">
      <c r="M446" s="59"/>
      <c r="N446" s="38" t="s">
        <v>352</v>
      </c>
      <c r="O446" s="36">
        <v>86</v>
      </c>
      <c r="P446" s="36">
        <v>86</v>
      </c>
      <c r="Q446" s="36">
        <v>53</v>
      </c>
    </row>
    <row r="447" spans="13:17" x14ac:dyDescent="0.2">
      <c r="M447" s="69"/>
      <c r="N447" s="57" t="s">
        <v>10</v>
      </c>
      <c r="O447" s="58">
        <v>905</v>
      </c>
      <c r="P447" s="58">
        <v>829</v>
      </c>
      <c r="Q447" s="58">
        <v>804</v>
      </c>
    </row>
    <row r="448" spans="13:17" ht="16" thickBot="1" x14ac:dyDescent="0.25">
      <c r="M448" s="109"/>
      <c r="N448" s="50"/>
      <c r="O448" s="83">
        <v>8</v>
      </c>
      <c r="P448" s="83">
        <v>2</v>
      </c>
      <c r="Q448" s="83">
        <v>12</v>
      </c>
    </row>
  </sheetData>
  <mergeCells count="7">
    <mergeCell ref="G14:K15"/>
    <mergeCell ref="M12:Q12"/>
    <mergeCell ref="S12:W12"/>
    <mergeCell ref="A1:I1"/>
    <mergeCell ref="A12:B12"/>
    <mergeCell ref="C12:E12"/>
    <mergeCell ref="G12:K12"/>
  </mergeCell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227"/>
  <sheetViews>
    <sheetView topLeftCell="A196" workbookViewId="0">
      <selection activeCell="C222" sqref="C222:E222"/>
    </sheetView>
  </sheetViews>
  <sheetFormatPr baseColWidth="10" defaultColWidth="9.1640625" defaultRowHeight="15" x14ac:dyDescent="0.2"/>
  <cols>
    <col min="1" max="1" width="12.83203125" style="8" customWidth="1"/>
    <col min="2" max="2" width="20.1640625" style="8" customWidth="1"/>
    <col min="3" max="5" width="14.83203125" style="8" customWidth="1"/>
    <col min="6" max="16384" width="9.1640625" style="8"/>
  </cols>
  <sheetData>
    <row r="1" spans="1:12" ht="16" thickBot="1" x14ac:dyDescent="0.25">
      <c r="A1" s="120" t="s">
        <v>0</v>
      </c>
      <c r="B1" s="121"/>
      <c r="C1" s="121"/>
      <c r="D1" s="121"/>
      <c r="E1" s="121"/>
      <c r="F1" s="121"/>
      <c r="G1" s="121"/>
      <c r="H1" s="121"/>
      <c r="I1" s="121"/>
      <c r="J1" s="121"/>
      <c r="K1" s="121"/>
      <c r="L1" s="122"/>
    </row>
    <row r="2" spans="1:12" x14ac:dyDescent="0.2">
      <c r="A2" s="20">
        <v>1</v>
      </c>
      <c r="B2" s="21" t="s">
        <v>2</v>
      </c>
    </row>
    <row r="3" spans="1:12" x14ac:dyDescent="0.2">
      <c r="A3" s="22">
        <v>2</v>
      </c>
      <c r="B3" s="23" t="s">
        <v>23</v>
      </c>
    </row>
    <row r="4" spans="1:12" x14ac:dyDescent="0.2">
      <c r="A4" s="24">
        <v>3</v>
      </c>
      <c r="B4" s="25" t="s">
        <v>96</v>
      </c>
    </row>
    <row r="5" spans="1:12" x14ac:dyDescent="0.2">
      <c r="A5" s="26">
        <v>4</v>
      </c>
      <c r="B5" s="6" t="s">
        <v>5</v>
      </c>
    </row>
    <row r="6" spans="1:12" x14ac:dyDescent="0.2">
      <c r="A6" s="26">
        <v>5</v>
      </c>
      <c r="B6" s="6" t="s">
        <v>85</v>
      </c>
    </row>
    <row r="7" spans="1:12" ht="16" thickBot="1" x14ac:dyDescent="0.25"/>
    <row r="8" spans="1:12" ht="30" customHeight="1" thickBot="1" x14ac:dyDescent="0.25">
      <c r="A8" s="144" t="s">
        <v>91</v>
      </c>
      <c r="B8" s="145"/>
      <c r="C8" s="123" t="s">
        <v>24</v>
      </c>
      <c r="D8" s="124"/>
      <c r="E8" s="125"/>
    </row>
    <row r="9" spans="1:12" ht="16" thickBot="1" x14ac:dyDescent="0.25">
      <c r="A9" s="7" t="s">
        <v>8</v>
      </c>
      <c r="B9" s="7" t="s">
        <v>9</v>
      </c>
      <c r="C9" s="81">
        <v>44681</v>
      </c>
      <c r="D9" s="81">
        <v>44712</v>
      </c>
      <c r="E9" s="81">
        <v>44742</v>
      </c>
    </row>
    <row r="10" spans="1:12" x14ac:dyDescent="0.2">
      <c r="A10" s="37">
        <v>98001</v>
      </c>
      <c r="B10" s="13" t="s">
        <v>10</v>
      </c>
      <c r="C10" s="14">
        <v>95</v>
      </c>
      <c r="D10" s="14">
        <v>46</v>
      </c>
      <c r="E10" s="72">
        <v>50</v>
      </c>
    </row>
    <row r="11" spans="1:12" x14ac:dyDescent="0.2">
      <c r="A11" s="38">
        <v>98002</v>
      </c>
      <c r="B11" s="15" t="s">
        <v>10</v>
      </c>
      <c r="C11" s="16">
        <v>214</v>
      </c>
      <c r="D11" s="16">
        <v>144</v>
      </c>
      <c r="E11" s="73">
        <v>139</v>
      </c>
    </row>
    <row r="12" spans="1:12" x14ac:dyDescent="0.2">
      <c r="A12" s="38">
        <v>98003</v>
      </c>
      <c r="B12" s="15" t="s">
        <v>10</v>
      </c>
      <c r="C12" s="16">
        <v>277</v>
      </c>
      <c r="D12" s="16">
        <v>204</v>
      </c>
      <c r="E12" s="73">
        <v>151</v>
      </c>
    </row>
    <row r="13" spans="1:12" x14ac:dyDescent="0.2">
      <c r="A13" s="38">
        <v>98004</v>
      </c>
      <c r="B13" s="15" t="s">
        <v>10</v>
      </c>
      <c r="C13" s="16">
        <v>23</v>
      </c>
      <c r="D13" s="16">
        <v>17</v>
      </c>
      <c r="E13" s="73">
        <v>27</v>
      </c>
    </row>
    <row r="14" spans="1:12" x14ac:dyDescent="0.2">
      <c r="A14" s="38">
        <v>98005</v>
      </c>
      <c r="B14" s="15" t="s">
        <v>10</v>
      </c>
      <c r="C14" s="16">
        <v>21</v>
      </c>
      <c r="D14" s="16">
        <v>20</v>
      </c>
      <c r="E14" s="73">
        <v>17</v>
      </c>
    </row>
    <row r="15" spans="1:12" x14ac:dyDescent="0.2">
      <c r="A15" s="38">
        <v>98006</v>
      </c>
      <c r="B15" s="15" t="s">
        <v>10</v>
      </c>
      <c r="C15" s="16">
        <v>39</v>
      </c>
      <c r="D15" s="16">
        <v>28</v>
      </c>
      <c r="E15" s="73">
        <v>39</v>
      </c>
    </row>
    <row r="16" spans="1:12" x14ac:dyDescent="0.2">
      <c r="A16" s="38">
        <v>98007</v>
      </c>
      <c r="B16" s="15" t="s">
        <v>10</v>
      </c>
      <c r="C16" s="16">
        <v>63</v>
      </c>
      <c r="D16" s="16">
        <v>57</v>
      </c>
      <c r="E16" s="73">
        <v>83</v>
      </c>
    </row>
    <row r="17" spans="1:5" x14ac:dyDescent="0.2">
      <c r="A17" s="38">
        <v>98008</v>
      </c>
      <c r="B17" s="15" t="s">
        <v>10</v>
      </c>
      <c r="C17" s="16">
        <v>20</v>
      </c>
      <c r="D17" s="16">
        <v>25</v>
      </c>
      <c r="E17" s="73">
        <v>27</v>
      </c>
    </row>
    <row r="18" spans="1:5" x14ac:dyDescent="0.2">
      <c r="A18" s="38">
        <v>98010</v>
      </c>
      <c r="B18" s="15" t="s">
        <v>10</v>
      </c>
      <c r="C18" s="16">
        <v>12</v>
      </c>
      <c r="D18" s="16">
        <v>3</v>
      </c>
      <c r="E18" s="73">
        <v>5</v>
      </c>
    </row>
    <row r="19" spans="1:5" x14ac:dyDescent="0.2">
      <c r="A19" s="38">
        <v>98011</v>
      </c>
      <c r="B19" s="15" t="s">
        <v>10</v>
      </c>
      <c r="C19" s="16">
        <v>26</v>
      </c>
      <c r="D19" s="16">
        <v>22</v>
      </c>
      <c r="E19" s="73">
        <v>30</v>
      </c>
    </row>
    <row r="20" spans="1:5" x14ac:dyDescent="0.2">
      <c r="A20" s="38">
        <v>98012</v>
      </c>
      <c r="B20" s="15" t="s">
        <v>10</v>
      </c>
      <c r="C20" s="16">
        <v>17</v>
      </c>
      <c r="D20" s="16">
        <v>15</v>
      </c>
      <c r="E20" s="73">
        <v>15</v>
      </c>
    </row>
    <row r="21" spans="1:5" x14ac:dyDescent="0.2">
      <c r="A21" s="38">
        <v>98014</v>
      </c>
      <c r="B21" s="15" t="s">
        <v>10</v>
      </c>
      <c r="C21" s="16">
        <v>5</v>
      </c>
      <c r="D21" s="16">
        <v>3</v>
      </c>
      <c r="E21" s="73">
        <v>9</v>
      </c>
    </row>
    <row r="22" spans="1:5" x14ac:dyDescent="0.2">
      <c r="A22" s="38">
        <v>98019</v>
      </c>
      <c r="B22" s="15" t="s">
        <v>10</v>
      </c>
      <c r="C22" s="16">
        <v>9</v>
      </c>
      <c r="D22" s="16">
        <v>9</v>
      </c>
      <c r="E22" s="73">
        <v>5</v>
      </c>
    </row>
    <row r="23" spans="1:5" x14ac:dyDescent="0.2">
      <c r="A23" s="38">
        <v>98021</v>
      </c>
      <c r="B23" s="15" t="s">
        <v>10</v>
      </c>
      <c r="C23" s="16">
        <v>7</v>
      </c>
      <c r="D23" s="16">
        <v>6</v>
      </c>
      <c r="E23" s="73">
        <v>5</v>
      </c>
    </row>
    <row r="24" spans="1:5" x14ac:dyDescent="0.2">
      <c r="A24" s="38">
        <v>98022</v>
      </c>
      <c r="B24" s="15" t="s">
        <v>10</v>
      </c>
      <c r="C24" s="16">
        <v>49</v>
      </c>
      <c r="D24" s="16">
        <v>45</v>
      </c>
      <c r="E24" s="73">
        <v>50</v>
      </c>
    </row>
    <row r="25" spans="1:5" x14ac:dyDescent="0.2">
      <c r="A25" s="38">
        <v>98023</v>
      </c>
      <c r="B25" s="15" t="s">
        <v>10</v>
      </c>
      <c r="C25" s="16">
        <v>152</v>
      </c>
      <c r="D25" s="16">
        <v>95</v>
      </c>
      <c r="E25" s="73">
        <v>94</v>
      </c>
    </row>
    <row r="26" spans="1:5" x14ac:dyDescent="0.2">
      <c r="A26" s="38">
        <v>98024</v>
      </c>
      <c r="B26" s="15" t="s">
        <v>10</v>
      </c>
      <c r="C26" s="16">
        <v>4</v>
      </c>
      <c r="D26" s="16">
        <v>2</v>
      </c>
      <c r="E26" s="73">
        <v>5</v>
      </c>
    </row>
    <row r="27" spans="1:5" x14ac:dyDescent="0.2">
      <c r="A27" s="38">
        <v>98026</v>
      </c>
      <c r="B27" s="15" t="s">
        <v>10</v>
      </c>
      <c r="C27" s="16">
        <v>5</v>
      </c>
      <c r="D27" s="16">
        <v>6</v>
      </c>
      <c r="E27" s="73">
        <v>6</v>
      </c>
    </row>
    <row r="28" spans="1:5" x14ac:dyDescent="0.2">
      <c r="A28" s="38">
        <v>98027</v>
      </c>
      <c r="B28" s="15" t="s">
        <v>10</v>
      </c>
      <c r="C28" s="16">
        <v>36</v>
      </c>
      <c r="D28" s="16">
        <v>20</v>
      </c>
      <c r="E28" s="73">
        <v>33</v>
      </c>
    </row>
    <row r="29" spans="1:5" x14ac:dyDescent="0.2">
      <c r="A29" s="38">
        <v>98028</v>
      </c>
      <c r="B29" s="15" t="s">
        <v>10</v>
      </c>
      <c r="C29" s="16">
        <v>25</v>
      </c>
      <c r="D29" s="16">
        <v>17</v>
      </c>
      <c r="E29" s="73">
        <v>28</v>
      </c>
    </row>
    <row r="30" spans="1:5" x14ac:dyDescent="0.2">
      <c r="A30" s="38">
        <v>98029</v>
      </c>
      <c r="B30" s="15" t="s">
        <v>10</v>
      </c>
      <c r="C30" s="16">
        <v>28</v>
      </c>
      <c r="D30" s="16">
        <v>32</v>
      </c>
      <c r="E30" s="73">
        <v>23</v>
      </c>
    </row>
    <row r="31" spans="1:5" x14ac:dyDescent="0.2">
      <c r="A31" s="38">
        <v>98030</v>
      </c>
      <c r="B31" s="15" t="s">
        <v>10</v>
      </c>
      <c r="C31" s="16">
        <v>187</v>
      </c>
      <c r="D31" s="16">
        <v>109</v>
      </c>
      <c r="E31" s="73">
        <v>90</v>
      </c>
    </row>
    <row r="32" spans="1:5" x14ac:dyDescent="0.2">
      <c r="A32" s="38">
        <v>98031</v>
      </c>
      <c r="B32" s="15" t="s">
        <v>10</v>
      </c>
      <c r="C32" s="16">
        <v>148</v>
      </c>
      <c r="D32" s="16">
        <v>91</v>
      </c>
      <c r="E32" s="73">
        <v>93</v>
      </c>
    </row>
    <row r="33" spans="1:5" x14ac:dyDescent="0.2">
      <c r="A33" s="38">
        <v>98032</v>
      </c>
      <c r="B33" s="15" t="s">
        <v>10</v>
      </c>
      <c r="C33" s="16">
        <v>159</v>
      </c>
      <c r="D33" s="16">
        <v>102</v>
      </c>
      <c r="E33" s="73">
        <v>74</v>
      </c>
    </row>
    <row r="34" spans="1:5" x14ac:dyDescent="0.2">
      <c r="A34" s="38">
        <v>98033</v>
      </c>
      <c r="B34" s="15" t="s">
        <v>10</v>
      </c>
      <c r="C34" s="16">
        <v>24</v>
      </c>
      <c r="D34" s="16">
        <v>14</v>
      </c>
      <c r="E34" s="73">
        <v>20</v>
      </c>
    </row>
    <row r="35" spans="1:5" x14ac:dyDescent="0.2">
      <c r="A35" s="38">
        <v>98034</v>
      </c>
      <c r="B35" s="15" t="s">
        <v>10</v>
      </c>
      <c r="C35" s="16">
        <v>65</v>
      </c>
      <c r="D35" s="16">
        <v>43</v>
      </c>
      <c r="E35" s="73">
        <v>54</v>
      </c>
    </row>
    <row r="36" spans="1:5" x14ac:dyDescent="0.2">
      <c r="A36" s="38">
        <v>98036</v>
      </c>
      <c r="B36" s="15" t="s">
        <v>10</v>
      </c>
      <c r="C36" s="16">
        <v>7</v>
      </c>
      <c r="D36" s="16">
        <v>9</v>
      </c>
      <c r="E36" s="73">
        <v>10</v>
      </c>
    </row>
    <row r="37" spans="1:5" x14ac:dyDescent="0.2">
      <c r="A37" s="38">
        <v>98037</v>
      </c>
      <c r="B37" s="15" t="s">
        <v>10</v>
      </c>
      <c r="C37" s="16">
        <v>6</v>
      </c>
      <c r="D37" s="16">
        <v>6</v>
      </c>
      <c r="E37" s="73">
        <v>6</v>
      </c>
    </row>
    <row r="38" spans="1:5" x14ac:dyDescent="0.2">
      <c r="A38" s="38">
        <v>98038</v>
      </c>
      <c r="B38" s="15" t="s">
        <v>10</v>
      </c>
      <c r="C38" s="16">
        <v>32</v>
      </c>
      <c r="D38" s="16">
        <v>21</v>
      </c>
      <c r="E38" s="73">
        <v>21</v>
      </c>
    </row>
    <row r="39" spans="1:5" x14ac:dyDescent="0.2">
      <c r="A39" s="38">
        <v>98040</v>
      </c>
      <c r="B39" s="15" t="s">
        <v>10</v>
      </c>
      <c r="C39" s="16">
        <v>3</v>
      </c>
      <c r="D39" s="16">
        <v>4</v>
      </c>
      <c r="E39" s="73">
        <v>8</v>
      </c>
    </row>
    <row r="40" spans="1:5" x14ac:dyDescent="0.2">
      <c r="A40" s="38">
        <v>98042</v>
      </c>
      <c r="B40" s="15" t="s">
        <v>10</v>
      </c>
      <c r="C40" s="16">
        <v>83</v>
      </c>
      <c r="D40" s="16">
        <v>41</v>
      </c>
      <c r="E40" s="73">
        <v>37</v>
      </c>
    </row>
    <row r="41" spans="1:5" x14ac:dyDescent="0.2">
      <c r="A41" s="38">
        <v>98043</v>
      </c>
      <c r="B41" s="15" t="s">
        <v>10</v>
      </c>
      <c r="C41" s="16">
        <v>2</v>
      </c>
      <c r="D41" s="16">
        <v>3</v>
      </c>
      <c r="E41" s="73">
        <v>5</v>
      </c>
    </row>
    <row r="42" spans="1:5" x14ac:dyDescent="0.2">
      <c r="A42" s="38">
        <v>98045</v>
      </c>
      <c r="B42" s="15" t="s">
        <v>10</v>
      </c>
      <c r="C42" s="16">
        <v>5</v>
      </c>
      <c r="D42" s="16">
        <v>7</v>
      </c>
      <c r="E42" s="73">
        <v>16</v>
      </c>
    </row>
    <row r="43" spans="1:5" x14ac:dyDescent="0.2">
      <c r="A43" s="38">
        <v>98047</v>
      </c>
      <c r="B43" s="15" t="s">
        <v>10</v>
      </c>
      <c r="C43" s="16">
        <v>19</v>
      </c>
      <c r="D43" s="16">
        <v>17</v>
      </c>
      <c r="E43" s="73">
        <v>14</v>
      </c>
    </row>
    <row r="44" spans="1:5" x14ac:dyDescent="0.2">
      <c r="A44" s="38">
        <v>98050</v>
      </c>
      <c r="B44" s="15" t="s">
        <v>10</v>
      </c>
      <c r="C44" s="16">
        <v>1</v>
      </c>
      <c r="D44" s="16"/>
      <c r="E44" s="73"/>
    </row>
    <row r="45" spans="1:5" x14ac:dyDescent="0.2">
      <c r="A45" s="38">
        <v>98051</v>
      </c>
      <c r="B45" s="15" t="s">
        <v>10</v>
      </c>
      <c r="C45" s="16">
        <v>3</v>
      </c>
      <c r="D45" s="16">
        <v>1</v>
      </c>
      <c r="E45" s="73">
        <v>1</v>
      </c>
    </row>
    <row r="46" spans="1:5" x14ac:dyDescent="0.2">
      <c r="A46" s="38">
        <v>98052</v>
      </c>
      <c r="B46" s="15" t="s">
        <v>10</v>
      </c>
      <c r="C46" s="16">
        <v>48</v>
      </c>
      <c r="D46" s="16">
        <v>41</v>
      </c>
      <c r="E46" s="73">
        <v>61</v>
      </c>
    </row>
    <row r="47" spans="1:5" x14ac:dyDescent="0.2">
      <c r="A47" s="38">
        <v>98053</v>
      </c>
      <c r="B47" s="15" t="s">
        <v>10</v>
      </c>
      <c r="C47" s="16">
        <v>8</v>
      </c>
      <c r="D47" s="16">
        <v>3</v>
      </c>
      <c r="E47" s="73">
        <v>9</v>
      </c>
    </row>
    <row r="48" spans="1:5" x14ac:dyDescent="0.2">
      <c r="A48" s="38">
        <v>98055</v>
      </c>
      <c r="B48" s="15" t="s">
        <v>10</v>
      </c>
      <c r="C48" s="16">
        <v>69</v>
      </c>
      <c r="D48" s="16">
        <v>27</v>
      </c>
      <c r="E48" s="73">
        <v>34</v>
      </c>
    </row>
    <row r="49" spans="1:5" x14ac:dyDescent="0.2">
      <c r="A49" s="38">
        <v>98056</v>
      </c>
      <c r="B49" s="15" t="s">
        <v>10</v>
      </c>
      <c r="C49" s="16">
        <v>63</v>
      </c>
      <c r="D49" s="16">
        <v>46</v>
      </c>
      <c r="E49" s="73">
        <v>31</v>
      </c>
    </row>
    <row r="50" spans="1:5" x14ac:dyDescent="0.2">
      <c r="A50" s="38">
        <v>98057</v>
      </c>
      <c r="B50" s="15" t="s">
        <v>10</v>
      </c>
      <c r="C50" s="16">
        <v>36</v>
      </c>
      <c r="D50" s="16">
        <v>22</v>
      </c>
      <c r="E50" s="73">
        <v>16</v>
      </c>
    </row>
    <row r="51" spans="1:5" x14ac:dyDescent="0.2">
      <c r="A51" s="38">
        <v>98058</v>
      </c>
      <c r="B51" s="15" t="s">
        <v>10</v>
      </c>
      <c r="C51" s="16">
        <v>104</v>
      </c>
      <c r="D51" s="16">
        <v>52</v>
      </c>
      <c r="E51" s="73">
        <v>40</v>
      </c>
    </row>
    <row r="52" spans="1:5" x14ac:dyDescent="0.2">
      <c r="A52" s="38">
        <v>98059</v>
      </c>
      <c r="B52" s="15" t="s">
        <v>10</v>
      </c>
      <c r="C52" s="16">
        <v>43</v>
      </c>
      <c r="D52" s="16">
        <v>31</v>
      </c>
      <c r="E52" s="73">
        <v>24</v>
      </c>
    </row>
    <row r="53" spans="1:5" x14ac:dyDescent="0.2">
      <c r="A53" s="38">
        <v>98065</v>
      </c>
      <c r="B53" s="15" t="s">
        <v>10</v>
      </c>
      <c r="C53" s="16">
        <v>14</v>
      </c>
      <c r="D53" s="16">
        <v>10</v>
      </c>
      <c r="E53" s="73">
        <v>21</v>
      </c>
    </row>
    <row r="54" spans="1:5" x14ac:dyDescent="0.2">
      <c r="A54" s="38">
        <v>98068</v>
      </c>
      <c r="B54" s="15" t="s">
        <v>10</v>
      </c>
      <c r="C54" s="16">
        <v>1</v>
      </c>
      <c r="D54" s="16">
        <v>1</v>
      </c>
      <c r="E54" s="73"/>
    </row>
    <row r="55" spans="1:5" x14ac:dyDescent="0.2">
      <c r="A55" s="38">
        <v>98070</v>
      </c>
      <c r="B55" s="15" t="s">
        <v>10</v>
      </c>
      <c r="C55" s="16">
        <v>7</v>
      </c>
      <c r="D55" s="16">
        <v>3</v>
      </c>
      <c r="E55" s="73">
        <v>1</v>
      </c>
    </row>
    <row r="56" spans="1:5" x14ac:dyDescent="0.2">
      <c r="A56" s="38">
        <v>98072</v>
      </c>
      <c r="B56" s="15" t="s">
        <v>10</v>
      </c>
      <c r="C56" s="16">
        <v>11</v>
      </c>
      <c r="D56" s="16">
        <v>14</v>
      </c>
      <c r="E56" s="73">
        <v>18</v>
      </c>
    </row>
    <row r="57" spans="1:5" x14ac:dyDescent="0.2">
      <c r="A57" s="38">
        <v>98074</v>
      </c>
      <c r="B57" s="15" t="s">
        <v>10</v>
      </c>
      <c r="C57" s="16">
        <v>5</v>
      </c>
      <c r="D57" s="16">
        <v>11</v>
      </c>
      <c r="E57" s="73">
        <v>4</v>
      </c>
    </row>
    <row r="58" spans="1:5" x14ac:dyDescent="0.2">
      <c r="A58" s="38">
        <v>98075</v>
      </c>
      <c r="B58" s="15" t="s">
        <v>10</v>
      </c>
      <c r="C58" s="16">
        <v>1</v>
      </c>
      <c r="D58" s="16">
        <v>2</v>
      </c>
      <c r="E58" s="73">
        <v>5</v>
      </c>
    </row>
    <row r="59" spans="1:5" x14ac:dyDescent="0.2">
      <c r="A59" s="38">
        <v>98077</v>
      </c>
      <c r="B59" s="15" t="s">
        <v>10</v>
      </c>
      <c r="C59" s="16"/>
      <c r="D59" s="16">
        <v>2</v>
      </c>
      <c r="E59" s="73">
        <v>3</v>
      </c>
    </row>
    <row r="60" spans="1:5" x14ac:dyDescent="0.2">
      <c r="A60" s="38">
        <v>98087</v>
      </c>
      <c r="B60" s="15" t="s">
        <v>10</v>
      </c>
      <c r="C60" s="16">
        <v>11</v>
      </c>
      <c r="D60" s="16">
        <v>17</v>
      </c>
      <c r="E60" s="73">
        <v>12</v>
      </c>
    </row>
    <row r="61" spans="1:5" x14ac:dyDescent="0.2">
      <c r="A61" s="38">
        <v>98092</v>
      </c>
      <c r="B61" s="15" t="s">
        <v>10</v>
      </c>
      <c r="C61" s="16">
        <v>177</v>
      </c>
      <c r="D61" s="16">
        <v>115</v>
      </c>
      <c r="E61" s="73">
        <v>130</v>
      </c>
    </row>
    <row r="62" spans="1:5" x14ac:dyDescent="0.2">
      <c r="A62" s="38">
        <v>98101</v>
      </c>
      <c r="B62" s="15" t="s">
        <v>10</v>
      </c>
      <c r="C62" s="16">
        <v>1</v>
      </c>
      <c r="D62" s="16"/>
      <c r="E62" s="73">
        <v>1</v>
      </c>
    </row>
    <row r="63" spans="1:5" x14ac:dyDescent="0.2">
      <c r="A63" s="38">
        <v>98102</v>
      </c>
      <c r="B63" s="15" t="s">
        <v>10</v>
      </c>
      <c r="C63" s="16">
        <v>4</v>
      </c>
      <c r="D63" s="16">
        <v>1</v>
      </c>
      <c r="E63" s="73"/>
    </row>
    <row r="64" spans="1:5" x14ac:dyDescent="0.2">
      <c r="A64" s="38">
        <v>98103</v>
      </c>
      <c r="B64" s="15" t="s">
        <v>10</v>
      </c>
      <c r="C64" s="16">
        <v>4</v>
      </c>
      <c r="D64" s="16">
        <v>1</v>
      </c>
      <c r="E64" s="73">
        <v>4</v>
      </c>
    </row>
    <row r="65" spans="1:5" x14ac:dyDescent="0.2">
      <c r="A65" s="38">
        <v>98105</v>
      </c>
      <c r="B65" s="15" t="s">
        <v>10</v>
      </c>
      <c r="C65" s="16">
        <v>2</v>
      </c>
      <c r="D65" s="16">
        <v>4</v>
      </c>
      <c r="E65" s="73">
        <v>1</v>
      </c>
    </row>
    <row r="66" spans="1:5" x14ac:dyDescent="0.2">
      <c r="A66" s="38">
        <v>98106</v>
      </c>
      <c r="B66" s="15" t="s">
        <v>10</v>
      </c>
      <c r="C66" s="16">
        <v>7</v>
      </c>
      <c r="D66" s="16">
        <v>6</v>
      </c>
      <c r="E66" s="73">
        <v>5</v>
      </c>
    </row>
    <row r="67" spans="1:5" x14ac:dyDescent="0.2">
      <c r="A67" s="38">
        <v>98107</v>
      </c>
      <c r="B67" s="15" t="s">
        <v>10</v>
      </c>
      <c r="C67" s="16">
        <v>1</v>
      </c>
      <c r="D67" s="16"/>
      <c r="E67" s="73">
        <v>1</v>
      </c>
    </row>
    <row r="68" spans="1:5" x14ac:dyDescent="0.2">
      <c r="A68" s="38">
        <v>98108</v>
      </c>
      <c r="B68" s="15" t="s">
        <v>10</v>
      </c>
      <c r="C68" s="16">
        <v>36</v>
      </c>
      <c r="D68" s="16">
        <v>17</v>
      </c>
      <c r="E68" s="73">
        <v>17</v>
      </c>
    </row>
    <row r="69" spans="1:5" x14ac:dyDescent="0.2">
      <c r="A69" s="38">
        <v>98109</v>
      </c>
      <c r="B69" s="15" t="s">
        <v>10</v>
      </c>
      <c r="C69" s="16"/>
      <c r="D69" s="16">
        <v>1</v>
      </c>
      <c r="E69" s="73">
        <v>1</v>
      </c>
    </row>
    <row r="70" spans="1:5" x14ac:dyDescent="0.2">
      <c r="A70" s="38">
        <v>98110</v>
      </c>
      <c r="B70" s="15" t="s">
        <v>10</v>
      </c>
      <c r="C70" s="16">
        <v>9</v>
      </c>
      <c r="D70" s="16">
        <v>12</v>
      </c>
      <c r="E70" s="73">
        <v>2</v>
      </c>
    </row>
    <row r="71" spans="1:5" x14ac:dyDescent="0.2">
      <c r="A71" s="38">
        <v>98112</v>
      </c>
      <c r="B71" s="15" t="s">
        <v>10</v>
      </c>
      <c r="C71" s="16">
        <v>3</v>
      </c>
      <c r="D71" s="16">
        <v>1</v>
      </c>
      <c r="E71" s="73">
        <v>1</v>
      </c>
    </row>
    <row r="72" spans="1:5" x14ac:dyDescent="0.2">
      <c r="A72" s="38">
        <v>98115</v>
      </c>
      <c r="B72" s="15" t="s">
        <v>10</v>
      </c>
      <c r="C72" s="16">
        <v>3</v>
      </c>
      <c r="D72" s="16">
        <v>4</v>
      </c>
      <c r="E72" s="73">
        <v>2</v>
      </c>
    </row>
    <row r="73" spans="1:5" x14ac:dyDescent="0.2">
      <c r="A73" s="38">
        <v>98116</v>
      </c>
      <c r="B73" s="15" t="s">
        <v>10</v>
      </c>
      <c r="C73" s="16">
        <v>2</v>
      </c>
      <c r="D73" s="16">
        <v>2</v>
      </c>
      <c r="E73" s="73">
        <v>1</v>
      </c>
    </row>
    <row r="74" spans="1:5" x14ac:dyDescent="0.2">
      <c r="A74" s="38">
        <v>98117</v>
      </c>
      <c r="B74" s="15" t="s">
        <v>10</v>
      </c>
      <c r="C74" s="16">
        <v>3</v>
      </c>
      <c r="D74" s="16">
        <v>5</v>
      </c>
      <c r="E74" s="73">
        <v>2</v>
      </c>
    </row>
    <row r="75" spans="1:5" x14ac:dyDescent="0.2">
      <c r="A75" s="38">
        <v>98118</v>
      </c>
      <c r="B75" s="15" t="s">
        <v>10</v>
      </c>
      <c r="C75" s="16">
        <v>28</v>
      </c>
      <c r="D75" s="16">
        <v>12</v>
      </c>
      <c r="E75" s="73">
        <v>27</v>
      </c>
    </row>
    <row r="76" spans="1:5" x14ac:dyDescent="0.2">
      <c r="A76" s="38">
        <v>98119</v>
      </c>
      <c r="B76" s="15" t="s">
        <v>10</v>
      </c>
      <c r="C76" s="16">
        <v>2</v>
      </c>
      <c r="D76" s="16"/>
      <c r="E76" s="73">
        <v>1</v>
      </c>
    </row>
    <row r="77" spans="1:5" x14ac:dyDescent="0.2">
      <c r="A77" s="38">
        <v>98121</v>
      </c>
      <c r="B77" s="15" t="s">
        <v>10</v>
      </c>
      <c r="C77" s="16">
        <v>1</v>
      </c>
      <c r="D77" s="16">
        <v>1</v>
      </c>
      <c r="E77" s="73">
        <v>1</v>
      </c>
    </row>
    <row r="78" spans="1:5" x14ac:dyDescent="0.2">
      <c r="A78" s="38">
        <v>98122</v>
      </c>
      <c r="B78" s="15" t="s">
        <v>10</v>
      </c>
      <c r="C78" s="16">
        <v>3</v>
      </c>
      <c r="D78" s="16">
        <v>4</v>
      </c>
      <c r="E78" s="73">
        <v>6</v>
      </c>
    </row>
    <row r="79" spans="1:5" x14ac:dyDescent="0.2">
      <c r="A79" s="38">
        <v>98125</v>
      </c>
      <c r="B79" s="15" t="s">
        <v>10</v>
      </c>
      <c r="C79" s="16">
        <v>7</v>
      </c>
      <c r="D79" s="16">
        <v>3</v>
      </c>
      <c r="E79" s="73">
        <v>3</v>
      </c>
    </row>
    <row r="80" spans="1:5" x14ac:dyDescent="0.2">
      <c r="A80" s="38">
        <v>98126</v>
      </c>
      <c r="B80" s="15" t="s">
        <v>10</v>
      </c>
      <c r="C80" s="16">
        <v>20</v>
      </c>
      <c r="D80" s="16">
        <v>12</v>
      </c>
      <c r="E80" s="73">
        <v>13</v>
      </c>
    </row>
    <row r="81" spans="1:5" x14ac:dyDescent="0.2">
      <c r="A81" s="38">
        <v>98133</v>
      </c>
      <c r="B81" s="15" t="s">
        <v>10</v>
      </c>
      <c r="C81" s="16">
        <v>8</v>
      </c>
      <c r="D81" s="16">
        <v>8</v>
      </c>
      <c r="E81" s="73">
        <v>2</v>
      </c>
    </row>
    <row r="82" spans="1:5" x14ac:dyDescent="0.2">
      <c r="A82" s="38">
        <v>98136</v>
      </c>
      <c r="B82" s="15" t="s">
        <v>10</v>
      </c>
      <c r="C82" s="16">
        <v>2</v>
      </c>
      <c r="D82" s="16">
        <v>3</v>
      </c>
      <c r="E82" s="73"/>
    </row>
    <row r="83" spans="1:5" x14ac:dyDescent="0.2">
      <c r="A83" s="38">
        <v>98144</v>
      </c>
      <c r="B83" s="15" t="s">
        <v>10</v>
      </c>
      <c r="C83" s="16">
        <v>6</v>
      </c>
      <c r="D83" s="16">
        <v>5</v>
      </c>
      <c r="E83" s="73">
        <v>4</v>
      </c>
    </row>
    <row r="84" spans="1:5" x14ac:dyDescent="0.2">
      <c r="A84" s="38">
        <v>98146</v>
      </c>
      <c r="B84" s="15" t="s">
        <v>10</v>
      </c>
      <c r="C84" s="16">
        <v>9</v>
      </c>
      <c r="D84" s="16">
        <v>7</v>
      </c>
      <c r="E84" s="73">
        <v>7</v>
      </c>
    </row>
    <row r="85" spans="1:5" x14ac:dyDescent="0.2">
      <c r="A85" s="38">
        <v>98148</v>
      </c>
      <c r="B85" s="15" t="s">
        <v>10</v>
      </c>
      <c r="C85" s="16">
        <v>16</v>
      </c>
      <c r="D85" s="16">
        <v>7</v>
      </c>
      <c r="E85" s="73">
        <v>8</v>
      </c>
    </row>
    <row r="86" spans="1:5" x14ac:dyDescent="0.2">
      <c r="A86" s="38">
        <v>98155</v>
      </c>
      <c r="B86" s="15" t="s">
        <v>10</v>
      </c>
      <c r="C86" s="16">
        <v>5</v>
      </c>
      <c r="D86" s="16">
        <v>3</v>
      </c>
      <c r="E86" s="73">
        <v>7</v>
      </c>
    </row>
    <row r="87" spans="1:5" x14ac:dyDescent="0.2">
      <c r="A87" s="38">
        <v>98166</v>
      </c>
      <c r="B87" s="15" t="s">
        <v>10</v>
      </c>
      <c r="C87" s="16">
        <v>10</v>
      </c>
      <c r="D87" s="16">
        <v>2</v>
      </c>
      <c r="E87" s="73">
        <v>5</v>
      </c>
    </row>
    <row r="88" spans="1:5" x14ac:dyDescent="0.2">
      <c r="A88" s="38">
        <v>98168</v>
      </c>
      <c r="B88" s="15" t="s">
        <v>10</v>
      </c>
      <c r="C88" s="16">
        <v>9</v>
      </c>
      <c r="D88" s="16">
        <v>4</v>
      </c>
      <c r="E88" s="73">
        <v>8</v>
      </c>
    </row>
    <row r="89" spans="1:5" x14ac:dyDescent="0.2">
      <c r="A89" s="38">
        <v>98177</v>
      </c>
      <c r="B89" s="15" t="s">
        <v>10</v>
      </c>
      <c r="C89" s="16">
        <v>4</v>
      </c>
      <c r="D89" s="16">
        <v>1</v>
      </c>
      <c r="E89" s="73">
        <v>3</v>
      </c>
    </row>
    <row r="90" spans="1:5" x14ac:dyDescent="0.2">
      <c r="A90" s="38">
        <v>98178</v>
      </c>
      <c r="B90" s="15" t="s">
        <v>10</v>
      </c>
      <c r="C90" s="16">
        <v>10</v>
      </c>
      <c r="D90" s="16">
        <v>7</v>
      </c>
      <c r="E90" s="73">
        <v>10</v>
      </c>
    </row>
    <row r="91" spans="1:5" x14ac:dyDescent="0.2">
      <c r="A91" s="38">
        <v>98188</v>
      </c>
      <c r="B91" s="15" t="s">
        <v>10</v>
      </c>
      <c r="C91" s="16">
        <v>56</v>
      </c>
      <c r="D91" s="16">
        <v>43</v>
      </c>
      <c r="E91" s="73">
        <v>29</v>
      </c>
    </row>
    <row r="92" spans="1:5" x14ac:dyDescent="0.2">
      <c r="A92" s="38">
        <v>98198</v>
      </c>
      <c r="B92" s="15" t="s">
        <v>10</v>
      </c>
      <c r="C92" s="16">
        <v>180</v>
      </c>
      <c r="D92" s="16">
        <v>102</v>
      </c>
      <c r="E92" s="73">
        <v>103</v>
      </c>
    </row>
    <row r="93" spans="1:5" x14ac:dyDescent="0.2">
      <c r="A93" s="38">
        <v>98199</v>
      </c>
      <c r="B93" s="15" t="s">
        <v>10</v>
      </c>
      <c r="C93" s="16">
        <v>2</v>
      </c>
      <c r="D93" s="16"/>
      <c r="E93" s="73">
        <v>1</v>
      </c>
    </row>
    <row r="94" spans="1:5" x14ac:dyDescent="0.2">
      <c r="A94" s="38">
        <v>98201</v>
      </c>
      <c r="B94" s="15" t="s">
        <v>10</v>
      </c>
      <c r="C94" s="16">
        <v>10</v>
      </c>
      <c r="D94" s="16">
        <v>11</v>
      </c>
      <c r="E94" s="73">
        <v>16</v>
      </c>
    </row>
    <row r="95" spans="1:5" x14ac:dyDescent="0.2">
      <c r="A95" s="38">
        <v>98203</v>
      </c>
      <c r="B95" s="15" t="s">
        <v>10</v>
      </c>
      <c r="C95" s="16">
        <v>9</v>
      </c>
      <c r="D95" s="16">
        <v>13</v>
      </c>
      <c r="E95" s="73">
        <v>9</v>
      </c>
    </row>
    <row r="96" spans="1:5" x14ac:dyDescent="0.2">
      <c r="A96" s="38">
        <v>98204</v>
      </c>
      <c r="B96" s="15" t="s">
        <v>10</v>
      </c>
      <c r="C96" s="16">
        <v>8</v>
      </c>
      <c r="D96" s="16">
        <v>4</v>
      </c>
      <c r="E96" s="73">
        <v>6</v>
      </c>
    </row>
    <row r="97" spans="1:5" x14ac:dyDescent="0.2">
      <c r="A97" s="38">
        <v>98208</v>
      </c>
      <c r="B97" s="15" t="s">
        <v>10</v>
      </c>
      <c r="C97" s="16">
        <v>13</v>
      </c>
      <c r="D97" s="16">
        <v>7</v>
      </c>
      <c r="E97" s="73">
        <v>10</v>
      </c>
    </row>
    <row r="98" spans="1:5" x14ac:dyDescent="0.2">
      <c r="A98" s="38">
        <v>98220</v>
      </c>
      <c r="B98" s="15" t="s">
        <v>10</v>
      </c>
      <c r="C98" s="16"/>
      <c r="D98" s="16">
        <v>1</v>
      </c>
      <c r="E98" s="73">
        <v>1</v>
      </c>
    </row>
    <row r="99" spans="1:5" x14ac:dyDescent="0.2">
      <c r="A99" s="38">
        <v>98221</v>
      </c>
      <c r="B99" s="15" t="s">
        <v>10</v>
      </c>
      <c r="C99" s="16">
        <v>24</v>
      </c>
      <c r="D99" s="16">
        <v>27</v>
      </c>
      <c r="E99" s="73">
        <v>20</v>
      </c>
    </row>
    <row r="100" spans="1:5" x14ac:dyDescent="0.2">
      <c r="A100" s="38">
        <v>98224</v>
      </c>
      <c r="B100" s="15" t="s">
        <v>10</v>
      </c>
      <c r="C100" s="16">
        <v>2</v>
      </c>
      <c r="D100" s="16">
        <v>1</v>
      </c>
      <c r="E100" s="73">
        <v>2</v>
      </c>
    </row>
    <row r="101" spans="1:5" x14ac:dyDescent="0.2">
      <c r="A101" s="38">
        <v>98225</v>
      </c>
      <c r="B101" s="15" t="s">
        <v>10</v>
      </c>
      <c r="C101" s="16">
        <v>113</v>
      </c>
      <c r="D101" s="16">
        <v>94</v>
      </c>
      <c r="E101" s="73">
        <v>104</v>
      </c>
    </row>
    <row r="102" spans="1:5" x14ac:dyDescent="0.2">
      <c r="A102" s="38">
        <v>98226</v>
      </c>
      <c r="B102" s="15" t="s">
        <v>10</v>
      </c>
      <c r="C102" s="16">
        <v>125</v>
      </c>
      <c r="D102" s="16">
        <v>116</v>
      </c>
      <c r="E102" s="73">
        <v>141</v>
      </c>
    </row>
    <row r="103" spans="1:5" x14ac:dyDescent="0.2">
      <c r="A103" s="38">
        <v>98229</v>
      </c>
      <c r="B103" s="15" t="s">
        <v>10</v>
      </c>
      <c r="C103" s="16">
        <v>86</v>
      </c>
      <c r="D103" s="16">
        <v>55</v>
      </c>
      <c r="E103" s="73">
        <v>76</v>
      </c>
    </row>
    <row r="104" spans="1:5" x14ac:dyDescent="0.2">
      <c r="A104" s="38">
        <v>98230</v>
      </c>
      <c r="B104" s="15" t="s">
        <v>10</v>
      </c>
      <c r="C104" s="16">
        <v>26</v>
      </c>
      <c r="D104" s="16">
        <v>32</v>
      </c>
      <c r="E104" s="73">
        <v>23</v>
      </c>
    </row>
    <row r="105" spans="1:5" x14ac:dyDescent="0.2">
      <c r="A105" s="38">
        <v>98232</v>
      </c>
      <c r="B105" s="15" t="s">
        <v>10</v>
      </c>
      <c r="C105" s="16">
        <v>3</v>
      </c>
      <c r="D105" s="16">
        <v>3</v>
      </c>
      <c r="E105" s="73">
        <v>2</v>
      </c>
    </row>
    <row r="106" spans="1:5" x14ac:dyDescent="0.2">
      <c r="A106" s="38">
        <v>98233</v>
      </c>
      <c r="B106" s="15" t="s">
        <v>10</v>
      </c>
      <c r="C106" s="16">
        <v>49</v>
      </c>
      <c r="D106" s="16">
        <v>44</v>
      </c>
      <c r="E106" s="73">
        <v>34</v>
      </c>
    </row>
    <row r="107" spans="1:5" x14ac:dyDescent="0.2">
      <c r="A107" s="38">
        <v>98236</v>
      </c>
      <c r="B107" s="15" t="s">
        <v>10</v>
      </c>
      <c r="C107" s="16">
        <v>7</v>
      </c>
      <c r="D107" s="16">
        <v>12</v>
      </c>
      <c r="E107" s="73">
        <v>5</v>
      </c>
    </row>
    <row r="108" spans="1:5" x14ac:dyDescent="0.2">
      <c r="A108" s="38">
        <v>98237</v>
      </c>
      <c r="B108" s="15" t="s">
        <v>10</v>
      </c>
      <c r="C108" s="16">
        <v>18</v>
      </c>
      <c r="D108" s="16">
        <v>9</v>
      </c>
      <c r="E108" s="73">
        <v>4</v>
      </c>
    </row>
    <row r="109" spans="1:5" x14ac:dyDescent="0.2">
      <c r="A109" s="38">
        <v>98239</v>
      </c>
      <c r="B109" s="15" t="s">
        <v>10</v>
      </c>
      <c r="C109" s="16">
        <v>18</v>
      </c>
      <c r="D109" s="16">
        <v>5</v>
      </c>
      <c r="E109" s="73">
        <v>8</v>
      </c>
    </row>
    <row r="110" spans="1:5" x14ac:dyDescent="0.2">
      <c r="A110" s="38">
        <v>98240</v>
      </c>
      <c r="B110" s="15" t="s">
        <v>10</v>
      </c>
      <c r="C110" s="16">
        <v>4</v>
      </c>
      <c r="D110" s="16">
        <v>3</v>
      </c>
      <c r="E110" s="73">
        <v>6</v>
      </c>
    </row>
    <row r="111" spans="1:5" x14ac:dyDescent="0.2">
      <c r="A111" s="38">
        <v>98244</v>
      </c>
      <c r="B111" s="15" t="s">
        <v>10</v>
      </c>
      <c r="C111" s="16">
        <v>12</v>
      </c>
      <c r="D111" s="16">
        <v>13</v>
      </c>
      <c r="E111" s="73">
        <v>14</v>
      </c>
    </row>
    <row r="112" spans="1:5" x14ac:dyDescent="0.2">
      <c r="A112" s="38">
        <v>98247</v>
      </c>
      <c r="B112" s="15" t="s">
        <v>10</v>
      </c>
      <c r="C112" s="16">
        <v>21</v>
      </c>
      <c r="D112" s="16">
        <v>13</v>
      </c>
      <c r="E112" s="73">
        <v>25</v>
      </c>
    </row>
    <row r="113" spans="1:5" x14ac:dyDescent="0.2">
      <c r="A113" s="38">
        <v>98248</v>
      </c>
      <c r="B113" s="15" t="s">
        <v>10</v>
      </c>
      <c r="C113" s="16">
        <v>63</v>
      </c>
      <c r="D113" s="16">
        <v>49</v>
      </c>
      <c r="E113" s="73">
        <v>86</v>
      </c>
    </row>
    <row r="114" spans="1:5" x14ac:dyDescent="0.2">
      <c r="A114" s="38">
        <v>98249</v>
      </c>
      <c r="B114" s="15" t="s">
        <v>10</v>
      </c>
      <c r="C114" s="16">
        <v>9</v>
      </c>
      <c r="D114" s="16">
        <v>11</v>
      </c>
      <c r="E114" s="73">
        <v>3</v>
      </c>
    </row>
    <row r="115" spans="1:5" x14ac:dyDescent="0.2">
      <c r="A115" s="38">
        <v>98251</v>
      </c>
      <c r="B115" s="15" t="s">
        <v>10</v>
      </c>
      <c r="C115" s="16">
        <v>3</v>
      </c>
      <c r="D115" s="16">
        <v>1</v>
      </c>
      <c r="E115" s="73">
        <v>1</v>
      </c>
    </row>
    <row r="116" spans="1:5" x14ac:dyDescent="0.2">
      <c r="A116" s="38">
        <v>98252</v>
      </c>
      <c r="B116" s="15" t="s">
        <v>10</v>
      </c>
      <c r="C116" s="16">
        <v>2</v>
      </c>
      <c r="D116" s="16">
        <v>4</v>
      </c>
      <c r="E116" s="73">
        <v>7</v>
      </c>
    </row>
    <row r="117" spans="1:5" x14ac:dyDescent="0.2">
      <c r="A117" s="38">
        <v>98253</v>
      </c>
      <c r="B117" s="15" t="s">
        <v>10</v>
      </c>
      <c r="C117" s="16">
        <v>2</v>
      </c>
      <c r="D117" s="16">
        <v>4</v>
      </c>
      <c r="E117" s="73">
        <v>1</v>
      </c>
    </row>
    <row r="118" spans="1:5" x14ac:dyDescent="0.2">
      <c r="A118" s="38">
        <v>98255</v>
      </c>
      <c r="B118" s="15" t="s">
        <v>10</v>
      </c>
      <c r="C118" s="16"/>
      <c r="D118" s="16">
        <v>1</v>
      </c>
      <c r="E118" s="73">
        <v>1</v>
      </c>
    </row>
    <row r="119" spans="1:5" x14ac:dyDescent="0.2">
      <c r="A119" s="38">
        <v>98257</v>
      </c>
      <c r="B119" s="15" t="s">
        <v>10</v>
      </c>
      <c r="C119" s="16">
        <v>14</v>
      </c>
      <c r="D119" s="16">
        <v>18</v>
      </c>
      <c r="E119" s="73">
        <v>21</v>
      </c>
    </row>
    <row r="120" spans="1:5" x14ac:dyDescent="0.2">
      <c r="A120" s="38">
        <v>98258</v>
      </c>
      <c r="B120" s="15" t="s">
        <v>10</v>
      </c>
      <c r="C120" s="16">
        <v>16</v>
      </c>
      <c r="D120" s="16">
        <v>14</v>
      </c>
      <c r="E120" s="73">
        <v>15</v>
      </c>
    </row>
    <row r="121" spans="1:5" x14ac:dyDescent="0.2">
      <c r="A121" s="38">
        <v>98260</v>
      </c>
      <c r="B121" s="15" t="s">
        <v>10</v>
      </c>
      <c r="C121" s="16">
        <v>8</v>
      </c>
      <c r="D121" s="16">
        <v>3</v>
      </c>
      <c r="E121" s="73">
        <v>4</v>
      </c>
    </row>
    <row r="122" spans="1:5" x14ac:dyDescent="0.2">
      <c r="A122" s="38">
        <v>98262</v>
      </c>
      <c r="B122" s="15" t="s">
        <v>10</v>
      </c>
      <c r="C122" s="16">
        <v>2</v>
      </c>
      <c r="D122" s="16">
        <v>3</v>
      </c>
      <c r="E122" s="73">
        <v>2</v>
      </c>
    </row>
    <row r="123" spans="1:5" x14ac:dyDescent="0.2">
      <c r="A123" s="38">
        <v>98263</v>
      </c>
      <c r="B123" s="15" t="s">
        <v>10</v>
      </c>
      <c r="C123" s="16">
        <v>1</v>
      </c>
      <c r="D123" s="16"/>
      <c r="E123" s="73"/>
    </row>
    <row r="124" spans="1:5" x14ac:dyDescent="0.2">
      <c r="A124" s="38">
        <v>98264</v>
      </c>
      <c r="B124" s="15" t="s">
        <v>10</v>
      </c>
      <c r="C124" s="16">
        <v>35</v>
      </c>
      <c r="D124" s="16">
        <v>40</v>
      </c>
      <c r="E124" s="73">
        <v>29</v>
      </c>
    </row>
    <row r="125" spans="1:5" x14ac:dyDescent="0.2">
      <c r="A125" s="38">
        <v>98266</v>
      </c>
      <c r="B125" s="15" t="s">
        <v>10</v>
      </c>
      <c r="C125" s="16">
        <v>11</v>
      </c>
      <c r="D125" s="16">
        <v>25</v>
      </c>
      <c r="E125" s="73">
        <v>25</v>
      </c>
    </row>
    <row r="126" spans="1:5" x14ac:dyDescent="0.2">
      <c r="A126" s="38">
        <v>98267</v>
      </c>
      <c r="B126" s="15" t="s">
        <v>10</v>
      </c>
      <c r="C126" s="16"/>
      <c r="D126" s="16">
        <v>1</v>
      </c>
      <c r="E126" s="73">
        <v>1</v>
      </c>
    </row>
    <row r="127" spans="1:5" x14ac:dyDescent="0.2">
      <c r="A127" s="38">
        <v>98270</v>
      </c>
      <c r="B127" s="15" t="s">
        <v>10</v>
      </c>
      <c r="C127" s="16">
        <v>24</v>
      </c>
      <c r="D127" s="16">
        <v>10</v>
      </c>
      <c r="E127" s="73">
        <v>15</v>
      </c>
    </row>
    <row r="128" spans="1:5" x14ac:dyDescent="0.2">
      <c r="A128" s="38">
        <v>98271</v>
      </c>
      <c r="B128" s="15" t="s">
        <v>10</v>
      </c>
      <c r="C128" s="16">
        <v>4</v>
      </c>
      <c r="D128" s="16">
        <v>4</v>
      </c>
      <c r="E128" s="73">
        <v>6</v>
      </c>
    </row>
    <row r="129" spans="1:5" x14ac:dyDescent="0.2">
      <c r="A129" s="38">
        <v>98272</v>
      </c>
      <c r="B129" s="15" t="s">
        <v>10</v>
      </c>
      <c r="C129" s="16">
        <v>4</v>
      </c>
      <c r="D129" s="16">
        <v>3</v>
      </c>
      <c r="E129" s="73">
        <v>3</v>
      </c>
    </row>
    <row r="130" spans="1:5" x14ac:dyDescent="0.2">
      <c r="A130" s="38">
        <v>98273</v>
      </c>
      <c r="B130" s="15" t="s">
        <v>10</v>
      </c>
      <c r="C130" s="16">
        <v>121</v>
      </c>
      <c r="D130" s="16">
        <v>80</v>
      </c>
      <c r="E130" s="73">
        <v>102</v>
      </c>
    </row>
    <row r="131" spans="1:5" x14ac:dyDescent="0.2">
      <c r="A131" s="38">
        <v>98274</v>
      </c>
      <c r="B131" s="15" t="s">
        <v>10</v>
      </c>
      <c r="C131" s="16">
        <v>23</v>
      </c>
      <c r="D131" s="16">
        <v>26</v>
      </c>
      <c r="E131" s="73">
        <v>24</v>
      </c>
    </row>
    <row r="132" spans="1:5" x14ac:dyDescent="0.2">
      <c r="A132" s="38">
        <v>98275</v>
      </c>
      <c r="B132" s="15" t="s">
        <v>10</v>
      </c>
      <c r="C132" s="16">
        <v>5</v>
      </c>
      <c r="D132" s="16">
        <v>2</v>
      </c>
      <c r="E132" s="73"/>
    </row>
    <row r="133" spans="1:5" x14ac:dyDescent="0.2">
      <c r="A133" s="38">
        <v>98276</v>
      </c>
      <c r="B133" s="15" t="s">
        <v>10</v>
      </c>
      <c r="C133" s="16">
        <v>3</v>
      </c>
      <c r="D133" s="16">
        <v>1</v>
      </c>
      <c r="E133" s="73">
        <v>1</v>
      </c>
    </row>
    <row r="134" spans="1:5" x14ac:dyDescent="0.2">
      <c r="A134" s="38">
        <v>98277</v>
      </c>
      <c r="B134" s="15" t="s">
        <v>10</v>
      </c>
      <c r="C134" s="16">
        <v>102</v>
      </c>
      <c r="D134" s="16">
        <v>65</v>
      </c>
      <c r="E134" s="73">
        <v>36</v>
      </c>
    </row>
    <row r="135" spans="1:5" x14ac:dyDescent="0.2">
      <c r="A135" s="38">
        <v>98281</v>
      </c>
      <c r="B135" s="15" t="s">
        <v>10</v>
      </c>
      <c r="C135" s="16">
        <v>4</v>
      </c>
      <c r="D135" s="16">
        <v>4</v>
      </c>
      <c r="E135" s="73">
        <v>3</v>
      </c>
    </row>
    <row r="136" spans="1:5" x14ac:dyDescent="0.2">
      <c r="A136" s="38">
        <v>98283</v>
      </c>
      <c r="B136" s="15" t="s">
        <v>10</v>
      </c>
      <c r="C136" s="16">
        <v>3</v>
      </c>
      <c r="D136" s="16">
        <v>1</v>
      </c>
      <c r="E136" s="73">
        <v>1</v>
      </c>
    </row>
    <row r="137" spans="1:5" x14ac:dyDescent="0.2">
      <c r="A137" s="38">
        <v>98284</v>
      </c>
      <c r="B137" s="15" t="s">
        <v>10</v>
      </c>
      <c r="C137" s="16">
        <v>85</v>
      </c>
      <c r="D137" s="16">
        <v>79</v>
      </c>
      <c r="E137" s="73">
        <v>55</v>
      </c>
    </row>
    <row r="138" spans="1:5" x14ac:dyDescent="0.2">
      <c r="A138" s="38">
        <v>98288</v>
      </c>
      <c r="B138" s="15" t="s">
        <v>10</v>
      </c>
      <c r="C138" s="16"/>
      <c r="D138" s="16">
        <v>2</v>
      </c>
      <c r="E138" s="73">
        <v>2</v>
      </c>
    </row>
    <row r="139" spans="1:5" x14ac:dyDescent="0.2">
      <c r="A139" s="38">
        <v>98290</v>
      </c>
      <c r="B139" s="15" t="s">
        <v>10</v>
      </c>
      <c r="C139" s="16"/>
      <c r="D139" s="16"/>
      <c r="E139" s="73">
        <v>2</v>
      </c>
    </row>
    <row r="140" spans="1:5" x14ac:dyDescent="0.2">
      <c r="A140" s="38">
        <v>98294</v>
      </c>
      <c r="B140" s="15" t="s">
        <v>10</v>
      </c>
      <c r="C140" s="16">
        <v>9</v>
      </c>
      <c r="D140" s="16">
        <v>4</v>
      </c>
      <c r="E140" s="73">
        <v>3</v>
      </c>
    </row>
    <row r="141" spans="1:5" x14ac:dyDescent="0.2">
      <c r="A141" s="38">
        <v>98295</v>
      </c>
      <c r="B141" s="15" t="s">
        <v>10</v>
      </c>
      <c r="C141" s="16"/>
      <c r="D141" s="16">
        <v>1</v>
      </c>
      <c r="E141" s="73">
        <v>3</v>
      </c>
    </row>
    <row r="142" spans="1:5" x14ac:dyDescent="0.2">
      <c r="A142" s="38">
        <v>98296</v>
      </c>
      <c r="B142" s="15" t="s">
        <v>10</v>
      </c>
      <c r="C142" s="16">
        <v>5</v>
      </c>
      <c r="D142" s="16">
        <v>2</v>
      </c>
      <c r="E142" s="73">
        <v>3</v>
      </c>
    </row>
    <row r="143" spans="1:5" x14ac:dyDescent="0.2">
      <c r="A143" s="38">
        <v>98310</v>
      </c>
      <c r="B143" s="15" t="s">
        <v>10</v>
      </c>
      <c r="C143" s="16">
        <v>27</v>
      </c>
      <c r="D143" s="16">
        <v>31</v>
      </c>
      <c r="E143" s="73">
        <v>36</v>
      </c>
    </row>
    <row r="144" spans="1:5" x14ac:dyDescent="0.2">
      <c r="A144" s="38">
        <v>98311</v>
      </c>
      <c r="B144" s="15" t="s">
        <v>10</v>
      </c>
      <c r="C144" s="16">
        <v>21</v>
      </c>
      <c r="D144" s="16">
        <v>18</v>
      </c>
      <c r="E144" s="73">
        <v>18</v>
      </c>
    </row>
    <row r="145" spans="1:5" x14ac:dyDescent="0.2">
      <c r="A145" s="38">
        <v>98312</v>
      </c>
      <c r="B145" s="15" t="s">
        <v>10</v>
      </c>
      <c r="C145" s="16">
        <v>46</v>
      </c>
      <c r="D145" s="16">
        <v>37</v>
      </c>
      <c r="E145" s="73">
        <v>44</v>
      </c>
    </row>
    <row r="146" spans="1:5" x14ac:dyDescent="0.2">
      <c r="A146" s="38">
        <v>98321</v>
      </c>
      <c r="B146" s="15" t="s">
        <v>10</v>
      </c>
      <c r="C146" s="16">
        <v>25</v>
      </c>
      <c r="D146" s="16">
        <v>16</v>
      </c>
      <c r="E146" s="73">
        <v>14</v>
      </c>
    </row>
    <row r="147" spans="1:5" x14ac:dyDescent="0.2">
      <c r="A147" s="38">
        <v>98323</v>
      </c>
      <c r="B147" s="15" t="s">
        <v>10</v>
      </c>
      <c r="C147" s="16"/>
      <c r="D147" s="16">
        <v>1</v>
      </c>
      <c r="E147" s="73">
        <v>3</v>
      </c>
    </row>
    <row r="148" spans="1:5" x14ac:dyDescent="0.2">
      <c r="A148" s="38">
        <v>98327</v>
      </c>
      <c r="B148" s="15" t="s">
        <v>10</v>
      </c>
      <c r="C148" s="16">
        <v>1</v>
      </c>
      <c r="D148" s="16">
        <v>3</v>
      </c>
      <c r="E148" s="73">
        <v>5</v>
      </c>
    </row>
    <row r="149" spans="1:5" x14ac:dyDescent="0.2">
      <c r="A149" s="38">
        <v>98328</v>
      </c>
      <c r="B149" s="15" t="s">
        <v>10</v>
      </c>
      <c r="C149" s="16"/>
      <c r="D149" s="16">
        <v>2</v>
      </c>
      <c r="E149" s="73">
        <v>1</v>
      </c>
    </row>
    <row r="150" spans="1:5" x14ac:dyDescent="0.2">
      <c r="A150" s="38">
        <v>98332</v>
      </c>
      <c r="B150" s="15" t="s">
        <v>10</v>
      </c>
      <c r="C150" s="16">
        <v>2</v>
      </c>
      <c r="D150" s="16">
        <v>1</v>
      </c>
      <c r="E150" s="73">
        <v>1</v>
      </c>
    </row>
    <row r="151" spans="1:5" x14ac:dyDescent="0.2">
      <c r="A151" s="38">
        <v>98335</v>
      </c>
      <c r="B151" s="15" t="s">
        <v>10</v>
      </c>
      <c r="C151" s="16">
        <v>7</v>
      </c>
      <c r="D151" s="16">
        <v>1</v>
      </c>
      <c r="E151" s="73">
        <v>5</v>
      </c>
    </row>
    <row r="152" spans="1:5" x14ac:dyDescent="0.2">
      <c r="A152" s="38">
        <v>98337</v>
      </c>
      <c r="B152" s="15" t="s">
        <v>10</v>
      </c>
      <c r="C152" s="16">
        <v>12</v>
      </c>
      <c r="D152" s="16">
        <v>13</v>
      </c>
      <c r="E152" s="73">
        <v>13</v>
      </c>
    </row>
    <row r="153" spans="1:5" x14ac:dyDescent="0.2">
      <c r="A153" s="38">
        <v>98338</v>
      </c>
      <c r="B153" s="15" t="s">
        <v>10</v>
      </c>
      <c r="C153" s="16">
        <v>15</v>
      </c>
      <c r="D153" s="16">
        <v>17</v>
      </c>
      <c r="E153" s="73">
        <v>10</v>
      </c>
    </row>
    <row r="154" spans="1:5" x14ac:dyDescent="0.2">
      <c r="A154" s="38">
        <v>98340</v>
      </c>
      <c r="B154" s="15" t="s">
        <v>10</v>
      </c>
      <c r="C154" s="16">
        <v>1</v>
      </c>
      <c r="D154" s="16"/>
      <c r="E154" s="73"/>
    </row>
    <row r="155" spans="1:5" x14ac:dyDescent="0.2">
      <c r="A155" s="38">
        <v>98342</v>
      </c>
      <c r="B155" s="15" t="s">
        <v>10</v>
      </c>
      <c r="C155" s="16">
        <v>10</v>
      </c>
      <c r="D155" s="16">
        <v>8</v>
      </c>
      <c r="E155" s="73">
        <v>3</v>
      </c>
    </row>
    <row r="156" spans="1:5" x14ac:dyDescent="0.2">
      <c r="A156" s="38">
        <v>98346</v>
      </c>
      <c r="B156" s="15" t="s">
        <v>10</v>
      </c>
      <c r="C156" s="16">
        <v>27</v>
      </c>
      <c r="D156" s="16">
        <v>13</v>
      </c>
      <c r="E156" s="73">
        <v>35</v>
      </c>
    </row>
    <row r="157" spans="1:5" x14ac:dyDescent="0.2">
      <c r="A157" s="38">
        <v>98354</v>
      </c>
      <c r="B157" s="15" t="s">
        <v>10</v>
      </c>
      <c r="C157" s="16">
        <v>2</v>
      </c>
      <c r="D157" s="16">
        <v>1</v>
      </c>
      <c r="E157" s="73">
        <v>1</v>
      </c>
    </row>
    <row r="158" spans="1:5" x14ac:dyDescent="0.2">
      <c r="A158" s="38">
        <v>98359</v>
      </c>
      <c r="B158" s="15" t="s">
        <v>10</v>
      </c>
      <c r="C158" s="16">
        <v>5</v>
      </c>
      <c r="D158" s="16">
        <v>5</v>
      </c>
      <c r="E158" s="73">
        <v>4</v>
      </c>
    </row>
    <row r="159" spans="1:5" x14ac:dyDescent="0.2">
      <c r="A159" s="38">
        <v>98360</v>
      </c>
      <c r="B159" s="15" t="s">
        <v>10</v>
      </c>
      <c r="C159" s="16">
        <v>11</v>
      </c>
      <c r="D159" s="16">
        <v>19</v>
      </c>
      <c r="E159" s="73">
        <v>11</v>
      </c>
    </row>
    <row r="160" spans="1:5" x14ac:dyDescent="0.2">
      <c r="A160" s="38">
        <v>98366</v>
      </c>
      <c r="B160" s="15" t="s">
        <v>10</v>
      </c>
      <c r="C160" s="16">
        <v>34</v>
      </c>
      <c r="D160" s="16">
        <v>34</v>
      </c>
      <c r="E160" s="73">
        <v>28</v>
      </c>
    </row>
    <row r="161" spans="1:5" x14ac:dyDescent="0.2">
      <c r="A161" s="38">
        <v>98367</v>
      </c>
      <c r="B161" s="15" t="s">
        <v>10</v>
      </c>
      <c r="C161" s="16">
        <v>17</v>
      </c>
      <c r="D161" s="16">
        <v>14</v>
      </c>
      <c r="E161" s="73">
        <v>10</v>
      </c>
    </row>
    <row r="162" spans="1:5" x14ac:dyDescent="0.2">
      <c r="A162" s="38">
        <v>98370</v>
      </c>
      <c r="B162" s="15" t="s">
        <v>10</v>
      </c>
      <c r="C162" s="16">
        <v>27</v>
      </c>
      <c r="D162" s="16">
        <v>30</v>
      </c>
      <c r="E162" s="73">
        <v>27</v>
      </c>
    </row>
    <row r="163" spans="1:5" x14ac:dyDescent="0.2">
      <c r="A163" s="38">
        <v>98371</v>
      </c>
      <c r="B163" s="15" t="s">
        <v>10</v>
      </c>
      <c r="C163" s="16">
        <v>33</v>
      </c>
      <c r="D163" s="16">
        <v>27</v>
      </c>
      <c r="E163" s="73">
        <v>31</v>
      </c>
    </row>
    <row r="164" spans="1:5" x14ac:dyDescent="0.2">
      <c r="A164" s="38">
        <v>98372</v>
      </c>
      <c r="B164" s="15" t="s">
        <v>10</v>
      </c>
      <c r="C164" s="16">
        <v>24</v>
      </c>
      <c r="D164" s="16">
        <v>35</v>
      </c>
      <c r="E164" s="73">
        <v>38</v>
      </c>
    </row>
    <row r="165" spans="1:5" x14ac:dyDescent="0.2">
      <c r="A165" s="38">
        <v>98373</v>
      </c>
      <c r="B165" s="15" t="s">
        <v>10</v>
      </c>
      <c r="C165" s="16">
        <v>33</v>
      </c>
      <c r="D165" s="16">
        <v>31</v>
      </c>
      <c r="E165" s="73">
        <v>26</v>
      </c>
    </row>
    <row r="166" spans="1:5" x14ac:dyDescent="0.2">
      <c r="A166" s="38">
        <v>98374</v>
      </c>
      <c r="B166" s="15" t="s">
        <v>10</v>
      </c>
      <c r="C166" s="16">
        <v>46</v>
      </c>
      <c r="D166" s="16">
        <v>44</v>
      </c>
      <c r="E166" s="73">
        <v>48</v>
      </c>
    </row>
    <row r="167" spans="1:5" x14ac:dyDescent="0.2">
      <c r="A167" s="38">
        <v>98375</v>
      </c>
      <c r="B167" s="15" t="s">
        <v>10</v>
      </c>
      <c r="C167" s="16">
        <v>27</v>
      </c>
      <c r="D167" s="16">
        <v>21</v>
      </c>
      <c r="E167" s="73">
        <v>23</v>
      </c>
    </row>
    <row r="168" spans="1:5" x14ac:dyDescent="0.2">
      <c r="A168" s="38">
        <v>98380</v>
      </c>
      <c r="B168" s="15" t="s">
        <v>10</v>
      </c>
      <c r="C168" s="16">
        <v>2</v>
      </c>
      <c r="D168" s="16">
        <v>1</v>
      </c>
      <c r="E168" s="73"/>
    </row>
    <row r="169" spans="1:5" x14ac:dyDescent="0.2">
      <c r="A169" s="38">
        <v>98383</v>
      </c>
      <c r="B169" s="15" t="s">
        <v>10</v>
      </c>
      <c r="C169" s="16">
        <v>12</v>
      </c>
      <c r="D169" s="16">
        <v>11</v>
      </c>
      <c r="E169" s="73">
        <v>9</v>
      </c>
    </row>
    <row r="170" spans="1:5" x14ac:dyDescent="0.2">
      <c r="A170" s="38">
        <v>98385</v>
      </c>
      <c r="B170" s="15" t="s">
        <v>10</v>
      </c>
      <c r="C170" s="16">
        <v>1</v>
      </c>
      <c r="D170" s="16"/>
      <c r="E170" s="73"/>
    </row>
    <row r="171" spans="1:5" x14ac:dyDescent="0.2">
      <c r="A171" s="38">
        <v>98387</v>
      </c>
      <c r="B171" s="15" t="s">
        <v>10</v>
      </c>
      <c r="C171" s="16">
        <v>21</v>
      </c>
      <c r="D171" s="16">
        <v>33</v>
      </c>
      <c r="E171" s="73">
        <v>25</v>
      </c>
    </row>
    <row r="172" spans="1:5" x14ac:dyDescent="0.2">
      <c r="A172" s="38">
        <v>98388</v>
      </c>
      <c r="B172" s="15" t="s">
        <v>10</v>
      </c>
      <c r="C172" s="16">
        <v>3</v>
      </c>
      <c r="D172" s="16">
        <v>2</v>
      </c>
      <c r="E172" s="73">
        <v>1</v>
      </c>
    </row>
    <row r="173" spans="1:5" x14ac:dyDescent="0.2">
      <c r="A173" s="38">
        <v>98390</v>
      </c>
      <c r="B173" s="15" t="s">
        <v>10</v>
      </c>
      <c r="C173" s="16">
        <v>13</v>
      </c>
      <c r="D173" s="16">
        <v>15</v>
      </c>
      <c r="E173" s="73">
        <v>20</v>
      </c>
    </row>
    <row r="174" spans="1:5" x14ac:dyDescent="0.2">
      <c r="A174" s="38">
        <v>98391</v>
      </c>
      <c r="B174" s="15" t="s">
        <v>10</v>
      </c>
      <c r="C174" s="16">
        <v>47</v>
      </c>
      <c r="D174" s="16">
        <v>42</v>
      </c>
      <c r="E174" s="73">
        <v>35</v>
      </c>
    </row>
    <row r="175" spans="1:5" x14ac:dyDescent="0.2">
      <c r="A175" s="38">
        <v>98392</v>
      </c>
      <c r="B175" s="15" t="s">
        <v>10</v>
      </c>
      <c r="C175" s="16">
        <v>39</v>
      </c>
      <c r="D175" s="16">
        <v>30</v>
      </c>
      <c r="E175" s="73">
        <v>16</v>
      </c>
    </row>
    <row r="176" spans="1:5" x14ac:dyDescent="0.2">
      <c r="A176" s="38">
        <v>98396</v>
      </c>
      <c r="B176" s="15" t="s">
        <v>10</v>
      </c>
      <c r="C176" s="16">
        <v>2</v>
      </c>
      <c r="D176" s="16">
        <v>1</v>
      </c>
      <c r="E176" s="73">
        <v>2</v>
      </c>
    </row>
    <row r="177" spans="1:5" x14ac:dyDescent="0.2">
      <c r="A177" s="38">
        <v>98403</v>
      </c>
      <c r="B177" s="15" t="s">
        <v>10</v>
      </c>
      <c r="C177" s="16"/>
      <c r="D177" s="16"/>
      <c r="E177" s="73">
        <v>3</v>
      </c>
    </row>
    <row r="178" spans="1:5" x14ac:dyDescent="0.2">
      <c r="A178" s="38">
        <v>98404</v>
      </c>
      <c r="B178" s="15" t="s">
        <v>10</v>
      </c>
      <c r="C178" s="16">
        <v>30</v>
      </c>
      <c r="D178" s="16">
        <v>21</v>
      </c>
      <c r="E178" s="73">
        <v>22</v>
      </c>
    </row>
    <row r="179" spans="1:5" x14ac:dyDescent="0.2">
      <c r="A179" s="38">
        <v>98405</v>
      </c>
      <c r="B179" s="15" t="s">
        <v>10</v>
      </c>
      <c r="C179" s="16">
        <v>8</v>
      </c>
      <c r="D179" s="16">
        <v>14</v>
      </c>
      <c r="E179" s="73">
        <v>15</v>
      </c>
    </row>
    <row r="180" spans="1:5" x14ac:dyDescent="0.2">
      <c r="A180" s="38">
        <v>98406</v>
      </c>
      <c r="B180" s="15" t="s">
        <v>10</v>
      </c>
      <c r="C180" s="16">
        <v>3</v>
      </c>
      <c r="D180" s="16">
        <v>4</v>
      </c>
      <c r="E180" s="73">
        <v>3</v>
      </c>
    </row>
    <row r="181" spans="1:5" x14ac:dyDescent="0.2">
      <c r="A181" s="38">
        <v>98407</v>
      </c>
      <c r="B181" s="15" t="s">
        <v>10</v>
      </c>
      <c r="C181" s="16">
        <v>4</v>
      </c>
      <c r="D181" s="16">
        <v>5</v>
      </c>
      <c r="E181" s="73">
        <v>4</v>
      </c>
    </row>
    <row r="182" spans="1:5" x14ac:dyDescent="0.2">
      <c r="A182" s="38">
        <v>98408</v>
      </c>
      <c r="B182" s="15" t="s">
        <v>10</v>
      </c>
      <c r="C182" s="16">
        <v>9</v>
      </c>
      <c r="D182" s="16">
        <v>9</v>
      </c>
      <c r="E182" s="73">
        <v>14</v>
      </c>
    </row>
    <row r="183" spans="1:5" x14ac:dyDescent="0.2">
      <c r="A183" s="38">
        <v>98409</v>
      </c>
      <c r="B183" s="15" t="s">
        <v>10</v>
      </c>
      <c r="C183" s="16">
        <v>12</v>
      </c>
      <c r="D183" s="16">
        <v>8</v>
      </c>
      <c r="E183" s="73">
        <v>13</v>
      </c>
    </row>
    <row r="184" spans="1:5" x14ac:dyDescent="0.2">
      <c r="A184" s="38">
        <v>98418</v>
      </c>
      <c r="B184" s="15" t="s">
        <v>10</v>
      </c>
      <c r="C184" s="16">
        <v>5</v>
      </c>
      <c r="D184" s="16">
        <v>8</v>
      </c>
      <c r="E184" s="73">
        <v>8</v>
      </c>
    </row>
    <row r="185" spans="1:5" x14ac:dyDescent="0.2">
      <c r="A185" s="38">
        <v>98422</v>
      </c>
      <c r="B185" s="15" t="s">
        <v>10</v>
      </c>
      <c r="C185" s="16">
        <v>5</v>
      </c>
      <c r="D185" s="16">
        <v>4</v>
      </c>
      <c r="E185" s="73">
        <v>2</v>
      </c>
    </row>
    <row r="186" spans="1:5" x14ac:dyDescent="0.2">
      <c r="A186" s="38">
        <v>98424</v>
      </c>
      <c r="B186" s="15" t="s">
        <v>10</v>
      </c>
      <c r="C186" s="16">
        <v>6</v>
      </c>
      <c r="D186" s="16">
        <v>7</v>
      </c>
      <c r="E186" s="73">
        <v>3</v>
      </c>
    </row>
    <row r="187" spans="1:5" x14ac:dyDescent="0.2">
      <c r="A187" s="38">
        <v>98439</v>
      </c>
      <c r="B187" s="15" t="s">
        <v>10</v>
      </c>
      <c r="C187" s="16">
        <v>12</v>
      </c>
      <c r="D187" s="16">
        <v>13</v>
      </c>
      <c r="E187" s="73">
        <v>8</v>
      </c>
    </row>
    <row r="188" spans="1:5" x14ac:dyDescent="0.2">
      <c r="A188" s="38">
        <v>98443</v>
      </c>
      <c r="B188" s="15" t="s">
        <v>10</v>
      </c>
      <c r="C188" s="16">
        <v>2</v>
      </c>
      <c r="D188" s="16">
        <v>2</v>
      </c>
      <c r="E188" s="73">
        <v>2</v>
      </c>
    </row>
    <row r="189" spans="1:5" x14ac:dyDescent="0.2">
      <c r="A189" s="38">
        <v>98444</v>
      </c>
      <c r="B189" s="15" t="s">
        <v>10</v>
      </c>
      <c r="C189" s="16">
        <v>10</v>
      </c>
      <c r="D189" s="16">
        <v>11</v>
      </c>
      <c r="E189" s="73">
        <v>11</v>
      </c>
    </row>
    <row r="190" spans="1:5" x14ac:dyDescent="0.2">
      <c r="A190" s="38">
        <v>98445</v>
      </c>
      <c r="B190" s="15" t="s">
        <v>10</v>
      </c>
      <c r="C190" s="16">
        <v>12</v>
      </c>
      <c r="D190" s="16">
        <v>10</v>
      </c>
      <c r="E190" s="73">
        <v>13</v>
      </c>
    </row>
    <row r="191" spans="1:5" x14ac:dyDescent="0.2">
      <c r="A191" s="38">
        <v>98446</v>
      </c>
      <c r="B191" s="15" t="s">
        <v>10</v>
      </c>
      <c r="C191" s="16">
        <v>2</v>
      </c>
      <c r="D191" s="16">
        <v>6</v>
      </c>
      <c r="E191" s="73">
        <v>2</v>
      </c>
    </row>
    <row r="192" spans="1:5" x14ac:dyDescent="0.2">
      <c r="A192" s="38">
        <v>98465</v>
      </c>
      <c r="B192" s="15" t="s">
        <v>10</v>
      </c>
      <c r="C192" s="16">
        <v>1</v>
      </c>
      <c r="D192" s="16">
        <v>2</v>
      </c>
      <c r="E192" s="73">
        <v>1</v>
      </c>
    </row>
    <row r="193" spans="1:5" x14ac:dyDescent="0.2">
      <c r="A193" s="38">
        <v>98466</v>
      </c>
      <c r="B193" s="15" t="s">
        <v>10</v>
      </c>
      <c r="C193" s="16">
        <v>6</v>
      </c>
      <c r="D193" s="16">
        <v>5</v>
      </c>
      <c r="E193" s="73">
        <v>4</v>
      </c>
    </row>
    <row r="194" spans="1:5" x14ac:dyDescent="0.2">
      <c r="A194" s="38">
        <v>98467</v>
      </c>
      <c r="B194" s="15" t="s">
        <v>10</v>
      </c>
      <c r="C194" s="16">
        <v>1</v>
      </c>
      <c r="D194" s="16">
        <v>2</v>
      </c>
      <c r="E194" s="73">
        <v>1</v>
      </c>
    </row>
    <row r="195" spans="1:5" x14ac:dyDescent="0.2">
      <c r="A195" s="38">
        <v>98498</v>
      </c>
      <c r="B195" s="15" t="s">
        <v>10</v>
      </c>
      <c r="C195" s="16">
        <v>36</v>
      </c>
      <c r="D195" s="16">
        <v>23</v>
      </c>
      <c r="E195" s="73">
        <v>28</v>
      </c>
    </row>
    <row r="196" spans="1:5" x14ac:dyDescent="0.2">
      <c r="A196" s="38">
        <v>98499</v>
      </c>
      <c r="B196" s="15" t="s">
        <v>10</v>
      </c>
      <c r="C196" s="16">
        <v>7</v>
      </c>
      <c r="D196" s="16">
        <v>11</v>
      </c>
      <c r="E196" s="73">
        <v>9</v>
      </c>
    </row>
    <row r="197" spans="1:5" x14ac:dyDescent="0.2">
      <c r="A197" s="38">
        <v>98501</v>
      </c>
      <c r="B197" s="15" t="s">
        <v>10</v>
      </c>
      <c r="C197" s="16">
        <v>99</v>
      </c>
      <c r="D197" s="16">
        <v>84</v>
      </c>
      <c r="E197" s="73">
        <v>76</v>
      </c>
    </row>
    <row r="198" spans="1:5" x14ac:dyDescent="0.2">
      <c r="A198" s="38">
        <v>98502</v>
      </c>
      <c r="B198" s="15" t="s">
        <v>10</v>
      </c>
      <c r="C198" s="16">
        <v>101</v>
      </c>
      <c r="D198" s="16">
        <v>104</v>
      </c>
      <c r="E198" s="73">
        <v>92</v>
      </c>
    </row>
    <row r="199" spans="1:5" x14ac:dyDescent="0.2">
      <c r="A199" s="38">
        <v>98503</v>
      </c>
      <c r="B199" s="15" t="s">
        <v>10</v>
      </c>
      <c r="C199" s="16">
        <v>106</v>
      </c>
      <c r="D199" s="16">
        <v>105</v>
      </c>
      <c r="E199" s="73">
        <v>106</v>
      </c>
    </row>
    <row r="200" spans="1:5" x14ac:dyDescent="0.2">
      <c r="A200" s="38">
        <v>98506</v>
      </c>
      <c r="B200" s="15" t="s">
        <v>10</v>
      </c>
      <c r="C200" s="16">
        <v>48</v>
      </c>
      <c r="D200" s="16">
        <v>49</v>
      </c>
      <c r="E200" s="73">
        <v>28</v>
      </c>
    </row>
    <row r="201" spans="1:5" x14ac:dyDescent="0.2">
      <c r="A201" s="38">
        <v>98512</v>
      </c>
      <c r="B201" s="15" t="s">
        <v>10</v>
      </c>
      <c r="C201" s="16">
        <v>55</v>
      </c>
      <c r="D201" s="16">
        <v>53</v>
      </c>
      <c r="E201" s="73">
        <v>36</v>
      </c>
    </row>
    <row r="202" spans="1:5" x14ac:dyDescent="0.2">
      <c r="A202" s="38">
        <v>98513</v>
      </c>
      <c r="B202" s="15" t="s">
        <v>10</v>
      </c>
      <c r="C202" s="16">
        <v>68</v>
      </c>
      <c r="D202" s="16">
        <v>50</v>
      </c>
      <c r="E202" s="73">
        <v>42</v>
      </c>
    </row>
    <row r="203" spans="1:5" x14ac:dyDescent="0.2">
      <c r="A203" s="38">
        <v>98516</v>
      </c>
      <c r="B203" s="15" t="s">
        <v>10</v>
      </c>
      <c r="C203" s="16">
        <v>44</v>
      </c>
      <c r="D203" s="16">
        <v>50</v>
      </c>
      <c r="E203" s="73">
        <v>48</v>
      </c>
    </row>
    <row r="204" spans="1:5" x14ac:dyDescent="0.2">
      <c r="A204" s="38">
        <v>98530</v>
      </c>
      <c r="B204" s="15" t="s">
        <v>10</v>
      </c>
      <c r="C204" s="16">
        <v>2</v>
      </c>
      <c r="D204" s="16">
        <v>3</v>
      </c>
      <c r="E204" s="73">
        <v>1</v>
      </c>
    </row>
    <row r="205" spans="1:5" x14ac:dyDescent="0.2">
      <c r="A205" s="38">
        <v>98531</v>
      </c>
      <c r="B205" s="15" t="s">
        <v>10</v>
      </c>
      <c r="C205" s="16">
        <v>16</v>
      </c>
      <c r="D205" s="16">
        <v>17</v>
      </c>
      <c r="E205" s="73">
        <v>3</v>
      </c>
    </row>
    <row r="206" spans="1:5" x14ac:dyDescent="0.2">
      <c r="A206" s="38">
        <v>98532</v>
      </c>
      <c r="B206" s="15" t="s">
        <v>10</v>
      </c>
      <c r="C206" s="16">
        <v>1</v>
      </c>
      <c r="D206" s="16">
        <v>3</v>
      </c>
      <c r="E206" s="73">
        <v>1</v>
      </c>
    </row>
    <row r="207" spans="1:5" x14ac:dyDescent="0.2">
      <c r="A207" s="38">
        <v>98576</v>
      </c>
      <c r="B207" s="15" t="s">
        <v>10</v>
      </c>
      <c r="C207" s="16">
        <v>9</v>
      </c>
      <c r="D207" s="16">
        <v>10</v>
      </c>
      <c r="E207" s="73">
        <v>11</v>
      </c>
    </row>
    <row r="208" spans="1:5" x14ac:dyDescent="0.2">
      <c r="A208" s="38">
        <v>98579</v>
      </c>
      <c r="B208" s="15" t="s">
        <v>10</v>
      </c>
      <c r="C208" s="16">
        <v>16</v>
      </c>
      <c r="D208" s="16">
        <v>34</v>
      </c>
      <c r="E208" s="73">
        <v>17</v>
      </c>
    </row>
    <row r="209" spans="1:5" x14ac:dyDescent="0.2">
      <c r="A209" s="38">
        <v>98580</v>
      </c>
      <c r="B209" s="15" t="s">
        <v>10</v>
      </c>
      <c r="C209" s="16">
        <v>8</v>
      </c>
      <c r="D209" s="16">
        <v>7</v>
      </c>
      <c r="E209" s="73">
        <v>5</v>
      </c>
    </row>
    <row r="210" spans="1:5" x14ac:dyDescent="0.2">
      <c r="A210" s="38">
        <v>98589</v>
      </c>
      <c r="B210" s="15" t="s">
        <v>10</v>
      </c>
      <c r="C210" s="16">
        <v>16</v>
      </c>
      <c r="D210" s="16">
        <v>14</v>
      </c>
      <c r="E210" s="73">
        <v>13</v>
      </c>
    </row>
    <row r="211" spans="1:5" x14ac:dyDescent="0.2">
      <c r="A211" s="38">
        <v>98596</v>
      </c>
      <c r="B211" s="15" t="s">
        <v>10</v>
      </c>
      <c r="C211" s="16">
        <v>1</v>
      </c>
      <c r="D211" s="16"/>
      <c r="E211" s="73"/>
    </row>
    <row r="212" spans="1:5" x14ac:dyDescent="0.2">
      <c r="A212" s="38">
        <v>98597</v>
      </c>
      <c r="B212" s="15" t="s">
        <v>10</v>
      </c>
      <c r="C212" s="16">
        <v>69</v>
      </c>
      <c r="D212" s="16">
        <v>49</v>
      </c>
      <c r="E212" s="73">
        <v>39</v>
      </c>
    </row>
    <row r="213" spans="1:5" x14ac:dyDescent="0.2">
      <c r="A213" s="38">
        <v>98922</v>
      </c>
      <c r="B213" s="15" t="s">
        <v>10</v>
      </c>
      <c r="C213" s="16">
        <v>17</v>
      </c>
      <c r="D213" s="16">
        <v>19</v>
      </c>
      <c r="E213" s="73">
        <v>12</v>
      </c>
    </row>
    <row r="214" spans="1:5" x14ac:dyDescent="0.2">
      <c r="A214" s="38">
        <v>98925</v>
      </c>
      <c r="B214" s="15" t="s">
        <v>10</v>
      </c>
      <c r="C214" s="16">
        <v>3</v>
      </c>
      <c r="D214" s="16">
        <v>1</v>
      </c>
      <c r="E214" s="73">
        <v>1</v>
      </c>
    </row>
    <row r="215" spans="1:5" x14ac:dyDescent="0.2">
      <c r="A215" s="38">
        <v>98926</v>
      </c>
      <c r="B215" s="15" t="s">
        <v>10</v>
      </c>
      <c r="C215" s="16">
        <v>11</v>
      </c>
      <c r="D215" s="16">
        <v>5</v>
      </c>
      <c r="E215" s="73">
        <v>8</v>
      </c>
    </row>
    <row r="216" spans="1:5" x14ac:dyDescent="0.2">
      <c r="A216" s="38">
        <v>98934</v>
      </c>
      <c r="B216" s="15" t="s">
        <v>10</v>
      </c>
      <c r="C216" s="16">
        <v>11</v>
      </c>
      <c r="D216" s="16">
        <v>12</v>
      </c>
      <c r="E216" s="73">
        <v>3</v>
      </c>
    </row>
    <row r="217" spans="1:5" x14ac:dyDescent="0.2">
      <c r="A217" s="38">
        <v>98940</v>
      </c>
      <c r="B217" s="15" t="s">
        <v>10</v>
      </c>
      <c r="C217" s="16">
        <v>5</v>
      </c>
      <c r="D217" s="16">
        <v>2</v>
      </c>
      <c r="E217" s="73">
        <v>1</v>
      </c>
    </row>
    <row r="218" spans="1:5" x14ac:dyDescent="0.2">
      <c r="A218" s="38">
        <v>98941</v>
      </c>
      <c r="B218" s="15" t="s">
        <v>10</v>
      </c>
      <c r="C218" s="16">
        <v>2</v>
      </c>
      <c r="D218" s="16">
        <v>3</v>
      </c>
      <c r="E218" s="73">
        <v>2</v>
      </c>
    </row>
    <row r="219" spans="1:5" x14ac:dyDescent="0.2">
      <c r="A219" s="38">
        <v>98943</v>
      </c>
      <c r="B219" s="15" t="s">
        <v>10</v>
      </c>
      <c r="C219" s="16">
        <v>3</v>
      </c>
      <c r="D219" s="16">
        <v>2</v>
      </c>
      <c r="E219" s="73">
        <v>3</v>
      </c>
    </row>
    <row r="220" spans="1:5" x14ac:dyDescent="0.2">
      <c r="A220" s="38">
        <v>98946</v>
      </c>
      <c r="B220" s="15" t="s">
        <v>10</v>
      </c>
      <c r="C220" s="16">
        <v>1</v>
      </c>
      <c r="D220" s="16">
        <v>1</v>
      </c>
      <c r="E220" s="73">
        <v>1</v>
      </c>
    </row>
    <row r="221" spans="1:5" ht="16" thickBot="1" x14ac:dyDescent="0.25">
      <c r="A221" s="38"/>
      <c r="B221" s="15" t="s">
        <v>10</v>
      </c>
      <c r="C221" s="16">
        <v>1</v>
      </c>
      <c r="D221" s="16"/>
      <c r="E221" s="73">
        <v>1</v>
      </c>
    </row>
    <row r="222" spans="1:5" ht="16" thickBot="1" x14ac:dyDescent="0.25">
      <c r="A222" s="162" t="s">
        <v>356</v>
      </c>
      <c r="B222" s="163"/>
      <c r="C222" s="164">
        <f>SUM(C10:C221)</f>
        <v>5505</v>
      </c>
      <c r="D222" s="164">
        <f t="shared" ref="D222:E222" si="0">SUM(D10:D221)</f>
        <v>4279</v>
      </c>
      <c r="E222" s="164">
        <f t="shared" si="0"/>
        <v>4195</v>
      </c>
    </row>
    <row r="223" spans="1:5" x14ac:dyDescent="0.2">
      <c r="A223" s="93"/>
      <c r="B223" s="3"/>
      <c r="C223" s="3"/>
      <c r="D223" s="3"/>
      <c r="E223" s="52"/>
    </row>
    <row r="224" spans="1:5" x14ac:dyDescent="0.2">
      <c r="A224" s="93"/>
      <c r="B224" s="3"/>
      <c r="C224" s="3"/>
      <c r="D224" s="3"/>
      <c r="E224" s="52"/>
    </row>
    <row r="225" spans="1:5" x14ac:dyDescent="0.2">
      <c r="A225" s="93"/>
      <c r="B225" s="3"/>
      <c r="C225" s="3"/>
      <c r="D225" s="3"/>
      <c r="E225" s="52"/>
    </row>
    <row r="226" spans="1:5" x14ac:dyDescent="0.2">
      <c r="A226" s="93"/>
      <c r="B226" s="3"/>
      <c r="C226" s="3"/>
      <c r="D226" s="3"/>
      <c r="E226" s="52"/>
    </row>
    <row r="227" spans="1:5" x14ac:dyDescent="0.2">
      <c r="A227" s="93"/>
      <c r="B227" s="3"/>
      <c r="C227" s="3"/>
      <c r="D227" s="3"/>
      <c r="E227" s="52"/>
    </row>
  </sheetData>
  <mergeCells count="3">
    <mergeCell ref="A1:L1"/>
    <mergeCell ref="A8:B8"/>
    <mergeCell ref="C8:E8"/>
  </mergeCells>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L489"/>
  <sheetViews>
    <sheetView tabSelected="1" topLeftCell="AW14" zoomScale="125" workbookViewId="0">
      <pane ySplit="3" topLeftCell="A192" activePane="bottomLeft" state="frozen"/>
      <selection activeCell="A14" sqref="A14"/>
      <selection pane="bottomLeft" activeCell="BJ228" sqref="BJ228:BL228"/>
    </sheetView>
  </sheetViews>
  <sheetFormatPr baseColWidth="10" defaultColWidth="9.1640625" defaultRowHeight="15" x14ac:dyDescent="0.2"/>
  <cols>
    <col min="1" max="1" width="9.1640625" style="8"/>
    <col min="2" max="2" width="12.83203125" style="8" customWidth="1"/>
    <col min="3" max="3" width="20.1640625" style="8" customWidth="1"/>
    <col min="4" max="6" width="12.83203125" style="8" customWidth="1"/>
    <col min="7" max="7" width="3.1640625" style="9" customWidth="1"/>
    <col min="8" max="8" width="12.83203125" style="8" customWidth="1"/>
    <col min="9" max="9" width="24.5" style="8" customWidth="1"/>
    <col min="10" max="12" width="12.83203125" style="8" customWidth="1"/>
    <col min="13" max="13" width="15.83203125" style="8" customWidth="1"/>
    <col min="14" max="16" width="12.83203125" style="8" customWidth="1"/>
    <col min="17" max="17" width="15.83203125" style="8" customWidth="1"/>
    <col min="18" max="20" width="12.83203125" style="8" customWidth="1"/>
    <col min="21" max="21" width="15.83203125" style="8" customWidth="1"/>
    <col min="22" max="22" width="3.1640625" style="9" customWidth="1"/>
    <col min="23" max="23" width="12.83203125" style="8" customWidth="1"/>
    <col min="24" max="24" width="24.5" style="8" customWidth="1"/>
    <col min="25" max="27" width="12.83203125" style="8" customWidth="1"/>
    <col min="28" max="28" width="15.83203125" style="8" customWidth="1"/>
    <col min="29" max="31" width="12.83203125" style="8" customWidth="1"/>
    <col min="32" max="32" width="15.83203125" style="8" customWidth="1"/>
    <col min="33" max="35" width="12.83203125" style="8" customWidth="1"/>
    <col min="36" max="36" width="15.83203125" style="8" customWidth="1"/>
    <col min="37" max="37" width="3.1640625" style="9" customWidth="1"/>
    <col min="38" max="40" width="15" style="8" bestFit="1" customWidth="1"/>
    <col min="41" max="41" width="3.1640625" style="9" customWidth="1"/>
    <col min="42" max="42" width="12.83203125" style="8" customWidth="1"/>
    <col min="43" max="43" width="24.5" style="8" customWidth="1"/>
    <col min="44" max="46" width="12.83203125" style="8" customWidth="1"/>
    <col min="47" max="47" width="3.1640625" style="9" customWidth="1"/>
    <col min="48" max="48" width="12.83203125" style="8" customWidth="1"/>
    <col min="49" max="49" width="24.5" style="8" customWidth="1"/>
    <col min="50" max="52" width="12.83203125" style="8" customWidth="1"/>
    <col min="53" max="53" width="3.1640625" style="9" customWidth="1"/>
    <col min="54" max="54" width="12.83203125" style="8" customWidth="1"/>
    <col min="55" max="55" width="24.5" style="8" customWidth="1"/>
    <col min="56" max="58" width="12.83203125" style="8" customWidth="1"/>
    <col min="59" max="59" width="3.1640625" style="9" customWidth="1"/>
    <col min="60" max="60" width="12.83203125" style="8" customWidth="1"/>
    <col min="61" max="61" width="24.5" style="8" customWidth="1"/>
    <col min="62" max="64" width="12.83203125" style="8" customWidth="1"/>
    <col min="65" max="16384" width="9.1640625" style="8"/>
  </cols>
  <sheetData>
    <row r="1" spans="1:64" ht="16" hidden="1" thickBot="1" x14ac:dyDescent="0.25">
      <c r="A1" s="120" t="s">
        <v>0</v>
      </c>
      <c r="B1" s="121"/>
      <c r="C1" s="121"/>
      <c r="D1" s="121"/>
      <c r="E1" s="121"/>
      <c r="F1" s="122"/>
      <c r="G1" s="32"/>
      <c r="H1" s="28"/>
      <c r="I1" s="28"/>
      <c r="J1" s="28"/>
      <c r="K1" s="28"/>
      <c r="L1" s="28"/>
      <c r="M1" s="28"/>
    </row>
    <row r="2" spans="1:64" hidden="1" x14ac:dyDescent="0.2">
      <c r="A2" s="1">
        <v>1</v>
      </c>
      <c r="B2" s="2" t="s">
        <v>70</v>
      </c>
      <c r="C2" s="3"/>
      <c r="D2" s="3"/>
      <c r="E2" s="3"/>
      <c r="F2" s="3"/>
      <c r="G2" s="4"/>
      <c r="H2" s="3"/>
      <c r="I2" s="3"/>
      <c r="J2" s="3"/>
      <c r="K2" s="3"/>
      <c r="L2" s="3"/>
      <c r="M2" s="3"/>
    </row>
    <row r="3" spans="1:64" hidden="1" x14ac:dyDescent="0.2">
      <c r="A3" s="5">
        <v>2</v>
      </c>
      <c r="B3" s="29" t="s">
        <v>2</v>
      </c>
      <c r="C3" s="3"/>
      <c r="D3" s="3"/>
      <c r="E3" s="3"/>
      <c r="F3" s="3"/>
      <c r="G3" s="4"/>
      <c r="H3" s="3"/>
      <c r="I3" s="3"/>
      <c r="J3" s="3"/>
      <c r="K3" s="3"/>
      <c r="L3" s="3"/>
      <c r="M3" s="3"/>
    </row>
    <row r="4" spans="1:64" hidden="1" x14ac:dyDescent="0.2">
      <c r="A4" s="5">
        <v>3</v>
      </c>
      <c r="B4" s="3" t="s">
        <v>71</v>
      </c>
      <c r="C4" s="3"/>
      <c r="D4" s="3"/>
      <c r="E4" s="3"/>
      <c r="F4" s="3"/>
      <c r="G4" s="4"/>
      <c r="H4" s="3"/>
      <c r="I4" s="3"/>
      <c r="J4" s="3"/>
      <c r="K4" s="3"/>
      <c r="L4" s="3"/>
      <c r="M4" s="3"/>
    </row>
    <row r="5" spans="1:64" hidden="1" x14ac:dyDescent="0.2">
      <c r="A5" s="5">
        <v>4</v>
      </c>
      <c r="B5" s="3" t="s">
        <v>72</v>
      </c>
      <c r="C5" s="3"/>
      <c r="D5" s="3"/>
      <c r="E5" s="3"/>
      <c r="F5" s="3"/>
      <c r="G5" s="4"/>
      <c r="H5" s="3"/>
      <c r="I5" s="3"/>
      <c r="J5" s="3"/>
      <c r="K5" s="3"/>
      <c r="L5" s="3"/>
      <c r="M5" s="3"/>
    </row>
    <row r="6" spans="1:64" hidden="1" x14ac:dyDescent="0.2">
      <c r="A6" s="5">
        <v>5</v>
      </c>
      <c r="B6" s="3" t="s">
        <v>73</v>
      </c>
      <c r="C6" s="3"/>
      <c r="D6" s="3"/>
      <c r="E6" s="3"/>
      <c r="F6" s="3"/>
      <c r="G6" s="4"/>
      <c r="H6" s="3"/>
      <c r="I6" s="3"/>
      <c r="J6" s="3"/>
      <c r="K6" s="3"/>
      <c r="L6" s="3"/>
      <c r="M6" s="3"/>
      <c r="AL6" s="151"/>
      <c r="AM6" s="151"/>
      <c r="AN6" s="151"/>
    </row>
    <row r="7" spans="1:64" hidden="1" x14ac:dyDescent="0.2">
      <c r="A7" s="5">
        <v>6</v>
      </c>
      <c r="B7" s="3" t="s">
        <v>74</v>
      </c>
      <c r="C7" s="3"/>
      <c r="D7" s="3"/>
      <c r="E7" s="3"/>
      <c r="F7" s="3"/>
      <c r="G7" s="4"/>
      <c r="H7" s="3"/>
      <c r="I7" s="3"/>
      <c r="J7" s="3"/>
      <c r="K7" s="3"/>
      <c r="L7" s="3"/>
      <c r="M7" s="3"/>
      <c r="AL7" s="151"/>
      <c r="AM7" s="151"/>
      <c r="AN7" s="151"/>
    </row>
    <row r="8" spans="1:64" hidden="1" x14ac:dyDescent="0.2">
      <c r="A8" s="5">
        <v>7</v>
      </c>
      <c r="B8" s="3" t="s">
        <v>75</v>
      </c>
      <c r="C8" s="3"/>
      <c r="D8" s="3"/>
      <c r="E8" s="3"/>
      <c r="F8" s="3"/>
      <c r="G8" s="4"/>
      <c r="H8" s="3"/>
      <c r="I8" s="3"/>
      <c r="J8" s="3"/>
      <c r="K8" s="3"/>
      <c r="L8" s="3"/>
      <c r="M8" s="3"/>
      <c r="AL8" s="151"/>
      <c r="AM8" s="151"/>
      <c r="AN8" s="151"/>
    </row>
    <row r="9" spans="1:64" hidden="1" x14ac:dyDescent="0.2">
      <c r="A9" s="5">
        <v>8</v>
      </c>
      <c r="B9" s="3" t="s">
        <v>5</v>
      </c>
      <c r="C9" s="3"/>
      <c r="D9" s="3"/>
      <c r="E9" s="3"/>
      <c r="F9" s="3"/>
      <c r="G9" s="4"/>
      <c r="H9" s="3"/>
      <c r="I9" s="3"/>
      <c r="J9" s="3"/>
      <c r="K9" s="3"/>
      <c r="L9" s="3"/>
      <c r="M9" s="3"/>
      <c r="AL9" s="151"/>
      <c r="AM9" s="151"/>
      <c r="AN9" s="151"/>
    </row>
    <row r="10" spans="1:64" hidden="1" x14ac:dyDescent="0.2">
      <c r="A10" s="5">
        <v>9</v>
      </c>
      <c r="B10" s="3" t="s">
        <v>76</v>
      </c>
      <c r="C10" s="3"/>
      <c r="D10" s="3"/>
      <c r="E10" s="3"/>
      <c r="F10" s="3"/>
      <c r="G10" s="4"/>
      <c r="H10" s="3"/>
      <c r="I10" s="3"/>
      <c r="J10" s="3"/>
      <c r="K10" s="3"/>
      <c r="L10" s="3"/>
      <c r="M10" s="3"/>
      <c r="AL10" s="151"/>
      <c r="AM10" s="151"/>
      <c r="AN10" s="151"/>
    </row>
    <row r="11" spans="1:64" hidden="1" x14ac:dyDescent="0.2">
      <c r="A11" s="5">
        <v>10</v>
      </c>
      <c r="B11" s="3" t="s">
        <v>77</v>
      </c>
      <c r="C11" s="3"/>
      <c r="D11" s="3"/>
      <c r="E11" s="3"/>
      <c r="F11" s="3"/>
      <c r="G11" s="4"/>
      <c r="H11" s="3"/>
      <c r="I11" s="3"/>
      <c r="J11" s="3"/>
      <c r="K11" s="3"/>
      <c r="L11" s="3"/>
      <c r="M11" s="3"/>
      <c r="AL11" s="151"/>
      <c r="AM11" s="151"/>
      <c r="AN11" s="151"/>
    </row>
    <row r="12" spans="1:64" hidden="1" x14ac:dyDescent="0.2">
      <c r="A12" s="5">
        <v>11</v>
      </c>
      <c r="B12" s="6" t="s">
        <v>78</v>
      </c>
      <c r="C12" s="3"/>
      <c r="D12" s="3"/>
      <c r="E12" s="3"/>
      <c r="F12" s="3"/>
      <c r="G12" s="4"/>
      <c r="H12" s="3"/>
      <c r="I12" s="3"/>
      <c r="J12" s="3"/>
      <c r="K12" s="3"/>
      <c r="L12" s="3"/>
      <c r="M12" s="3"/>
    </row>
    <row r="13" spans="1:64" ht="16" hidden="1" thickBot="1" x14ac:dyDescent="0.25"/>
    <row r="14" spans="1:64" ht="30" customHeight="1" thickBot="1" x14ac:dyDescent="0.25">
      <c r="B14" s="126" t="s">
        <v>93</v>
      </c>
      <c r="C14" s="126"/>
      <c r="D14" s="133" t="s">
        <v>69</v>
      </c>
      <c r="E14" s="133"/>
      <c r="F14" s="133"/>
      <c r="H14" s="146" t="s">
        <v>68</v>
      </c>
      <c r="I14" s="147"/>
      <c r="J14" s="147"/>
      <c r="K14" s="147"/>
      <c r="L14" s="147"/>
      <c r="M14" s="147"/>
      <c r="N14" s="147"/>
      <c r="O14" s="147"/>
      <c r="P14" s="147"/>
      <c r="Q14" s="147"/>
      <c r="R14" s="147"/>
      <c r="S14" s="147"/>
      <c r="T14" s="147"/>
      <c r="U14" s="148"/>
      <c r="W14" s="146" t="s">
        <v>67</v>
      </c>
      <c r="X14" s="147"/>
      <c r="Y14" s="147"/>
      <c r="Z14" s="147"/>
      <c r="AA14" s="147"/>
      <c r="AB14" s="147"/>
      <c r="AC14" s="147"/>
      <c r="AD14" s="147"/>
      <c r="AE14" s="147"/>
      <c r="AF14" s="147"/>
      <c r="AG14" s="147"/>
      <c r="AH14" s="147"/>
      <c r="AI14" s="147"/>
      <c r="AJ14" s="148"/>
      <c r="AL14" s="123" t="s">
        <v>62</v>
      </c>
      <c r="AM14" s="124"/>
      <c r="AN14" s="125"/>
      <c r="AP14" s="123" t="s">
        <v>61</v>
      </c>
      <c r="AQ14" s="124"/>
      <c r="AR14" s="124"/>
      <c r="AS14" s="124"/>
      <c r="AT14" s="125"/>
      <c r="AV14" s="146" t="s">
        <v>59</v>
      </c>
      <c r="AW14" s="147"/>
      <c r="AX14" s="147"/>
      <c r="AY14" s="147"/>
      <c r="AZ14" s="148"/>
      <c r="BB14" s="146" t="s">
        <v>58</v>
      </c>
      <c r="BC14" s="147"/>
      <c r="BD14" s="147"/>
      <c r="BE14" s="147"/>
      <c r="BF14" s="148"/>
      <c r="BH14" s="146" t="s">
        <v>57</v>
      </c>
      <c r="BI14" s="147"/>
      <c r="BJ14" s="147"/>
      <c r="BK14" s="147"/>
      <c r="BL14" s="148"/>
    </row>
    <row r="15" spans="1:64" ht="16" thickBot="1" x14ac:dyDescent="0.25">
      <c r="B15" s="11" t="s">
        <v>8</v>
      </c>
      <c r="C15" s="11" t="s">
        <v>9</v>
      </c>
      <c r="D15" s="81">
        <v>44681</v>
      </c>
      <c r="E15" s="81">
        <v>44712</v>
      </c>
      <c r="F15" s="81">
        <v>44742</v>
      </c>
      <c r="H15" s="149" t="s">
        <v>8</v>
      </c>
      <c r="I15" s="149" t="s">
        <v>9</v>
      </c>
      <c r="J15" s="150">
        <v>44681</v>
      </c>
      <c r="K15" s="149"/>
      <c r="L15" s="149"/>
      <c r="M15" s="149"/>
      <c r="N15" s="150">
        <v>44712</v>
      </c>
      <c r="O15" s="149"/>
      <c r="P15" s="149"/>
      <c r="Q15" s="149"/>
      <c r="R15" s="150">
        <v>44742</v>
      </c>
      <c r="S15" s="149"/>
      <c r="T15" s="149"/>
      <c r="U15" s="149"/>
      <c r="W15" s="149" t="s">
        <v>8</v>
      </c>
      <c r="X15" s="149" t="s">
        <v>9</v>
      </c>
      <c r="Y15" s="150">
        <v>44681</v>
      </c>
      <c r="Z15" s="149"/>
      <c r="AA15" s="149"/>
      <c r="AB15" s="149"/>
      <c r="AC15" s="150">
        <v>44712</v>
      </c>
      <c r="AD15" s="149"/>
      <c r="AE15" s="149"/>
      <c r="AF15" s="149"/>
      <c r="AG15" s="150">
        <v>44742</v>
      </c>
      <c r="AH15" s="149"/>
      <c r="AI15" s="149"/>
      <c r="AJ15" s="149"/>
      <c r="AL15" s="81">
        <v>44681</v>
      </c>
      <c r="AM15" s="81">
        <v>44712</v>
      </c>
      <c r="AN15" s="81">
        <v>44742</v>
      </c>
      <c r="AP15" s="7" t="s">
        <v>8</v>
      </c>
      <c r="AQ15" s="7" t="s">
        <v>9</v>
      </c>
      <c r="AR15" s="81">
        <v>44681</v>
      </c>
      <c r="AS15" s="81">
        <v>44712</v>
      </c>
      <c r="AT15" s="81">
        <v>44742</v>
      </c>
      <c r="AV15" s="7" t="s">
        <v>8</v>
      </c>
      <c r="AW15" s="7" t="s">
        <v>9</v>
      </c>
      <c r="AX15" s="81">
        <v>44681</v>
      </c>
      <c r="AY15" s="81">
        <v>44712</v>
      </c>
      <c r="AZ15" s="81">
        <v>44742</v>
      </c>
      <c r="BB15" s="7" t="s">
        <v>8</v>
      </c>
      <c r="BC15" s="7" t="s">
        <v>9</v>
      </c>
      <c r="BD15" s="81">
        <v>44681</v>
      </c>
      <c r="BE15" s="81">
        <v>44712</v>
      </c>
      <c r="BF15" s="81">
        <v>44742</v>
      </c>
      <c r="BH15" s="7" t="s">
        <v>8</v>
      </c>
      <c r="BI15" s="7" t="s">
        <v>9</v>
      </c>
      <c r="BJ15" s="81">
        <v>44681</v>
      </c>
      <c r="BK15" s="81">
        <v>44712</v>
      </c>
      <c r="BL15" s="81">
        <v>44742</v>
      </c>
    </row>
    <row r="16" spans="1:64" ht="15" customHeight="1" thickBot="1" x14ac:dyDescent="0.25">
      <c r="B16" s="85">
        <v>98001</v>
      </c>
      <c r="C16" s="37" t="s">
        <v>352</v>
      </c>
      <c r="D16" s="47">
        <v>171</v>
      </c>
      <c r="E16" s="47">
        <v>198</v>
      </c>
      <c r="F16" s="47">
        <v>199</v>
      </c>
      <c r="H16" s="149"/>
      <c r="I16" s="149"/>
      <c r="J16" s="7" t="s">
        <v>63</v>
      </c>
      <c r="K16" s="7" t="s">
        <v>64</v>
      </c>
      <c r="L16" s="7" t="s">
        <v>65</v>
      </c>
      <c r="M16" s="7" t="s">
        <v>66</v>
      </c>
      <c r="N16" s="7" t="s">
        <v>63</v>
      </c>
      <c r="O16" s="7" t="s">
        <v>64</v>
      </c>
      <c r="P16" s="7" t="s">
        <v>65</v>
      </c>
      <c r="Q16" s="7" t="s">
        <v>66</v>
      </c>
      <c r="R16" s="7" t="s">
        <v>63</v>
      </c>
      <c r="S16" s="7" t="s">
        <v>64</v>
      </c>
      <c r="T16" s="7" t="s">
        <v>65</v>
      </c>
      <c r="U16" s="7" t="s">
        <v>66</v>
      </c>
      <c r="W16" s="149"/>
      <c r="X16" s="149"/>
      <c r="Y16" s="7" t="s">
        <v>63</v>
      </c>
      <c r="Z16" s="7" t="s">
        <v>64</v>
      </c>
      <c r="AA16" s="7" t="s">
        <v>65</v>
      </c>
      <c r="AB16" s="7" t="s">
        <v>66</v>
      </c>
      <c r="AC16" s="7" t="s">
        <v>63</v>
      </c>
      <c r="AD16" s="7" t="s">
        <v>64</v>
      </c>
      <c r="AE16" s="7" t="s">
        <v>65</v>
      </c>
      <c r="AF16" s="7" t="s">
        <v>66</v>
      </c>
      <c r="AG16" s="7" t="s">
        <v>63</v>
      </c>
      <c r="AH16" s="7" t="s">
        <v>64</v>
      </c>
      <c r="AI16" s="7" t="s">
        <v>65</v>
      </c>
      <c r="AJ16" s="7" t="s">
        <v>66</v>
      </c>
      <c r="AL16" s="114">
        <v>-40952432.100000001</v>
      </c>
      <c r="AM16" s="114">
        <v>-45393598.350000001</v>
      </c>
      <c r="AN16" s="114">
        <v>-42341688.390000001</v>
      </c>
      <c r="AP16" s="127" t="s">
        <v>60</v>
      </c>
      <c r="AQ16" s="128"/>
      <c r="AR16" s="128"/>
      <c r="AS16" s="128"/>
      <c r="AT16" s="129"/>
      <c r="AV16" s="75" t="s">
        <v>99</v>
      </c>
      <c r="AW16" s="75" t="s">
        <v>352</v>
      </c>
      <c r="AX16" s="51">
        <v>4</v>
      </c>
      <c r="AY16" s="51">
        <v>6</v>
      </c>
      <c r="AZ16" s="51">
        <v>6</v>
      </c>
      <c r="BB16" s="75" t="s">
        <v>99</v>
      </c>
      <c r="BC16" s="75" t="s">
        <v>352</v>
      </c>
      <c r="BD16" s="78">
        <v>1747.54</v>
      </c>
      <c r="BE16" s="78">
        <v>830.32999999999993</v>
      </c>
      <c r="BF16" s="78">
        <v>3429.38</v>
      </c>
      <c r="BH16" s="75">
        <v>98001</v>
      </c>
      <c r="BI16" s="75" t="s">
        <v>10</v>
      </c>
      <c r="BJ16" s="78">
        <v>-549.58000000000004</v>
      </c>
      <c r="BK16" s="78"/>
      <c r="BL16" s="78">
        <v>-329.14</v>
      </c>
    </row>
    <row r="17" spans="2:64" ht="15.75" customHeight="1" thickBot="1" x14ac:dyDescent="0.25">
      <c r="B17" s="59">
        <v>98001</v>
      </c>
      <c r="C17" s="38" t="s">
        <v>10</v>
      </c>
      <c r="D17" s="48">
        <v>1903</v>
      </c>
      <c r="E17" s="48">
        <v>2030</v>
      </c>
      <c r="F17" s="48">
        <v>1949</v>
      </c>
      <c r="H17" s="75">
        <v>98001</v>
      </c>
      <c r="I17" s="75" t="s">
        <v>352</v>
      </c>
      <c r="J17" s="78">
        <v>110000.96000000001</v>
      </c>
      <c r="K17" s="78">
        <v>32439.759999999998</v>
      </c>
      <c r="L17" s="78">
        <v>137761.84999999899</v>
      </c>
      <c r="M17" s="78">
        <v>560715.41</v>
      </c>
      <c r="N17" s="78">
        <v>60447.15</v>
      </c>
      <c r="O17" s="78">
        <v>79281.679999999993</v>
      </c>
      <c r="P17" s="78">
        <v>157069.47</v>
      </c>
      <c r="Q17" s="78">
        <v>600360.48</v>
      </c>
      <c r="R17" s="78">
        <v>62282.9</v>
      </c>
      <c r="S17" s="78">
        <v>14349.2</v>
      </c>
      <c r="T17" s="78">
        <v>177491.92</v>
      </c>
      <c r="U17" s="78">
        <v>562725.41999999899</v>
      </c>
      <c r="W17" s="75">
        <v>98001</v>
      </c>
      <c r="X17" s="13" t="s">
        <v>10</v>
      </c>
      <c r="Y17" s="78">
        <v>47096.94</v>
      </c>
      <c r="Z17" s="78">
        <v>40320.629999999997</v>
      </c>
      <c r="AA17" s="78">
        <v>70635.66</v>
      </c>
      <c r="AB17" s="78">
        <v>215624.7</v>
      </c>
      <c r="AC17" s="78">
        <v>39881.449999999997</v>
      </c>
      <c r="AD17" s="78">
        <v>45234.75</v>
      </c>
      <c r="AE17" s="78">
        <v>91447.79</v>
      </c>
      <c r="AF17" s="78">
        <v>222216.18999999901</v>
      </c>
      <c r="AG17" s="78">
        <v>35989.11</v>
      </c>
      <c r="AH17" s="78">
        <v>32014.41</v>
      </c>
      <c r="AI17" s="78">
        <v>108854.24</v>
      </c>
      <c r="AJ17" s="78">
        <v>214547.389999999</v>
      </c>
      <c r="AL17" s="152" t="s">
        <v>80</v>
      </c>
      <c r="AM17" s="153"/>
      <c r="AN17" s="154"/>
      <c r="AP17" s="130"/>
      <c r="AQ17" s="131"/>
      <c r="AR17" s="131"/>
      <c r="AS17" s="131"/>
      <c r="AT17" s="132"/>
      <c r="AV17" s="76" t="s">
        <v>99</v>
      </c>
      <c r="AW17" s="76" t="s">
        <v>10</v>
      </c>
      <c r="AX17" s="33">
        <v>30</v>
      </c>
      <c r="AY17" s="33">
        <v>19</v>
      </c>
      <c r="AZ17" s="33">
        <v>27</v>
      </c>
      <c r="BB17" s="76" t="s">
        <v>99</v>
      </c>
      <c r="BC17" s="76" t="s">
        <v>10</v>
      </c>
      <c r="BD17" s="79">
        <v>17739.18</v>
      </c>
      <c r="BE17" s="79">
        <v>9511.01</v>
      </c>
      <c r="BF17" s="79">
        <v>21312.84</v>
      </c>
      <c r="BH17" s="76">
        <v>98002</v>
      </c>
      <c r="BI17" s="76" t="s">
        <v>10</v>
      </c>
      <c r="BJ17" s="79">
        <v>-910.05</v>
      </c>
      <c r="BK17" s="79">
        <v>-914.38</v>
      </c>
      <c r="BL17" s="79">
        <v>-375.01</v>
      </c>
    </row>
    <row r="18" spans="2:64" x14ac:dyDescent="0.2">
      <c r="B18" s="86">
        <v>98002</v>
      </c>
      <c r="C18" s="38" t="s">
        <v>352</v>
      </c>
      <c r="D18" s="48">
        <v>372</v>
      </c>
      <c r="E18" s="48">
        <v>237</v>
      </c>
      <c r="F18" s="48">
        <v>218</v>
      </c>
      <c r="H18" s="76">
        <v>98001</v>
      </c>
      <c r="I18" s="76" t="s">
        <v>10</v>
      </c>
      <c r="J18" s="79">
        <v>233191.92</v>
      </c>
      <c r="K18" s="79">
        <v>192379.6</v>
      </c>
      <c r="L18" s="79">
        <v>550693.65</v>
      </c>
      <c r="M18" s="79">
        <v>1359103.98999999</v>
      </c>
      <c r="N18" s="79">
        <v>215181.87</v>
      </c>
      <c r="O18" s="79">
        <v>212675.62</v>
      </c>
      <c r="P18" s="79">
        <v>664850.66</v>
      </c>
      <c r="Q18" s="79">
        <v>1383644.95999999</v>
      </c>
      <c r="R18" s="79">
        <v>197563.72</v>
      </c>
      <c r="S18" s="79">
        <v>164873.51999999999</v>
      </c>
      <c r="T18" s="79">
        <v>769762.35999999905</v>
      </c>
      <c r="U18" s="79">
        <v>1402357.4199999899</v>
      </c>
      <c r="W18" s="76">
        <v>98002</v>
      </c>
      <c r="X18" s="15" t="s">
        <v>10</v>
      </c>
      <c r="Y18" s="79">
        <v>148915.26999999999</v>
      </c>
      <c r="Z18" s="79">
        <v>87083.199999999997</v>
      </c>
      <c r="AA18" s="79">
        <v>149701.87</v>
      </c>
      <c r="AB18" s="79">
        <v>501024.18999999901</v>
      </c>
      <c r="AC18" s="79">
        <v>79957.48</v>
      </c>
      <c r="AD18" s="79">
        <v>95349.01</v>
      </c>
      <c r="AE18" s="79">
        <v>235578.84</v>
      </c>
      <c r="AF18" s="79">
        <v>463448.109999999</v>
      </c>
      <c r="AG18" s="79">
        <v>39671.29</v>
      </c>
      <c r="AH18" s="79">
        <v>65486.96</v>
      </c>
      <c r="AI18" s="79">
        <v>267984.19999999902</v>
      </c>
      <c r="AJ18" s="79">
        <v>457359.56999999902</v>
      </c>
      <c r="AL18" s="152"/>
      <c r="AM18" s="153"/>
      <c r="AN18" s="154"/>
      <c r="AV18" s="76" t="s">
        <v>101</v>
      </c>
      <c r="AW18" s="76" t="s">
        <v>352</v>
      </c>
      <c r="AX18" s="33">
        <v>3</v>
      </c>
      <c r="AY18" s="33">
        <v>5</v>
      </c>
      <c r="AZ18" s="33">
        <v>6</v>
      </c>
      <c r="BB18" s="76" t="s">
        <v>101</v>
      </c>
      <c r="BC18" s="76" t="s">
        <v>352</v>
      </c>
      <c r="BD18" s="79">
        <v>2380.14</v>
      </c>
      <c r="BE18" s="79">
        <v>1020.35</v>
      </c>
      <c r="BF18" s="79">
        <v>5447.22</v>
      </c>
      <c r="BH18" s="76">
        <v>98003</v>
      </c>
      <c r="BI18" s="76" t="s">
        <v>352</v>
      </c>
      <c r="BJ18" s="79"/>
      <c r="BK18" s="79"/>
      <c r="BL18" s="79">
        <v>-517.63</v>
      </c>
    </row>
    <row r="19" spans="2:64" x14ac:dyDescent="0.2">
      <c r="B19" s="59">
        <v>98002</v>
      </c>
      <c r="C19" s="38" t="s">
        <v>10</v>
      </c>
      <c r="D19" s="48">
        <v>4783</v>
      </c>
      <c r="E19" s="48">
        <v>3590</v>
      </c>
      <c r="F19" s="48">
        <v>3591</v>
      </c>
      <c r="H19" s="76">
        <v>98002</v>
      </c>
      <c r="I19" s="76" t="s">
        <v>352</v>
      </c>
      <c r="J19" s="79">
        <v>65772.83</v>
      </c>
      <c r="K19" s="79">
        <v>22016.5</v>
      </c>
      <c r="L19" s="79">
        <v>144476.24999999901</v>
      </c>
      <c r="M19" s="79">
        <v>464714.97999999899</v>
      </c>
      <c r="N19" s="79">
        <v>70945.399999999994</v>
      </c>
      <c r="O19" s="79">
        <v>52685.63</v>
      </c>
      <c r="P19" s="79">
        <v>155911.74</v>
      </c>
      <c r="Q19" s="79">
        <v>332048.859999999</v>
      </c>
      <c r="R19" s="79">
        <v>27222.05</v>
      </c>
      <c r="S19" s="79">
        <v>20172.78</v>
      </c>
      <c r="T19" s="79">
        <v>196078.31</v>
      </c>
      <c r="U19" s="79">
        <v>324491.11999999901</v>
      </c>
      <c r="W19" s="76">
        <v>98003</v>
      </c>
      <c r="X19" s="15" t="s">
        <v>10</v>
      </c>
      <c r="Y19" s="79">
        <v>122309.2</v>
      </c>
      <c r="Z19" s="79">
        <v>112957.07</v>
      </c>
      <c r="AA19" s="79">
        <v>150608.12</v>
      </c>
      <c r="AB19" s="79">
        <v>550647.55000000005</v>
      </c>
      <c r="AC19" s="79">
        <v>131026.52</v>
      </c>
      <c r="AD19" s="79">
        <v>99324.98</v>
      </c>
      <c r="AE19" s="79">
        <v>208647.16999999899</v>
      </c>
      <c r="AF19" s="79">
        <v>560621.049999999</v>
      </c>
      <c r="AG19" s="79">
        <v>99224.18</v>
      </c>
      <c r="AH19" s="79">
        <v>107812.49</v>
      </c>
      <c r="AI19" s="79">
        <v>247248.22</v>
      </c>
      <c r="AJ19" s="79">
        <v>560242.41</v>
      </c>
      <c r="AL19" s="152"/>
      <c r="AM19" s="153"/>
      <c r="AN19" s="154"/>
      <c r="AV19" s="76" t="s">
        <v>101</v>
      </c>
      <c r="AW19" s="76" t="s">
        <v>10</v>
      </c>
      <c r="AX19" s="33">
        <v>66</v>
      </c>
      <c r="AY19" s="33">
        <v>63</v>
      </c>
      <c r="AZ19" s="33">
        <v>72</v>
      </c>
      <c r="BB19" s="76" t="s">
        <v>101</v>
      </c>
      <c r="BC19" s="76" t="s">
        <v>10</v>
      </c>
      <c r="BD19" s="79">
        <v>20671.509999999998</v>
      </c>
      <c r="BE19" s="79">
        <v>19591.82</v>
      </c>
      <c r="BF19" s="79">
        <v>51649.97</v>
      </c>
      <c r="BH19" s="76">
        <v>98003</v>
      </c>
      <c r="BI19" s="76" t="s">
        <v>10</v>
      </c>
      <c r="BJ19" s="79">
        <v>-966.84</v>
      </c>
      <c r="BK19" s="79">
        <v>-333.92</v>
      </c>
      <c r="BL19" s="79">
        <v>-3967.24</v>
      </c>
    </row>
    <row r="20" spans="2:64" x14ac:dyDescent="0.2">
      <c r="B20" s="86">
        <v>98003</v>
      </c>
      <c r="C20" s="38" t="s">
        <v>352</v>
      </c>
      <c r="D20" s="48">
        <v>354</v>
      </c>
      <c r="E20" s="48">
        <v>302</v>
      </c>
      <c r="F20" s="48">
        <v>276</v>
      </c>
      <c r="H20" s="76">
        <v>98002</v>
      </c>
      <c r="I20" s="76" t="s">
        <v>10</v>
      </c>
      <c r="J20" s="79">
        <v>593445.1</v>
      </c>
      <c r="K20" s="79">
        <v>328886.08</v>
      </c>
      <c r="L20" s="79">
        <v>758164.61</v>
      </c>
      <c r="M20" s="79">
        <v>2306939.75</v>
      </c>
      <c r="N20" s="79">
        <v>333522.19</v>
      </c>
      <c r="O20" s="79">
        <v>375021.48</v>
      </c>
      <c r="P20" s="79">
        <v>1114247.46999999</v>
      </c>
      <c r="Q20" s="79">
        <v>2060154.92</v>
      </c>
      <c r="R20" s="79">
        <v>169950.29</v>
      </c>
      <c r="S20" s="79">
        <v>257196.15</v>
      </c>
      <c r="T20" s="79">
        <v>1255643.29</v>
      </c>
      <c r="U20" s="79">
        <v>2059540.83</v>
      </c>
      <c r="W20" s="76">
        <v>98004</v>
      </c>
      <c r="X20" s="15" t="s">
        <v>10</v>
      </c>
      <c r="Y20" s="79">
        <v>11759.97</v>
      </c>
      <c r="Z20" s="79">
        <v>12149.26</v>
      </c>
      <c r="AA20" s="79">
        <v>20172.25</v>
      </c>
      <c r="AB20" s="79">
        <v>60410.9399999999</v>
      </c>
      <c r="AC20" s="79">
        <v>12863.3</v>
      </c>
      <c r="AD20" s="79">
        <v>9428.77</v>
      </c>
      <c r="AE20" s="79">
        <v>26952.799999999999</v>
      </c>
      <c r="AF20" s="79">
        <v>59931.779999999897</v>
      </c>
      <c r="AG20" s="79">
        <v>8312.74</v>
      </c>
      <c r="AH20" s="79">
        <v>10310.709999999999</v>
      </c>
      <c r="AI20" s="79">
        <v>26997.7</v>
      </c>
      <c r="AJ20" s="79">
        <v>53205.67</v>
      </c>
      <c r="AL20" s="152"/>
      <c r="AM20" s="153"/>
      <c r="AN20" s="154"/>
      <c r="AV20" s="76" t="s">
        <v>102</v>
      </c>
      <c r="AW20" s="76" t="s">
        <v>352</v>
      </c>
      <c r="AX20" s="33">
        <v>7</v>
      </c>
      <c r="AY20" s="33">
        <v>4</v>
      </c>
      <c r="AZ20" s="33">
        <v>8</v>
      </c>
      <c r="BB20" s="76" t="s">
        <v>102</v>
      </c>
      <c r="BC20" s="76" t="s">
        <v>352</v>
      </c>
      <c r="BD20" s="79">
        <v>1637.63</v>
      </c>
      <c r="BE20" s="79">
        <v>2017.97</v>
      </c>
      <c r="BF20" s="79">
        <v>20360.59</v>
      </c>
      <c r="BH20" s="76">
        <v>98004</v>
      </c>
      <c r="BI20" s="76" t="s">
        <v>352</v>
      </c>
      <c r="BJ20" s="79">
        <v>-2756.78</v>
      </c>
      <c r="BK20" s="79"/>
      <c r="BL20" s="79"/>
    </row>
    <row r="21" spans="2:64" x14ac:dyDescent="0.2">
      <c r="B21" s="59">
        <v>98003</v>
      </c>
      <c r="C21" s="38" t="s">
        <v>10</v>
      </c>
      <c r="D21" s="48">
        <v>4671</v>
      </c>
      <c r="E21" s="48">
        <v>4682</v>
      </c>
      <c r="F21" s="48">
        <v>4684</v>
      </c>
      <c r="H21" s="76">
        <v>98003</v>
      </c>
      <c r="I21" s="76" t="s">
        <v>352</v>
      </c>
      <c r="J21" s="79">
        <v>33947.72</v>
      </c>
      <c r="K21" s="79">
        <v>28059.15</v>
      </c>
      <c r="L21" s="79">
        <v>246181.81999999899</v>
      </c>
      <c r="M21" s="79">
        <v>440816.08999999898</v>
      </c>
      <c r="N21" s="79">
        <v>32095.61</v>
      </c>
      <c r="O21" s="79">
        <v>28549.9</v>
      </c>
      <c r="P21" s="79">
        <v>252971.2</v>
      </c>
      <c r="Q21" s="79">
        <v>533952.61</v>
      </c>
      <c r="R21" s="79">
        <v>29520.25</v>
      </c>
      <c r="S21" s="79">
        <v>24478.34</v>
      </c>
      <c r="T21" s="79">
        <v>254847.609999999</v>
      </c>
      <c r="U21" s="79">
        <v>382731.06999999902</v>
      </c>
      <c r="W21" s="76">
        <v>98005</v>
      </c>
      <c r="X21" s="15" t="s">
        <v>10</v>
      </c>
      <c r="Y21" s="79">
        <v>9337.14</v>
      </c>
      <c r="Z21" s="79">
        <v>9310.85</v>
      </c>
      <c r="AA21" s="79">
        <v>10890.99</v>
      </c>
      <c r="AB21" s="79">
        <v>41024.980000000003</v>
      </c>
      <c r="AC21" s="79">
        <v>8690.39</v>
      </c>
      <c r="AD21" s="79">
        <v>7313.14</v>
      </c>
      <c r="AE21" s="79">
        <v>17272.05</v>
      </c>
      <c r="AF21" s="79">
        <v>41449.769999999997</v>
      </c>
      <c r="AG21" s="79">
        <v>6697.98</v>
      </c>
      <c r="AH21" s="79">
        <v>6631.3</v>
      </c>
      <c r="AI21" s="79">
        <v>17576.86</v>
      </c>
      <c r="AJ21" s="79">
        <v>37543.870000000003</v>
      </c>
      <c r="AL21" s="152"/>
      <c r="AM21" s="153"/>
      <c r="AN21" s="154"/>
      <c r="AV21" s="76" t="s">
        <v>102</v>
      </c>
      <c r="AW21" s="76" t="s">
        <v>10</v>
      </c>
      <c r="AX21" s="33">
        <v>78</v>
      </c>
      <c r="AY21" s="33">
        <v>74</v>
      </c>
      <c r="AZ21" s="33">
        <v>67</v>
      </c>
      <c r="BB21" s="76" t="s">
        <v>102</v>
      </c>
      <c r="BC21" s="76" t="s">
        <v>10</v>
      </c>
      <c r="BD21" s="79">
        <v>47416.65</v>
      </c>
      <c r="BE21" s="79">
        <v>37221</v>
      </c>
      <c r="BF21" s="79">
        <v>51498.5</v>
      </c>
      <c r="BH21" s="76">
        <v>98004</v>
      </c>
      <c r="BI21" s="76" t="s">
        <v>10</v>
      </c>
      <c r="BJ21" s="79">
        <v>-1331.27</v>
      </c>
      <c r="BK21" s="79">
        <v>-1375.15</v>
      </c>
      <c r="BL21" s="79">
        <v>-1121.69</v>
      </c>
    </row>
    <row r="22" spans="2:64" x14ac:dyDescent="0.2">
      <c r="B22" s="86">
        <v>98004</v>
      </c>
      <c r="C22" s="38" t="s">
        <v>352</v>
      </c>
      <c r="D22" s="48">
        <v>191</v>
      </c>
      <c r="E22" s="48">
        <v>282</v>
      </c>
      <c r="F22" s="48">
        <v>180</v>
      </c>
      <c r="H22" s="76">
        <v>98003</v>
      </c>
      <c r="I22" s="76" t="s">
        <v>10</v>
      </c>
      <c r="J22" s="79">
        <v>497852.85</v>
      </c>
      <c r="K22" s="79">
        <v>424925.25</v>
      </c>
      <c r="L22" s="79">
        <v>1044915.74999999</v>
      </c>
      <c r="M22" s="79">
        <v>2709231.84</v>
      </c>
      <c r="N22" s="79">
        <v>530826.71</v>
      </c>
      <c r="O22" s="79">
        <v>396760.82</v>
      </c>
      <c r="P22" s="79">
        <v>1292802.44</v>
      </c>
      <c r="Q22" s="79">
        <v>2805637.81</v>
      </c>
      <c r="R22" s="79">
        <v>409708.21</v>
      </c>
      <c r="S22" s="79">
        <v>428735.92</v>
      </c>
      <c r="T22" s="79">
        <v>1455033.9</v>
      </c>
      <c r="U22" s="79">
        <v>2824359.5599999898</v>
      </c>
      <c r="W22" s="76">
        <v>98006</v>
      </c>
      <c r="X22" s="15" t="s">
        <v>10</v>
      </c>
      <c r="Y22" s="79">
        <v>21496.51</v>
      </c>
      <c r="Z22" s="79">
        <v>18749.77</v>
      </c>
      <c r="AA22" s="79">
        <v>28136.9899999999</v>
      </c>
      <c r="AB22" s="79">
        <v>90679.12</v>
      </c>
      <c r="AC22" s="79">
        <v>17061.009999999998</v>
      </c>
      <c r="AD22" s="79">
        <v>16919.91</v>
      </c>
      <c r="AE22" s="79">
        <v>35083.699999999997</v>
      </c>
      <c r="AF22" s="79">
        <v>87277.789999999906</v>
      </c>
      <c r="AG22" s="79">
        <v>13175.56</v>
      </c>
      <c r="AH22" s="79">
        <v>12561.54</v>
      </c>
      <c r="AI22" s="79">
        <v>36500.589999999902</v>
      </c>
      <c r="AJ22" s="79">
        <v>75180.219999999899</v>
      </c>
      <c r="AL22" s="152"/>
      <c r="AM22" s="153"/>
      <c r="AN22" s="154"/>
      <c r="AV22" s="76" t="s">
        <v>103</v>
      </c>
      <c r="AW22" s="76" t="s">
        <v>352</v>
      </c>
      <c r="AX22" s="33">
        <v>7</v>
      </c>
      <c r="AY22" s="33">
        <v>3</v>
      </c>
      <c r="AZ22" s="33">
        <v>1</v>
      </c>
      <c r="BB22" s="76" t="s">
        <v>103</v>
      </c>
      <c r="BC22" s="76" t="s">
        <v>352</v>
      </c>
      <c r="BD22" s="79">
        <v>20598.760000000002</v>
      </c>
      <c r="BE22" s="79">
        <v>2106.23</v>
      </c>
      <c r="BF22" s="79"/>
      <c r="BH22" s="76">
        <v>98005</v>
      </c>
      <c r="BI22" s="76" t="s">
        <v>10</v>
      </c>
      <c r="BJ22" s="79">
        <v>-168.48</v>
      </c>
      <c r="BK22" s="79"/>
      <c r="BL22" s="79">
        <v>-54.21</v>
      </c>
    </row>
    <row r="23" spans="2:64" x14ac:dyDescent="0.2">
      <c r="B23" s="59">
        <v>98004</v>
      </c>
      <c r="C23" s="38" t="s">
        <v>10</v>
      </c>
      <c r="D23" s="48">
        <v>2240</v>
      </c>
      <c r="E23" s="48">
        <v>2533</v>
      </c>
      <c r="F23" s="48">
        <v>2284</v>
      </c>
      <c r="H23" s="76">
        <v>98004</v>
      </c>
      <c r="I23" s="76" t="s">
        <v>352</v>
      </c>
      <c r="J23" s="79">
        <v>58500.85</v>
      </c>
      <c r="K23" s="79">
        <v>34889.17</v>
      </c>
      <c r="L23" s="79">
        <v>98507.869999999893</v>
      </c>
      <c r="M23" s="79">
        <v>532889.99</v>
      </c>
      <c r="N23" s="79">
        <v>52532.93</v>
      </c>
      <c r="O23" s="79">
        <v>31280.89</v>
      </c>
      <c r="P23" s="79">
        <v>106073.519999999</v>
      </c>
      <c r="Q23" s="79">
        <v>585692.5</v>
      </c>
      <c r="R23" s="79">
        <v>111861.94</v>
      </c>
      <c r="S23" s="79">
        <v>18244.509999999998</v>
      </c>
      <c r="T23" s="79">
        <v>120408.149999999</v>
      </c>
      <c r="U23" s="79">
        <v>443938.239999999</v>
      </c>
      <c r="W23" s="76">
        <v>98007</v>
      </c>
      <c r="X23" s="15" t="s">
        <v>10</v>
      </c>
      <c r="Y23" s="79">
        <v>28672.76</v>
      </c>
      <c r="Z23" s="79">
        <v>27233</v>
      </c>
      <c r="AA23" s="79">
        <v>40809.65</v>
      </c>
      <c r="AB23" s="79">
        <v>132765.60999999999</v>
      </c>
      <c r="AC23" s="79">
        <v>26978.18</v>
      </c>
      <c r="AD23" s="79">
        <v>21471.31</v>
      </c>
      <c r="AE23" s="79">
        <v>55196.969999999899</v>
      </c>
      <c r="AF23" s="79">
        <v>132753.00999999899</v>
      </c>
      <c r="AG23" s="79">
        <v>21100.05</v>
      </c>
      <c r="AH23" s="79">
        <v>20711.61</v>
      </c>
      <c r="AI23" s="79">
        <v>58530.71</v>
      </c>
      <c r="AJ23" s="79">
        <v>121878.78</v>
      </c>
      <c r="AL23" s="152"/>
      <c r="AM23" s="153"/>
      <c r="AN23" s="154"/>
      <c r="AV23" s="76" t="s">
        <v>103</v>
      </c>
      <c r="AW23" s="76" t="s">
        <v>10</v>
      </c>
      <c r="AX23" s="33">
        <v>43</v>
      </c>
      <c r="AY23" s="33">
        <v>38</v>
      </c>
      <c r="AZ23" s="33">
        <v>42</v>
      </c>
      <c r="BB23" s="76" t="s">
        <v>103</v>
      </c>
      <c r="BC23" s="76" t="s">
        <v>10</v>
      </c>
      <c r="BD23" s="79">
        <v>10116.15</v>
      </c>
      <c r="BE23" s="79">
        <v>13835.84</v>
      </c>
      <c r="BF23" s="79">
        <v>11361.9</v>
      </c>
      <c r="BH23" s="76">
        <v>98006</v>
      </c>
      <c r="BI23" s="76" t="s">
        <v>10</v>
      </c>
      <c r="BJ23" s="79">
        <v>-1622.03</v>
      </c>
      <c r="BK23" s="79">
        <v>-1111.8499999999999</v>
      </c>
      <c r="BL23" s="79">
        <v>-1587.68</v>
      </c>
    </row>
    <row r="24" spans="2:64" x14ac:dyDescent="0.2">
      <c r="B24" s="86">
        <v>98005</v>
      </c>
      <c r="C24" s="38" t="s">
        <v>352</v>
      </c>
      <c r="D24" s="48">
        <v>191</v>
      </c>
      <c r="E24" s="48">
        <v>222</v>
      </c>
      <c r="F24" s="48">
        <v>157</v>
      </c>
      <c r="H24" s="76">
        <v>98004</v>
      </c>
      <c r="I24" s="76" t="s">
        <v>10</v>
      </c>
      <c r="J24" s="79">
        <v>141497.98000000001</v>
      </c>
      <c r="K24" s="79">
        <v>111338.86</v>
      </c>
      <c r="L24" s="79">
        <v>332944.21999999997</v>
      </c>
      <c r="M24" s="79">
        <v>857608.21</v>
      </c>
      <c r="N24" s="79">
        <v>153134.26999999999</v>
      </c>
      <c r="O24" s="79">
        <v>95749.02</v>
      </c>
      <c r="P24" s="79">
        <v>379009.02999999898</v>
      </c>
      <c r="Q24" s="79">
        <v>886531.42</v>
      </c>
      <c r="R24" s="79">
        <v>126620.28</v>
      </c>
      <c r="S24" s="79">
        <v>111692.94</v>
      </c>
      <c r="T24" s="79">
        <v>411401.609999999</v>
      </c>
      <c r="U24" s="79">
        <v>818195.86</v>
      </c>
      <c r="W24" s="76">
        <v>98008</v>
      </c>
      <c r="X24" s="15" t="s">
        <v>10</v>
      </c>
      <c r="Y24" s="79">
        <v>16276.12</v>
      </c>
      <c r="Z24" s="79">
        <v>12140.17</v>
      </c>
      <c r="AA24" s="79">
        <v>20612.52</v>
      </c>
      <c r="AB24" s="79">
        <v>67709.299999999901</v>
      </c>
      <c r="AC24" s="79">
        <v>13017.95</v>
      </c>
      <c r="AD24" s="79">
        <v>10959.56</v>
      </c>
      <c r="AE24" s="79">
        <v>23967.22</v>
      </c>
      <c r="AF24" s="79">
        <v>61561.049999999901</v>
      </c>
      <c r="AG24" s="79">
        <v>9825.16</v>
      </c>
      <c r="AH24" s="79">
        <v>9833.1299999999992</v>
      </c>
      <c r="AI24" s="79">
        <v>27233.53</v>
      </c>
      <c r="AJ24" s="79">
        <v>56427.3299999999</v>
      </c>
      <c r="AL24" s="152"/>
      <c r="AM24" s="153"/>
      <c r="AN24" s="154"/>
      <c r="AV24" s="76" t="s">
        <v>104</v>
      </c>
      <c r="AW24" s="76" t="s">
        <v>352</v>
      </c>
      <c r="AX24" s="33"/>
      <c r="AY24" s="33">
        <v>5</v>
      </c>
      <c r="AZ24" s="33">
        <v>1</v>
      </c>
      <c r="BB24" s="76" t="s">
        <v>104</v>
      </c>
      <c r="BC24" s="76" t="s">
        <v>352</v>
      </c>
      <c r="BD24" s="79"/>
      <c r="BE24" s="79">
        <v>1470.3700000000001</v>
      </c>
      <c r="BF24" s="79">
        <v>980.52</v>
      </c>
      <c r="BH24" s="76">
        <v>98007</v>
      </c>
      <c r="BI24" s="76" t="s">
        <v>352</v>
      </c>
      <c r="BJ24" s="79">
        <v>-5143.7299999999996</v>
      </c>
      <c r="BK24" s="79"/>
      <c r="BL24" s="79"/>
    </row>
    <row r="25" spans="2:64" x14ac:dyDescent="0.2">
      <c r="B25" s="59">
        <v>98005</v>
      </c>
      <c r="C25" s="38" t="s">
        <v>10</v>
      </c>
      <c r="D25" s="48">
        <v>945</v>
      </c>
      <c r="E25" s="48">
        <v>970</v>
      </c>
      <c r="F25" s="48">
        <v>986</v>
      </c>
      <c r="H25" s="76">
        <v>98005</v>
      </c>
      <c r="I25" s="76" t="s">
        <v>352</v>
      </c>
      <c r="J25" s="79">
        <v>20557.82</v>
      </c>
      <c r="K25" s="79">
        <v>7857.36</v>
      </c>
      <c r="L25" s="79">
        <v>64556.949999999903</v>
      </c>
      <c r="M25" s="79">
        <v>198295.91</v>
      </c>
      <c r="N25" s="79">
        <v>20649.8</v>
      </c>
      <c r="O25" s="79">
        <v>9875.35</v>
      </c>
      <c r="P25" s="79">
        <v>68534.379999999903</v>
      </c>
      <c r="Q25" s="79">
        <v>233990.45</v>
      </c>
      <c r="R25" s="79">
        <v>19734.29</v>
      </c>
      <c r="S25" s="79">
        <v>9440.2199999999993</v>
      </c>
      <c r="T25" s="79">
        <v>74903.69</v>
      </c>
      <c r="U25" s="79">
        <v>207372.73</v>
      </c>
      <c r="W25" s="76">
        <v>98010</v>
      </c>
      <c r="X25" s="15" t="s">
        <v>10</v>
      </c>
      <c r="Y25" s="79">
        <v>5481.46</v>
      </c>
      <c r="Z25" s="79">
        <v>4996.67</v>
      </c>
      <c r="AA25" s="79">
        <v>8837.1199999999899</v>
      </c>
      <c r="AB25" s="79">
        <v>27979.18</v>
      </c>
      <c r="AC25" s="79">
        <v>6852.63</v>
      </c>
      <c r="AD25" s="79">
        <v>4510.3</v>
      </c>
      <c r="AE25" s="79">
        <v>9071.0099999999893</v>
      </c>
      <c r="AF25" s="79">
        <v>26624</v>
      </c>
      <c r="AG25" s="79">
        <v>4880.1899999999996</v>
      </c>
      <c r="AH25" s="79">
        <v>5629.2</v>
      </c>
      <c r="AI25" s="79">
        <v>10925.14</v>
      </c>
      <c r="AJ25" s="79">
        <v>27896.4899999999</v>
      </c>
      <c r="AL25" s="152"/>
      <c r="AM25" s="153"/>
      <c r="AN25" s="154"/>
      <c r="AV25" s="76" t="s">
        <v>104</v>
      </c>
      <c r="AW25" s="76" t="s">
        <v>10</v>
      </c>
      <c r="AX25" s="33">
        <v>21</v>
      </c>
      <c r="AY25" s="33">
        <v>16</v>
      </c>
      <c r="AZ25" s="33">
        <v>20</v>
      </c>
      <c r="BB25" s="76" t="s">
        <v>104</v>
      </c>
      <c r="BC25" s="76" t="s">
        <v>10</v>
      </c>
      <c r="BD25" s="79">
        <v>3542.11</v>
      </c>
      <c r="BE25" s="79">
        <v>3617.51</v>
      </c>
      <c r="BF25" s="79">
        <v>5798.4</v>
      </c>
      <c r="BH25" s="76">
        <v>98007</v>
      </c>
      <c r="BI25" s="76" t="s">
        <v>10</v>
      </c>
      <c r="BJ25" s="79">
        <v>-818.86</v>
      </c>
      <c r="BK25" s="79">
        <v>-764.14</v>
      </c>
      <c r="BL25" s="79">
        <v>-166.82</v>
      </c>
    </row>
    <row r="26" spans="2:64" x14ac:dyDescent="0.2">
      <c r="B26" s="86">
        <v>98006</v>
      </c>
      <c r="C26" s="38" t="s">
        <v>352</v>
      </c>
      <c r="D26" s="48">
        <v>125</v>
      </c>
      <c r="E26" s="48">
        <v>194</v>
      </c>
      <c r="F26" s="48">
        <v>146</v>
      </c>
      <c r="H26" s="76">
        <v>98005</v>
      </c>
      <c r="I26" s="76" t="s">
        <v>10</v>
      </c>
      <c r="J26" s="79">
        <v>79330.009999999995</v>
      </c>
      <c r="K26" s="79">
        <v>65526.03</v>
      </c>
      <c r="L26" s="79">
        <v>151404.53999999899</v>
      </c>
      <c r="M26" s="79">
        <v>430671.02</v>
      </c>
      <c r="N26" s="79">
        <v>74173.850000000006</v>
      </c>
      <c r="O26" s="79">
        <v>57371.839999999997</v>
      </c>
      <c r="P26" s="79">
        <v>187136.3</v>
      </c>
      <c r="Q26" s="79">
        <v>434303.62</v>
      </c>
      <c r="R26" s="79">
        <v>58877.35</v>
      </c>
      <c r="S26" s="79">
        <v>49636.32</v>
      </c>
      <c r="T26" s="79">
        <v>202768.389999999</v>
      </c>
      <c r="U26" s="79">
        <v>417648.96</v>
      </c>
      <c r="W26" s="76">
        <v>98011</v>
      </c>
      <c r="X26" s="15" t="s">
        <v>10</v>
      </c>
      <c r="Y26" s="79">
        <v>18168.8</v>
      </c>
      <c r="Z26" s="79">
        <v>16646.38</v>
      </c>
      <c r="AA26" s="79">
        <v>32671.029999999901</v>
      </c>
      <c r="AB26" s="79">
        <v>94706.01</v>
      </c>
      <c r="AC26" s="79">
        <v>21728.45</v>
      </c>
      <c r="AD26" s="79">
        <v>13346.82</v>
      </c>
      <c r="AE26" s="79">
        <v>39259.049999999901</v>
      </c>
      <c r="AF26" s="79">
        <v>90224.65</v>
      </c>
      <c r="AG26" s="79">
        <v>11494.02</v>
      </c>
      <c r="AH26" s="79">
        <v>17274.61</v>
      </c>
      <c r="AI26" s="79">
        <v>39816.400000000001</v>
      </c>
      <c r="AJ26" s="79">
        <v>89187.42</v>
      </c>
      <c r="AL26" s="152"/>
      <c r="AM26" s="153"/>
      <c r="AN26" s="154"/>
      <c r="AV26" s="76" t="s">
        <v>105</v>
      </c>
      <c r="AW26" s="76" t="s">
        <v>352</v>
      </c>
      <c r="AX26" s="33">
        <v>5</v>
      </c>
      <c r="AY26" s="33">
        <v>2</v>
      </c>
      <c r="AZ26" s="33"/>
      <c r="BB26" s="76" t="s">
        <v>105</v>
      </c>
      <c r="BC26" s="76" t="s">
        <v>352</v>
      </c>
      <c r="BD26" s="79">
        <v>2525.27</v>
      </c>
      <c r="BE26" s="79">
        <v>213.92</v>
      </c>
      <c r="BF26" s="79"/>
      <c r="BH26" s="76">
        <v>98008</v>
      </c>
      <c r="BI26" s="76" t="s">
        <v>10</v>
      </c>
      <c r="BJ26" s="79"/>
      <c r="BK26" s="79">
        <v>-66.16</v>
      </c>
      <c r="BL26" s="79"/>
    </row>
    <row r="27" spans="2:64" x14ac:dyDescent="0.2">
      <c r="B27" s="59">
        <v>98006</v>
      </c>
      <c r="C27" s="38" t="s">
        <v>10</v>
      </c>
      <c r="D27" s="48">
        <v>1363</v>
      </c>
      <c r="E27" s="48">
        <v>1333</v>
      </c>
      <c r="F27" s="48">
        <v>1278</v>
      </c>
      <c r="H27" s="76">
        <v>98006</v>
      </c>
      <c r="I27" s="76" t="s">
        <v>352</v>
      </c>
      <c r="J27" s="79">
        <v>25054.68</v>
      </c>
      <c r="K27" s="79">
        <v>27287.73</v>
      </c>
      <c r="L27" s="79">
        <v>87347.819999999905</v>
      </c>
      <c r="M27" s="79">
        <v>298310.39999999898</v>
      </c>
      <c r="N27" s="79">
        <v>25635.67</v>
      </c>
      <c r="O27" s="79">
        <v>13761.91</v>
      </c>
      <c r="P27" s="79">
        <v>101447.62</v>
      </c>
      <c r="Q27" s="79">
        <v>283347.21000000002</v>
      </c>
      <c r="R27" s="79">
        <v>42304.51</v>
      </c>
      <c r="S27" s="79">
        <v>15073.15</v>
      </c>
      <c r="T27" s="79">
        <v>102601.52</v>
      </c>
      <c r="U27" s="79">
        <v>233714.50999999899</v>
      </c>
      <c r="W27" s="76">
        <v>98012</v>
      </c>
      <c r="X27" s="15" t="s">
        <v>10</v>
      </c>
      <c r="Y27" s="79">
        <v>4424.82</v>
      </c>
      <c r="Z27" s="79">
        <v>4661.9799999999996</v>
      </c>
      <c r="AA27" s="79">
        <v>6205.28</v>
      </c>
      <c r="AB27" s="79">
        <v>23292.55</v>
      </c>
      <c r="AC27" s="79">
        <v>6548.66</v>
      </c>
      <c r="AD27" s="79">
        <v>3542.9</v>
      </c>
      <c r="AE27" s="79">
        <v>6372.2999999999902</v>
      </c>
      <c r="AF27" s="79">
        <v>22373.45</v>
      </c>
      <c r="AG27" s="79">
        <v>4574.08</v>
      </c>
      <c r="AH27" s="79">
        <v>4346.51</v>
      </c>
      <c r="AI27" s="79">
        <v>6674.23</v>
      </c>
      <c r="AJ27" s="79">
        <v>19649.459999999901</v>
      </c>
      <c r="AL27" s="152"/>
      <c r="AM27" s="153"/>
      <c r="AN27" s="154"/>
      <c r="AV27" s="76" t="s">
        <v>105</v>
      </c>
      <c r="AW27" s="76" t="s">
        <v>10</v>
      </c>
      <c r="AX27" s="33">
        <v>21</v>
      </c>
      <c r="AY27" s="33">
        <v>20</v>
      </c>
      <c r="AZ27" s="33">
        <v>17</v>
      </c>
      <c r="BB27" s="76" t="s">
        <v>105</v>
      </c>
      <c r="BC27" s="76" t="s">
        <v>10</v>
      </c>
      <c r="BD27" s="79">
        <v>15908.43</v>
      </c>
      <c r="BE27" s="79">
        <v>17386.509999999998</v>
      </c>
      <c r="BF27" s="79">
        <v>5501.07</v>
      </c>
      <c r="BH27" s="76">
        <v>98011</v>
      </c>
      <c r="BI27" s="76" t="s">
        <v>352</v>
      </c>
      <c r="BJ27" s="79"/>
      <c r="BK27" s="79"/>
      <c r="BL27" s="79">
        <v>-25</v>
      </c>
    </row>
    <row r="28" spans="2:64" x14ac:dyDescent="0.2">
      <c r="B28" s="86">
        <v>98007</v>
      </c>
      <c r="C28" s="38" t="s">
        <v>352</v>
      </c>
      <c r="D28" s="48">
        <v>122</v>
      </c>
      <c r="E28" s="48">
        <v>180</v>
      </c>
      <c r="F28" s="48">
        <v>143</v>
      </c>
      <c r="H28" s="76">
        <v>98006</v>
      </c>
      <c r="I28" s="76" t="s">
        <v>10</v>
      </c>
      <c r="J28" s="79">
        <v>158935.75</v>
      </c>
      <c r="K28" s="79">
        <v>109533.34</v>
      </c>
      <c r="L28" s="79">
        <v>225237.2</v>
      </c>
      <c r="M28" s="79">
        <v>764298.48999999894</v>
      </c>
      <c r="N28" s="79">
        <v>139038.9</v>
      </c>
      <c r="O28" s="79">
        <v>94209.29</v>
      </c>
      <c r="P28" s="79">
        <v>272035.90999999898</v>
      </c>
      <c r="Q28" s="79">
        <v>729638.41</v>
      </c>
      <c r="R28" s="79">
        <v>117547.18</v>
      </c>
      <c r="S28" s="79">
        <v>92207.75</v>
      </c>
      <c r="T28" s="79">
        <v>296855.8</v>
      </c>
      <c r="U28" s="79">
        <v>663775.26999999897</v>
      </c>
      <c r="W28" s="76">
        <v>98014</v>
      </c>
      <c r="X28" s="15" t="s">
        <v>10</v>
      </c>
      <c r="Y28" s="79">
        <v>9807.2900000000009</v>
      </c>
      <c r="Z28" s="79">
        <v>4386.59</v>
      </c>
      <c r="AA28" s="79">
        <v>9694.2800000000007</v>
      </c>
      <c r="AB28" s="79">
        <v>30826.55</v>
      </c>
      <c r="AC28" s="79">
        <v>5406.24</v>
      </c>
      <c r="AD28" s="79">
        <v>4454.01</v>
      </c>
      <c r="AE28" s="79">
        <v>14769.94</v>
      </c>
      <c r="AF28" s="79">
        <v>26123.62</v>
      </c>
      <c r="AG28" s="79">
        <v>787.12</v>
      </c>
      <c r="AH28" s="79">
        <v>4120.92</v>
      </c>
      <c r="AI28" s="79">
        <v>15506.869999999901</v>
      </c>
      <c r="AJ28" s="79">
        <v>24599.639999999901</v>
      </c>
      <c r="AL28" s="152"/>
      <c r="AM28" s="153"/>
      <c r="AN28" s="154"/>
      <c r="AV28" s="76" t="s">
        <v>106</v>
      </c>
      <c r="AW28" s="76" t="s">
        <v>352</v>
      </c>
      <c r="AX28" s="33">
        <v>2</v>
      </c>
      <c r="AY28" s="33"/>
      <c r="AZ28" s="33"/>
      <c r="BB28" s="76" t="s">
        <v>106</v>
      </c>
      <c r="BC28" s="76" t="s">
        <v>352</v>
      </c>
      <c r="BD28" s="79"/>
      <c r="BE28" s="79"/>
      <c r="BF28" s="79"/>
      <c r="BH28" s="76">
        <v>98011</v>
      </c>
      <c r="BI28" s="76" t="s">
        <v>10</v>
      </c>
      <c r="BJ28" s="79">
        <v>-81.98</v>
      </c>
      <c r="BK28" s="79">
        <v>-458.51</v>
      </c>
      <c r="BL28" s="79">
        <v>-395.35</v>
      </c>
    </row>
    <row r="29" spans="2:64" x14ac:dyDescent="0.2">
      <c r="B29" s="59">
        <v>98007</v>
      </c>
      <c r="C29" s="38" t="s">
        <v>10</v>
      </c>
      <c r="D29" s="48">
        <v>1755</v>
      </c>
      <c r="E29" s="48">
        <v>1687</v>
      </c>
      <c r="F29" s="48">
        <v>1740</v>
      </c>
      <c r="H29" s="76">
        <v>98007</v>
      </c>
      <c r="I29" s="76" t="s">
        <v>352</v>
      </c>
      <c r="J29" s="79">
        <v>25433.9</v>
      </c>
      <c r="K29" s="79">
        <v>9249.5400000000009</v>
      </c>
      <c r="L29" s="79">
        <v>46206.17</v>
      </c>
      <c r="M29" s="79">
        <v>237555.93</v>
      </c>
      <c r="N29" s="79">
        <v>28087.82</v>
      </c>
      <c r="O29" s="79">
        <v>14296.62</v>
      </c>
      <c r="P29" s="79">
        <v>50009.6499999999</v>
      </c>
      <c r="Q29" s="79">
        <v>176590.84</v>
      </c>
      <c r="R29" s="79">
        <v>12204.11</v>
      </c>
      <c r="S29" s="79">
        <v>14629.22</v>
      </c>
      <c r="T29" s="79">
        <v>57668.979999999901</v>
      </c>
      <c r="U29" s="79">
        <v>179645.519999999</v>
      </c>
      <c r="W29" s="76">
        <v>98019</v>
      </c>
      <c r="X29" s="15" t="s">
        <v>10</v>
      </c>
      <c r="Y29" s="79">
        <v>8600.7000000000007</v>
      </c>
      <c r="Z29" s="79">
        <v>8093.59</v>
      </c>
      <c r="AA29" s="79">
        <v>19953.55</v>
      </c>
      <c r="AB29" s="79">
        <v>46159.8299999999</v>
      </c>
      <c r="AC29" s="79">
        <v>1542.03</v>
      </c>
      <c r="AD29" s="79">
        <v>14614.03</v>
      </c>
      <c r="AE29" s="79">
        <v>24703.64</v>
      </c>
      <c r="AF29" s="79">
        <v>49810.22</v>
      </c>
      <c r="AG29" s="79">
        <v>7604.77</v>
      </c>
      <c r="AH29" s="79">
        <v>1296.17</v>
      </c>
      <c r="AI29" s="79">
        <v>29057.85</v>
      </c>
      <c r="AJ29" s="79">
        <v>45915.56</v>
      </c>
      <c r="AL29" s="152"/>
      <c r="AM29" s="153"/>
      <c r="AN29" s="154"/>
      <c r="AV29" s="76" t="s">
        <v>106</v>
      </c>
      <c r="AW29" s="76" t="s">
        <v>10</v>
      </c>
      <c r="AX29" s="33">
        <v>36</v>
      </c>
      <c r="AY29" s="33">
        <v>36</v>
      </c>
      <c r="AZ29" s="33">
        <v>33</v>
      </c>
      <c r="BB29" s="76" t="s">
        <v>106</v>
      </c>
      <c r="BC29" s="76" t="s">
        <v>10</v>
      </c>
      <c r="BD29" s="79">
        <v>8621.66</v>
      </c>
      <c r="BE29" s="79">
        <v>13804.63</v>
      </c>
      <c r="BF29" s="79">
        <v>15449</v>
      </c>
      <c r="BH29" s="76">
        <v>98012</v>
      </c>
      <c r="BI29" s="76" t="s">
        <v>352</v>
      </c>
      <c r="BJ29" s="79">
        <v>-263</v>
      </c>
      <c r="BK29" s="79"/>
      <c r="BL29" s="79"/>
    </row>
    <row r="30" spans="2:64" x14ac:dyDescent="0.2">
      <c r="B30" s="86">
        <v>98008</v>
      </c>
      <c r="C30" s="38" t="s">
        <v>352</v>
      </c>
      <c r="D30" s="48">
        <v>78</v>
      </c>
      <c r="E30" s="48">
        <v>107</v>
      </c>
      <c r="F30" s="48">
        <v>70</v>
      </c>
      <c r="H30" s="76">
        <v>98007</v>
      </c>
      <c r="I30" s="76" t="s">
        <v>10</v>
      </c>
      <c r="J30" s="79">
        <v>119893.6</v>
      </c>
      <c r="K30" s="79">
        <v>108545.4</v>
      </c>
      <c r="L30" s="79">
        <v>269547.84999999899</v>
      </c>
      <c r="M30" s="79">
        <v>696607.38</v>
      </c>
      <c r="N30" s="79">
        <v>115119.16</v>
      </c>
      <c r="O30" s="79">
        <v>87850.12</v>
      </c>
      <c r="P30" s="79">
        <v>328003.90999999997</v>
      </c>
      <c r="Q30" s="79">
        <v>704291.1</v>
      </c>
      <c r="R30" s="79">
        <v>109548.73</v>
      </c>
      <c r="S30" s="79">
        <v>86870.49</v>
      </c>
      <c r="T30" s="79">
        <v>353529.66</v>
      </c>
      <c r="U30" s="79">
        <v>684598.93</v>
      </c>
      <c r="W30" s="76">
        <v>98020</v>
      </c>
      <c r="X30" s="15" t="s">
        <v>10</v>
      </c>
      <c r="Y30" s="79">
        <v>361.84</v>
      </c>
      <c r="Z30" s="79">
        <v>221.66</v>
      </c>
      <c r="AA30" s="79">
        <v>120.68</v>
      </c>
      <c r="AB30" s="79">
        <v>1270.50999999999</v>
      </c>
      <c r="AC30" s="79">
        <v>541.55999999999995</v>
      </c>
      <c r="AD30" s="79">
        <v>393.45</v>
      </c>
      <c r="AE30" s="79">
        <v>278.82</v>
      </c>
      <c r="AF30" s="79">
        <v>1615.59</v>
      </c>
      <c r="AG30" s="79">
        <v>419.26</v>
      </c>
      <c r="AH30" s="79">
        <v>541.55999999999995</v>
      </c>
      <c r="AI30" s="79">
        <v>672.27</v>
      </c>
      <c r="AJ30" s="79">
        <v>1968.95</v>
      </c>
      <c r="AL30" s="152"/>
      <c r="AM30" s="153"/>
      <c r="AN30" s="154"/>
      <c r="AV30" s="76" t="s">
        <v>107</v>
      </c>
      <c r="AW30" s="76" t="s">
        <v>352</v>
      </c>
      <c r="AX30" s="33"/>
      <c r="AY30" s="33">
        <v>1</v>
      </c>
      <c r="AZ30" s="33"/>
      <c r="BB30" s="76" t="s">
        <v>107</v>
      </c>
      <c r="BC30" s="76" t="s">
        <v>352</v>
      </c>
      <c r="BD30" s="79"/>
      <c r="BE30" s="79">
        <v>17.57</v>
      </c>
      <c r="BF30" s="79"/>
      <c r="BH30" s="76">
        <v>98012</v>
      </c>
      <c r="BI30" s="76" t="s">
        <v>10</v>
      </c>
      <c r="BJ30" s="79">
        <v>-33.4</v>
      </c>
      <c r="BK30" s="79">
        <v>-63.05</v>
      </c>
      <c r="BL30" s="79"/>
    </row>
    <row r="31" spans="2:64" x14ac:dyDescent="0.2">
      <c r="B31" s="59">
        <v>98008</v>
      </c>
      <c r="C31" s="38" t="s">
        <v>10</v>
      </c>
      <c r="D31" s="48">
        <v>850</v>
      </c>
      <c r="E31" s="48">
        <v>861</v>
      </c>
      <c r="F31" s="48">
        <v>810</v>
      </c>
      <c r="H31" s="76">
        <v>98008</v>
      </c>
      <c r="I31" s="76" t="s">
        <v>352</v>
      </c>
      <c r="J31" s="79">
        <v>11065.02</v>
      </c>
      <c r="K31" s="79">
        <v>6116.6</v>
      </c>
      <c r="L31" s="79">
        <v>40970.26</v>
      </c>
      <c r="M31" s="79">
        <v>198442.34999999899</v>
      </c>
      <c r="N31" s="79">
        <v>10648.8</v>
      </c>
      <c r="O31" s="79">
        <v>3344.39</v>
      </c>
      <c r="P31" s="79">
        <v>44774.6899999999</v>
      </c>
      <c r="Q31" s="79">
        <v>147212.049999999</v>
      </c>
      <c r="R31" s="79">
        <v>14248.31</v>
      </c>
      <c r="S31" s="79">
        <v>1844.45</v>
      </c>
      <c r="T31" s="79">
        <v>30628.94</v>
      </c>
      <c r="U31" s="79">
        <v>85019.56</v>
      </c>
      <c r="W31" s="76">
        <v>98021</v>
      </c>
      <c r="X31" s="15" t="s">
        <v>10</v>
      </c>
      <c r="Y31" s="79">
        <v>1767.29</v>
      </c>
      <c r="Z31" s="79">
        <v>2272.3200000000002</v>
      </c>
      <c r="AA31" s="79">
        <v>1530.74</v>
      </c>
      <c r="AB31" s="79">
        <v>8202.89</v>
      </c>
      <c r="AC31" s="79">
        <v>1908.57</v>
      </c>
      <c r="AD31" s="79">
        <v>1363.67</v>
      </c>
      <c r="AE31" s="79">
        <v>2503.79</v>
      </c>
      <c r="AF31" s="79">
        <v>7468.74</v>
      </c>
      <c r="AG31" s="79">
        <v>1191.08</v>
      </c>
      <c r="AH31" s="79">
        <v>1587.71</v>
      </c>
      <c r="AI31" s="79">
        <v>2660.52</v>
      </c>
      <c r="AJ31" s="79">
        <v>6596.3099999999904</v>
      </c>
      <c r="AL31" s="152"/>
      <c r="AM31" s="153"/>
      <c r="AN31" s="154"/>
      <c r="AV31" s="76" t="s">
        <v>107</v>
      </c>
      <c r="AW31" s="76" t="s">
        <v>10</v>
      </c>
      <c r="AX31" s="33">
        <v>6</v>
      </c>
      <c r="AY31" s="33">
        <v>12</v>
      </c>
      <c r="AZ31" s="33">
        <v>10</v>
      </c>
      <c r="BB31" s="76" t="s">
        <v>107</v>
      </c>
      <c r="BC31" s="76" t="s">
        <v>10</v>
      </c>
      <c r="BD31" s="79">
        <v>1347.43</v>
      </c>
      <c r="BE31" s="79">
        <v>10008.620000000001</v>
      </c>
      <c r="BF31" s="79">
        <v>6352.4</v>
      </c>
      <c r="BH31" s="76">
        <v>98014</v>
      </c>
      <c r="BI31" s="76" t="s">
        <v>10</v>
      </c>
      <c r="BJ31" s="79">
        <v>-316.62</v>
      </c>
      <c r="BK31" s="79"/>
      <c r="BL31" s="79"/>
    </row>
    <row r="32" spans="2:64" x14ac:dyDescent="0.2">
      <c r="B32" s="86">
        <v>98010</v>
      </c>
      <c r="C32" s="38" t="s">
        <v>352</v>
      </c>
      <c r="D32" s="48">
        <v>47</v>
      </c>
      <c r="E32" s="48">
        <v>53</v>
      </c>
      <c r="F32" s="48">
        <v>54</v>
      </c>
      <c r="H32" s="76">
        <v>98008</v>
      </c>
      <c r="I32" s="76" t="s">
        <v>10</v>
      </c>
      <c r="J32" s="79">
        <v>71691.37</v>
      </c>
      <c r="K32" s="79">
        <v>54636.68</v>
      </c>
      <c r="L32" s="79">
        <v>174142.079999999</v>
      </c>
      <c r="M32" s="79">
        <v>490526.97</v>
      </c>
      <c r="N32" s="79">
        <v>64342.16</v>
      </c>
      <c r="O32" s="79">
        <v>49740.02</v>
      </c>
      <c r="P32" s="79">
        <v>190640.83</v>
      </c>
      <c r="Q32" s="79">
        <v>449167.75999999902</v>
      </c>
      <c r="R32" s="79">
        <v>60328.9</v>
      </c>
      <c r="S32" s="79">
        <v>44486.61</v>
      </c>
      <c r="T32" s="79">
        <v>200369.31999999899</v>
      </c>
      <c r="U32" s="79">
        <v>397898.78999999899</v>
      </c>
      <c r="W32" s="76">
        <v>98022</v>
      </c>
      <c r="X32" s="15" t="s">
        <v>10</v>
      </c>
      <c r="Y32" s="79">
        <v>34284.699999999997</v>
      </c>
      <c r="Z32" s="79">
        <v>23944.13</v>
      </c>
      <c r="AA32" s="79">
        <v>59697.91</v>
      </c>
      <c r="AB32" s="79">
        <v>157507.85999999999</v>
      </c>
      <c r="AC32" s="79">
        <v>27813.200000000001</v>
      </c>
      <c r="AD32" s="79">
        <v>22974.37</v>
      </c>
      <c r="AE32" s="79">
        <v>73120.539999999994</v>
      </c>
      <c r="AF32" s="79">
        <v>153186.96</v>
      </c>
      <c r="AG32" s="79">
        <v>19456.32</v>
      </c>
      <c r="AH32" s="79">
        <v>20995.86</v>
      </c>
      <c r="AI32" s="79">
        <v>71907.859999999899</v>
      </c>
      <c r="AJ32" s="79">
        <v>140885.13</v>
      </c>
      <c r="AL32" s="152"/>
      <c r="AM32" s="153"/>
      <c r="AN32" s="154"/>
      <c r="AV32" s="76" t="s">
        <v>108</v>
      </c>
      <c r="AW32" s="76" t="s">
        <v>352</v>
      </c>
      <c r="AX32" s="33"/>
      <c r="AY32" s="33"/>
      <c r="AZ32" s="33">
        <v>1</v>
      </c>
      <c r="BB32" s="76" t="s">
        <v>108</v>
      </c>
      <c r="BC32" s="76" t="s">
        <v>352</v>
      </c>
      <c r="BD32" s="79"/>
      <c r="BE32" s="79"/>
      <c r="BF32" s="79">
        <v>1660.91</v>
      </c>
      <c r="BH32" s="76">
        <v>98019</v>
      </c>
      <c r="BI32" s="76" t="s">
        <v>10</v>
      </c>
      <c r="BJ32" s="79"/>
      <c r="BK32" s="79"/>
      <c r="BL32" s="79">
        <v>-280.02</v>
      </c>
    </row>
    <row r="33" spans="2:64" x14ac:dyDescent="0.2">
      <c r="B33" s="59">
        <v>98010</v>
      </c>
      <c r="C33" s="38" t="s">
        <v>10</v>
      </c>
      <c r="D33" s="48">
        <v>456</v>
      </c>
      <c r="E33" s="48">
        <v>500</v>
      </c>
      <c r="F33" s="48">
        <v>467</v>
      </c>
      <c r="H33" s="76">
        <v>98010</v>
      </c>
      <c r="I33" s="76" t="s">
        <v>352</v>
      </c>
      <c r="J33" s="79">
        <v>761.16</v>
      </c>
      <c r="K33" s="79">
        <v>1301.53</v>
      </c>
      <c r="L33" s="79">
        <v>8858.32</v>
      </c>
      <c r="M33" s="79">
        <v>33046.319999999898</v>
      </c>
      <c r="N33" s="79">
        <v>2128.89</v>
      </c>
      <c r="O33" s="79">
        <v>761.16</v>
      </c>
      <c r="P33" s="79">
        <v>10159.8499999999</v>
      </c>
      <c r="Q33" s="79">
        <v>25120.6</v>
      </c>
      <c r="R33" s="79">
        <v>1239.45</v>
      </c>
      <c r="S33" s="79">
        <v>718.75</v>
      </c>
      <c r="T33" s="79">
        <v>7347.75</v>
      </c>
      <c r="U33" s="79">
        <v>24594.15</v>
      </c>
      <c r="W33" s="76">
        <v>98023</v>
      </c>
      <c r="X33" s="15" t="s">
        <v>10</v>
      </c>
      <c r="Y33" s="79">
        <v>90727.63</v>
      </c>
      <c r="Z33" s="79">
        <v>86301.16</v>
      </c>
      <c r="AA33" s="79">
        <v>121232.36</v>
      </c>
      <c r="AB33" s="79">
        <v>412804.63999999902</v>
      </c>
      <c r="AC33" s="79">
        <v>89703.25</v>
      </c>
      <c r="AD33" s="79">
        <v>72089.600000000006</v>
      </c>
      <c r="AE33" s="79">
        <v>162823.01</v>
      </c>
      <c r="AF33" s="79">
        <v>421268.86999999901</v>
      </c>
      <c r="AG33" s="79">
        <v>75332.58</v>
      </c>
      <c r="AH33" s="79">
        <v>72058.67</v>
      </c>
      <c r="AI33" s="79">
        <v>173880.08999999901</v>
      </c>
      <c r="AJ33" s="79">
        <v>400413.41999999899</v>
      </c>
      <c r="AL33" s="152"/>
      <c r="AM33" s="153"/>
      <c r="AN33" s="154"/>
      <c r="AV33" s="76" t="s">
        <v>108</v>
      </c>
      <c r="AW33" s="76" t="s">
        <v>10</v>
      </c>
      <c r="AX33" s="33">
        <v>2</v>
      </c>
      <c r="AY33" s="33">
        <v>4</v>
      </c>
      <c r="AZ33" s="33">
        <v>3</v>
      </c>
      <c r="BB33" s="76" t="s">
        <v>108</v>
      </c>
      <c r="BC33" s="76" t="s">
        <v>10</v>
      </c>
      <c r="BD33" s="79">
        <v>1037.06</v>
      </c>
      <c r="BE33" s="79">
        <v>7393.06</v>
      </c>
      <c r="BF33" s="79">
        <v>719.11</v>
      </c>
      <c r="BH33" s="76">
        <v>98021</v>
      </c>
      <c r="BI33" s="76" t="s">
        <v>10</v>
      </c>
      <c r="BJ33" s="79">
        <v>-672.58</v>
      </c>
      <c r="BK33" s="79"/>
      <c r="BL33" s="79"/>
    </row>
    <row r="34" spans="2:64" x14ac:dyDescent="0.2">
      <c r="B34" s="86">
        <v>98011</v>
      </c>
      <c r="C34" s="38" t="s">
        <v>352</v>
      </c>
      <c r="D34" s="48">
        <v>92</v>
      </c>
      <c r="E34" s="48">
        <v>85</v>
      </c>
      <c r="F34" s="48">
        <v>88</v>
      </c>
      <c r="H34" s="76">
        <v>98010</v>
      </c>
      <c r="I34" s="76" t="s">
        <v>10</v>
      </c>
      <c r="J34" s="79">
        <v>41554.11</v>
      </c>
      <c r="K34" s="79">
        <v>31741.88</v>
      </c>
      <c r="L34" s="79">
        <v>111242.75</v>
      </c>
      <c r="M34" s="79">
        <v>271404.53999999998</v>
      </c>
      <c r="N34" s="79">
        <v>42520.13</v>
      </c>
      <c r="O34" s="79">
        <v>31739.42</v>
      </c>
      <c r="P34" s="79">
        <v>114195.41999999899</v>
      </c>
      <c r="Q34" s="79">
        <v>266138.989999999</v>
      </c>
      <c r="R34" s="79">
        <v>33226.94</v>
      </c>
      <c r="S34" s="79">
        <v>30276.32</v>
      </c>
      <c r="T34" s="79">
        <v>121617.12</v>
      </c>
      <c r="U34" s="79">
        <v>249709.829999999</v>
      </c>
      <c r="W34" s="76">
        <v>98024</v>
      </c>
      <c r="X34" s="15" t="s">
        <v>10</v>
      </c>
      <c r="Y34" s="79">
        <v>4693.5200000000004</v>
      </c>
      <c r="Z34" s="79">
        <v>4621.68</v>
      </c>
      <c r="AA34" s="79">
        <v>13563.48</v>
      </c>
      <c r="AB34" s="79">
        <v>28388.639999999999</v>
      </c>
      <c r="AC34" s="79">
        <v>5295.14</v>
      </c>
      <c r="AD34" s="79">
        <v>4652.6400000000003</v>
      </c>
      <c r="AE34" s="79">
        <v>18042.72</v>
      </c>
      <c r="AF34" s="79">
        <v>33115.18</v>
      </c>
      <c r="AG34" s="79">
        <v>3383.38</v>
      </c>
      <c r="AH34" s="79">
        <v>3855.06</v>
      </c>
      <c r="AI34" s="79">
        <v>21771.71</v>
      </c>
      <c r="AJ34" s="79">
        <v>32519.54</v>
      </c>
      <c r="AL34" s="152"/>
      <c r="AM34" s="153"/>
      <c r="AN34" s="154"/>
      <c r="AV34" s="76" t="s">
        <v>109</v>
      </c>
      <c r="AW34" s="76" t="s">
        <v>352</v>
      </c>
      <c r="AX34" s="33">
        <v>3</v>
      </c>
      <c r="AY34" s="33">
        <v>2</v>
      </c>
      <c r="AZ34" s="33">
        <v>1</v>
      </c>
      <c r="BB34" s="76" t="s">
        <v>109</v>
      </c>
      <c r="BC34" s="76" t="s">
        <v>352</v>
      </c>
      <c r="BD34" s="79">
        <v>740.28</v>
      </c>
      <c r="BE34" s="79"/>
      <c r="BF34" s="79">
        <v>4150.66</v>
      </c>
      <c r="BH34" s="76">
        <v>98022</v>
      </c>
      <c r="BI34" s="76" t="s">
        <v>10</v>
      </c>
      <c r="BJ34" s="79">
        <v>-409.3</v>
      </c>
      <c r="BK34" s="79">
        <v>-82.99</v>
      </c>
      <c r="BL34" s="79"/>
    </row>
    <row r="35" spans="2:64" x14ac:dyDescent="0.2">
      <c r="B35" s="59">
        <v>98011</v>
      </c>
      <c r="C35" s="38" t="s">
        <v>10</v>
      </c>
      <c r="D35" s="48">
        <v>1332</v>
      </c>
      <c r="E35" s="48">
        <v>1379</v>
      </c>
      <c r="F35" s="48">
        <v>1400</v>
      </c>
      <c r="H35" s="76">
        <v>98011</v>
      </c>
      <c r="I35" s="76" t="s">
        <v>352</v>
      </c>
      <c r="J35" s="79">
        <v>4169</v>
      </c>
      <c r="K35" s="79">
        <v>2488.1</v>
      </c>
      <c r="L35" s="79">
        <v>6057.51</v>
      </c>
      <c r="M35" s="79">
        <v>71784.559999999896</v>
      </c>
      <c r="N35" s="79">
        <v>10276.469999999999</v>
      </c>
      <c r="O35" s="79">
        <v>2698.75</v>
      </c>
      <c r="P35" s="79">
        <v>7575.04</v>
      </c>
      <c r="Q35" s="79">
        <v>88775.83</v>
      </c>
      <c r="R35" s="79">
        <v>14163.87</v>
      </c>
      <c r="S35" s="79">
        <v>4773.6499999999996</v>
      </c>
      <c r="T35" s="79">
        <v>10081.459999999999</v>
      </c>
      <c r="U35" s="79">
        <v>97234.539999999906</v>
      </c>
      <c r="W35" s="76">
        <v>98026</v>
      </c>
      <c r="X35" s="15" t="s">
        <v>10</v>
      </c>
      <c r="Y35" s="79">
        <v>2168.5</v>
      </c>
      <c r="Z35" s="79">
        <v>2536.58</v>
      </c>
      <c r="AA35" s="79">
        <v>2020.08</v>
      </c>
      <c r="AB35" s="79">
        <v>9768.6</v>
      </c>
      <c r="AC35" s="79">
        <v>2253.25</v>
      </c>
      <c r="AD35" s="79">
        <v>1412.81</v>
      </c>
      <c r="AE35" s="79">
        <v>3523.09</v>
      </c>
      <c r="AF35" s="79">
        <v>9361.0099999999893</v>
      </c>
      <c r="AG35" s="79">
        <v>1508.95</v>
      </c>
      <c r="AH35" s="79">
        <v>1835.97</v>
      </c>
      <c r="AI35" s="79">
        <v>3142.97</v>
      </c>
      <c r="AJ35" s="79">
        <v>8215.26</v>
      </c>
      <c r="AL35" s="152"/>
      <c r="AM35" s="153"/>
      <c r="AN35" s="154"/>
      <c r="AV35" s="76" t="s">
        <v>109</v>
      </c>
      <c r="AW35" s="76" t="s">
        <v>10</v>
      </c>
      <c r="AX35" s="33">
        <v>33</v>
      </c>
      <c r="AY35" s="33">
        <v>31</v>
      </c>
      <c r="AZ35" s="33">
        <v>22</v>
      </c>
      <c r="BB35" s="76" t="s">
        <v>109</v>
      </c>
      <c r="BC35" s="76" t="s">
        <v>10</v>
      </c>
      <c r="BD35" s="79">
        <v>4752.82</v>
      </c>
      <c r="BE35" s="79">
        <v>11042.57</v>
      </c>
      <c r="BF35" s="79">
        <v>5099.37</v>
      </c>
      <c r="BH35" s="76">
        <v>98023</v>
      </c>
      <c r="BI35" s="76" t="s">
        <v>352</v>
      </c>
      <c r="BJ35" s="79"/>
      <c r="BK35" s="79">
        <v>-181.39</v>
      </c>
      <c r="BL35" s="79"/>
    </row>
    <row r="36" spans="2:64" x14ac:dyDescent="0.2">
      <c r="B36" s="86">
        <v>98012</v>
      </c>
      <c r="C36" s="38" t="s">
        <v>352</v>
      </c>
      <c r="D36" s="48">
        <v>22</v>
      </c>
      <c r="E36" s="48">
        <v>27</v>
      </c>
      <c r="F36" s="48">
        <v>29</v>
      </c>
      <c r="H36" s="76">
        <v>98011</v>
      </c>
      <c r="I36" s="76" t="s">
        <v>10</v>
      </c>
      <c r="J36" s="79">
        <v>103041.78</v>
      </c>
      <c r="K36" s="79">
        <v>84530.83</v>
      </c>
      <c r="L36" s="79">
        <v>203370.1</v>
      </c>
      <c r="M36" s="79">
        <v>589488.02</v>
      </c>
      <c r="N36" s="79">
        <v>121511.24</v>
      </c>
      <c r="O36" s="79">
        <v>77530.240000000005</v>
      </c>
      <c r="P36" s="79">
        <v>244118.049999999</v>
      </c>
      <c r="Q36" s="79">
        <v>614332.89000000095</v>
      </c>
      <c r="R36" s="79">
        <v>103374.24</v>
      </c>
      <c r="S36" s="79">
        <v>89024.8</v>
      </c>
      <c r="T36" s="79">
        <v>270205.22999999899</v>
      </c>
      <c r="U36" s="79">
        <v>602577.56000000006</v>
      </c>
      <c r="W36" s="76">
        <v>98027</v>
      </c>
      <c r="X36" s="15" t="s">
        <v>10</v>
      </c>
      <c r="Y36" s="79">
        <v>14431.65</v>
      </c>
      <c r="Z36" s="79">
        <v>13997.84</v>
      </c>
      <c r="AA36" s="79">
        <v>30124.65</v>
      </c>
      <c r="AB36" s="79">
        <v>78120.899999999994</v>
      </c>
      <c r="AC36" s="79">
        <v>15409.02</v>
      </c>
      <c r="AD36" s="79">
        <v>11680.28</v>
      </c>
      <c r="AE36" s="79">
        <v>38170.569999999898</v>
      </c>
      <c r="AF36" s="79">
        <v>79520.59</v>
      </c>
      <c r="AG36" s="79">
        <v>10689.25</v>
      </c>
      <c r="AH36" s="79">
        <v>10955.83</v>
      </c>
      <c r="AI36" s="79">
        <v>39917.039999999899</v>
      </c>
      <c r="AJ36" s="79">
        <v>74397.52</v>
      </c>
      <c r="AL36" s="152"/>
      <c r="AM36" s="153"/>
      <c r="AN36" s="154"/>
      <c r="AV36" s="76" t="s">
        <v>275</v>
      </c>
      <c r="AW36" s="76" t="s">
        <v>352</v>
      </c>
      <c r="AX36" s="33">
        <v>1</v>
      </c>
      <c r="AY36" s="33"/>
      <c r="AZ36" s="33"/>
      <c r="BB36" s="76" t="s">
        <v>275</v>
      </c>
      <c r="BC36" s="76" t="s">
        <v>352</v>
      </c>
      <c r="BD36" s="79"/>
      <c r="BE36" s="79"/>
      <c r="BF36" s="79"/>
      <c r="BH36" s="76">
        <v>98023</v>
      </c>
      <c r="BI36" s="76" t="s">
        <v>10</v>
      </c>
      <c r="BJ36" s="79">
        <v>-2264.6</v>
      </c>
      <c r="BK36" s="79">
        <v>-315.06</v>
      </c>
      <c r="BL36" s="79">
        <v>-807.08</v>
      </c>
    </row>
    <row r="37" spans="2:64" x14ac:dyDescent="0.2">
      <c r="B37" s="59">
        <v>98012</v>
      </c>
      <c r="C37" s="38" t="s">
        <v>10</v>
      </c>
      <c r="D37" s="48">
        <v>1405</v>
      </c>
      <c r="E37" s="48">
        <v>1411</v>
      </c>
      <c r="F37" s="48">
        <v>1300</v>
      </c>
      <c r="H37" s="76">
        <v>98012</v>
      </c>
      <c r="I37" s="76" t="s">
        <v>352</v>
      </c>
      <c r="J37" s="79">
        <v>995.05</v>
      </c>
      <c r="K37" s="79">
        <v>1076.3499999999999</v>
      </c>
      <c r="L37" s="79">
        <v>7124.14</v>
      </c>
      <c r="M37" s="79">
        <v>13399.4199999999</v>
      </c>
      <c r="N37" s="79">
        <v>1385.93</v>
      </c>
      <c r="O37" s="79">
        <v>1279.29</v>
      </c>
      <c r="P37" s="79">
        <v>7840.4899999999898</v>
      </c>
      <c r="Q37" s="79">
        <v>13183.11</v>
      </c>
      <c r="R37" s="79">
        <v>1662.85</v>
      </c>
      <c r="S37" s="79">
        <v>1187.54</v>
      </c>
      <c r="T37" s="79">
        <v>8101.01</v>
      </c>
      <c r="U37" s="79">
        <v>20489.23</v>
      </c>
      <c r="W37" s="76">
        <v>98028</v>
      </c>
      <c r="X37" s="15" t="s">
        <v>10</v>
      </c>
      <c r="Y37" s="79">
        <v>10685.42</v>
      </c>
      <c r="Z37" s="79">
        <v>12665.86</v>
      </c>
      <c r="AA37" s="79">
        <v>34184.410000000003</v>
      </c>
      <c r="AB37" s="79">
        <v>73022.999999999898</v>
      </c>
      <c r="AC37" s="79">
        <v>11359.15</v>
      </c>
      <c r="AD37" s="79">
        <v>8672.58</v>
      </c>
      <c r="AE37" s="79">
        <v>36123.96</v>
      </c>
      <c r="AF37" s="79">
        <v>68363.379999999903</v>
      </c>
      <c r="AG37" s="79">
        <v>9181.2099999999991</v>
      </c>
      <c r="AH37" s="79">
        <v>9490.84</v>
      </c>
      <c r="AI37" s="79">
        <v>35533.539999999899</v>
      </c>
      <c r="AJ37" s="79">
        <v>63829.619999999901</v>
      </c>
      <c r="AL37" s="152"/>
      <c r="AM37" s="153"/>
      <c r="AN37" s="154"/>
      <c r="AV37" s="76" t="s">
        <v>275</v>
      </c>
      <c r="AW37" s="76" t="s">
        <v>10</v>
      </c>
      <c r="AX37" s="33">
        <v>14</v>
      </c>
      <c r="AY37" s="33">
        <v>13</v>
      </c>
      <c r="AZ37" s="33">
        <v>11</v>
      </c>
      <c r="BB37" s="76" t="s">
        <v>275</v>
      </c>
      <c r="BC37" s="76" t="s">
        <v>10</v>
      </c>
      <c r="BD37" s="79">
        <v>3175.76</v>
      </c>
      <c r="BE37" s="79">
        <v>3234.42</v>
      </c>
      <c r="BF37" s="79">
        <v>2530.6999999999998</v>
      </c>
      <c r="BH37" s="76">
        <v>98024</v>
      </c>
      <c r="BI37" s="76" t="s">
        <v>10</v>
      </c>
      <c r="BJ37" s="79">
        <v>-115.52</v>
      </c>
      <c r="BK37" s="79">
        <v>-126.66</v>
      </c>
      <c r="BL37" s="79"/>
    </row>
    <row r="38" spans="2:64" x14ac:dyDescent="0.2">
      <c r="B38" s="86">
        <v>98014</v>
      </c>
      <c r="C38" s="38" t="s">
        <v>352</v>
      </c>
      <c r="D38" s="48">
        <v>105</v>
      </c>
      <c r="E38" s="48">
        <v>50</v>
      </c>
      <c r="F38" s="48">
        <v>49</v>
      </c>
      <c r="H38" s="76">
        <v>98012</v>
      </c>
      <c r="I38" s="76" t="s">
        <v>10</v>
      </c>
      <c r="J38" s="79">
        <v>66559.8</v>
      </c>
      <c r="K38" s="79">
        <v>59734.5</v>
      </c>
      <c r="L38" s="79">
        <v>147649.149999999</v>
      </c>
      <c r="M38" s="79">
        <v>449727.239999999</v>
      </c>
      <c r="N38" s="79">
        <v>92716.79</v>
      </c>
      <c r="O38" s="79">
        <v>51065.62</v>
      </c>
      <c r="P38" s="79">
        <v>171761.18</v>
      </c>
      <c r="Q38" s="79">
        <v>429397.53</v>
      </c>
      <c r="R38" s="79">
        <v>60149.67</v>
      </c>
      <c r="S38" s="79">
        <v>55861.07</v>
      </c>
      <c r="T38" s="79">
        <v>180782.72999999899</v>
      </c>
      <c r="U38" s="79">
        <v>387352.88999999902</v>
      </c>
      <c r="W38" s="76">
        <v>98029</v>
      </c>
      <c r="X38" s="15" t="s">
        <v>10</v>
      </c>
      <c r="Y38" s="79">
        <v>19423.63</v>
      </c>
      <c r="Z38" s="79">
        <v>17007.5</v>
      </c>
      <c r="AA38" s="79">
        <v>40136.25</v>
      </c>
      <c r="AB38" s="79">
        <v>101682.58</v>
      </c>
      <c r="AC38" s="79">
        <v>18720.02</v>
      </c>
      <c r="AD38" s="79">
        <v>13463.33</v>
      </c>
      <c r="AE38" s="79">
        <v>48355.089999999902</v>
      </c>
      <c r="AF38" s="79">
        <v>99069.299999999901</v>
      </c>
      <c r="AG38" s="79">
        <v>13963.51</v>
      </c>
      <c r="AH38" s="79">
        <v>15192.1</v>
      </c>
      <c r="AI38" s="79">
        <v>52578.619999999901</v>
      </c>
      <c r="AJ38" s="79">
        <v>97000.18</v>
      </c>
      <c r="AL38" s="152"/>
      <c r="AM38" s="153"/>
      <c r="AN38" s="154"/>
      <c r="AV38" s="76" t="s">
        <v>111</v>
      </c>
      <c r="AW38" s="76" t="s">
        <v>352</v>
      </c>
      <c r="AX38" s="33"/>
      <c r="AY38" s="33"/>
      <c r="AZ38" s="33">
        <v>3</v>
      </c>
      <c r="BB38" s="76" t="s">
        <v>111</v>
      </c>
      <c r="BC38" s="76" t="s">
        <v>352</v>
      </c>
      <c r="BD38" s="79"/>
      <c r="BE38" s="79"/>
      <c r="BF38" s="79">
        <v>44.88</v>
      </c>
      <c r="BH38" s="76">
        <v>98027</v>
      </c>
      <c r="BI38" s="76" t="s">
        <v>10</v>
      </c>
      <c r="BJ38" s="79">
        <v>-986.37</v>
      </c>
      <c r="BK38" s="79"/>
      <c r="BL38" s="79">
        <v>-240.25</v>
      </c>
    </row>
    <row r="39" spans="2:64" x14ac:dyDescent="0.2">
      <c r="B39" s="59">
        <v>98014</v>
      </c>
      <c r="C39" s="38" t="s">
        <v>10</v>
      </c>
      <c r="D39" s="48">
        <v>559</v>
      </c>
      <c r="E39" s="48">
        <v>235</v>
      </c>
      <c r="F39" s="48">
        <v>214</v>
      </c>
      <c r="H39" s="76">
        <v>98014</v>
      </c>
      <c r="I39" s="76" t="s">
        <v>352</v>
      </c>
      <c r="J39" s="79">
        <v>27812.62</v>
      </c>
      <c r="K39" s="79">
        <v>1830.8</v>
      </c>
      <c r="L39" s="79">
        <v>19938.439999999999</v>
      </c>
      <c r="M39" s="79">
        <v>82328.12</v>
      </c>
      <c r="N39" s="79">
        <v>4941.1899999999996</v>
      </c>
      <c r="O39" s="79">
        <v>28750.91</v>
      </c>
      <c r="P39" s="79">
        <v>21894.04</v>
      </c>
      <c r="Q39" s="79">
        <v>61938.239999999903</v>
      </c>
      <c r="R39" s="79">
        <v>5503.61</v>
      </c>
      <c r="S39" s="79">
        <v>3176.66</v>
      </c>
      <c r="T39" s="79">
        <v>47500</v>
      </c>
      <c r="U39" s="79">
        <v>61935.11</v>
      </c>
      <c r="W39" s="76">
        <v>98030</v>
      </c>
      <c r="X39" s="15" t="s">
        <v>10</v>
      </c>
      <c r="Y39" s="79">
        <v>81387.59</v>
      </c>
      <c r="Z39" s="79">
        <v>73949.27</v>
      </c>
      <c r="AA39" s="79">
        <v>113720.329999999</v>
      </c>
      <c r="AB39" s="79">
        <v>365952.47</v>
      </c>
      <c r="AC39" s="79">
        <v>76355.679999999993</v>
      </c>
      <c r="AD39" s="79">
        <v>65794.070000000007</v>
      </c>
      <c r="AE39" s="79">
        <v>148536.85</v>
      </c>
      <c r="AF39" s="79">
        <v>371706.109999999</v>
      </c>
      <c r="AG39" s="79">
        <v>64385.22</v>
      </c>
      <c r="AH39" s="79">
        <v>63611.39</v>
      </c>
      <c r="AI39" s="79">
        <v>173868.50999999899</v>
      </c>
      <c r="AJ39" s="79">
        <v>368139.42</v>
      </c>
      <c r="AL39" s="152"/>
      <c r="AM39" s="153"/>
      <c r="AN39" s="154"/>
      <c r="AV39" s="76" t="s">
        <v>111</v>
      </c>
      <c r="AW39" s="76" t="s">
        <v>10</v>
      </c>
      <c r="AX39" s="33">
        <v>3</v>
      </c>
      <c r="AY39" s="33">
        <v>1</v>
      </c>
      <c r="AZ39" s="33">
        <v>3</v>
      </c>
      <c r="BB39" s="76" t="s">
        <v>111</v>
      </c>
      <c r="BC39" s="76" t="s">
        <v>10</v>
      </c>
      <c r="BD39" s="79">
        <v>1917.92</v>
      </c>
      <c r="BE39" s="79">
        <v>1188.23</v>
      </c>
      <c r="BF39" s="79">
        <v>439.53</v>
      </c>
      <c r="BH39" s="76">
        <v>98028</v>
      </c>
      <c r="BI39" s="76" t="s">
        <v>10</v>
      </c>
      <c r="BJ39" s="79"/>
      <c r="BK39" s="79">
        <v>-56.99</v>
      </c>
      <c r="BL39" s="79">
        <v>-46.7</v>
      </c>
    </row>
    <row r="40" spans="2:64" x14ac:dyDescent="0.2">
      <c r="B40" s="86">
        <v>98019</v>
      </c>
      <c r="C40" s="38" t="s">
        <v>352</v>
      </c>
      <c r="D40" s="48">
        <v>46</v>
      </c>
      <c r="E40" s="48">
        <v>40</v>
      </c>
      <c r="F40" s="48">
        <v>33</v>
      </c>
      <c r="H40" s="76">
        <v>98014</v>
      </c>
      <c r="I40" s="76" t="s">
        <v>10</v>
      </c>
      <c r="J40" s="79">
        <v>56559.88</v>
      </c>
      <c r="K40" s="79">
        <v>24022.86</v>
      </c>
      <c r="L40" s="79">
        <v>54591.68</v>
      </c>
      <c r="M40" s="79">
        <v>245816.28</v>
      </c>
      <c r="N40" s="79">
        <v>35117.03</v>
      </c>
      <c r="O40" s="79">
        <v>22708.53</v>
      </c>
      <c r="P40" s="79">
        <v>79521.679999999993</v>
      </c>
      <c r="Q40" s="79">
        <v>154039.049999999</v>
      </c>
      <c r="R40" s="79">
        <v>5108.45</v>
      </c>
      <c r="S40" s="79">
        <v>23316.86</v>
      </c>
      <c r="T40" s="79">
        <v>82401.2</v>
      </c>
      <c r="U40" s="79">
        <v>144652.889999999</v>
      </c>
      <c r="W40" s="76">
        <v>98031</v>
      </c>
      <c r="X40" s="15" t="s">
        <v>10</v>
      </c>
      <c r="Y40" s="79">
        <v>69907.64</v>
      </c>
      <c r="Z40" s="79">
        <v>62467.040000000001</v>
      </c>
      <c r="AA40" s="79">
        <v>99592.23</v>
      </c>
      <c r="AB40" s="79">
        <v>319649.179999999</v>
      </c>
      <c r="AC40" s="79">
        <v>68645.36</v>
      </c>
      <c r="AD40" s="79">
        <v>52973.05</v>
      </c>
      <c r="AE40" s="79">
        <v>131711.77999999901</v>
      </c>
      <c r="AF40" s="79">
        <v>320804.27</v>
      </c>
      <c r="AG40" s="79">
        <v>51676.25</v>
      </c>
      <c r="AH40" s="79">
        <v>53812.4</v>
      </c>
      <c r="AI40" s="79">
        <v>139821.51</v>
      </c>
      <c r="AJ40" s="79">
        <v>300804.28999999998</v>
      </c>
      <c r="AL40" s="152"/>
      <c r="AM40" s="153"/>
      <c r="AN40" s="154"/>
      <c r="AV40" s="76" t="s">
        <v>112</v>
      </c>
      <c r="AW40" s="76" t="s">
        <v>10</v>
      </c>
      <c r="AX40" s="33">
        <v>3</v>
      </c>
      <c r="AY40" s="33">
        <v>4</v>
      </c>
      <c r="AZ40" s="33">
        <v>4</v>
      </c>
      <c r="BB40" s="76" t="s">
        <v>112</v>
      </c>
      <c r="BC40" s="76" t="s">
        <v>10</v>
      </c>
      <c r="BD40" s="79">
        <v>2856.73</v>
      </c>
      <c r="BE40" s="79">
        <v>466.98</v>
      </c>
      <c r="BF40" s="79">
        <v>1633.08</v>
      </c>
      <c r="BH40" s="76">
        <v>98029</v>
      </c>
      <c r="BI40" s="76" t="s">
        <v>10</v>
      </c>
      <c r="BJ40" s="79">
        <v>-30.55</v>
      </c>
      <c r="BK40" s="79">
        <v>-164.07</v>
      </c>
      <c r="BL40" s="79">
        <v>-247.47</v>
      </c>
    </row>
    <row r="41" spans="2:64" x14ac:dyDescent="0.2">
      <c r="B41" s="59">
        <v>98019</v>
      </c>
      <c r="C41" s="38" t="s">
        <v>10</v>
      </c>
      <c r="D41" s="48">
        <v>349</v>
      </c>
      <c r="E41" s="48">
        <v>323</v>
      </c>
      <c r="F41" s="48">
        <v>324</v>
      </c>
      <c r="H41" s="76">
        <v>98019</v>
      </c>
      <c r="I41" s="76" t="s">
        <v>352</v>
      </c>
      <c r="J41" s="79">
        <v>5034.72</v>
      </c>
      <c r="K41" s="79">
        <v>2954.42</v>
      </c>
      <c r="L41" s="79">
        <v>11374.7</v>
      </c>
      <c r="M41" s="79">
        <v>31113.9899999999</v>
      </c>
      <c r="N41" s="79">
        <v>3443.59</v>
      </c>
      <c r="O41" s="79">
        <v>5549.45</v>
      </c>
      <c r="P41" s="79">
        <v>13559.949999999901</v>
      </c>
      <c r="Q41" s="79">
        <v>26653.719999999899</v>
      </c>
      <c r="R41" s="79">
        <v>1611.74</v>
      </c>
      <c r="S41" s="79">
        <v>3101.4</v>
      </c>
      <c r="T41" s="79">
        <v>14600.7599999999</v>
      </c>
      <c r="U41" s="79">
        <v>22066.8299999999</v>
      </c>
      <c r="W41" s="76">
        <v>98032</v>
      </c>
      <c r="X41" s="15" t="s">
        <v>10</v>
      </c>
      <c r="Y41" s="79">
        <v>72741.899999999994</v>
      </c>
      <c r="Z41" s="79">
        <v>69755.509999999995</v>
      </c>
      <c r="AA41" s="79">
        <v>98273.159999999902</v>
      </c>
      <c r="AB41" s="79">
        <v>335637.12999999902</v>
      </c>
      <c r="AC41" s="79">
        <v>76573.990000000005</v>
      </c>
      <c r="AD41" s="79">
        <v>59369.41</v>
      </c>
      <c r="AE41" s="79">
        <v>130803.43</v>
      </c>
      <c r="AF41" s="79">
        <v>339374.429999999</v>
      </c>
      <c r="AG41" s="79">
        <v>59141.09</v>
      </c>
      <c r="AH41" s="79">
        <v>63231.54</v>
      </c>
      <c r="AI41" s="79">
        <v>147655.39000000001</v>
      </c>
      <c r="AJ41" s="79">
        <v>330731.99</v>
      </c>
      <c r="AL41" s="152"/>
      <c r="AM41" s="153"/>
      <c r="AN41" s="154"/>
      <c r="AV41" s="76" t="s">
        <v>276</v>
      </c>
      <c r="AW41" s="76" t="s">
        <v>352</v>
      </c>
      <c r="AX41" s="33">
        <v>1</v>
      </c>
      <c r="AY41" s="33"/>
      <c r="AZ41" s="33"/>
      <c r="BB41" s="76" t="s">
        <v>276</v>
      </c>
      <c r="BC41" s="76" t="s">
        <v>352</v>
      </c>
      <c r="BD41" s="79">
        <v>913.91</v>
      </c>
      <c r="BE41" s="79"/>
      <c r="BF41" s="79"/>
      <c r="BH41" s="76">
        <v>98030</v>
      </c>
      <c r="BI41" s="76" t="s">
        <v>10</v>
      </c>
      <c r="BJ41" s="79">
        <v>-3267.34</v>
      </c>
      <c r="BK41" s="79">
        <v>-644.04999999999995</v>
      </c>
      <c r="BL41" s="79">
        <v>-837.55</v>
      </c>
    </row>
    <row r="42" spans="2:64" ht="16" thickBot="1" x14ac:dyDescent="0.25">
      <c r="B42" s="86">
        <v>98020</v>
      </c>
      <c r="C42" s="38" t="s">
        <v>352</v>
      </c>
      <c r="D42" s="48">
        <v>17</v>
      </c>
      <c r="E42" s="48">
        <v>21</v>
      </c>
      <c r="F42" s="48">
        <v>15</v>
      </c>
      <c r="H42" s="76">
        <v>98019</v>
      </c>
      <c r="I42" s="76" t="s">
        <v>10</v>
      </c>
      <c r="J42" s="79">
        <v>41455.46</v>
      </c>
      <c r="K42" s="79">
        <v>29520.74</v>
      </c>
      <c r="L42" s="79">
        <v>133339.209999999</v>
      </c>
      <c r="M42" s="79">
        <v>280764.55</v>
      </c>
      <c r="N42" s="79">
        <v>9774.76</v>
      </c>
      <c r="O42" s="79">
        <v>61769.99</v>
      </c>
      <c r="P42" s="79">
        <v>148379.18</v>
      </c>
      <c r="Q42" s="79">
        <v>270802.03000000003</v>
      </c>
      <c r="R42" s="79">
        <v>31743.45</v>
      </c>
      <c r="S42" s="79">
        <v>5916.78</v>
      </c>
      <c r="T42" s="79">
        <v>174531.18</v>
      </c>
      <c r="U42" s="79">
        <v>259960.33</v>
      </c>
      <c r="W42" s="76">
        <v>98033</v>
      </c>
      <c r="X42" s="15" t="s">
        <v>10</v>
      </c>
      <c r="Y42" s="79">
        <v>12733.3</v>
      </c>
      <c r="Z42" s="79">
        <v>11220.09</v>
      </c>
      <c r="AA42" s="79">
        <v>16735.82</v>
      </c>
      <c r="AB42" s="79">
        <v>56233.219999999899</v>
      </c>
      <c r="AC42" s="79">
        <v>12740.79</v>
      </c>
      <c r="AD42" s="79">
        <v>10205.43</v>
      </c>
      <c r="AE42" s="79">
        <v>21490.85</v>
      </c>
      <c r="AF42" s="79">
        <v>56057.279999999999</v>
      </c>
      <c r="AG42" s="79">
        <v>9708.27</v>
      </c>
      <c r="AH42" s="79">
        <v>10699.02</v>
      </c>
      <c r="AI42" s="79">
        <v>26026.37</v>
      </c>
      <c r="AJ42" s="79">
        <v>56532.959999999897</v>
      </c>
      <c r="AL42" s="155"/>
      <c r="AM42" s="156"/>
      <c r="AN42" s="157"/>
      <c r="AV42" s="76" t="s">
        <v>276</v>
      </c>
      <c r="AW42" s="76" t="s">
        <v>10</v>
      </c>
      <c r="AX42" s="33">
        <v>2</v>
      </c>
      <c r="AY42" s="33">
        <v>2</v>
      </c>
      <c r="AZ42" s="33">
        <v>2</v>
      </c>
      <c r="BB42" s="76" t="s">
        <v>276</v>
      </c>
      <c r="BC42" s="76" t="s">
        <v>10</v>
      </c>
      <c r="BD42" s="79">
        <v>784.79</v>
      </c>
      <c r="BE42" s="79">
        <v>1714.88</v>
      </c>
      <c r="BF42" s="79">
        <v>230.64</v>
      </c>
      <c r="BH42" s="76">
        <v>98031</v>
      </c>
      <c r="BI42" s="76" t="s">
        <v>352</v>
      </c>
      <c r="BJ42" s="79"/>
      <c r="BK42" s="79">
        <v>-215.22</v>
      </c>
      <c r="BL42" s="79"/>
    </row>
    <row r="43" spans="2:64" x14ac:dyDescent="0.2">
      <c r="B43" s="59">
        <v>98020</v>
      </c>
      <c r="C43" s="38" t="s">
        <v>10</v>
      </c>
      <c r="D43" s="48">
        <v>349</v>
      </c>
      <c r="E43" s="48">
        <v>349</v>
      </c>
      <c r="F43" s="48">
        <v>313</v>
      </c>
      <c r="H43" s="76">
        <v>98020</v>
      </c>
      <c r="I43" s="76" t="s">
        <v>352</v>
      </c>
      <c r="J43" s="79">
        <v>1678.75</v>
      </c>
      <c r="K43" s="79">
        <v>1400.28</v>
      </c>
      <c r="L43" s="79">
        <v>2266.7199999999998</v>
      </c>
      <c r="M43" s="79">
        <v>10864.87</v>
      </c>
      <c r="N43" s="79">
        <v>1419.28</v>
      </c>
      <c r="O43" s="79">
        <v>1023.86</v>
      </c>
      <c r="P43" s="79">
        <v>3150.49</v>
      </c>
      <c r="Q43" s="79">
        <v>9361.1299999999992</v>
      </c>
      <c r="R43" s="79">
        <v>2318.27</v>
      </c>
      <c r="S43" s="79">
        <v>2189.17</v>
      </c>
      <c r="T43" s="79">
        <v>4174.3499999999904</v>
      </c>
      <c r="U43" s="79">
        <v>10809.36</v>
      </c>
      <c r="W43" s="76">
        <v>98034</v>
      </c>
      <c r="X43" s="15" t="s">
        <v>10</v>
      </c>
      <c r="Y43" s="79">
        <v>28532.7</v>
      </c>
      <c r="Z43" s="79">
        <v>24113.69</v>
      </c>
      <c r="AA43" s="79">
        <v>40045.7599999999</v>
      </c>
      <c r="AB43" s="79">
        <v>128356.8</v>
      </c>
      <c r="AC43" s="79">
        <v>28895.23</v>
      </c>
      <c r="AD43" s="79">
        <v>24296.9</v>
      </c>
      <c r="AE43" s="79">
        <v>56657.07</v>
      </c>
      <c r="AF43" s="79">
        <v>137945.96</v>
      </c>
      <c r="AG43" s="79">
        <v>21905.79</v>
      </c>
      <c r="AH43" s="79">
        <v>23548.68</v>
      </c>
      <c r="AI43" s="79">
        <v>67257.299999999901</v>
      </c>
      <c r="AJ43" s="79">
        <v>137087.5</v>
      </c>
      <c r="AV43" s="76" t="s">
        <v>277</v>
      </c>
      <c r="AW43" s="76" t="s">
        <v>352</v>
      </c>
      <c r="AX43" s="33">
        <v>2</v>
      </c>
      <c r="AY43" s="33"/>
      <c r="AZ43" s="33"/>
      <c r="BB43" s="76" t="s">
        <v>277</v>
      </c>
      <c r="BC43" s="76" t="s">
        <v>352</v>
      </c>
      <c r="BD43" s="79">
        <v>929.01</v>
      </c>
      <c r="BE43" s="79"/>
      <c r="BF43" s="79"/>
      <c r="BH43" s="76">
        <v>98031</v>
      </c>
      <c r="BI43" s="76" t="s">
        <v>10</v>
      </c>
      <c r="BJ43" s="79">
        <v>-787.52</v>
      </c>
      <c r="BK43" s="79">
        <v>-1555.12</v>
      </c>
      <c r="BL43" s="79">
        <v>-1402.57</v>
      </c>
    </row>
    <row r="44" spans="2:64" x14ac:dyDescent="0.2">
      <c r="B44" s="86">
        <v>98021</v>
      </c>
      <c r="C44" s="38" t="s">
        <v>352</v>
      </c>
      <c r="D44" s="48">
        <v>32</v>
      </c>
      <c r="E44" s="48">
        <v>21</v>
      </c>
      <c r="F44" s="48">
        <v>31</v>
      </c>
      <c r="H44" s="76">
        <v>98020</v>
      </c>
      <c r="I44" s="76" t="s">
        <v>10</v>
      </c>
      <c r="J44" s="79">
        <v>19865.71</v>
      </c>
      <c r="K44" s="79">
        <v>13503.84</v>
      </c>
      <c r="L44" s="79">
        <v>30530.359999999899</v>
      </c>
      <c r="M44" s="79">
        <v>116057.16</v>
      </c>
      <c r="N44" s="79">
        <v>19964.48</v>
      </c>
      <c r="O44" s="79">
        <v>11490.37</v>
      </c>
      <c r="P44" s="79">
        <v>30321.56</v>
      </c>
      <c r="Q44" s="79">
        <v>94655.93</v>
      </c>
      <c r="R44" s="79">
        <v>14439.93</v>
      </c>
      <c r="S44" s="79">
        <v>12036.43</v>
      </c>
      <c r="T44" s="79">
        <v>35350.559999999998</v>
      </c>
      <c r="U44" s="79">
        <v>85631.39</v>
      </c>
      <c r="W44" s="76">
        <v>98036</v>
      </c>
      <c r="X44" s="15" t="s">
        <v>10</v>
      </c>
      <c r="Y44" s="79">
        <v>3220.51</v>
      </c>
      <c r="Z44" s="79">
        <v>3251</v>
      </c>
      <c r="AA44" s="79">
        <v>6899.8</v>
      </c>
      <c r="AB44" s="79">
        <v>17876.3</v>
      </c>
      <c r="AC44" s="79">
        <v>3484.85</v>
      </c>
      <c r="AD44" s="79">
        <v>2335.38</v>
      </c>
      <c r="AE44" s="79">
        <v>8624.5300000000007</v>
      </c>
      <c r="AF44" s="79">
        <v>17726.62</v>
      </c>
      <c r="AG44" s="79">
        <v>2486.0500000000002</v>
      </c>
      <c r="AH44" s="79">
        <v>2535.6</v>
      </c>
      <c r="AI44" s="79">
        <v>9607.1899999999896</v>
      </c>
      <c r="AJ44" s="79">
        <v>17195.6499999999</v>
      </c>
      <c r="AV44" s="76" t="s">
        <v>277</v>
      </c>
      <c r="AW44" s="76" t="s">
        <v>10</v>
      </c>
      <c r="AX44" s="33">
        <v>8</v>
      </c>
      <c r="AY44" s="33">
        <v>4</v>
      </c>
      <c r="AZ44" s="33">
        <v>3</v>
      </c>
      <c r="BB44" s="76" t="s">
        <v>277</v>
      </c>
      <c r="BC44" s="76" t="s">
        <v>10</v>
      </c>
      <c r="BD44" s="79">
        <v>1462.3</v>
      </c>
      <c r="BE44" s="79">
        <v>1707.39</v>
      </c>
      <c r="BF44" s="79">
        <v>867.31</v>
      </c>
      <c r="BH44" s="76">
        <v>98032</v>
      </c>
      <c r="BI44" s="76" t="s">
        <v>352</v>
      </c>
      <c r="BJ44" s="79">
        <v>-286.51</v>
      </c>
      <c r="BK44" s="79">
        <v>-152.54</v>
      </c>
      <c r="BL44" s="79">
        <v>-310.02999999999997</v>
      </c>
    </row>
    <row r="45" spans="2:64" x14ac:dyDescent="0.2">
      <c r="B45" s="59">
        <v>98021</v>
      </c>
      <c r="C45" s="38" t="s">
        <v>10</v>
      </c>
      <c r="D45" s="48">
        <v>565</v>
      </c>
      <c r="E45" s="48">
        <v>612</v>
      </c>
      <c r="F45" s="48">
        <v>563</v>
      </c>
      <c r="H45" s="76">
        <v>98021</v>
      </c>
      <c r="I45" s="76" t="s">
        <v>352</v>
      </c>
      <c r="J45" s="79">
        <v>3192.05</v>
      </c>
      <c r="K45" s="79">
        <v>3265.13</v>
      </c>
      <c r="L45" s="79">
        <v>11763.23</v>
      </c>
      <c r="M45" s="79">
        <v>44522.16</v>
      </c>
      <c r="N45" s="79">
        <v>9189.34</v>
      </c>
      <c r="O45" s="79">
        <v>2616.7600000000002</v>
      </c>
      <c r="P45" s="79">
        <v>14078.8</v>
      </c>
      <c r="Q45" s="79">
        <v>31514.039999999899</v>
      </c>
      <c r="R45" s="79">
        <v>2422.58</v>
      </c>
      <c r="S45" s="79">
        <v>3297.11</v>
      </c>
      <c r="T45" s="79">
        <v>14360.83</v>
      </c>
      <c r="U45" s="79">
        <v>44246.55</v>
      </c>
      <c r="W45" s="76">
        <v>98037</v>
      </c>
      <c r="X45" s="15" t="s">
        <v>10</v>
      </c>
      <c r="Y45" s="79">
        <v>3840.99</v>
      </c>
      <c r="Z45" s="79">
        <v>3903.31</v>
      </c>
      <c r="AA45" s="79">
        <v>7200.78</v>
      </c>
      <c r="AB45" s="79">
        <v>19417.34</v>
      </c>
      <c r="AC45" s="79">
        <v>3182.97</v>
      </c>
      <c r="AD45" s="79">
        <v>2780.93</v>
      </c>
      <c r="AE45" s="79">
        <v>8904.36</v>
      </c>
      <c r="AF45" s="79">
        <v>18140.18</v>
      </c>
      <c r="AG45" s="79">
        <v>2307.69</v>
      </c>
      <c r="AH45" s="79">
        <v>2240.35</v>
      </c>
      <c r="AI45" s="79">
        <v>7324.11</v>
      </c>
      <c r="AJ45" s="79">
        <v>14842.0199999999</v>
      </c>
      <c r="AV45" s="76" t="s">
        <v>113</v>
      </c>
      <c r="AW45" s="76" t="s">
        <v>352</v>
      </c>
      <c r="AX45" s="33">
        <v>1</v>
      </c>
      <c r="AY45" s="33">
        <v>1</v>
      </c>
      <c r="AZ45" s="33"/>
      <c r="BB45" s="76" t="s">
        <v>113</v>
      </c>
      <c r="BC45" s="76" t="s">
        <v>352</v>
      </c>
      <c r="BD45" s="79">
        <v>0.5</v>
      </c>
      <c r="BE45" s="79">
        <v>1543.05</v>
      </c>
      <c r="BF45" s="79"/>
      <c r="BH45" s="76">
        <v>98032</v>
      </c>
      <c r="BI45" s="76" t="s">
        <v>10</v>
      </c>
      <c r="BJ45" s="79">
        <v>-2887.17</v>
      </c>
      <c r="BK45" s="79">
        <v>-1123.93</v>
      </c>
      <c r="BL45" s="79">
        <v>-363.5</v>
      </c>
    </row>
    <row r="46" spans="2:64" x14ac:dyDescent="0.2">
      <c r="B46" s="86">
        <v>98022</v>
      </c>
      <c r="C46" s="38" t="s">
        <v>352</v>
      </c>
      <c r="D46" s="48">
        <v>275</v>
      </c>
      <c r="E46" s="48">
        <v>239</v>
      </c>
      <c r="F46" s="48">
        <v>232</v>
      </c>
      <c r="H46" s="76">
        <v>98021</v>
      </c>
      <c r="I46" s="76" t="s">
        <v>10</v>
      </c>
      <c r="J46" s="79">
        <v>30572.05</v>
      </c>
      <c r="K46" s="79">
        <v>26265.85</v>
      </c>
      <c r="L46" s="79">
        <v>56227.729999999901</v>
      </c>
      <c r="M46" s="79">
        <v>174814.77</v>
      </c>
      <c r="N46" s="79">
        <v>35395.160000000003</v>
      </c>
      <c r="O46" s="79">
        <v>23771.33</v>
      </c>
      <c r="P46" s="79">
        <v>68749.37</v>
      </c>
      <c r="Q46" s="79">
        <v>180448.019999999</v>
      </c>
      <c r="R46" s="79">
        <v>28489.17</v>
      </c>
      <c r="S46" s="79">
        <v>25022.09</v>
      </c>
      <c r="T46" s="79">
        <v>75587.529999999897</v>
      </c>
      <c r="U46" s="79">
        <v>165382.81</v>
      </c>
      <c r="W46" s="76">
        <v>98038</v>
      </c>
      <c r="X46" s="15" t="s">
        <v>10</v>
      </c>
      <c r="Y46" s="79">
        <v>26431.200000000001</v>
      </c>
      <c r="Z46" s="79">
        <v>21558.720000000001</v>
      </c>
      <c r="AA46" s="79">
        <v>64605.9</v>
      </c>
      <c r="AB46" s="79">
        <v>142286.70000000001</v>
      </c>
      <c r="AC46" s="79">
        <v>23784.26</v>
      </c>
      <c r="AD46" s="79">
        <v>22024.61</v>
      </c>
      <c r="AE46" s="79">
        <v>73822.740000000005</v>
      </c>
      <c r="AF46" s="79">
        <v>143257.69</v>
      </c>
      <c r="AG46" s="79">
        <v>18455.21</v>
      </c>
      <c r="AH46" s="79">
        <v>19460.53</v>
      </c>
      <c r="AI46" s="79">
        <v>80802.44</v>
      </c>
      <c r="AJ46" s="79">
        <v>137984.12</v>
      </c>
      <c r="AV46" s="76" t="s">
        <v>113</v>
      </c>
      <c r="AW46" s="76" t="s">
        <v>10</v>
      </c>
      <c r="AX46" s="33">
        <v>12</v>
      </c>
      <c r="AY46" s="33">
        <v>14</v>
      </c>
      <c r="AZ46" s="33">
        <v>9</v>
      </c>
      <c r="BB46" s="76" t="s">
        <v>113</v>
      </c>
      <c r="BC46" s="76" t="s">
        <v>10</v>
      </c>
      <c r="BD46" s="79">
        <v>5471.6</v>
      </c>
      <c r="BE46" s="79">
        <v>7949.64</v>
      </c>
      <c r="BF46" s="79">
        <v>24370.07</v>
      </c>
      <c r="BH46" s="76">
        <v>98033</v>
      </c>
      <c r="BI46" s="76" t="s">
        <v>10</v>
      </c>
      <c r="BJ46" s="79">
        <v>-34.619999999999997</v>
      </c>
      <c r="BK46" s="79">
        <v>-321.93</v>
      </c>
      <c r="BL46" s="79">
        <v>-222.13</v>
      </c>
    </row>
    <row r="47" spans="2:64" x14ac:dyDescent="0.2">
      <c r="B47" s="59">
        <v>98022</v>
      </c>
      <c r="C47" s="38" t="s">
        <v>10</v>
      </c>
      <c r="D47" s="48">
        <v>2055</v>
      </c>
      <c r="E47" s="48">
        <v>1797</v>
      </c>
      <c r="F47" s="48">
        <v>1821</v>
      </c>
      <c r="H47" s="76">
        <v>98022</v>
      </c>
      <c r="I47" s="76" t="s">
        <v>352</v>
      </c>
      <c r="J47" s="79">
        <v>24240.22</v>
      </c>
      <c r="K47" s="79">
        <v>18011.47</v>
      </c>
      <c r="L47" s="79">
        <v>261132.11</v>
      </c>
      <c r="M47" s="79">
        <v>433604.72</v>
      </c>
      <c r="N47" s="79">
        <v>16737.080000000002</v>
      </c>
      <c r="O47" s="79">
        <v>19434.46</v>
      </c>
      <c r="P47" s="79">
        <v>272183.01999999897</v>
      </c>
      <c r="Q47" s="79">
        <v>374661.1</v>
      </c>
      <c r="R47" s="79">
        <v>16872.09</v>
      </c>
      <c r="S47" s="79">
        <v>12729.66</v>
      </c>
      <c r="T47" s="79">
        <v>285713.50999999902</v>
      </c>
      <c r="U47" s="79">
        <v>376158.91999999899</v>
      </c>
      <c r="W47" s="76">
        <v>98039</v>
      </c>
      <c r="X47" s="15" t="s">
        <v>10</v>
      </c>
      <c r="Y47" s="79">
        <v>825.43</v>
      </c>
      <c r="Z47" s="79">
        <v>901.07</v>
      </c>
      <c r="AA47" s="79">
        <v>226.67</v>
      </c>
      <c r="AB47" s="79">
        <v>2864.17</v>
      </c>
      <c r="AC47" s="79">
        <v>911</v>
      </c>
      <c r="AD47" s="79">
        <v>825.43</v>
      </c>
      <c r="AE47" s="79">
        <v>539.74</v>
      </c>
      <c r="AF47" s="79">
        <v>2953.15</v>
      </c>
      <c r="AG47" s="79">
        <v>676.98</v>
      </c>
      <c r="AH47" s="79">
        <v>911</v>
      </c>
      <c r="AI47" s="79">
        <v>579.58999999999901</v>
      </c>
      <c r="AJ47" s="79">
        <v>2758.85</v>
      </c>
      <c r="AV47" s="76" t="s">
        <v>114</v>
      </c>
      <c r="AW47" s="76" t="s">
        <v>352</v>
      </c>
      <c r="AX47" s="33">
        <v>4</v>
      </c>
      <c r="AY47" s="33">
        <v>2</v>
      </c>
      <c r="AZ47" s="33">
        <v>1</v>
      </c>
      <c r="BB47" s="76" t="s">
        <v>114</v>
      </c>
      <c r="BC47" s="76" t="s">
        <v>352</v>
      </c>
      <c r="BD47" s="79">
        <v>280.81</v>
      </c>
      <c r="BE47" s="79">
        <v>397.88</v>
      </c>
      <c r="BF47" s="79">
        <v>1039.52</v>
      </c>
      <c r="BH47" s="76">
        <v>98034</v>
      </c>
      <c r="BI47" s="76" t="s">
        <v>10</v>
      </c>
      <c r="BJ47" s="79">
        <v>-601.12</v>
      </c>
      <c r="BK47" s="79">
        <v>-704.5</v>
      </c>
      <c r="BL47" s="79">
        <v>-356.04</v>
      </c>
    </row>
    <row r="48" spans="2:64" x14ac:dyDescent="0.2">
      <c r="B48" s="86">
        <v>98023</v>
      </c>
      <c r="C48" s="38" t="s">
        <v>352</v>
      </c>
      <c r="D48" s="48">
        <v>96</v>
      </c>
      <c r="E48" s="48">
        <v>86</v>
      </c>
      <c r="F48" s="48">
        <v>81</v>
      </c>
      <c r="H48" s="76">
        <v>98022</v>
      </c>
      <c r="I48" s="76" t="s">
        <v>10</v>
      </c>
      <c r="J48" s="79">
        <v>162709.79</v>
      </c>
      <c r="K48" s="79">
        <v>94654.59</v>
      </c>
      <c r="L48" s="79">
        <v>419355.42</v>
      </c>
      <c r="M48" s="79">
        <v>990004.46999999904</v>
      </c>
      <c r="N48" s="79">
        <v>127530.36</v>
      </c>
      <c r="O48" s="79">
        <v>104503.01</v>
      </c>
      <c r="P48" s="79">
        <v>468901.91</v>
      </c>
      <c r="Q48" s="79">
        <v>935083.679999999</v>
      </c>
      <c r="R48" s="79">
        <v>106868.43</v>
      </c>
      <c r="S48" s="79">
        <v>86130.42</v>
      </c>
      <c r="T48" s="79">
        <v>484760.70999999897</v>
      </c>
      <c r="U48" s="79">
        <v>896280.54</v>
      </c>
      <c r="W48" s="76">
        <v>98040</v>
      </c>
      <c r="X48" s="15" t="s">
        <v>10</v>
      </c>
      <c r="Y48" s="79">
        <v>4874.74</v>
      </c>
      <c r="Z48" s="79">
        <v>4797.07</v>
      </c>
      <c r="AA48" s="79">
        <v>12122.5999999999</v>
      </c>
      <c r="AB48" s="79">
        <v>27943.389999999901</v>
      </c>
      <c r="AC48" s="79">
        <v>5051.97</v>
      </c>
      <c r="AD48" s="79">
        <v>4265.75</v>
      </c>
      <c r="AE48" s="79">
        <v>14854.28</v>
      </c>
      <c r="AF48" s="79">
        <v>29080.639999999901</v>
      </c>
      <c r="AG48" s="79">
        <v>3344.47</v>
      </c>
      <c r="AH48" s="79">
        <v>3851.99</v>
      </c>
      <c r="AI48" s="79">
        <v>17238.89</v>
      </c>
      <c r="AJ48" s="79">
        <v>27491.02</v>
      </c>
      <c r="AV48" s="76" t="s">
        <v>114</v>
      </c>
      <c r="AW48" s="76" t="s">
        <v>10</v>
      </c>
      <c r="AX48" s="33">
        <v>89</v>
      </c>
      <c r="AY48" s="33">
        <v>68</v>
      </c>
      <c r="AZ48" s="33">
        <v>83</v>
      </c>
      <c r="BB48" s="76" t="s">
        <v>114</v>
      </c>
      <c r="BC48" s="76" t="s">
        <v>10</v>
      </c>
      <c r="BD48" s="79">
        <v>81907.67</v>
      </c>
      <c r="BE48" s="79">
        <v>38863.94</v>
      </c>
      <c r="BF48" s="79">
        <v>62964.87</v>
      </c>
      <c r="BH48" s="76">
        <v>98036</v>
      </c>
      <c r="BI48" s="76" t="s">
        <v>10</v>
      </c>
      <c r="BJ48" s="79">
        <v>-579.20000000000005</v>
      </c>
      <c r="BK48" s="79"/>
      <c r="BL48" s="79">
        <v>-34.56</v>
      </c>
    </row>
    <row r="49" spans="2:64" x14ac:dyDescent="0.2">
      <c r="B49" s="59">
        <v>98023</v>
      </c>
      <c r="C49" s="38" t="s">
        <v>10</v>
      </c>
      <c r="D49" s="48">
        <v>3732</v>
      </c>
      <c r="E49" s="48">
        <v>3806</v>
      </c>
      <c r="F49" s="48">
        <v>3760</v>
      </c>
      <c r="H49" s="76">
        <v>98023</v>
      </c>
      <c r="I49" s="76" t="s">
        <v>352</v>
      </c>
      <c r="J49" s="79">
        <v>13291.28</v>
      </c>
      <c r="K49" s="79">
        <v>4372.82</v>
      </c>
      <c r="L49" s="79">
        <v>15096.87</v>
      </c>
      <c r="M49" s="79">
        <v>74788.449999999895</v>
      </c>
      <c r="N49" s="79">
        <v>3266.75</v>
      </c>
      <c r="O49" s="79">
        <v>12341.4</v>
      </c>
      <c r="P49" s="79">
        <v>17494.849999999999</v>
      </c>
      <c r="Q49" s="79">
        <v>120606.61</v>
      </c>
      <c r="R49" s="79">
        <v>7483.79</v>
      </c>
      <c r="S49" s="79">
        <v>1824.97</v>
      </c>
      <c r="T49" s="79">
        <v>21429.11</v>
      </c>
      <c r="U49" s="79">
        <v>65636.609999999899</v>
      </c>
      <c r="W49" s="76">
        <v>98042</v>
      </c>
      <c r="X49" s="15" t="s">
        <v>10</v>
      </c>
      <c r="Y49" s="79">
        <v>54411.81</v>
      </c>
      <c r="Z49" s="79">
        <v>47313.57</v>
      </c>
      <c r="AA49" s="79">
        <v>86352.639999999898</v>
      </c>
      <c r="AB49" s="79">
        <v>250175.79</v>
      </c>
      <c r="AC49" s="79">
        <v>46041.29</v>
      </c>
      <c r="AD49" s="79">
        <v>41125.379999999997</v>
      </c>
      <c r="AE49" s="79">
        <v>108225.51</v>
      </c>
      <c r="AF49" s="79">
        <v>246382</v>
      </c>
      <c r="AG49" s="79">
        <v>39237.82</v>
      </c>
      <c r="AH49" s="79">
        <v>37309.599999999999</v>
      </c>
      <c r="AI49" s="79">
        <v>114403.82</v>
      </c>
      <c r="AJ49" s="79">
        <v>232749.90999999901</v>
      </c>
      <c r="AV49" s="76" t="s">
        <v>115</v>
      </c>
      <c r="AW49" s="76" t="s">
        <v>10</v>
      </c>
      <c r="AX49" s="33">
        <v>8</v>
      </c>
      <c r="AY49" s="33">
        <v>6</v>
      </c>
      <c r="AZ49" s="33">
        <v>2</v>
      </c>
      <c r="BB49" s="76" t="s">
        <v>115</v>
      </c>
      <c r="BC49" s="76" t="s">
        <v>10</v>
      </c>
      <c r="BD49" s="79">
        <v>1853.54</v>
      </c>
      <c r="BE49" s="79">
        <v>635.96</v>
      </c>
      <c r="BF49" s="79">
        <v>1763.28</v>
      </c>
      <c r="BH49" s="76">
        <v>98037</v>
      </c>
      <c r="BI49" s="76" t="s">
        <v>10</v>
      </c>
      <c r="BJ49" s="79">
        <v>-243.12</v>
      </c>
      <c r="BK49" s="79">
        <v>-213.01</v>
      </c>
      <c r="BL49" s="79">
        <v>-280.73</v>
      </c>
    </row>
    <row r="50" spans="2:64" x14ac:dyDescent="0.2">
      <c r="B50" s="86">
        <v>98024</v>
      </c>
      <c r="C50" s="38" t="s">
        <v>352</v>
      </c>
      <c r="D50" s="48">
        <v>24</v>
      </c>
      <c r="E50" s="48">
        <v>30</v>
      </c>
      <c r="F50" s="48">
        <v>24</v>
      </c>
      <c r="H50" s="76">
        <v>98023</v>
      </c>
      <c r="I50" s="76" t="s">
        <v>10</v>
      </c>
      <c r="J50" s="79">
        <v>418725.57</v>
      </c>
      <c r="K50" s="79">
        <v>360060.81</v>
      </c>
      <c r="L50" s="79">
        <v>1046026.04</v>
      </c>
      <c r="M50" s="79">
        <v>2481728.0099999998</v>
      </c>
      <c r="N50" s="79">
        <v>440290.59</v>
      </c>
      <c r="O50" s="79">
        <v>327295.40000000002</v>
      </c>
      <c r="P50" s="79">
        <v>1235128.6599999999</v>
      </c>
      <c r="Q50" s="79">
        <v>2549910.48</v>
      </c>
      <c r="R50" s="79">
        <v>370630.76</v>
      </c>
      <c r="S50" s="79">
        <v>344926.03</v>
      </c>
      <c r="T50" s="79">
        <v>1338517.3400000001</v>
      </c>
      <c r="U50" s="79">
        <v>2535565.2000000002</v>
      </c>
      <c r="W50" s="76">
        <v>98043</v>
      </c>
      <c r="X50" s="15" t="s">
        <v>10</v>
      </c>
      <c r="Y50" s="79">
        <v>1234.74</v>
      </c>
      <c r="Z50" s="79">
        <v>1193.07</v>
      </c>
      <c r="AA50" s="79">
        <v>3646.46</v>
      </c>
      <c r="AB50" s="79">
        <v>9090.86</v>
      </c>
      <c r="AC50" s="79">
        <v>1313.9</v>
      </c>
      <c r="AD50" s="79">
        <v>863.19</v>
      </c>
      <c r="AE50" s="79">
        <v>4198.3500000000004</v>
      </c>
      <c r="AF50" s="79">
        <v>7631.92</v>
      </c>
      <c r="AG50" s="79">
        <v>837.71</v>
      </c>
      <c r="AH50" s="79">
        <v>965.49</v>
      </c>
      <c r="AI50" s="79">
        <v>3758.68</v>
      </c>
      <c r="AJ50" s="79">
        <v>6378.45</v>
      </c>
      <c r="AV50" s="76" t="s">
        <v>278</v>
      </c>
      <c r="AW50" s="76" t="s">
        <v>352</v>
      </c>
      <c r="AX50" s="33"/>
      <c r="AY50" s="33">
        <v>2</v>
      </c>
      <c r="AZ50" s="33"/>
      <c r="BB50" s="76" t="s">
        <v>278</v>
      </c>
      <c r="BC50" s="76" t="s">
        <v>352</v>
      </c>
      <c r="BD50" s="79"/>
      <c r="BE50" s="79">
        <v>71.739999999999995</v>
      </c>
      <c r="BF50" s="79"/>
      <c r="BH50" s="76">
        <v>98038</v>
      </c>
      <c r="BI50" s="76" t="s">
        <v>10</v>
      </c>
      <c r="BJ50" s="79">
        <v>-269.83</v>
      </c>
      <c r="BK50" s="79">
        <v>-856.15</v>
      </c>
      <c r="BL50" s="79">
        <v>-500</v>
      </c>
    </row>
    <row r="51" spans="2:64" x14ac:dyDescent="0.2">
      <c r="B51" s="59">
        <v>98024</v>
      </c>
      <c r="C51" s="38" t="s">
        <v>10</v>
      </c>
      <c r="D51" s="48">
        <v>294</v>
      </c>
      <c r="E51" s="48">
        <v>297</v>
      </c>
      <c r="F51" s="48">
        <v>274</v>
      </c>
      <c r="H51" s="76">
        <v>98024</v>
      </c>
      <c r="I51" s="76" t="s">
        <v>352</v>
      </c>
      <c r="J51" s="79">
        <v>2428.92</v>
      </c>
      <c r="K51" s="79">
        <v>2615.7199999999998</v>
      </c>
      <c r="L51" s="79">
        <v>8376.34</v>
      </c>
      <c r="M51" s="79">
        <v>20557.89</v>
      </c>
      <c r="N51" s="79">
        <v>2516.92</v>
      </c>
      <c r="O51" s="79">
        <v>753.49</v>
      </c>
      <c r="P51" s="79">
        <v>863.04</v>
      </c>
      <c r="Q51" s="79">
        <v>9141.0099999999893</v>
      </c>
      <c r="R51" s="79">
        <v>1605.65</v>
      </c>
      <c r="S51" s="79">
        <v>230.11</v>
      </c>
      <c r="T51" s="79">
        <v>326.39999999999998</v>
      </c>
      <c r="U51" s="79">
        <v>5943.76</v>
      </c>
      <c r="W51" s="76">
        <v>98045</v>
      </c>
      <c r="X51" s="15" t="s">
        <v>10</v>
      </c>
      <c r="Y51" s="79">
        <v>7359.43</v>
      </c>
      <c r="Z51" s="79">
        <v>6827.25</v>
      </c>
      <c r="AA51" s="79">
        <v>8313.6299999999992</v>
      </c>
      <c r="AB51" s="79">
        <v>32541.95</v>
      </c>
      <c r="AC51" s="79">
        <v>8161.62</v>
      </c>
      <c r="AD51" s="79">
        <v>6419.18</v>
      </c>
      <c r="AE51" s="79">
        <v>11928.8</v>
      </c>
      <c r="AF51" s="79">
        <v>34479.96</v>
      </c>
      <c r="AG51" s="79">
        <v>5843.12</v>
      </c>
      <c r="AH51" s="79">
        <v>6709.46</v>
      </c>
      <c r="AI51" s="79">
        <v>12537.66</v>
      </c>
      <c r="AJ51" s="79">
        <v>30810.53</v>
      </c>
      <c r="AV51" s="76" t="s">
        <v>278</v>
      </c>
      <c r="AW51" s="76" t="s">
        <v>10</v>
      </c>
      <c r="AX51" s="33">
        <v>4</v>
      </c>
      <c r="AY51" s="33">
        <v>4</v>
      </c>
      <c r="AZ51" s="33">
        <v>3</v>
      </c>
      <c r="BB51" s="76" t="s">
        <v>278</v>
      </c>
      <c r="BC51" s="76" t="s">
        <v>10</v>
      </c>
      <c r="BD51" s="79">
        <v>1276.5999999999999</v>
      </c>
      <c r="BE51" s="79">
        <v>1080.95</v>
      </c>
      <c r="BF51" s="79">
        <v>832.78</v>
      </c>
      <c r="BH51" s="76">
        <v>98039</v>
      </c>
      <c r="BI51" s="76" t="s">
        <v>10</v>
      </c>
      <c r="BJ51" s="79">
        <v>-217.62</v>
      </c>
      <c r="BK51" s="79"/>
      <c r="BL51" s="79"/>
    </row>
    <row r="52" spans="2:64" x14ac:dyDescent="0.2">
      <c r="B52" s="86">
        <v>98026</v>
      </c>
      <c r="C52" s="38" t="s">
        <v>352</v>
      </c>
      <c r="D52" s="48">
        <v>28</v>
      </c>
      <c r="E52" s="48">
        <v>20</v>
      </c>
      <c r="F52" s="48">
        <v>23</v>
      </c>
      <c r="H52" s="76">
        <v>98024</v>
      </c>
      <c r="I52" s="76" t="s">
        <v>10</v>
      </c>
      <c r="J52" s="79">
        <v>34482.239999999998</v>
      </c>
      <c r="K52" s="79">
        <v>18721.18</v>
      </c>
      <c r="L52" s="79">
        <v>72577.029999999897</v>
      </c>
      <c r="M52" s="79">
        <v>185366.36</v>
      </c>
      <c r="N52" s="79">
        <v>28058.1</v>
      </c>
      <c r="O52" s="79">
        <v>17717.48</v>
      </c>
      <c r="P52" s="79">
        <v>81678.299999999901</v>
      </c>
      <c r="Q52" s="79">
        <v>182297.92</v>
      </c>
      <c r="R52" s="79">
        <v>20771.169999999998</v>
      </c>
      <c r="S52" s="79">
        <v>17615.14</v>
      </c>
      <c r="T52" s="79">
        <v>85329.01</v>
      </c>
      <c r="U52" s="79">
        <v>162822.21</v>
      </c>
      <c r="W52" s="76">
        <v>98047</v>
      </c>
      <c r="X52" s="15" t="s">
        <v>10</v>
      </c>
      <c r="Y52" s="79">
        <v>10088.780000000001</v>
      </c>
      <c r="Z52" s="79">
        <v>9522.92</v>
      </c>
      <c r="AA52" s="79">
        <v>8981.3399999999892</v>
      </c>
      <c r="AB52" s="79">
        <v>41695.169999999896</v>
      </c>
      <c r="AC52" s="79">
        <v>1027.5</v>
      </c>
      <c r="AD52" s="79">
        <v>16065.88</v>
      </c>
      <c r="AE52" s="79">
        <v>12752.7</v>
      </c>
      <c r="AF52" s="79">
        <v>41399.0799999999</v>
      </c>
      <c r="AG52" s="79">
        <v>7583.43</v>
      </c>
      <c r="AH52" s="79">
        <v>753.24</v>
      </c>
      <c r="AI52" s="79">
        <v>18780.95</v>
      </c>
      <c r="AJ52" s="79">
        <v>34133.1</v>
      </c>
      <c r="AV52" s="76" t="s">
        <v>116</v>
      </c>
      <c r="AW52" s="76" t="s">
        <v>352</v>
      </c>
      <c r="AX52" s="33">
        <v>4</v>
      </c>
      <c r="AY52" s="33">
        <v>4</v>
      </c>
      <c r="AZ52" s="33">
        <v>5</v>
      </c>
      <c r="BB52" s="76" t="s">
        <v>116</v>
      </c>
      <c r="BC52" s="76" t="s">
        <v>352</v>
      </c>
      <c r="BD52" s="79">
        <v>1150.1600000000001</v>
      </c>
      <c r="BE52" s="79">
        <v>363.19</v>
      </c>
      <c r="BF52" s="79">
        <v>554.22</v>
      </c>
      <c r="BH52" s="76">
        <v>98040</v>
      </c>
      <c r="BI52" s="76" t="s">
        <v>352</v>
      </c>
      <c r="BJ52" s="79"/>
      <c r="BK52" s="79">
        <v>-77.16</v>
      </c>
      <c r="BL52" s="79"/>
    </row>
    <row r="53" spans="2:64" x14ac:dyDescent="0.2">
      <c r="B53" s="59">
        <v>98026</v>
      </c>
      <c r="C53" s="38" t="s">
        <v>10</v>
      </c>
      <c r="D53" s="48">
        <v>779</v>
      </c>
      <c r="E53" s="48">
        <v>803</v>
      </c>
      <c r="F53" s="48">
        <v>754</v>
      </c>
      <c r="H53" s="76">
        <v>98026</v>
      </c>
      <c r="I53" s="76" t="s">
        <v>352</v>
      </c>
      <c r="J53" s="79">
        <v>6757.35</v>
      </c>
      <c r="K53" s="79">
        <v>9871.0300000000007</v>
      </c>
      <c r="L53" s="79">
        <v>1750.74</v>
      </c>
      <c r="M53" s="79">
        <v>32887.47</v>
      </c>
      <c r="N53" s="79">
        <v>1538.68</v>
      </c>
      <c r="O53" s="79">
        <v>649.15</v>
      </c>
      <c r="P53" s="79">
        <v>994.49</v>
      </c>
      <c r="Q53" s="79">
        <v>8880.4999999999909</v>
      </c>
      <c r="R53" s="79">
        <v>4453.33</v>
      </c>
      <c r="S53" s="79">
        <v>1287.83</v>
      </c>
      <c r="T53" s="79">
        <v>1594.49</v>
      </c>
      <c r="U53" s="79">
        <v>15246.6599999999</v>
      </c>
      <c r="W53" s="76">
        <v>98051</v>
      </c>
      <c r="X53" s="15" t="s">
        <v>10</v>
      </c>
      <c r="Y53" s="79">
        <v>5527.52</v>
      </c>
      <c r="Z53" s="79">
        <v>5645.61</v>
      </c>
      <c r="AA53" s="79">
        <v>25364.78</v>
      </c>
      <c r="AB53" s="79">
        <v>42402.53</v>
      </c>
      <c r="AC53" s="79">
        <v>4968.5200000000004</v>
      </c>
      <c r="AD53" s="79">
        <v>4211.1099999999997</v>
      </c>
      <c r="AE53" s="79">
        <v>29857.39</v>
      </c>
      <c r="AF53" s="79">
        <v>43133.56</v>
      </c>
      <c r="AG53" s="79">
        <v>3819.45</v>
      </c>
      <c r="AH53" s="79">
        <v>4698.74</v>
      </c>
      <c r="AI53" s="79">
        <v>33269.179999999898</v>
      </c>
      <c r="AJ53" s="79">
        <v>46637.11</v>
      </c>
      <c r="AV53" s="76" t="s">
        <v>116</v>
      </c>
      <c r="AW53" s="76" t="s">
        <v>10</v>
      </c>
      <c r="AX53" s="33">
        <v>16</v>
      </c>
      <c r="AY53" s="33">
        <v>11</v>
      </c>
      <c r="AZ53" s="33">
        <v>15</v>
      </c>
      <c r="BB53" s="76" t="s">
        <v>116</v>
      </c>
      <c r="BC53" s="76" t="s">
        <v>10</v>
      </c>
      <c r="BD53" s="79">
        <v>5656.84</v>
      </c>
      <c r="BE53" s="79">
        <v>8435.91</v>
      </c>
      <c r="BF53" s="79">
        <v>10931.59</v>
      </c>
      <c r="BH53" s="76">
        <v>98040</v>
      </c>
      <c r="BI53" s="76" t="s">
        <v>10</v>
      </c>
      <c r="BJ53" s="79">
        <v>-281.24</v>
      </c>
      <c r="BK53" s="79">
        <v>-1041.6400000000001</v>
      </c>
      <c r="BL53" s="79">
        <v>-691.44</v>
      </c>
    </row>
    <row r="54" spans="2:64" x14ac:dyDescent="0.2">
      <c r="B54" s="86">
        <v>98027</v>
      </c>
      <c r="C54" s="38" t="s">
        <v>352</v>
      </c>
      <c r="D54" s="48">
        <v>207</v>
      </c>
      <c r="E54" s="48">
        <v>184</v>
      </c>
      <c r="F54" s="48">
        <v>166</v>
      </c>
      <c r="H54" s="76">
        <v>98026</v>
      </c>
      <c r="I54" s="76" t="s">
        <v>10</v>
      </c>
      <c r="J54" s="79">
        <v>42423.83</v>
      </c>
      <c r="K54" s="79">
        <v>34152.480000000003</v>
      </c>
      <c r="L54" s="79">
        <v>64251.15</v>
      </c>
      <c r="M54" s="79">
        <v>230229.02</v>
      </c>
      <c r="N54" s="79">
        <v>46831.29</v>
      </c>
      <c r="O54" s="79">
        <v>27954.23</v>
      </c>
      <c r="P54" s="79">
        <v>77575.25</v>
      </c>
      <c r="Q54" s="79">
        <v>228374.85</v>
      </c>
      <c r="R54" s="79">
        <v>35961.519999999997</v>
      </c>
      <c r="S54" s="79">
        <v>33027.879999999997</v>
      </c>
      <c r="T54" s="79">
        <v>87480.489999999903</v>
      </c>
      <c r="U54" s="79">
        <v>205539.06</v>
      </c>
      <c r="W54" s="76">
        <v>98052</v>
      </c>
      <c r="X54" s="15" t="s">
        <v>10</v>
      </c>
      <c r="Y54" s="79">
        <v>26290.74</v>
      </c>
      <c r="Z54" s="79">
        <v>24443.03</v>
      </c>
      <c r="AA54" s="79">
        <v>29838.45</v>
      </c>
      <c r="AB54" s="79">
        <v>116961.69</v>
      </c>
      <c r="AC54" s="79">
        <v>27876.17</v>
      </c>
      <c r="AD54" s="79">
        <v>20826.96</v>
      </c>
      <c r="AE54" s="79">
        <v>45309.7</v>
      </c>
      <c r="AF54" s="79">
        <v>121456.16999999899</v>
      </c>
      <c r="AG54" s="79">
        <v>22492.58</v>
      </c>
      <c r="AH54" s="79">
        <v>23148.639999999999</v>
      </c>
      <c r="AI54" s="79">
        <v>50625.609999999899</v>
      </c>
      <c r="AJ54" s="79">
        <v>118317.049999999</v>
      </c>
      <c r="AV54" s="76" t="s">
        <v>117</v>
      </c>
      <c r="AW54" s="76" t="s">
        <v>352</v>
      </c>
      <c r="AX54" s="33"/>
      <c r="AY54" s="33">
        <v>1</v>
      </c>
      <c r="AZ54" s="33"/>
      <c r="BB54" s="76" t="s">
        <v>117</v>
      </c>
      <c r="BC54" s="76" t="s">
        <v>352</v>
      </c>
      <c r="BD54" s="79"/>
      <c r="BE54" s="79">
        <v>3276.86</v>
      </c>
      <c r="BF54" s="79"/>
      <c r="BH54" s="76">
        <v>98042</v>
      </c>
      <c r="BI54" s="76" t="s">
        <v>10</v>
      </c>
      <c r="BJ54" s="79">
        <v>-168.8</v>
      </c>
      <c r="BK54" s="79">
        <v>-1010.57</v>
      </c>
      <c r="BL54" s="79">
        <v>-324.19</v>
      </c>
    </row>
    <row r="55" spans="2:64" x14ac:dyDescent="0.2">
      <c r="B55" s="59">
        <v>98027</v>
      </c>
      <c r="C55" s="38" t="s">
        <v>10</v>
      </c>
      <c r="D55" s="48">
        <v>1458</v>
      </c>
      <c r="E55" s="48">
        <v>1438</v>
      </c>
      <c r="F55" s="48">
        <v>1427</v>
      </c>
      <c r="H55" s="76">
        <v>98027</v>
      </c>
      <c r="I55" s="76" t="s">
        <v>352</v>
      </c>
      <c r="J55" s="79">
        <v>15215.37</v>
      </c>
      <c r="K55" s="79">
        <v>11121.77</v>
      </c>
      <c r="L55" s="79">
        <v>56164.61</v>
      </c>
      <c r="M55" s="79">
        <v>198262.36</v>
      </c>
      <c r="N55" s="79">
        <v>15658.64</v>
      </c>
      <c r="O55" s="79">
        <v>8578.7099999999991</v>
      </c>
      <c r="P55" s="79">
        <v>57857.6499999999</v>
      </c>
      <c r="Q55" s="79">
        <v>210466.37999999899</v>
      </c>
      <c r="R55" s="79">
        <v>15496.63</v>
      </c>
      <c r="S55" s="79">
        <v>7579.39</v>
      </c>
      <c r="T55" s="79">
        <v>62001.2599999999</v>
      </c>
      <c r="U55" s="79">
        <v>202099.98</v>
      </c>
      <c r="W55" s="76">
        <v>98053</v>
      </c>
      <c r="X55" s="15" t="s">
        <v>10</v>
      </c>
      <c r="Y55" s="79">
        <v>3518.15</v>
      </c>
      <c r="Z55" s="79">
        <v>3144.56</v>
      </c>
      <c r="AA55" s="79">
        <v>5037.7299999999996</v>
      </c>
      <c r="AB55" s="79">
        <v>17509.060000000001</v>
      </c>
      <c r="AC55" s="79">
        <v>4057.36</v>
      </c>
      <c r="AD55" s="79">
        <v>2861.9</v>
      </c>
      <c r="AE55" s="79">
        <v>6844.93</v>
      </c>
      <c r="AF55" s="79">
        <v>19392.29</v>
      </c>
      <c r="AG55" s="79">
        <v>2983.95</v>
      </c>
      <c r="AH55" s="79">
        <v>2437.44</v>
      </c>
      <c r="AI55" s="79">
        <v>5723.4699999999903</v>
      </c>
      <c r="AJ55" s="79">
        <v>15288.5699999999</v>
      </c>
      <c r="AV55" s="76" t="s">
        <v>117</v>
      </c>
      <c r="AW55" s="76" t="s">
        <v>10</v>
      </c>
      <c r="AX55" s="33">
        <v>18</v>
      </c>
      <c r="AY55" s="33">
        <v>16</v>
      </c>
      <c r="AZ55" s="33">
        <v>17</v>
      </c>
      <c r="BB55" s="76" t="s">
        <v>117</v>
      </c>
      <c r="BC55" s="76" t="s">
        <v>10</v>
      </c>
      <c r="BD55" s="79">
        <v>8222.4</v>
      </c>
      <c r="BE55" s="79">
        <v>4296.33</v>
      </c>
      <c r="BF55" s="79">
        <v>5719.73</v>
      </c>
      <c r="BH55" s="76">
        <v>98043</v>
      </c>
      <c r="BI55" s="76" t="s">
        <v>10</v>
      </c>
      <c r="BJ55" s="79">
        <v>-186.34</v>
      </c>
      <c r="BK55" s="79">
        <v>-181.37</v>
      </c>
      <c r="BL55" s="79">
        <v>-127.9</v>
      </c>
    </row>
    <row r="56" spans="2:64" x14ac:dyDescent="0.2">
      <c r="B56" s="86">
        <v>98028</v>
      </c>
      <c r="C56" s="38" t="s">
        <v>352</v>
      </c>
      <c r="D56" s="48">
        <v>62</v>
      </c>
      <c r="E56" s="48">
        <v>47</v>
      </c>
      <c r="F56" s="48">
        <v>45</v>
      </c>
      <c r="H56" s="76">
        <v>98027</v>
      </c>
      <c r="I56" s="76" t="s">
        <v>10</v>
      </c>
      <c r="J56" s="79">
        <v>123457.34</v>
      </c>
      <c r="K56" s="79">
        <v>100152.67</v>
      </c>
      <c r="L56" s="79">
        <v>323813.71999999997</v>
      </c>
      <c r="M56" s="79">
        <v>774243.53</v>
      </c>
      <c r="N56" s="79">
        <v>109971.16</v>
      </c>
      <c r="O56" s="79">
        <v>87658.13</v>
      </c>
      <c r="P56" s="79">
        <v>357745.38999999902</v>
      </c>
      <c r="Q56" s="79">
        <v>747569.76</v>
      </c>
      <c r="R56" s="79">
        <v>93596.86</v>
      </c>
      <c r="S56" s="79">
        <v>75909.03</v>
      </c>
      <c r="T56" s="79">
        <v>376625.989999999</v>
      </c>
      <c r="U56" s="79">
        <v>707949.78999999899</v>
      </c>
      <c r="W56" s="76">
        <v>98055</v>
      </c>
      <c r="X56" s="15" t="s">
        <v>10</v>
      </c>
      <c r="Y56" s="79">
        <v>36658.839999999997</v>
      </c>
      <c r="Z56" s="79">
        <v>28000.85</v>
      </c>
      <c r="AA56" s="79">
        <v>47672.53</v>
      </c>
      <c r="AB56" s="79">
        <v>151141.91</v>
      </c>
      <c r="AC56" s="79">
        <v>31565.83</v>
      </c>
      <c r="AD56" s="79">
        <v>30928.22</v>
      </c>
      <c r="AE56" s="79">
        <v>63150.26</v>
      </c>
      <c r="AF56" s="79">
        <v>160536.399999999</v>
      </c>
      <c r="AG56" s="79">
        <v>28760.99</v>
      </c>
      <c r="AH56" s="79">
        <v>25668.38</v>
      </c>
      <c r="AI56" s="79">
        <v>75989.38</v>
      </c>
      <c r="AJ56" s="79">
        <v>157636.69999999899</v>
      </c>
      <c r="AV56" s="76" t="s">
        <v>118</v>
      </c>
      <c r="AW56" s="76" t="s">
        <v>352</v>
      </c>
      <c r="AX56" s="33">
        <v>1</v>
      </c>
      <c r="AY56" s="33">
        <v>2</v>
      </c>
      <c r="AZ56" s="33">
        <v>3</v>
      </c>
      <c r="BB56" s="76" t="s">
        <v>118</v>
      </c>
      <c r="BC56" s="76" t="s">
        <v>352</v>
      </c>
      <c r="BD56" s="79">
        <v>227.32</v>
      </c>
      <c r="BE56" s="79">
        <v>23.33</v>
      </c>
      <c r="BF56" s="79">
        <v>739.64</v>
      </c>
      <c r="BH56" s="76">
        <v>98045</v>
      </c>
      <c r="BI56" s="76" t="s">
        <v>10</v>
      </c>
      <c r="BJ56" s="79">
        <v>-750</v>
      </c>
      <c r="BK56" s="79">
        <v>-500</v>
      </c>
      <c r="BL56" s="79">
        <v>-500</v>
      </c>
    </row>
    <row r="57" spans="2:64" x14ac:dyDescent="0.2">
      <c r="B57" s="59">
        <v>98028</v>
      </c>
      <c r="C57" s="38" t="s">
        <v>10</v>
      </c>
      <c r="D57" s="48">
        <v>877</v>
      </c>
      <c r="E57" s="48">
        <v>906</v>
      </c>
      <c r="F57" s="48">
        <v>875</v>
      </c>
      <c r="H57" s="76">
        <v>98028</v>
      </c>
      <c r="I57" s="76" t="s">
        <v>352</v>
      </c>
      <c r="J57" s="79">
        <v>20306.82</v>
      </c>
      <c r="K57" s="79">
        <v>4481.8</v>
      </c>
      <c r="L57" s="79">
        <v>13882.87</v>
      </c>
      <c r="M57" s="79">
        <v>81676.12</v>
      </c>
      <c r="N57" s="79">
        <v>6601.54</v>
      </c>
      <c r="O57" s="79">
        <v>1421.15</v>
      </c>
      <c r="P57" s="79">
        <v>14125.09</v>
      </c>
      <c r="Q57" s="79">
        <v>42326.1899999999</v>
      </c>
      <c r="R57" s="79">
        <v>2360.14</v>
      </c>
      <c r="S57" s="79">
        <v>3965.61</v>
      </c>
      <c r="T57" s="79">
        <v>15522.41</v>
      </c>
      <c r="U57" s="79">
        <v>42902.46</v>
      </c>
      <c r="W57" s="76">
        <v>98056</v>
      </c>
      <c r="X57" s="15" t="s">
        <v>10</v>
      </c>
      <c r="Y57" s="79">
        <v>39643.61</v>
      </c>
      <c r="Z57" s="79">
        <v>35728.75</v>
      </c>
      <c r="AA57" s="79">
        <v>58360.69</v>
      </c>
      <c r="AB57" s="79">
        <v>180407.05</v>
      </c>
      <c r="AC57" s="79">
        <v>35768.1</v>
      </c>
      <c r="AD57" s="79">
        <v>31280.799999999999</v>
      </c>
      <c r="AE57" s="79">
        <v>74698.73</v>
      </c>
      <c r="AF57" s="79">
        <v>177651.85</v>
      </c>
      <c r="AG57" s="79">
        <v>29894.06</v>
      </c>
      <c r="AH57" s="79">
        <v>29942.639999999999</v>
      </c>
      <c r="AI57" s="79">
        <v>83700.429999999993</v>
      </c>
      <c r="AJ57" s="79">
        <v>169371.37</v>
      </c>
      <c r="AV57" s="76" t="s">
        <v>118</v>
      </c>
      <c r="AW57" s="76" t="s">
        <v>10</v>
      </c>
      <c r="AX57" s="33">
        <v>20</v>
      </c>
      <c r="AY57" s="33">
        <v>15</v>
      </c>
      <c r="AZ57" s="33">
        <v>15</v>
      </c>
      <c r="BB57" s="76" t="s">
        <v>118</v>
      </c>
      <c r="BC57" s="76" t="s">
        <v>10</v>
      </c>
      <c r="BD57" s="79">
        <v>5158.84</v>
      </c>
      <c r="BE57" s="79">
        <v>7968</v>
      </c>
      <c r="BF57" s="79">
        <v>6595.52</v>
      </c>
      <c r="BH57" s="76">
        <v>98047</v>
      </c>
      <c r="BI57" s="76" t="s">
        <v>10</v>
      </c>
      <c r="BJ57" s="79">
        <v>-123.59</v>
      </c>
      <c r="BK57" s="79"/>
      <c r="BL57" s="79"/>
    </row>
    <row r="58" spans="2:64" x14ac:dyDescent="0.2">
      <c r="B58" s="86">
        <v>98029</v>
      </c>
      <c r="C58" s="38" t="s">
        <v>352</v>
      </c>
      <c r="D58" s="48">
        <v>116</v>
      </c>
      <c r="E58" s="48">
        <v>74</v>
      </c>
      <c r="F58" s="48">
        <v>64</v>
      </c>
      <c r="H58" s="76">
        <v>98028</v>
      </c>
      <c r="I58" s="76" t="s">
        <v>10</v>
      </c>
      <c r="J58" s="79">
        <v>74581.929999999993</v>
      </c>
      <c r="K58" s="79">
        <v>64250.53</v>
      </c>
      <c r="L58" s="79">
        <v>186299.23</v>
      </c>
      <c r="M58" s="79">
        <v>471712.82999999903</v>
      </c>
      <c r="N58" s="79">
        <v>86616.34</v>
      </c>
      <c r="O58" s="79">
        <v>52653.05</v>
      </c>
      <c r="P58" s="79">
        <v>212371.33</v>
      </c>
      <c r="Q58" s="79">
        <v>459003.15999999898</v>
      </c>
      <c r="R58" s="79">
        <v>60372.24</v>
      </c>
      <c r="S58" s="79">
        <v>61555.27</v>
      </c>
      <c r="T58" s="79">
        <v>226243.55</v>
      </c>
      <c r="U58" s="79">
        <v>437170.02999999898</v>
      </c>
      <c r="W58" s="76">
        <v>98057</v>
      </c>
      <c r="X58" s="15" t="s">
        <v>10</v>
      </c>
      <c r="Y58" s="79">
        <v>17753.400000000001</v>
      </c>
      <c r="Z58" s="79">
        <v>16171.89</v>
      </c>
      <c r="AA58" s="79">
        <v>19353.999999999902</v>
      </c>
      <c r="AB58" s="79">
        <v>72933.719999999899</v>
      </c>
      <c r="AC58" s="79">
        <v>16211.96</v>
      </c>
      <c r="AD58" s="79">
        <v>14762.35</v>
      </c>
      <c r="AE58" s="79">
        <v>25524.880000000001</v>
      </c>
      <c r="AF58" s="79">
        <v>74090.52</v>
      </c>
      <c r="AG58" s="79">
        <v>15050.56</v>
      </c>
      <c r="AH58" s="79">
        <v>14540.39</v>
      </c>
      <c r="AI58" s="79">
        <v>34086.44</v>
      </c>
      <c r="AJ58" s="79">
        <v>77173.09</v>
      </c>
      <c r="AV58" s="76" t="s">
        <v>119</v>
      </c>
      <c r="AW58" s="76" t="s">
        <v>352</v>
      </c>
      <c r="AX58" s="33">
        <v>2</v>
      </c>
      <c r="AY58" s="33"/>
      <c r="AZ58" s="33">
        <v>2</v>
      </c>
      <c r="BB58" s="76" t="s">
        <v>119</v>
      </c>
      <c r="BC58" s="76" t="s">
        <v>352</v>
      </c>
      <c r="BD58" s="79">
        <v>7217.19</v>
      </c>
      <c r="BE58" s="79"/>
      <c r="BF58" s="79">
        <v>253.98</v>
      </c>
      <c r="BH58" s="76">
        <v>98052</v>
      </c>
      <c r="BI58" s="76" t="s">
        <v>352</v>
      </c>
      <c r="BJ58" s="79">
        <v>-1067.43</v>
      </c>
      <c r="BK58" s="79">
        <v>-434.74</v>
      </c>
      <c r="BL58" s="79">
        <v>-50</v>
      </c>
    </row>
    <row r="59" spans="2:64" x14ac:dyDescent="0.2">
      <c r="B59" s="59">
        <v>98029</v>
      </c>
      <c r="C59" s="38" t="s">
        <v>10</v>
      </c>
      <c r="D59" s="48">
        <v>1496</v>
      </c>
      <c r="E59" s="48">
        <v>1472</v>
      </c>
      <c r="F59" s="48">
        <v>1499</v>
      </c>
      <c r="H59" s="76">
        <v>98029</v>
      </c>
      <c r="I59" s="76" t="s">
        <v>352</v>
      </c>
      <c r="J59" s="79">
        <v>3180.37</v>
      </c>
      <c r="K59" s="79">
        <v>684.09</v>
      </c>
      <c r="L59" s="79">
        <v>11931.96</v>
      </c>
      <c r="M59" s="79">
        <v>87650.52</v>
      </c>
      <c r="N59" s="79">
        <v>1298.78</v>
      </c>
      <c r="O59" s="79">
        <v>1366.22</v>
      </c>
      <c r="P59" s="79">
        <v>12116.21</v>
      </c>
      <c r="Q59" s="79">
        <v>42819.5</v>
      </c>
      <c r="R59" s="79">
        <v>1336.47</v>
      </c>
      <c r="S59" s="79">
        <v>973.8</v>
      </c>
      <c r="T59" s="79">
        <v>12518.8299999999</v>
      </c>
      <c r="U59" s="79">
        <v>86670.29</v>
      </c>
      <c r="W59" s="76">
        <v>98058</v>
      </c>
      <c r="X59" s="15" t="s">
        <v>10</v>
      </c>
      <c r="Y59" s="79">
        <v>58475.74</v>
      </c>
      <c r="Z59" s="79">
        <v>47067.8</v>
      </c>
      <c r="AA59" s="79">
        <v>75052.53</v>
      </c>
      <c r="AB59" s="79">
        <v>239669.56</v>
      </c>
      <c r="AC59" s="79">
        <v>48357.31</v>
      </c>
      <c r="AD59" s="79">
        <v>49701.29</v>
      </c>
      <c r="AE59" s="79">
        <v>99139.16</v>
      </c>
      <c r="AF59" s="79">
        <v>251499.61999999901</v>
      </c>
      <c r="AG59" s="79">
        <v>42034.1</v>
      </c>
      <c r="AH59" s="79">
        <v>40862.25</v>
      </c>
      <c r="AI59" s="79">
        <v>123201.16999999899</v>
      </c>
      <c r="AJ59" s="79">
        <v>244065.92000000001</v>
      </c>
      <c r="AV59" s="76" t="s">
        <v>119</v>
      </c>
      <c r="AW59" s="76" t="s">
        <v>10</v>
      </c>
      <c r="AX59" s="33">
        <v>52</v>
      </c>
      <c r="AY59" s="33">
        <v>52</v>
      </c>
      <c r="AZ59" s="33">
        <v>42</v>
      </c>
      <c r="BB59" s="76" t="s">
        <v>119</v>
      </c>
      <c r="BC59" s="76" t="s">
        <v>10</v>
      </c>
      <c r="BD59" s="79">
        <v>17233.21</v>
      </c>
      <c r="BE59" s="79">
        <v>25918.95</v>
      </c>
      <c r="BF59" s="79">
        <v>14851.1</v>
      </c>
      <c r="BH59" s="76">
        <v>98052</v>
      </c>
      <c r="BI59" s="76" t="s">
        <v>10</v>
      </c>
      <c r="BJ59" s="79">
        <v>-1132.8499999999999</v>
      </c>
      <c r="BK59" s="79">
        <v>-734.77</v>
      </c>
      <c r="BL59" s="79">
        <v>-435.85</v>
      </c>
    </row>
    <row r="60" spans="2:64" x14ac:dyDescent="0.2">
      <c r="B60" s="86">
        <v>98030</v>
      </c>
      <c r="C60" s="38" t="s">
        <v>352</v>
      </c>
      <c r="D60" s="48">
        <v>98</v>
      </c>
      <c r="E60" s="48">
        <v>144</v>
      </c>
      <c r="F60" s="48">
        <v>121</v>
      </c>
      <c r="H60" s="76">
        <v>98029</v>
      </c>
      <c r="I60" s="76" t="s">
        <v>10</v>
      </c>
      <c r="J60" s="79">
        <v>120801.98</v>
      </c>
      <c r="K60" s="79">
        <v>74023.53</v>
      </c>
      <c r="L60" s="79">
        <v>215496.15</v>
      </c>
      <c r="M60" s="79">
        <v>625874</v>
      </c>
      <c r="N60" s="79">
        <v>95896.49</v>
      </c>
      <c r="O60" s="79">
        <v>82153.25</v>
      </c>
      <c r="P60" s="79">
        <v>243273.73</v>
      </c>
      <c r="Q60" s="79">
        <v>600843.46</v>
      </c>
      <c r="R60" s="79">
        <v>83039.33</v>
      </c>
      <c r="S60" s="79">
        <v>71087.63</v>
      </c>
      <c r="T60" s="79">
        <v>270823.94</v>
      </c>
      <c r="U60" s="79">
        <v>583665.39</v>
      </c>
      <c r="W60" s="76">
        <v>98059</v>
      </c>
      <c r="X60" s="15" t="s">
        <v>10</v>
      </c>
      <c r="Y60" s="79">
        <v>26011.93</v>
      </c>
      <c r="Z60" s="79">
        <v>23736.65</v>
      </c>
      <c r="AA60" s="79">
        <v>53121.9</v>
      </c>
      <c r="AB60" s="79">
        <v>130806.19999999899</v>
      </c>
      <c r="AC60" s="79">
        <v>23101.86</v>
      </c>
      <c r="AD60" s="79">
        <v>23015.98</v>
      </c>
      <c r="AE60" s="79">
        <v>68780.31</v>
      </c>
      <c r="AF60" s="79">
        <v>137693.639999999</v>
      </c>
      <c r="AG60" s="79">
        <v>19442.810000000001</v>
      </c>
      <c r="AH60" s="79">
        <v>20758.490000000002</v>
      </c>
      <c r="AI60" s="79">
        <v>77502.219999999899</v>
      </c>
      <c r="AJ60" s="79">
        <v>135453</v>
      </c>
      <c r="AV60" s="76" t="s">
        <v>120</v>
      </c>
      <c r="AW60" s="76" t="s">
        <v>352</v>
      </c>
      <c r="AX60" s="33">
        <v>5</v>
      </c>
      <c r="AY60" s="33">
        <v>3</v>
      </c>
      <c r="AZ60" s="33"/>
      <c r="BB60" s="76" t="s">
        <v>120</v>
      </c>
      <c r="BC60" s="76" t="s">
        <v>352</v>
      </c>
      <c r="BD60" s="79">
        <v>2534.87</v>
      </c>
      <c r="BE60" s="79">
        <v>615.82000000000005</v>
      </c>
      <c r="BF60" s="79"/>
      <c r="BH60" s="76">
        <v>98053</v>
      </c>
      <c r="BI60" s="76" t="s">
        <v>10</v>
      </c>
      <c r="BJ60" s="79">
        <v>-309.31</v>
      </c>
      <c r="BK60" s="79">
        <v>-100</v>
      </c>
      <c r="BL60" s="79">
        <v>-100</v>
      </c>
    </row>
    <row r="61" spans="2:64" x14ac:dyDescent="0.2">
      <c r="B61" s="59">
        <v>98030</v>
      </c>
      <c r="C61" s="38" t="s">
        <v>10</v>
      </c>
      <c r="D61" s="48">
        <v>3255</v>
      </c>
      <c r="E61" s="48">
        <v>3214</v>
      </c>
      <c r="F61" s="48">
        <v>3224</v>
      </c>
      <c r="H61" s="76">
        <v>98030</v>
      </c>
      <c r="I61" s="76" t="s">
        <v>352</v>
      </c>
      <c r="J61" s="79">
        <v>12421.16</v>
      </c>
      <c r="K61" s="79">
        <v>7763.42</v>
      </c>
      <c r="L61" s="79">
        <v>44389.67</v>
      </c>
      <c r="M61" s="79">
        <v>114372.769999999</v>
      </c>
      <c r="N61" s="79">
        <v>17371.12</v>
      </c>
      <c r="O61" s="79">
        <v>10899.36</v>
      </c>
      <c r="P61" s="79">
        <v>46193.069999999898</v>
      </c>
      <c r="Q61" s="79">
        <v>155049.13</v>
      </c>
      <c r="R61" s="79">
        <v>14220.24</v>
      </c>
      <c r="S61" s="79">
        <v>10280.209999999999</v>
      </c>
      <c r="T61" s="79">
        <v>49262.41</v>
      </c>
      <c r="U61" s="79">
        <v>132283.43</v>
      </c>
      <c r="W61" s="76">
        <v>98065</v>
      </c>
      <c r="X61" s="15" t="s">
        <v>10</v>
      </c>
      <c r="Y61" s="79">
        <v>12280.51</v>
      </c>
      <c r="Z61" s="79">
        <v>9999.7099999999991</v>
      </c>
      <c r="AA61" s="79">
        <v>34704.6</v>
      </c>
      <c r="AB61" s="79">
        <v>69257.789999999994</v>
      </c>
      <c r="AC61" s="79">
        <v>8765.4699999999993</v>
      </c>
      <c r="AD61" s="79">
        <v>8968.92</v>
      </c>
      <c r="AE61" s="79">
        <v>35104.39</v>
      </c>
      <c r="AF61" s="79">
        <v>61198.809999999903</v>
      </c>
      <c r="AG61" s="79">
        <v>6613.96</v>
      </c>
      <c r="AH61" s="79">
        <v>7259.39</v>
      </c>
      <c r="AI61" s="79">
        <v>35010.519999999997</v>
      </c>
      <c r="AJ61" s="79">
        <v>55591.46</v>
      </c>
      <c r="AV61" s="76" t="s">
        <v>120</v>
      </c>
      <c r="AW61" s="76" t="s">
        <v>10</v>
      </c>
      <c r="AX61" s="33">
        <v>38</v>
      </c>
      <c r="AY61" s="33">
        <v>81</v>
      </c>
      <c r="AZ61" s="33">
        <v>47</v>
      </c>
      <c r="BB61" s="76" t="s">
        <v>120</v>
      </c>
      <c r="BC61" s="76" t="s">
        <v>10</v>
      </c>
      <c r="BD61" s="79">
        <v>17175.759999999998</v>
      </c>
      <c r="BE61" s="79">
        <v>23600.65</v>
      </c>
      <c r="BF61" s="79">
        <v>27050.7</v>
      </c>
      <c r="BH61" s="76">
        <v>98055</v>
      </c>
      <c r="BI61" s="76" t="s">
        <v>10</v>
      </c>
      <c r="BJ61" s="79">
        <v>-911.6</v>
      </c>
      <c r="BK61" s="79">
        <v>-424.47</v>
      </c>
      <c r="BL61" s="79">
        <v>-780.19</v>
      </c>
    </row>
    <row r="62" spans="2:64" x14ac:dyDescent="0.2">
      <c r="B62" s="86">
        <v>98031</v>
      </c>
      <c r="C62" s="38" t="s">
        <v>352</v>
      </c>
      <c r="D62" s="48">
        <v>121</v>
      </c>
      <c r="E62" s="48">
        <v>130</v>
      </c>
      <c r="F62" s="48">
        <v>141</v>
      </c>
      <c r="H62" s="76">
        <v>98030</v>
      </c>
      <c r="I62" s="76" t="s">
        <v>10</v>
      </c>
      <c r="J62" s="79">
        <v>314635.82</v>
      </c>
      <c r="K62" s="79">
        <v>259943.48</v>
      </c>
      <c r="L62" s="79">
        <v>706835.24</v>
      </c>
      <c r="M62" s="79">
        <v>1752918.4</v>
      </c>
      <c r="N62" s="79">
        <v>295570.84999999998</v>
      </c>
      <c r="O62" s="79">
        <v>242715.37</v>
      </c>
      <c r="P62" s="79">
        <v>831898.86</v>
      </c>
      <c r="Q62" s="79">
        <v>1776144.6799999899</v>
      </c>
      <c r="R62" s="79">
        <v>261462.58</v>
      </c>
      <c r="S62" s="79">
        <v>237984.79</v>
      </c>
      <c r="T62" s="79">
        <v>950048.2</v>
      </c>
      <c r="U62" s="79">
        <v>1773107.65</v>
      </c>
      <c r="W62" s="76">
        <v>98068</v>
      </c>
      <c r="X62" s="15" t="s">
        <v>10</v>
      </c>
      <c r="Y62" s="79">
        <v>300.27999999999997</v>
      </c>
      <c r="Z62" s="79"/>
      <c r="AA62" s="79">
        <v>624.88</v>
      </c>
      <c r="AB62" s="79">
        <v>925.16</v>
      </c>
      <c r="AC62" s="79"/>
      <c r="AD62" s="79">
        <v>171.86</v>
      </c>
      <c r="AE62" s="79">
        <v>624.88</v>
      </c>
      <c r="AF62" s="79">
        <v>1056.28</v>
      </c>
      <c r="AG62" s="79">
        <v>259.54000000000002</v>
      </c>
      <c r="AH62" s="79"/>
      <c r="AI62" s="79">
        <v>585.33000000000004</v>
      </c>
      <c r="AJ62" s="79">
        <v>844.87</v>
      </c>
      <c r="AV62" s="76" t="s">
        <v>121</v>
      </c>
      <c r="AW62" s="76" t="s">
        <v>352</v>
      </c>
      <c r="AX62" s="33">
        <v>21</v>
      </c>
      <c r="AY62" s="33">
        <v>9</v>
      </c>
      <c r="AZ62" s="33">
        <v>13</v>
      </c>
      <c r="BB62" s="76" t="s">
        <v>121</v>
      </c>
      <c r="BC62" s="76" t="s">
        <v>352</v>
      </c>
      <c r="BD62" s="79">
        <v>6559.01</v>
      </c>
      <c r="BE62" s="79">
        <v>692632.12000000011</v>
      </c>
      <c r="BF62" s="79">
        <v>14800.820000000002</v>
      </c>
      <c r="BH62" s="76">
        <v>98056</v>
      </c>
      <c r="BI62" s="76" t="s">
        <v>10</v>
      </c>
      <c r="BJ62" s="79">
        <v>-141.62</v>
      </c>
      <c r="BK62" s="79">
        <v>-473.19</v>
      </c>
      <c r="BL62" s="79">
        <v>-467.02</v>
      </c>
    </row>
    <row r="63" spans="2:64" x14ac:dyDescent="0.2">
      <c r="B63" s="59">
        <v>98031</v>
      </c>
      <c r="C63" s="38" t="s">
        <v>10</v>
      </c>
      <c r="D63" s="48">
        <v>2972</v>
      </c>
      <c r="E63" s="48">
        <v>2880</v>
      </c>
      <c r="F63" s="48">
        <v>2867</v>
      </c>
      <c r="H63" s="76">
        <v>98031</v>
      </c>
      <c r="I63" s="76" t="s">
        <v>352</v>
      </c>
      <c r="J63" s="79">
        <v>24020.560000000001</v>
      </c>
      <c r="K63" s="79">
        <v>17683.29</v>
      </c>
      <c r="L63" s="79">
        <v>75007.3</v>
      </c>
      <c r="M63" s="79">
        <v>160119.37</v>
      </c>
      <c r="N63" s="79">
        <v>21546.41</v>
      </c>
      <c r="O63" s="79">
        <v>18773.78</v>
      </c>
      <c r="P63" s="79">
        <v>88299.48</v>
      </c>
      <c r="Q63" s="79">
        <v>171258.09</v>
      </c>
      <c r="R63" s="79">
        <v>20109.2</v>
      </c>
      <c r="S63" s="79">
        <v>16112.43</v>
      </c>
      <c r="T63" s="79">
        <v>96097.71</v>
      </c>
      <c r="U63" s="79">
        <v>201359.28</v>
      </c>
      <c r="W63" s="76">
        <v>98070</v>
      </c>
      <c r="X63" s="15" t="s">
        <v>10</v>
      </c>
      <c r="Y63" s="79">
        <v>6208.76</v>
      </c>
      <c r="Z63" s="79">
        <v>4810.1000000000004</v>
      </c>
      <c r="AA63" s="79">
        <v>10226.11</v>
      </c>
      <c r="AB63" s="79">
        <v>29705.7</v>
      </c>
      <c r="AC63" s="79">
        <v>6224.55</v>
      </c>
      <c r="AD63" s="79">
        <v>4882.7700000000004</v>
      </c>
      <c r="AE63" s="79">
        <v>12722.82</v>
      </c>
      <c r="AF63" s="79">
        <v>33019.99</v>
      </c>
      <c r="AG63" s="79">
        <v>6028.47</v>
      </c>
      <c r="AH63" s="79">
        <v>4587.3500000000004</v>
      </c>
      <c r="AI63" s="79">
        <v>12951.3199999999</v>
      </c>
      <c r="AJ63" s="79">
        <v>28537.71</v>
      </c>
      <c r="AV63" s="76" t="s">
        <v>121</v>
      </c>
      <c r="AW63" s="76" t="s">
        <v>10</v>
      </c>
      <c r="AX63" s="33">
        <v>70</v>
      </c>
      <c r="AY63" s="33">
        <v>106</v>
      </c>
      <c r="AZ63" s="33">
        <v>61</v>
      </c>
      <c r="BB63" s="76" t="s">
        <v>121</v>
      </c>
      <c r="BC63" s="76" t="s">
        <v>10</v>
      </c>
      <c r="BD63" s="79">
        <v>28767.26</v>
      </c>
      <c r="BE63" s="79">
        <v>28533.8</v>
      </c>
      <c r="BF63" s="79">
        <v>30285.61</v>
      </c>
      <c r="BH63" s="76">
        <v>98057</v>
      </c>
      <c r="BI63" s="76" t="s">
        <v>352</v>
      </c>
      <c r="BJ63" s="79"/>
      <c r="BK63" s="79">
        <v>-221.77</v>
      </c>
      <c r="BL63" s="79"/>
    </row>
    <row r="64" spans="2:64" x14ac:dyDescent="0.2">
      <c r="B64" s="86">
        <v>98032</v>
      </c>
      <c r="C64" s="38" t="s">
        <v>352</v>
      </c>
      <c r="D64" s="48">
        <v>488</v>
      </c>
      <c r="E64" s="48">
        <v>532</v>
      </c>
      <c r="F64" s="48">
        <v>529</v>
      </c>
      <c r="H64" s="76">
        <v>98031</v>
      </c>
      <c r="I64" s="76" t="s">
        <v>10</v>
      </c>
      <c r="J64" s="79">
        <v>302993.34999999998</v>
      </c>
      <c r="K64" s="79">
        <v>254627.72</v>
      </c>
      <c r="L64" s="79">
        <v>684913.88999999897</v>
      </c>
      <c r="M64" s="79">
        <v>1709660.1499999899</v>
      </c>
      <c r="N64" s="79">
        <v>292867.96999999997</v>
      </c>
      <c r="O64" s="79">
        <v>228055.32</v>
      </c>
      <c r="P64" s="79">
        <v>820535.00000000105</v>
      </c>
      <c r="Q64" s="79">
        <v>1743343.1899999899</v>
      </c>
      <c r="R64" s="79">
        <v>260068.33</v>
      </c>
      <c r="S64" s="79">
        <v>221421.69</v>
      </c>
      <c r="T64" s="79">
        <v>905226.53</v>
      </c>
      <c r="U64" s="79">
        <v>1706989.62</v>
      </c>
      <c r="W64" s="76">
        <v>98072</v>
      </c>
      <c r="X64" s="15" t="s">
        <v>10</v>
      </c>
      <c r="Y64" s="79">
        <v>9883.0499999999993</v>
      </c>
      <c r="Z64" s="79">
        <v>8183.64</v>
      </c>
      <c r="AA64" s="79">
        <v>16506.64</v>
      </c>
      <c r="AB64" s="79">
        <v>45928.44</v>
      </c>
      <c r="AC64" s="79">
        <v>8910.92</v>
      </c>
      <c r="AD64" s="79">
        <v>6382.11</v>
      </c>
      <c r="AE64" s="79">
        <v>16451.349999999999</v>
      </c>
      <c r="AF64" s="79">
        <v>39449.89</v>
      </c>
      <c r="AG64" s="79">
        <v>6319</v>
      </c>
      <c r="AH64" s="79">
        <v>7445.71</v>
      </c>
      <c r="AI64" s="79">
        <v>17577.41</v>
      </c>
      <c r="AJ64" s="79">
        <v>36943.120000000003</v>
      </c>
      <c r="AV64" s="76" t="s">
        <v>122</v>
      </c>
      <c r="AW64" s="76" t="s">
        <v>352</v>
      </c>
      <c r="AX64" s="33">
        <v>3</v>
      </c>
      <c r="AY64" s="33">
        <v>4</v>
      </c>
      <c r="AZ64" s="33">
        <v>4</v>
      </c>
      <c r="BB64" s="76" t="s">
        <v>122</v>
      </c>
      <c r="BC64" s="76" t="s">
        <v>352</v>
      </c>
      <c r="BD64" s="79">
        <v>3111.67</v>
      </c>
      <c r="BE64" s="79">
        <v>1958.49</v>
      </c>
      <c r="BF64" s="79">
        <v>2254.56</v>
      </c>
      <c r="BH64" s="76">
        <v>98057</v>
      </c>
      <c r="BI64" s="76" t="s">
        <v>10</v>
      </c>
      <c r="BJ64" s="79">
        <v>-144.18</v>
      </c>
      <c r="BK64" s="79">
        <v>-32.58</v>
      </c>
      <c r="BL64" s="79">
        <v>-263.06</v>
      </c>
    </row>
    <row r="65" spans="2:64" x14ac:dyDescent="0.2">
      <c r="B65" s="59">
        <v>98032</v>
      </c>
      <c r="C65" s="38" t="s">
        <v>10</v>
      </c>
      <c r="D65" s="48">
        <v>4138</v>
      </c>
      <c r="E65" s="48">
        <v>4115</v>
      </c>
      <c r="F65" s="48">
        <v>4195</v>
      </c>
      <c r="H65" s="76">
        <v>98032</v>
      </c>
      <c r="I65" s="76" t="s">
        <v>352</v>
      </c>
      <c r="J65" s="79">
        <v>116823.82</v>
      </c>
      <c r="K65" s="79">
        <v>61271.64</v>
      </c>
      <c r="L65" s="79">
        <v>1085374.1200000001</v>
      </c>
      <c r="M65" s="79">
        <v>1569014.41</v>
      </c>
      <c r="N65" s="79">
        <v>93379.21</v>
      </c>
      <c r="O65" s="79">
        <v>53471.61</v>
      </c>
      <c r="P65" s="79">
        <v>428651.11</v>
      </c>
      <c r="Q65" s="79">
        <v>1563003.43</v>
      </c>
      <c r="R65" s="79">
        <v>102860.31</v>
      </c>
      <c r="S65" s="79">
        <v>64086.33</v>
      </c>
      <c r="T65" s="79">
        <v>437965.09</v>
      </c>
      <c r="U65" s="79">
        <v>1228897.05999999</v>
      </c>
      <c r="W65" s="76">
        <v>98074</v>
      </c>
      <c r="X65" s="15" t="s">
        <v>10</v>
      </c>
      <c r="Y65" s="79">
        <v>4392.93</v>
      </c>
      <c r="Z65" s="79">
        <v>4753.6000000000004</v>
      </c>
      <c r="AA65" s="79">
        <v>21581.56</v>
      </c>
      <c r="AB65" s="79">
        <v>37265.58</v>
      </c>
      <c r="AC65" s="79">
        <v>3968.48</v>
      </c>
      <c r="AD65" s="79">
        <v>2614.36</v>
      </c>
      <c r="AE65" s="79">
        <v>20913.060000000001</v>
      </c>
      <c r="AF65" s="79">
        <v>31959.3999999999</v>
      </c>
      <c r="AG65" s="79">
        <v>2808.45</v>
      </c>
      <c r="AH65" s="79">
        <v>2789.73</v>
      </c>
      <c r="AI65" s="79">
        <v>18572.25</v>
      </c>
      <c r="AJ65" s="79">
        <v>28403.7399999999</v>
      </c>
      <c r="AV65" s="76" t="s">
        <v>122</v>
      </c>
      <c r="AW65" s="76" t="s">
        <v>10</v>
      </c>
      <c r="AX65" s="33">
        <v>30</v>
      </c>
      <c r="AY65" s="33">
        <v>33</v>
      </c>
      <c r="AZ65" s="33">
        <v>32</v>
      </c>
      <c r="BB65" s="76" t="s">
        <v>122</v>
      </c>
      <c r="BC65" s="76" t="s">
        <v>10</v>
      </c>
      <c r="BD65" s="79">
        <v>12297.34</v>
      </c>
      <c r="BE65" s="79">
        <v>11815.44</v>
      </c>
      <c r="BF65" s="79">
        <v>6779.81</v>
      </c>
      <c r="BH65" s="76">
        <v>98058</v>
      </c>
      <c r="BI65" s="76" t="s">
        <v>10</v>
      </c>
      <c r="BJ65" s="79">
        <v>-1191.1500000000001</v>
      </c>
      <c r="BK65" s="79">
        <v>-799.04</v>
      </c>
      <c r="BL65" s="79">
        <v>-491.46</v>
      </c>
    </row>
    <row r="66" spans="2:64" x14ac:dyDescent="0.2">
      <c r="B66" s="86">
        <v>98033</v>
      </c>
      <c r="C66" s="38" t="s">
        <v>352</v>
      </c>
      <c r="D66" s="48">
        <v>144</v>
      </c>
      <c r="E66" s="48">
        <v>139</v>
      </c>
      <c r="F66" s="48">
        <v>133</v>
      </c>
      <c r="H66" s="76">
        <v>98032</v>
      </c>
      <c r="I66" s="76" t="s">
        <v>10</v>
      </c>
      <c r="J66" s="79">
        <v>375233.14</v>
      </c>
      <c r="K66" s="79">
        <v>337284.05</v>
      </c>
      <c r="L66" s="79">
        <v>920138.29000000097</v>
      </c>
      <c r="M66" s="79">
        <v>2202460.46</v>
      </c>
      <c r="N66" s="79">
        <v>397084.09</v>
      </c>
      <c r="O66" s="79">
        <v>299296.06</v>
      </c>
      <c r="P66" s="79">
        <v>1115792.75999999</v>
      </c>
      <c r="Q66" s="79">
        <v>2255006.58</v>
      </c>
      <c r="R66" s="79">
        <v>314749.71999999997</v>
      </c>
      <c r="S66" s="79">
        <v>321723.14</v>
      </c>
      <c r="T66" s="79">
        <v>1231225.29</v>
      </c>
      <c r="U66" s="79">
        <v>2248380.04</v>
      </c>
      <c r="W66" s="76">
        <v>98075</v>
      </c>
      <c r="X66" s="15" t="s">
        <v>10</v>
      </c>
      <c r="Y66" s="79">
        <v>2577.38</v>
      </c>
      <c r="Z66" s="79">
        <v>3313.31</v>
      </c>
      <c r="AA66" s="79">
        <v>15956.32</v>
      </c>
      <c r="AB66" s="79">
        <v>25445.46</v>
      </c>
      <c r="AC66" s="79">
        <v>2679.39</v>
      </c>
      <c r="AD66" s="79">
        <v>2260.6799999999998</v>
      </c>
      <c r="AE66" s="79">
        <v>17805.37</v>
      </c>
      <c r="AF66" s="79">
        <v>25235.1499999999</v>
      </c>
      <c r="AG66" s="79">
        <v>1873.91</v>
      </c>
      <c r="AH66" s="79">
        <v>2250.2399999999998</v>
      </c>
      <c r="AI66" s="79">
        <v>18352.8</v>
      </c>
      <c r="AJ66" s="79">
        <v>24628.28</v>
      </c>
      <c r="AV66" s="76" t="s">
        <v>123</v>
      </c>
      <c r="AW66" s="76" t="s">
        <v>352</v>
      </c>
      <c r="AX66" s="33">
        <v>4</v>
      </c>
      <c r="AY66" s="33">
        <v>7</v>
      </c>
      <c r="AZ66" s="33">
        <v>6</v>
      </c>
      <c r="BB66" s="76" t="s">
        <v>123</v>
      </c>
      <c r="BC66" s="76" t="s">
        <v>352</v>
      </c>
      <c r="BD66" s="79">
        <v>1456.62</v>
      </c>
      <c r="BE66" s="79">
        <v>42094.58</v>
      </c>
      <c r="BF66" s="79">
        <v>12231.1</v>
      </c>
      <c r="BH66" s="76">
        <v>98059</v>
      </c>
      <c r="BI66" s="76" t="s">
        <v>10</v>
      </c>
      <c r="BJ66" s="79">
        <v>-468.12</v>
      </c>
      <c r="BK66" s="79">
        <v>-178.73</v>
      </c>
      <c r="BL66" s="79">
        <v>-478.56</v>
      </c>
    </row>
    <row r="67" spans="2:64" x14ac:dyDescent="0.2">
      <c r="B67" s="59">
        <v>98033</v>
      </c>
      <c r="C67" s="38" t="s">
        <v>10</v>
      </c>
      <c r="D67" s="48">
        <v>1465</v>
      </c>
      <c r="E67" s="48">
        <v>1533</v>
      </c>
      <c r="F67" s="48">
        <v>1488</v>
      </c>
      <c r="H67" s="76">
        <v>98033</v>
      </c>
      <c r="I67" s="76" t="s">
        <v>352</v>
      </c>
      <c r="J67" s="79">
        <v>14249.32</v>
      </c>
      <c r="K67" s="79">
        <v>12432.58</v>
      </c>
      <c r="L67" s="79">
        <v>73405.569999999905</v>
      </c>
      <c r="M67" s="79">
        <v>135930.5</v>
      </c>
      <c r="N67" s="79">
        <v>13846.48</v>
      </c>
      <c r="O67" s="79">
        <v>8177.37</v>
      </c>
      <c r="P67" s="79">
        <v>76935.990000000005</v>
      </c>
      <c r="Q67" s="79">
        <v>148218.51999999999</v>
      </c>
      <c r="R67" s="79">
        <v>6940.37</v>
      </c>
      <c r="S67" s="79">
        <v>9450.9599999999991</v>
      </c>
      <c r="T67" s="79">
        <v>69907.199999999997</v>
      </c>
      <c r="U67" s="79">
        <v>197325.79</v>
      </c>
      <c r="W67" s="76">
        <v>98077</v>
      </c>
      <c r="X67" s="15" t="s">
        <v>10</v>
      </c>
      <c r="Y67" s="79">
        <v>5174.6400000000003</v>
      </c>
      <c r="Z67" s="79">
        <v>4663.82</v>
      </c>
      <c r="AA67" s="79">
        <v>17075.72</v>
      </c>
      <c r="AB67" s="79">
        <v>33465.26</v>
      </c>
      <c r="AC67" s="79">
        <v>6337.05</v>
      </c>
      <c r="AD67" s="79">
        <v>4383.8500000000004</v>
      </c>
      <c r="AE67" s="79">
        <v>16596.73</v>
      </c>
      <c r="AF67" s="79">
        <v>33420.519999999997</v>
      </c>
      <c r="AG67" s="79">
        <v>4843.12</v>
      </c>
      <c r="AH67" s="79">
        <v>5119.99</v>
      </c>
      <c r="AI67" s="79">
        <v>18042.05</v>
      </c>
      <c r="AJ67" s="79">
        <v>32203.360000000001</v>
      </c>
      <c r="AV67" s="76" t="s">
        <v>123</v>
      </c>
      <c r="AW67" s="76" t="s">
        <v>10</v>
      </c>
      <c r="AX67" s="33">
        <v>53</v>
      </c>
      <c r="AY67" s="33">
        <v>51</v>
      </c>
      <c r="AZ67" s="33">
        <v>48</v>
      </c>
      <c r="BB67" s="76" t="s">
        <v>123</v>
      </c>
      <c r="BC67" s="76" t="s">
        <v>10</v>
      </c>
      <c r="BD67" s="79">
        <v>15293.87</v>
      </c>
      <c r="BE67" s="79">
        <v>18447.919999999998</v>
      </c>
      <c r="BF67" s="79">
        <v>17294.400000000001</v>
      </c>
      <c r="BH67" s="76">
        <v>98065</v>
      </c>
      <c r="BI67" s="76" t="s">
        <v>352</v>
      </c>
      <c r="BJ67" s="79"/>
      <c r="BK67" s="79"/>
      <c r="BL67" s="79">
        <v>-49.54</v>
      </c>
    </row>
    <row r="68" spans="2:64" x14ac:dyDescent="0.2">
      <c r="B68" s="86">
        <v>98034</v>
      </c>
      <c r="C68" s="38" t="s">
        <v>352</v>
      </c>
      <c r="D68" s="48">
        <v>112</v>
      </c>
      <c r="E68" s="48">
        <v>115</v>
      </c>
      <c r="F68" s="48">
        <v>99</v>
      </c>
      <c r="H68" s="76">
        <v>98033</v>
      </c>
      <c r="I68" s="76" t="s">
        <v>10</v>
      </c>
      <c r="J68" s="79">
        <v>101632.05</v>
      </c>
      <c r="K68" s="79">
        <v>81049.37</v>
      </c>
      <c r="L68" s="79">
        <v>219135.899999999</v>
      </c>
      <c r="M68" s="79">
        <v>619935.63999999803</v>
      </c>
      <c r="N68" s="79">
        <v>120160.23</v>
      </c>
      <c r="O68" s="79">
        <v>71479.92</v>
      </c>
      <c r="P68" s="79">
        <v>249899.4</v>
      </c>
      <c r="Q68" s="79">
        <v>622590.77999999898</v>
      </c>
      <c r="R68" s="79">
        <v>92960.45</v>
      </c>
      <c r="S68" s="79">
        <v>77778.820000000007</v>
      </c>
      <c r="T68" s="79">
        <v>275044.989999999</v>
      </c>
      <c r="U68" s="79">
        <v>580884.38999999897</v>
      </c>
      <c r="W68" s="76">
        <v>98087</v>
      </c>
      <c r="X68" s="15" t="s">
        <v>10</v>
      </c>
      <c r="Y68" s="79">
        <v>3520.44</v>
      </c>
      <c r="Z68" s="79">
        <v>3722.05</v>
      </c>
      <c r="AA68" s="79">
        <v>8608.6299999999992</v>
      </c>
      <c r="AB68" s="79">
        <v>20024.68</v>
      </c>
      <c r="AC68" s="79">
        <v>2637.26</v>
      </c>
      <c r="AD68" s="79">
        <v>1846.2</v>
      </c>
      <c r="AE68" s="79">
        <v>7975.68</v>
      </c>
      <c r="AF68" s="79">
        <v>15679.81</v>
      </c>
      <c r="AG68" s="79">
        <v>2343.67</v>
      </c>
      <c r="AH68" s="79">
        <v>1886.06</v>
      </c>
      <c r="AI68" s="79">
        <v>9199.08</v>
      </c>
      <c r="AJ68" s="79">
        <v>15633.4</v>
      </c>
      <c r="AV68" s="76" t="s">
        <v>279</v>
      </c>
      <c r="AW68" s="76" t="s">
        <v>352</v>
      </c>
      <c r="AX68" s="33">
        <v>2</v>
      </c>
      <c r="AY68" s="33">
        <v>2</v>
      </c>
      <c r="AZ68" s="33"/>
      <c r="BB68" s="76" t="s">
        <v>279</v>
      </c>
      <c r="BC68" s="76" t="s">
        <v>352</v>
      </c>
      <c r="BD68" s="79">
        <v>1080.6199999999999</v>
      </c>
      <c r="BE68" s="79">
        <v>1116.28</v>
      </c>
      <c r="BF68" s="79"/>
      <c r="BH68" s="76">
        <v>98065</v>
      </c>
      <c r="BI68" s="76" t="s">
        <v>10</v>
      </c>
      <c r="BJ68" s="79"/>
      <c r="BK68" s="79"/>
      <c r="BL68" s="79">
        <v>-3364.22</v>
      </c>
    </row>
    <row r="69" spans="2:64" x14ac:dyDescent="0.2">
      <c r="B69" s="59">
        <v>98034</v>
      </c>
      <c r="C69" s="38" t="s">
        <v>10</v>
      </c>
      <c r="D69" s="48">
        <v>2550</v>
      </c>
      <c r="E69" s="48">
        <v>2554</v>
      </c>
      <c r="F69" s="48">
        <v>2570</v>
      </c>
      <c r="H69" s="76">
        <v>98034</v>
      </c>
      <c r="I69" s="76" t="s">
        <v>352</v>
      </c>
      <c r="J69" s="79">
        <v>21521.3</v>
      </c>
      <c r="K69" s="79">
        <v>20527.349999999999</v>
      </c>
      <c r="L69" s="79">
        <v>103094.069999999</v>
      </c>
      <c r="M69" s="79">
        <v>255014.52</v>
      </c>
      <c r="N69" s="79">
        <v>17868.990000000002</v>
      </c>
      <c r="O69" s="79">
        <v>15762.83</v>
      </c>
      <c r="P69" s="79">
        <v>109000.35</v>
      </c>
      <c r="Q69" s="79">
        <v>246287.56999999899</v>
      </c>
      <c r="R69" s="79">
        <v>21040.3</v>
      </c>
      <c r="S69" s="79">
        <v>12788.18</v>
      </c>
      <c r="T69" s="79">
        <v>105974.28</v>
      </c>
      <c r="U69" s="79">
        <v>231177.73</v>
      </c>
      <c r="W69" s="76">
        <v>98092</v>
      </c>
      <c r="X69" s="15" t="s">
        <v>10</v>
      </c>
      <c r="Y69" s="79">
        <v>98933.85</v>
      </c>
      <c r="Z69" s="79">
        <v>75057.19</v>
      </c>
      <c r="AA69" s="79">
        <v>205777.989999999</v>
      </c>
      <c r="AB69" s="79">
        <v>489978.929999999</v>
      </c>
      <c r="AC69" s="79">
        <v>84403.23</v>
      </c>
      <c r="AD69" s="79">
        <v>74149.8</v>
      </c>
      <c r="AE69" s="79">
        <v>251005.989999999</v>
      </c>
      <c r="AF69" s="79">
        <v>496923.55</v>
      </c>
      <c r="AG69" s="79">
        <v>64508.02</v>
      </c>
      <c r="AH69" s="79">
        <v>65959.78</v>
      </c>
      <c r="AI69" s="79">
        <v>257132.84</v>
      </c>
      <c r="AJ69" s="79">
        <v>463685.63</v>
      </c>
      <c r="AV69" s="76" t="s">
        <v>279</v>
      </c>
      <c r="AW69" s="76" t="s">
        <v>10</v>
      </c>
      <c r="AX69" s="33">
        <v>6</v>
      </c>
      <c r="AY69" s="33">
        <v>7</v>
      </c>
      <c r="AZ69" s="33">
        <v>7</v>
      </c>
      <c r="BB69" s="76" t="s">
        <v>279</v>
      </c>
      <c r="BC69" s="76" t="s">
        <v>10</v>
      </c>
      <c r="BD69" s="79">
        <v>363.1</v>
      </c>
      <c r="BE69" s="79">
        <v>3618.26</v>
      </c>
      <c r="BF69" s="79">
        <v>1326.46</v>
      </c>
      <c r="BH69" s="76">
        <v>98070</v>
      </c>
      <c r="BI69" s="76" t="s">
        <v>10</v>
      </c>
      <c r="BJ69" s="79">
        <v>-2613.85</v>
      </c>
      <c r="BK69" s="79">
        <v>-86.12</v>
      </c>
      <c r="BL69" s="79">
        <v>-86.12</v>
      </c>
    </row>
    <row r="70" spans="2:64" x14ac:dyDescent="0.2">
      <c r="B70" s="86">
        <v>98036</v>
      </c>
      <c r="C70" s="38" t="s">
        <v>352</v>
      </c>
      <c r="D70" s="48">
        <v>72</v>
      </c>
      <c r="E70" s="48">
        <v>69</v>
      </c>
      <c r="F70" s="48">
        <v>69</v>
      </c>
      <c r="H70" s="76">
        <v>98034</v>
      </c>
      <c r="I70" s="76" t="s">
        <v>10</v>
      </c>
      <c r="J70" s="79">
        <v>196515.49</v>
      </c>
      <c r="K70" s="79">
        <v>144919.96</v>
      </c>
      <c r="L70" s="79">
        <v>462957.02999999898</v>
      </c>
      <c r="M70" s="79">
        <v>1145800.78</v>
      </c>
      <c r="N70" s="79">
        <v>200913.82</v>
      </c>
      <c r="O70" s="79">
        <v>149094.74</v>
      </c>
      <c r="P70" s="79">
        <v>497713.35</v>
      </c>
      <c r="Q70" s="79">
        <v>1110844.76</v>
      </c>
      <c r="R70" s="79">
        <v>155746.45000000001</v>
      </c>
      <c r="S70" s="79">
        <v>141231.28</v>
      </c>
      <c r="T70" s="79">
        <v>554292.18999999994</v>
      </c>
      <c r="U70" s="79">
        <v>1101194.8</v>
      </c>
      <c r="W70" s="76">
        <v>98101</v>
      </c>
      <c r="X70" s="15" t="s">
        <v>10</v>
      </c>
      <c r="Y70" s="79">
        <v>39.33</v>
      </c>
      <c r="Z70" s="79">
        <v>108.88</v>
      </c>
      <c r="AA70" s="79">
        <v>160.63</v>
      </c>
      <c r="AB70" s="79">
        <v>346.53</v>
      </c>
      <c r="AC70" s="79">
        <v>37.69</v>
      </c>
      <c r="AD70" s="79">
        <v>39.33</v>
      </c>
      <c r="AE70" s="79">
        <v>269.51</v>
      </c>
      <c r="AF70" s="79">
        <v>530.91999999999996</v>
      </c>
      <c r="AG70" s="79">
        <v>82.36</v>
      </c>
      <c r="AH70" s="79">
        <v>13.49</v>
      </c>
      <c r="AI70" s="79">
        <v>55.15</v>
      </c>
      <c r="AJ70" s="79">
        <v>201.62</v>
      </c>
      <c r="AV70" s="76" t="s">
        <v>280</v>
      </c>
      <c r="AW70" s="76" t="s">
        <v>352</v>
      </c>
      <c r="AX70" s="33">
        <v>1</v>
      </c>
      <c r="AY70" s="33">
        <v>1</v>
      </c>
      <c r="AZ70" s="33">
        <v>1</v>
      </c>
      <c r="BB70" s="76" t="s">
        <v>280</v>
      </c>
      <c r="BC70" s="76" t="s">
        <v>352</v>
      </c>
      <c r="BD70" s="79">
        <v>1065.71</v>
      </c>
      <c r="BE70" s="79">
        <v>329.3</v>
      </c>
      <c r="BF70" s="79">
        <v>231.29</v>
      </c>
      <c r="BH70" s="76">
        <v>98072</v>
      </c>
      <c r="BI70" s="76" t="s">
        <v>10</v>
      </c>
      <c r="BJ70" s="79">
        <v>-295.70999999999998</v>
      </c>
      <c r="BK70" s="79">
        <v>-83.26</v>
      </c>
      <c r="BL70" s="79">
        <v>-118.83</v>
      </c>
    </row>
    <row r="71" spans="2:64" x14ac:dyDescent="0.2">
      <c r="B71" s="59">
        <v>98036</v>
      </c>
      <c r="C71" s="38" t="s">
        <v>10</v>
      </c>
      <c r="D71" s="48">
        <v>817</v>
      </c>
      <c r="E71" s="48">
        <v>854</v>
      </c>
      <c r="F71" s="48">
        <v>773</v>
      </c>
      <c r="H71" s="76">
        <v>98036</v>
      </c>
      <c r="I71" s="76" t="s">
        <v>352</v>
      </c>
      <c r="J71" s="79">
        <v>6015.73</v>
      </c>
      <c r="K71" s="79">
        <v>5110.55</v>
      </c>
      <c r="L71" s="79">
        <v>20673.7399999999</v>
      </c>
      <c r="M71" s="79">
        <v>49918.74</v>
      </c>
      <c r="N71" s="79">
        <v>7554.44</v>
      </c>
      <c r="O71" s="79">
        <v>5051.54</v>
      </c>
      <c r="P71" s="79">
        <v>23673.379999999899</v>
      </c>
      <c r="Q71" s="79">
        <v>54378.6899999999</v>
      </c>
      <c r="R71" s="79">
        <v>5245.67</v>
      </c>
      <c r="S71" s="79">
        <v>5731.51</v>
      </c>
      <c r="T71" s="79">
        <v>25433.679999999898</v>
      </c>
      <c r="U71" s="79">
        <v>59729.929999999898</v>
      </c>
      <c r="W71" s="76">
        <v>98102</v>
      </c>
      <c r="X71" s="15" t="s">
        <v>10</v>
      </c>
      <c r="Y71" s="79">
        <v>501.89</v>
      </c>
      <c r="Z71" s="79">
        <v>462.99</v>
      </c>
      <c r="AA71" s="79">
        <v>1115.4100000000001</v>
      </c>
      <c r="AB71" s="79">
        <v>2602.19</v>
      </c>
      <c r="AC71" s="79">
        <v>521.9</v>
      </c>
      <c r="AD71" s="79">
        <v>501.89</v>
      </c>
      <c r="AE71" s="79">
        <v>1475.12</v>
      </c>
      <c r="AF71" s="79">
        <v>3065.91</v>
      </c>
      <c r="AG71" s="79">
        <v>551.66999999999996</v>
      </c>
      <c r="AH71" s="79">
        <v>433.89</v>
      </c>
      <c r="AI71" s="79">
        <v>1961.1299999999901</v>
      </c>
      <c r="AJ71" s="79">
        <v>3356.11</v>
      </c>
      <c r="AV71" s="76" t="s">
        <v>280</v>
      </c>
      <c r="AW71" s="76" t="s">
        <v>10</v>
      </c>
      <c r="AX71" s="33">
        <v>7</v>
      </c>
      <c r="AY71" s="33">
        <v>8</v>
      </c>
      <c r="AZ71" s="33">
        <v>9</v>
      </c>
      <c r="BB71" s="76" t="s">
        <v>280</v>
      </c>
      <c r="BC71" s="76" t="s">
        <v>10</v>
      </c>
      <c r="BD71" s="79">
        <v>1042.8800000000001</v>
      </c>
      <c r="BE71" s="79">
        <v>1266.52</v>
      </c>
      <c r="BF71" s="79">
        <v>5245.9</v>
      </c>
      <c r="BH71" s="76">
        <v>98074</v>
      </c>
      <c r="BI71" s="76" t="s">
        <v>10</v>
      </c>
      <c r="BJ71" s="79"/>
      <c r="BK71" s="79">
        <v>-78.209999999999994</v>
      </c>
      <c r="BL71" s="79">
        <v>-257.33999999999997</v>
      </c>
    </row>
    <row r="72" spans="2:64" x14ac:dyDescent="0.2">
      <c r="B72" s="86">
        <v>98037</v>
      </c>
      <c r="C72" s="38" t="s">
        <v>352</v>
      </c>
      <c r="D72" s="48">
        <v>37</v>
      </c>
      <c r="E72" s="48">
        <v>39</v>
      </c>
      <c r="F72" s="48">
        <v>38</v>
      </c>
      <c r="H72" s="76">
        <v>98036</v>
      </c>
      <c r="I72" s="76" t="s">
        <v>10</v>
      </c>
      <c r="J72" s="79">
        <v>46254.83</v>
      </c>
      <c r="K72" s="79">
        <v>39855.86</v>
      </c>
      <c r="L72" s="79">
        <v>96409.289999999906</v>
      </c>
      <c r="M72" s="79">
        <v>273500.76</v>
      </c>
      <c r="N72" s="79">
        <v>53915.18</v>
      </c>
      <c r="O72" s="79">
        <v>34422.07</v>
      </c>
      <c r="P72" s="79">
        <v>115473.959999999</v>
      </c>
      <c r="Q72" s="79">
        <v>277296.99</v>
      </c>
      <c r="R72" s="79">
        <v>37779.589999999997</v>
      </c>
      <c r="S72" s="79">
        <v>36750.81</v>
      </c>
      <c r="T72" s="79">
        <v>124365.51</v>
      </c>
      <c r="U72" s="79">
        <v>249674.82</v>
      </c>
      <c r="W72" s="76">
        <v>98103</v>
      </c>
      <c r="X72" s="15" t="s">
        <v>10</v>
      </c>
      <c r="Y72" s="79">
        <v>1430.56</v>
      </c>
      <c r="Z72" s="79">
        <v>1318.2</v>
      </c>
      <c r="AA72" s="79">
        <v>2686.62</v>
      </c>
      <c r="AB72" s="79">
        <v>7858.01</v>
      </c>
      <c r="AC72" s="79">
        <v>2097.5500000000002</v>
      </c>
      <c r="AD72" s="79">
        <v>1430.56</v>
      </c>
      <c r="AE72" s="79">
        <v>3204.82</v>
      </c>
      <c r="AF72" s="79">
        <v>8570.25</v>
      </c>
      <c r="AG72" s="79">
        <v>1574.64</v>
      </c>
      <c r="AH72" s="79">
        <v>1776.18</v>
      </c>
      <c r="AI72" s="79">
        <v>4005.87</v>
      </c>
      <c r="AJ72" s="79">
        <v>8884.52</v>
      </c>
      <c r="AV72" s="76" t="s">
        <v>124</v>
      </c>
      <c r="AW72" s="76" t="s">
        <v>352</v>
      </c>
      <c r="AX72" s="33">
        <v>3</v>
      </c>
      <c r="AY72" s="33">
        <v>2</v>
      </c>
      <c r="AZ72" s="33">
        <v>5</v>
      </c>
      <c r="BB72" s="76" t="s">
        <v>124</v>
      </c>
      <c r="BC72" s="76" t="s">
        <v>352</v>
      </c>
      <c r="BD72" s="79">
        <v>737.11</v>
      </c>
      <c r="BE72" s="79">
        <v>1060.82</v>
      </c>
      <c r="BF72" s="79">
        <v>1414.51</v>
      </c>
      <c r="BH72" s="76">
        <v>98075</v>
      </c>
      <c r="BI72" s="76" t="s">
        <v>10</v>
      </c>
      <c r="BJ72" s="79">
        <v>-408.95</v>
      </c>
      <c r="BK72" s="79">
        <v>-200</v>
      </c>
      <c r="BL72" s="79">
        <v>-186.03</v>
      </c>
    </row>
    <row r="73" spans="2:64" x14ac:dyDescent="0.2">
      <c r="B73" s="59">
        <v>98037</v>
      </c>
      <c r="C73" s="38" t="s">
        <v>10</v>
      </c>
      <c r="D73" s="48">
        <v>637</v>
      </c>
      <c r="E73" s="48">
        <v>662</v>
      </c>
      <c r="F73" s="48">
        <v>652</v>
      </c>
      <c r="H73" s="76">
        <v>98037</v>
      </c>
      <c r="I73" s="76" t="s">
        <v>352</v>
      </c>
      <c r="J73" s="79">
        <v>5628.49</v>
      </c>
      <c r="K73" s="79">
        <v>6271.65</v>
      </c>
      <c r="L73" s="79">
        <v>26882.319999999901</v>
      </c>
      <c r="M73" s="79">
        <v>56854.929999999898</v>
      </c>
      <c r="N73" s="79">
        <v>11254.77</v>
      </c>
      <c r="O73" s="79">
        <v>5328.24</v>
      </c>
      <c r="P73" s="79">
        <v>31715.69</v>
      </c>
      <c r="Q73" s="79">
        <v>59776.0099999999</v>
      </c>
      <c r="R73" s="79">
        <v>3929.36</v>
      </c>
      <c r="S73" s="79">
        <v>5803.2</v>
      </c>
      <c r="T73" s="79">
        <v>18599.099999999999</v>
      </c>
      <c r="U73" s="79">
        <v>40048.42</v>
      </c>
      <c r="W73" s="76">
        <v>98105</v>
      </c>
      <c r="X73" s="15" t="s">
        <v>10</v>
      </c>
      <c r="Y73" s="79">
        <v>1774.3</v>
      </c>
      <c r="Z73" s="79">
        <v>1190.1199999999999</v>
      </c>
      <c r="AA73" s="79">
        <v>2527.81</v>
      </c>
      <c r="AB73" s="79">
        <v>6562.74999999999</v>
      </c>
      <c r="AC73" s="79">
        <v>587.35</v>
      </c>
      <c r="AD73" s="79">
        <v>1346.83</v>
      </c>
      <c r="AE73" s="79">
        <v>2934.6</v>
      </c>
      <c r="AF73" s="79">
        <v>5340.1799999999903</v>
      </c>
      <c r="AG73" s="79">
        <v>424.99</v>
      </c>
      <c r="AH73" s="79">
        <v>568.1</v>
      </c>
      <c r="AI73" s="79">
        <v>3541.19</v>
      </c>
      <c r="AJ73" s="79">
        <v>5242.98</v>
      </c>
      <c r="AV73" s="76" t="s">
        <v>124</v>
      </c>
      <c r="AW73" s="76" t="s">
        <v>10</v>
      </c>
      <c r="AX73" s="33">
        <v>19</v>
      </c>
      <c r="AY73" s="33">
        <v>13</v>
      </c>
      <c r="AZ73" s="33">
        <v>22</v>
      </c>
      <c r="BB73" s="76" t="s">
        <v>124</v>
      </c>
      <c r="BC73" s="76" t="s">
        <v>10</v>
      </c>
      <c r="BD73" s="79">
        <v>12039.53</v>
      </c>
      <c r="BE73" s="79">
        <v>3956.39</v>
      </c>
      <c r="BF73" s="79">
        <v>25544.75</v>
      </c>
      <c r="BH73" s="76">
        <v>98077</v>
      </c>
      <c r="BI73" s="76" t="s">
        <v>10</v>
      </c>
      <c r="BJ73" s="79"/>
      <c r="BK73" s="79">
        <v>-329.36</v>
      </c>
      <c r="BL73" s="79"/>
    </row>
    <row r="74" spans="2:64" x14ac:dyDescent="0.2">
      <c r="B74" s="86">
        <v>98038</v>
      </c>
      <c r="C74" s="38" t="s">
        <v>352</v>
      </c>
      <c r="D74" s="48">
        <v>183</v>
      </c>
      <c r="E74" s="48">
        <v>172</v>
      </c>
      <c r="F74" s="48">
        <v>134</v>
      </c>
      <c r="H74" s="76">
        <v>98037</v>
      </c>
      <c r="I74" s="76" t="s">
        <v>10</v>
      </c>
      <c r="J74" s="79">
        <v>40637.49</v>
      </c>
      <c r="K74" s="79">
        <v>35015.85</v>
      </c>
      <c r="L74" s="79">
        <v>69304.429999999993</v>
      </c>
      <c r="M74" s="79">
        <v>214449.11</v>
      </c>
      <c r="N74" s="79">
        <v>40856.53</v>
      </c>
      <c r="O74" s="79">
        <v>29659.63</v>
      </c>
      <c r="P74" s="79">
        <v>88747.54</v>
      </c>
      <c r="Q74" s="79">
        <v>218029.31</v>
      </c>
      <c r="R74" s="79">
        <v>32778.629999999997</v>
      </c>
      <c r="S74" s="79">
        <v>27818.09</v>
      </c>
      <c r="T74" s="79">
        <v>95507.33</v>
      </c>
      <c r="U74" s="79">
        <v>200496.21999999901</v>
      </c>
      <c r="W74" s="76">
        <v>98106</v>
      </c>
      <c r="X74" s="15" t="s">
        <v>10</v>
      </c>
      <c r="Y74" s="79">
        <v>2481.4899999999998</v>
      </c>
      <c r="Z74" s="79">
        <v>2156.67</v>
      </c>
      <c r="AA74" s="79">
        <v>1699.9299999999901</v>
      </c>
      <c r="AB74" s="79">
        <v>9580.9499999999898</v>
      </c>
      <c r="AC74" s="79">
        <v>2713.15</v>
      </c>
      <c r="AD74" s="79">
        <v>2350.21</v>
      </c>
      <c r="AE74" s="79">
        <v>3490.26999999999</v>
      </c>
      <c r="AF74" s="79">
        <v>11418.04</v>
      </c>
      <c r="AG74" s="79">
        <v>2119.91</v>
      </c>
      <c r="AH74" s="79">
        <v>2445.58</v>
      </c>
      <c r="AI74" s="79">
        <v>5317.59</v>
      </c>
      <c r="AJ74" s="79">
        <v>12026.6</v>
      </c>
      <c r="AV74" s="76" t="s">
        <v>125</v>
      </c>
      <c r="AW74" s="76" t="s">
        <v>10</v>
      </c>
      <c r="AX74" s="33">
        <v>2</v>
      </c>
      <c r="AY74" s="33">
        <v>1</v>
      </c>
      <c r="AZ74" s="33"/>
      <c r="BB74" s="76" t="s">
        <v>125</v>
      </c>
      <c r="BC74" s="76" t="s">
        <v>10</v>
      </c>
      <c r="BD74" s="79">
        <v>0.03</v>
      </c>
      <c r="BE74" s="79">
        <v>99.73</v>
      </c>
      <c r="BF74" s="79"/>
      <c r="BH74" s="76">
        <v>98087</v>
      </c>
      <c r="BI74" s="76" t="s">
        <v>10</v>
      </c>
      <c r="BJ74" s="79">
        <v>-325.89999999999998</v>
      </c>
      <c r="BK74" s="79">
        <v>-80.91</v>
      </c>
      <c r="BL74" s="79"/>
    </row>
    <row r="75" spans="2:64" x14ac:dyDescent="0.2">
      <c r="B75" s="59">
        <v>98038</v>
      </c>
      <c r="C75" s="38" t="s">
        <v>10</v>
      </c>
      <c r="D75" s="48">
        <v>1804</v>
      </c>
      <c r="E75" s="48">
        <v>1759</v>
      </c>
      <c r="F75" s="48">
        <v>1720</v>
      </c>
      <c r="H75" s="76">
        <v>98038</v>
      </c>
      <c r="I75" s="76" t="s">
        <v>352</v>
      </c>
      <c r="J75" s="79">
        <v>12539.74</v>
      </c>
      <c r="K75" s="79">
        <v>6181.03</v>
      </c>
      <c r="L75" s="79">
        <v>57170.07</v>
      </c>
      <c r="M75" s="79">
        <v>384856.83999999898</v>
      </c>
      <c r="N75" s="79">
        <v>11040.7</v>
      </c>
      <c r="O75" s="79">
        <v>6235.77</v>
      </c>
      <c r="P75" s="79">
        <v>59947.74</v>
      </c>
      <c r="Q75" s="79">
        <v>158163.12</v>
      </c>
      <c r="R75" s="79">
        <v>9570.01</v>
      </c>
      <c r="S75" s="79">
        <v>6415.08</v>
      </c>
      <c r="T75" s="79">
        <v>63316.159999999902</v>
      </c>
      <c r="U75" s="79">
        <v>137015.83999999901</v>
      </c>
      <c r="W75" s="76">
        <v>98107</v>
      </c>
      <c r="X75" s="15" t="s">
        <v>10</v>
      </c>
      <c r="Y75" s="79">
        <v>551.07000000000005</v>
      </c>
      <c r="Z75" s="79">
        <v>588.24</v>
      </c>
      <c r="AA75" s="79">
        <v>529.46</v>
      </c>
      <c r="AB75" s="79">
        <v>2346.42</v>
      </c>
      <c r="AC75" s="79">
        <v>677.65</v>
      </c>
      <c r="AD75" s="79">
        <v>504.43</v>
      </c>
      <c r="AE75" s="79">
        <v>950.24</v>
      </c>
      <c r="AF75" s="79">
        <v>2678.39</v>
      </c>
      <c r="AG75" s="79">
        <v>533.78</v>
      </c>
      <c r="AH75" s="79">
        <v>625.46</v>
      </c>
      <c r="AI75" s="79">
        <v>1252.3499999999999</v>
      </c>
      <c r="AJ75" s="79">
        <v>2972.1</v>
      </c>
      <c r="AV75" s="76" t="s">
        <v>126</v>
      </c>
      <c r="AW75" s="76" t="s">
        <v>352</v>
      </c>
      <c r="AX75" s="33">
        <v>2</v>
      </c>
      <c r="AY75" s="33">
        <v>6</v>
      </c>
      <c r="AZ75" s="33">
        <v>4</v>
      </c>
      <c r="BB75" s="76" t="s">
        <v>126</v>
      </c>
      <c r="BC75" s="76" t="s">
        <v>352</v>
      </c>
      <c r="BD75" s="79">
        <v>4635.0600000000004</v>
      </c>
      <c r="BE75" s="79">
        <v>1220.5899999999999</v>
      </c>
      <c r="BF75" s="79">
        <v>183.79</v>
      </c>
      <c r="BH75" s="76">
        <v>98092</v>
      </c>
      <c r="BI75" s="76" t="s">
        <v>10</v>
      </c>
      <c r="BJ75" s="79">
        <v>-1050.24</v>
      </c>
      <c r="BK75" s="79">
        <v>-140.82</v>
      </c>
      <c r="BL75" s="79">
        <v>-1123.78</v>
      </c>
    </row>
    <row r="76" spans="2:64" x14ac:dyDescent="0.2">
      <c r="B76" s="86">
        <v>98039</v>
      </c>
      <c r="C76" s="38" t="s">
        <v>352</v>
      </c>
      <c r="D76" s="48">
        <v>10</v>
      </c>
      <c r="E76" s="48">
        <v>12</v>
      </c>
      <c r="F76" s="48">
        <v>11</v>
      </c>
      <c r="H76" s="76">
        <v>98038</v>
      </c>
      <c r="I76" s="76" t="s">
        <v>10</v>
      </c>
      <c r="J76" s="79">
        <v>173713.8</v>
      </c>
      <c r="K76" s="79">
        <v>126294.29</v>
      </c>
      <c r="L76" s="79">
        <v>470579.12</v>
      </c>
      <c r="M76" s="79">
        <v>1109240.3699999901</v>
      </c>
      <c r="N76" s="79">
        <v>159560.85999999999</v>
      </c>
      <c r="O76" s="79">
        <v>115396.2</v>
      </c>
      <c r="P76" s="79">
        <v>518170.74</v>
      </c>
      <c r="Q76" s="79">
        <v>1093051.8399999901</v>
      </c>
      <c r="R76" s="79">
        <v>134997.99</v>
      </c>
      <c r="S76" s="79">
        <v>107518.73</v>
      </c>
      <c r="T76" s="79">
        <v>543341.69999999995</v>
      </c>
      <c r="U76" s="79">
        <v>1021326.16999999</v>
      </c>
      <c r="W76" s="76">
        <v>98108</v>
      </c>
      <c r="X76" s="15" t="s">
        <v>10</v>
      </c>
      <c r="Y76" s="79">
        <v>8398.91</v>
      </c>
      <c r="Z76" s="79">
        <v>6863.91</v>
      </c>
      <c r="AA76" s="79">
        <v>8521.7999999999902</v>
      </c>
      <c r="AB76" s="79">
        <v>32786.929999999898</v>
      </c>
      <c r="AC76" s="79">
        <v>7066.97</v>
      </c>
      <c r="AD76" s="79">
        <v>6242.18</v>
      </c>
      <c r="AE76" s="79">
        <v>12400.39</v>
      </c>
      <c r="AF76" s="79">
        <v>32787.93</v>
      </c>
      <c r="AG76" s="79">
        <v>5356.52</v>
      </c>
      <c r="AH76" s="79">
        <v>5999.71</v>
      </c>
      <c r="AI76" s="79">
        <v>14167.969999999899</v>
      </c>
      <c r="AJ76" s="79">
        <v>31320.82</v>
      </c>
      <c r="AV76" s="76" t="s">
        <v>126</v>
      </c>
      <c r="AW76" s="76" t="s">
        <v>10</v>
      </c>
      <c r="AX76" s="33">
        <v>7</v>
      </c>
      <c r="AY76" s="33">
        <v>15</v>
      </c>
      <c r="AZ76" s="33">
        <v>11</v>
      </c>
      <c r="BB76" s="76" t="s">
        <v>126</v>
      </c>
      <c r="BC76" s="76" t="s">
        <v>10</v>
      </c>
      <c r="BD76" s="79">
        <v>5603.41</v>
      </c>
      <c r="BE76" s="79">
        <v>7567.94</v>
      </c>
      <c r="BF76" s="79">
        <v>6792.44</v>
      </c>
      <c r="BH76" s="76">
        <v>98102</v>
      </c>
      <c r="BI76" s="76" t="s">
        <v>10</v>
      </c>
      <c r="BJ76" s="79">
        <v>-175.16</v>
      </c>
      <c r="BK76" s="79">
        <v>-177.33</v>
      </c>
      <c r="BL76" s="79">
        <v>-122.93</v>
      </c>
    </row>
    <row r="77" spans="2:64" x14ac:dyDescent="0.2">
      <c r="B77" s="59">
        <v>98039</v>
      </c>
      <c r="C77" s="38" t="s">
        <v>10</v>
      </c>
      <c r="D77" s="48">
        <v>72</v>
      </c>
      <c r="E77" s="48">
        <v>66</v>
      </c>
      <c r="F77" s="48">
        <v>70</v>
      </c>
      <c r="H77" s="76">
        <v>98039</v>
      </c>
      <c r="I77" s="76" t="s">
        <v>352</v>
      </c>
      <c r="J77" s="79">
        <v>1211.72</v>
      </c>
      <c r="K77" s="79">
        <v>875.94</v>
      </c>
      <c r="L77" s="79">
        <v>1108.54</v>
      </c>
      <c r="M77" s="79">
        <v>4505.71</v>
      </c>
      <c r="N77" s="79">
        <v>1306.19</v>
      </c>
      <c r="O77" s="79">
        <v>744</v>
      </c>
      <c r="P77" s="79">
        <v>1831.79</v>
      </c>
      <c r="Q77" s="79">
        <v>4863.3100000000004</v>
      </c>
      <c r="R77" s="79">
        <v>449.62</v>
      </c>
      <c r="S77" s="79">
        <v>312.14999999999998</v>
      </c>
      <c r="T77" s="79">
        <v>314.07</v>
      </c>
      <c r="U77" s="79">
        <v>1879.74999999999</v>
      </c>
      <c r="W77" s="76">
        <v>98109</v>
      </c>
      <c r="X77" s="15" t="s">
        <v>10</v>
      </c>
      <c r="Y77" s="79">
        <v>635.63</v>
      </c>
      <c r="Z77" s="79">
        <v>209.61</v>
      </c>
      <c r="AA77" s="79">
        <v>188.14</v>
      </c>
      <c r="AB77" s="79">
        <v>1457.57</v>
      </c>
      <c r="AC77" s="79">
        <v>143.66999999999999</v>
      </c>
      <c r="AD77" s="79">
        <v>474.57</v>
      </c>
      <c r="AE77" s="79">
        <v>162.87</v>
      </c>
      <c r="AF77" s="79">
        <v>1066.6400000000001</v>
      </c>
      <c r="AG77" s="79">
        <v>113.97</v>
      </c>
      <c r="AH77" s="79">
        <v>142.72999999999999</v>
      </c>
      <c r="AI77" s="79">
        <v>597.17999999999995</v>
      </c>
      <c r="AJ77" s="79">
        <v>1004.22</v>
      </c>
      <c r="AV77" s="76" t="s">
        <v>127</v>
      </c>
      <c r="AW77" s="76" t="s">
        <v>352</v>
      </c>
      <c r="AX77" s="33">
        <v>1</v>
      </c>
      <c r="AY77" s="33">
        <v>1</v>
      </c>
      <c r="AZ77" s="33">
        <v>2</v>
      </c>
      <c r="BB77" s="76" t="s">
        <v>127</v>
      </c>
      <c r="BC77" s="76" t="s">
        <v>352</v>
      </c>
      <c r="BD77" s="79">
        <v>11.14</v>
      </c>
      <c r="BE77" s="79">
        <v>115</v>
      </c>
      <c r="BF77" s="79">
        <v>391.07</v>
      </c>
      <c r="BH77" s="76">
        <v>98103</v>
      </c>
      <c r="BI77" s="76" t="s">
        <v>352</v>
      </c>
      <c r="BJ77" s="79"/>
      <c r="BK77" s="79"/>
      <c r="BL77" s="79">
        <v>-705.66</v>
      </c>
    </row>
    <row r="78" spans="2:64" x14ac:dyDescent="0.2">
      <c r="B78" s="86">
        <v>98040</v>
      </c>
      <c r="C78" s="38" t="s">
        <v>352</v>
      </c>
      <c r="D78" s="48">
        <v>64</v>
      </c>
      <c r="E78" s="48">
        <v>59</v>
      </c>
      <c r="F78" s="48">
        <v>85</v>
      </c>
      <c r="H78" s="76">
        <v>98039</v>
      </c>
      <c r="I78" s="76" t="s">
        <v>10</v>
      </c>
      <c r="J78" s="79">
        <v>6963.51</v>
      </c>
      <c r="K78" s="79">
        <v>5680.66</v>
      </c>
      <c r="L78" s="79">
        <v>12554.22</v>
      </c>
      <c r="M78" s="79">
        <v>55456.609999999899</v>
      </c>
      <c r="N78" s="79">
        <v>10204.48</v>
      </c>
      <c r="O78" s="79">
        <v>4443.0600000000004</v>
      </c>
      <c r="P78" s="79">
        <v>15700.37</v>
      </c>
      <c r="Q78" s="79">
        <v>54543.419999999896</v>
      </c>
      <c r="R78" s="79">
        <v>10645.2</v>
      </c>
      <c r="S78" s="79">
        <v>6315.35</v>
      </c>
      <c r="T78" s="79">
        <v>16668.509999999998</v>
      </c>
      <c r="U78" s="79">
        <v>54383.92</v>
      </c>
      <c r="W78" s="76">
        <v>98110</v>
      </c>
      <c r="X78" s="15" t="s">
        <v>10</v>
      </c>
      <c r="Y78" s="79">
        <v>10441.469999999999</v>
      </c>
      <c r="Z78" s="79">
        <v>6917.72</v>
      </c>
      <c r="AA78" s="79">
        <v>9044.0999999999894</v>
      </c>
      <c r="AB78" s="79">
        <v>36178.76</v>
      </c>
      <c r="AC78" s="79">
        <v>6595.66</v>
      </c>
      <c r="AD78" s="79">
        <v>5415.45</v>
      </c>
      <c r="AE78" s="79">
        <v>12657.199999999901</v>
      </c>
      <c r="AF78" s="79">
        <v>30273.41</v>
      </c>
      <c r="AG78" s="79">
        <v>3784.42</v>
      </c>
      <c r="AH78" s="79">
        <v>5014.1000000000004</v>
      </c>
      <c r="AI78" s="79">
        <v>15191.2</v>
      </c>
      <c r="AJ78" s="79">
        <v>30960.99</v>
      </c>
      <c r="AV78" s="76" t="s">
        <v>127</v>
      </c>
      <c r="AW78" s="76" t="s">
        <v>10</v>
      </c>
      <c r="AX78" s="33">
        <v>22</v>
      </c>
      <c r="AY78" s="33">
        <v>24</v>
      </c>
      <c r="AZ78" s="33">
        <v>28</v>
      </c>
      <c r="BB78" s="76" t="s">
        <v>127</v>
      </c>
      <c r="BC78" s="76" t="s">
        <v>10</v>
      </c>
      <c r="BD78" s="79">
        <v>17135.060000000001</v>
      </c>
      <c r="BE78" s="79">
        <v>13651.68</v>
      </c>
      <c r="BF78" s="79">
        <v>32042.600000000002</v>
      </c>
      <c r="BH78" s="76">
        <v>98103</v>
      </c>
      <c r="BI78" s="76" t="s">
        <v>10</v>
      </c>
      <c r="BJ78" s="79"/>
      <c r="BK78" s="79">
        <v>-42.71</v>
      </c>
      <c r="BL78" s="79"/>
    </row>
    <row r="79" spans="2:64" x14ac:dyDescent="0.2">
      <c r="B79" s="59">
        <v>98040</v>
      </c>
      <c r="C79" s="38" t="s">
        <v>10</v>
      </c>
      <c r="D79" s="48">
        <v>857</v>
      </c>
      <c r="E79" s="48">
        <v>807</v>
      </c>
      <c r="F79" s="48">
        <v>849</v>
      </c>
      <c r="H79" s="76">
        <v>98040</v>
      </c>
      <c r="I79" s="76" t="s">
        <v>352</v>
      </c>
      <c r="J79" s="79">
        <v>32780.769999999997</v>
      </c>
      <c r="K79" s="79">
        <v>2480.86</v>
      </c>
      <c r="L79" s="79">
        <v>17201.259999999998</v>
      </c>
      <c r="M79" s="79">
        <v>138351.20000000001</v>
      </c>
      <c r="N79" s="79">
        <v>32941.21</v>
      </c>
      <c r="O79" s="79">
        <v>31076.97</v>
      </c>
      <c r="P79" s="79">
        <v>17532.009999999998</v>
      </c>
      <c r="Q79" s="79">
        <v>147849.85999999999</v>
      </c>
      <c r="R79" s="79">
        <v>36911.410000000003</v>
      </c>
      <c r="S79" s="79">
        <v>31681.93</v>
      </c>
      <c r="T79" s="79">
        <v>47065.15</v>
      </c>
      <c r="U79" s="79">
        <v>244317.79</v>
      </c>
      <c r="W79" s="76">
        <v>98112</v>
      </c>
      <c r="X79" s="15" t="s">
        <v>10</v>
      </c>
      <c r="Y79" s="79">
        <v>1735.23</v>
      </c>
      <c r="Z79" s="79">
        <v>1031.25</v>
      </c>
      <c r="AA79" s="79">
        <v>1471.85</v>
      </c>
      <c r="AB79" s="79">
        <v>5781.1</v>
      </c>
      <c r="AC79" s="79">
        <v>1145.5999999999999</v>
      </c>
      <c r="AD79" s="79">
        <v>1428.53</v>
      </c>
      <c r="AE79" s="79">
        <v>2197.31</v>
      </c>
      <c r="AF79" s="79">
        <v>6259.8499999999904</v>
      </c>
      <c r="AG79" s="79">
        <v>1132.5999999999999</v>
      </c>
      <c r="AH79" s="79">
        <v>789.53</v>
      </c>
      <c r="AI79" s="79">
        <v>2138.33</v>
      </c>
      <c r="AJ79" s="79">
        <v>5237.54</v>
      </c>
      <c r="AV79" s="76" t="s">
        <v>281</v>
      </c>
      <c r="AW79" s="76" t="s">
        <v>10</v>
      </c>
      <c r="AX79" s="33">
        <v>6</v>
      </c>
      <c r="AY79" s="33">
        <v>5</v>
      </c>
      <c r="AZ79" s="33">
        <v>4</v>
      </c>
      <c r="BB79" s="76" t="s">
        <v>281</v>
      </c>
      <c r="BC79" s="76" t="s">
        <v>10</v>
      </c>
      <c r="BD79" s="79">
        <v>2149.21</v>
      </c>
      <c r="BE79" s="79">
        <v>613.95000000000005</v>
      </c>
      <c r="BF79" s="79">
        <v>1265.96</v>
      </c>
      <c r="BH79" s="76">
        <v>98104</v>
      </c>
      <c r="BI79" s="76" t="s">
        <v>10</v>
      </c>
      <c r="BJ79" s="79"/>
      <c r="BK79" s="79"/>
      <c r="BL79" s="79">
        <v>-836.34</v>
      </c>
    </row>
    <row r="80" spans="2:64" x14ac:dyDescent="0.2">
      <c r="B80" s="86">
        <v>98042</v>
      </c>
      <c r="C80" s="38" t="s">
        <v>352</v>
      </c>
      <c r="D80" s="48">
        <v>156</v>
      </c>
      <c r="E80" s="48">
        <v>181</v>
      </c>
      <c r="F80" s="48">
        <v>137</v>
      </c>
      <c r="H80" s="76">
        <v>98040</v>
      </c>
      <c r="I80" s="76" t="s">
        <v>10</v>
      </c>
      <c r="J80" s="79">
        <v>64335.28</v>
      </c>
      <c r="K80" s="79">
        <v>54410.28</v>
      </c>
      <c r="L80" s="79">
        <v>129472.36</v>
      </c>
      <c r="M80" s="79">
        <v>381361.82</v>
      </c>
      <c r="N80" s="79">
        <v>58457.94</v>
      </c>
      <c r="O80" s="79">
        <v>44094.05</v>
      </c>
      <c r="P80" s="79">
        <v>155313.06999999899</v>
      </c>
      <c r="Q80" s="79">
        <v>382320.5</v>
      </c>
      <c r="R80" s="79">
        <v>45892.63</v>
      </c>
      <c r="S80" s="79">
        <v>39940.769999999997</v>
      </c>
      <c r="T80" s="79">
        <v>167428.109999999</v>
      </c>
      <c r="U80" s="79">
        <v>355826.50999999902</v>
      </c>
      <c r="W80" s="76">
        <v>98115</v>
      </c>
      <c r="X80" s="15" t="s">
        <v>10</v>
      </c>
      <c r="Y80" s="79">
        <v>1801.01</v>
      </c>
      <c r="Z80" s="79">
        <v>1903.09</v>
      </c>
      <c r="AA80" s="79">
        <v>2971.22999999999</v>
      </c>
      <c r="AB80" s="79">
        <v>8737.42</v>
      </c>
      <c r="AC80" s="79">
        <v>733.49</v>
      </c>
      <c r="AD80" s="79">
        <v>2265.4299999999998</v>
      </c>
      <c r="AE80" s="79">
        <v>3633.77</v>
      </c>
      <c r="AF80" s="79">
        <v>8516.43</v>
      </c>
      <c r="AG80" s="79">
        <v>1555.42</v>
      </c>
      <c r="AH80" s="79">
        <v>651.62</v>
      </c>
      <c r="AI80" s="79">
        <v>5333.64</v>
      </c>
      <c r="AJ80" s="79">
        <v>8722</v>
      </c>
      <c r="AV80" s="76" t="s">
        <v>128</v>
      </c>
      <c r="AW80" s="76" t="s">
        <v>352</v>
      </c>
      <c r="AX80" s="33"/>
      <c r="AY80" s="33"/>
      <c r="AZ80" s="33">
        <v>1</v>
      </c>
      <c r="BB80" s="76" t="s">
        <v>128</v>
      </c>
      <c r="BC80" s="76" t="s">
        <v>352</v>
      </c>
      <c r="BD80" s="79"/>
      <c r="BE80" s="79"/>
      <c r="BF80" s="79">
        <v>33.89</v>
      </c>
      <c r="BH80" s="76">
        <v>98105</v>
      </c>
      <c r="BI80" s="76" t="s">
        <v>352</v>
      </c>
      <c r="BJ80" s="79"/>
      <c r="BK80" s="79">
        <v>-93.1</v>
      </c>
      <c r="BL80" s="79"/>
    </row>
    <row r="81" spans="2:64" x14ac:dyDescent="0.2">
      <c r="B81" s="59">
        <v>98042</v>
      </c>
      <c r="C81" s="38" t="s">
        <v>10</v>
      </c>
      <c r="D81" s="48">
        <v>3101</v>
      </c>
      <c r="E81" s="48">
        <v>3060</v>
      </c>
      <c r="F81" s="48">
        <v>2856</v>
      </c>
      <c r="H81" s="76">
        <v>98042</v>
      </c>
      <c r="I81" s="76" t="s">
        <v>352</v>
      </c>
      <c r="J81" s="79">
        <v>16414.61</v>
      </c>
      <c r="K81" s="79">
        <v>8609.8700000000008</v>
      </c>
      <c r="L81" s="79">
        <v>27879.929999999898</v>
      </c>
      <c r="M81" s="79">
        <v>156125.23000000001</v>
      </c>
      <c r="N81" s="79">
        <v>11453.53</v>
      </c>
      <c r="O81" s="79">
        <v>11078.97</v>
      </c>
      <c r="P81" s="79">
        <v>28099.46</v>
      </c>
      <c r="Q81" s="79">
        <v>91228.279999999897</v>
      </c>
      <c r="R81" s="79">
        <v>9749.18</v>
      </c>
      <c r="S81" s="79">
        <v>7217.09</v>
      </c>
      <c r="T81" s="79">
        <v>32096.8299999999</v>
      </c>
      <c r="U81" s="79">
        <v>109573.73</v>
      </c>
      <c r="W81" s="76">
        <v>98116</v>
      </c>
      <c r="X81" s="15" t="s">
        <v>10</v>
      </c>
      <c r="Y81" s="79">
        <v>1883.93</v>
      </c>
      <c r="Z81" s="79">
        <v>1841.56</v>
      </c>
      <c r="AA81" s="79">
        <v>1266.43</v>
      </c>
      <c r="AB81" s="79">
        <v>7110.19</v>
      </c>
      <c r="AC81" s="79">
        <v>1460.69</v>
      </c>
      <c r="AD81" s="79">
        <v>1140.01</v>
      </c>
      <c r="AE81" s="79">
        <v>1969.41</v>
      </c>
      <c r="AF81" s="79">
        <v>5671.1999999999898</v>
      </c>
      <c r="AG81" s="79">
        <v>828.05</v>
      </c>
      <c r="AH81" s="79">
        <v>962.96</v>
      </c>
      <c r="AI81" s="79">
        <v>2090.9699999999998</v>
      </c>
      <c r="AJ81" s="79">
        <v>5007.57</v>
      </c>
      <c r="AV81" s="76" t="s">
        <v>128</v>
      </c>
      <c r="AW81" s="76" t="s">
        <v>10</v>
      </c>
      <c r="AX81" s="33">
        <v>6</v>
      </c>
      <c r="AY81" s="33">
        <v>8</v>
      </c>
      <c r="AZ81" s="33">
        <v>8</v>
      </c>
      <c r="BB81" s="76" t="s">
        <v>128</v>
      </c>
      <c r="BC81" s="76" t="s">
        <v>10</v>
      </c>
      <c r="BD81" s="79">
        <v>574.52</v>
      </c>
      <c r="BE81" s="79">
        <v>2153.9499999999998</v>
      </c>
      <c r="BF81" s="79">
        <v>13137.36</v>
      </c>
      <c r="BH81" s="76">
        <v>98105</v>
      </c>
      <c r="BI81" s="76" t="s">
        <v>10</v>
      </c>
      <c r="BJ81" s="79"/>
      <c r="BK81" s="79">
        <v>-40.96</v>
      </c>
      <c r="BL81" s="79"/>
    </row>
    <row r="82" spans="2:64" x14ac:dyDescent="0.2">
      <c r="B82" s="86">
        <v>98043</v>
      </c>
      <c r="C82" s="38" t="s">
        <v>352</v>
      </c>
      <c r="D82" s="48">
        <v>21</v>
      </c>
      <c r="E82" s="48">
        <v>33</v>
      </c>
      <c r="F82" s="48">
        <v>25</v>
      </c>
      <c r="H82" s="76">
        <v>98042</v>
      </c>
      <c r="I82" s="76" t="s">
        <v>10</v>
      </c>
      <c r="J82" s="79">
        <v>332568.82</v>
      </c>
      <c r="K82" s="79">
        <v>227963.49</v>
      </c>
      <c r="L82" s="79">
        <v>744440.11999999895</v>
      </c>
      <c r="M82" s="79">
        <v>1870098.49</v>
      </c>
      <c r="N82" s="79">
        <v>278354</v>
      </c>
      <c r="O82" s="79">
        <v>239564.98</v>
      </c>
      <c r="P82" s="79">
        <v>831897.35999999905</v>
      </c>
      <c r="Q82" s="79">
        <v>1851949.92</v>
      </c>
      <c r="R82" s="79">
        <v>259093.91</v>
      </c>
      <c r="S82" s="79">
        <v>204328.46</v>
      </c>
      <c r="T82" s="79">
        <v>910724.72</v>
      </c>
      <c r="U82" s="79">
        <v>1766917.14</v>
      </c>
      <c r="W82" s="76">
        <v>98117</v>
      </c>
      <c r="X82" s="15" t="s">
        <v>10</v>
      </c>
      <c r="Y82" s="79">
        <v>1568.57</v>
      </c>
      <c r="Z82" s="79">
        <v>1563.71</v>
      </c>
      <c r="AA82" s="79">
        <v>3070.24</v>
      </c>
      <c r="AB82" s="79">
        <v>8204.4599999999991</v>
      </c>
      <c r="AC82" s="79">
        <v>1409.79</v>
      </c>
      <c r="AD82" s="79">
        <v>1123.77</v>
      </c>
      <c r="AE82" s="79">
        <v>3761.35</v>
      </c>
      <c r="AF82" s="79">
        <v>7551.70999999999</v>
      </c>
      <c r="AG82" s="79">
        <v>1005.5</v>
      </c>
      <c r="AH82" s="79">
        <v>1259.56</v>
      </c>
      <c r="AI82" s="79">
        <v>3488.83</v>
      </c>
      <c r="AJ82" s="79">
        <v>6731.88</v>
      </c>
      <c r="AV82" s="76" t="s">
        <v>129</v>
      </c>
      <c r="AW82" s="76" t="s">
        <v>352</v>
      </c>
      <c r="AX82" s="33"/>
      <c r="AY82" s="33"/>
      <c r="AZ82" s="33">
        <v>2</v>
      </c>
      <c r="BB82" s="76" t="s">
        <v>129</v>
      </c>
      <c r="BC82" s="76" t="s">
        <v>352</v>
      </c>
      <c r="BD82" s="79"/>
      <c r="BE82" s="79"/>
      <c r="BF82" s="79">
        <v>16223.01</v>
      </c>
      <c r="BH82" s="76">
        <v>98106</v>
      </c>
      <c r="BI82" s="76" t="s">
        <v>10</v>
      </c>
      <c r="BJ82" s="79"/>
      <c r="BK82" s="79"/>
      <c r="BL82" s="79">
        <v>-80.25</v>
      </c>
    </row>
    <row r="83" spans="2:64" x14ac:dyDescent="0.2">
      <c r="B83" s="59">
        <v>98043</v>
      </c>
      <c r="C83" s="38" t="s">
        <v>10</v>
      </c>
      <c r="D83" s="48">
        <v>479</v>
      </c>
      <c r="E83" s="48">
        <v>484</v>
      </c>
      <c r="F83" s="48">
        <v>455</v>
      </c>
      <c r="H83" s="76">
        <v>98043</v>
      </c>
      <c r="I83" s="76" t="s">
        <v>352</v>
      </c>
      <c r="J83" s="79">
        <v>1329.06</v>
      </c>
      <c r="K83" s="79">
        <v>1748.39</v>
      </c>
      <c r="L83" s="79">
        <v>1809.5</v>
      </c>
      <c r="M83" s="79">
        <v>7900.96</v>
      </c>
      <c r="N83" s="79">
        <v>870.92</v>
      </c>
      <c r="O83" s="79">
        <v>1147.07</v>
      </c>
      <c r="P83" s="79">
        <v>1949.52999999999</v>
      </c>
      <c r="Q83" s="79">
        <v>10368.23</v>
      </c>
      <c r="R83" s="79">
        <v>2882.58</v>
      </c>
      <c r="S83" s="79">
        <v>452.7</v>
      </c>
      <c r="T83" s="79">
        <v>1805.76</v>
      </c>
      <c r="U83" s="79">
        <v>6981.15</v>
      </c>
      <c r="W83" s="76">
        <v>98118</v>
      </c>
      <c r="X83" s="15" t="s">
        <v>10</v>
      </c>
      <c r="Y83" s="79">
        <v>11066.86</v>
      </c>
      <c r="Z83" s="79">
        <v>10548.59</v>
      </c>
      <c r="AA83" s="79">
        <v>14289.809999999899</v>
      </c>
      <c r="AB83" s="79">
        <v>48773.949999999903</v>
      </c>
      <c r="AC83" s="79">
        <v>10667.76</v>
      </c>
      <c r="AD83" s="79">
        <v>10054.25</v>
      </c>
      <c r="AE83" s="79">
        <v>22857.78</v>
      </c>
      <c r="AF83" s="79">
        <v>54539</v>
      </c>
      <c r="AG83" s="79">
        <v>9086.56</v>
      </c>
      <c r="AH83" s="79">
        <v>8778.1200000000008</v>
      </c>
      <c r="AI83" s="79">
        <v>26994.18</v>
      </c>
      <c r="AJ83" s="79">
        <v>52717.14</v>
      </c>
      <c r="AV83" s="76" t="s">
        <v>129</v>
      </c>
      <c r="AW83" s="76" t="s">
        <v>10</v>
      </c>
      <c r="AX83" s="33">
        <v>17</v>
      </c>
      <c r="AY83" s="33">
        <v>17</v>
      </c>
      <c r="AZ83" s="33">
        <v>15</v>
      </c>
      <c r="BB83" s="76" t="s">
        <v>129</v>
      </c>
      <c r="BC83" s="76" t="s">
        <v>10</v>
      </c>
      <c r="BD83" s="79">
        <v>11897.24</v>
      </c>
      <c r="BE83" s="79">
        <v>23886.61</v>
      </c>
      <c r="BF83" s="79">
        <v>8877.86</v>
      </c>
      <c r="BH83" s="76">
        <v>98107</v>
      </c>
      <c r="BI83" s="76" t="s">
        <v>352</v>
      </c>
      <c r="BJ83" s="79">
        <v>-36.11</v>
      </c>
      <c r="BK83" s="79"/>
      <c r="BL83" s="79"/>
    </row>
    <row r="84" spans="2:64" x14ac:dyDescent="0.2">
      <c r="B84" s="86">
        <v>98045</v>
      </c>
      <c r="C84" s="38" t="s">
        <v>352</v>
      </c>
      <c r="D84" s="48">
        <v>90</v>
      </c>
      <c r="E84" s="48">
        <v>82</v>
      </c>
      <c r="F84" s="48">
        <v>76</v>
      </c>
      <c r="H84" s="76">
        <v>98043</v>
      </c>
      <c r="I84" s="76" t="s">
        <v>10</v>
      </c>
      <c r="J84" s="79">
        <v>25512.27</v>
      </c>
      <c r="K84" s="79">
        <v>25129.69</v>
      </c>
      <c r="L84" s="79">
        <v>51318.74</v>
      </c>
      <c r="M84" s="79">
        <v>153542.209999999</v>
      </c>
      <c r="N84" s="79">
        <v>29752.560000000001</v>
      </c>
      <c r="O84" s="79">
        <v>17698.46</v>
      </c>
      <c r="P84" s="79">
        <v>61246.03</v>
      </c>
      <c r="Q84" s="79">
        <v>146701.28999999899</v>
      </c>
      <c r="R84" s="79">
        <v>21838.41</v>
      </c>
      <c r="S84" s="79">
        <v>22349.759999999998</v>
      </c>
      <c r="T84" s="79">
        <v>65807.73</v>
      </c>
      <c r="U84" s="79">
        <v>137040.58999999901</v>
      </c>
      <c r="W84" s="76">
        <v>98119</v>
      </c>
      <c r="X84" s="15" t="s">
        <v>10</v>
      </c>
      <c r="Y84" s="79">
        <v>530.04999999999995</v>
      </c>
      <c r="Z84" s="79">
        <v>477.25</v>
      </c>
      <c r="AA84" s="79">
        <v>98.049999999999898</v>
      </c>
      <c r="AB84" s="79">
        <v>1577.16</v>
      </c>
      <c r="AC84" s="79">
        <v>274.57</v>
      </c>
      <c r="AD84" s="79">
        <v>317.49</v>
      </c>
      <c r="AE84" s="79">
        <v>321.52</v>
      </c>
      <c r="AF84" s="79">
        <v>1439.74</v>
      </c>
      <c r="AG84" s="79">
        <v>316.16000000000003</v>
      </c>
      <c r="AH84" s="79">
        <v>274.57</v>
      </c>
      <c r="AI84" s="79">
        <v>639.01</v>
      </c>
      <c r="AJ84" s="79">
        <v>1557.46</v>
      </c>
      <c r="AV84" s="76" t="s">
        <v>130</v>
      </c>
      <c r="AW84" s="76" t="s">
        <v>352</v>
      </c>
      <c r="AX84" s="33">
        <v>1</v>
      </c>
      <c r="AY84" s="33"/>
      <c r="AZ84" s="33"/>
      <c r="BB84" s="76" t="s">
        <v>130</v>
      </c>
      <c r="BC84" s="76" t="s">
        <v>352</v>
      </c>
      <c r="BD84" s="79">
        <v>58.36</v>
      </c>
      <c r="BE84" s="79"/>
      <c r="BF84" s="79"/>
      <c r="BH84" s="76">
        <v>98107</v>
      </c>
      <c r="BI84" s="76" t="s">
        <v>10</v>
      </c>
      <c r="BJ84" s="79">
        <v>-206.8</v>
      </c>
      <c r="BK84" s="79"/>
      <c r="BL84" s="79">
        <v>-153.53</v>
      </c>
    </row>
    <row r="85" spans="2:64" x14ac:dyDescent="0.2">
      <c r="B85" s="59">
        <v>98045</v>
      </c>
      <c r="C85" s="38" t="s">
        <v>10</v>
      </c>
      <c r="D85" s="48">
        <v>819</v>
      </c>
      <c r="E85" s="48">
        <v>766</v>
      </c>
      <c r="F85" s="48">
        <v>773</v>
      </c>
      <c r="H85" s="76">
        <v>98045</v>
      </c>
      <c r="I85" s="76" t="s">
        <v>352</v>
      </c>
      <c r="J85" s="79">
        <v>45141.52</v>
      </c>
      <c r="K85" s="79">
        <v>9436.14</v>
      </c>
      <c r="L85" s="79">
        <v>256239.11</v>
      </c>
      <c r="M85" s="79">
        <v>354460.37999999902</v>
      </c>
      <c r="N85" s="79">
        <v>11585.84</v>
      </c>
      <c r="O85" s="79">
        <v>41697.22</v>
      </c>
      <c r="P85" s="79">
        <v>263219.55</v>
      </c>
      <c r="Q85" s="79">
        <v>351114.37</v>
      </c>
      <c r="R85" s="79">
        <v>6118.04</v>
      </c>
      <c r="S85" s="79">
        <v>3872.59</v>
      </c>
      <c r="T85" s="79">
        <v>299787.65000000002</v>
      </c>
      <c r="U85" s="79">
        <v>335979.68</v>
      </c>
      <c r="W85" s="76">
        <v>98121</v>
      </c>
      <c r="X85" s="15" t="s">
        <v>10</v>
      </c>
      <c r="Y85" s="79">
        <v>93.51</v>
      </c>
      <c r="Z85" s="79">
        <v>72.78</v>
      </c>
      <c r="AA85" s="79">
        <v>249.37</v>
      </c>
      <c r="AB85" s="79">
        <v>485.32</v>
      </c>
      <c r="AC85" s="79">
        <v>69.66</v>
      </c>
      <c r="AD85" s="79">
        <v>70.22</v>
      </c>
      <c r="AE85" s="79">
        <v>142.6</v>
      </c>
      <c r="AF85" s="79">
        <v>326.44</v>
      </c>
      <c r="AG85" s="79">
        <v>43.96</v>
      </c>
      <c r="AH85" s="79">
        <v>69.66</v>
      </c>
      <c r="AI85" s="79">
        <v>212.82</v>
      </c>
      <c r="AJ85" s="79">
        <v>368.85999999999899</v>
      </c>
      <c r="AV85" s="76" t="s">
        <v>131</v>
      </c>
      <c r="AW85" s="76" t="s">
        <v>10</v>
      </c>
      <c r="AX85" s="33"/>
      <c r="AY85" s="33">
        <v>1</v>
      </c>
      <c r="AZ85" s="33">
        <v>2</v>
      </c>
      <c r="BB85" s="76" t="s">
        <v>131</v>
      </c>
      <c r="BC85" s="76" t="s">
        <v>10</v>
      </c>
      <c r="BD85" s="79"/>
      <c r="BE85" s="79">
        <v>4314.32</v>
      </c>
      <c r="BF85" s="79">
        <v>1078.2</v>
      </c>
      <c r="BH85" s="76">
        <v>98108</v>
      </c>
      <c r="BI85" s="76" t="s">
        <v>10</v>
      </c>
      <c r="BJ85" s="79">
        <v>-215.69</v>
      </c>
      <c r="BK85" s="79"/>
      <c r="BL85" s="79">
        <v>-55.13</v>
      </c>
    </row>
    <row r="86" spans="2:64" x14ac:dyDescent="0.2">
      <c r="B86" s="86">
        <v>98047</v>
      </c>
      <c r="C86" s="38" t="s">
        <v>352</v>
      </c>
      <c r="D86" s="48">
        <v>50</v>
      </c>
      <c r="E86" s="48">
        <v>54</v>
      </c>
      <c r="F86" s="48">
        <v>33</v>
      </c>
      <c r="H86" s="76">
        <v>98045</v>
      </c>
      <c r="I86" s="76" t="s">
        <v>10</v>
      </c>
      <c r="J86" s="79">
        <v>74384.759999999995</v>
      </c>
      <c r="K86" s="79">
        <v>47808.59</v>
      </c>
      <c r="L86" s="79">
        <v>139888.64000000001</v>
      </c>
      <c r="M86" s="79">
        <v>419316.14</v>
      </c>
      <c r="N86" s="79">
        <v>66770.39</v>
      </c>
      <c r="O86" s="79">
        <v>60407.25</v>
      </c>
      <c r="P86" s="79">
        <v>161954.68</v>
      </c>
      <c r="Q86" s="79">
        <v>407806.2</v>
      </c>
      <c r="R86" s="79">
        <v>52961.11</v>
      </c>
      <c r="S86" s="79">
        <v>41695.54</v>
      </c>
      <c r="T86" s="79">
        <v>179698.75999999899</v>
      </c>
      <c r="U86" s="79">
        <v>369556.6</v>
      </c>
      <c r="W86" s="76">
        <v>98122</v>
      </c>
      <c r="X86" s="15" t="s">
        <v>10</v>
      </c>
      <c r="Y86" s="79">
        <v>2539.06</v>
      </c>
      <c r="Z86" s="79">
        <v>2461.1799999999998</v>
      </c>
      <c r="AA86" s="79">
        <v>5779.54</v>
      </c>
      <c r="AB86" s="79">
        <v>13143.859999999901</v>
      </c>
      <c r="AC86" s="79">
        <v>2395.84</v>
      </c>
      <c r="AD86" s="79">
        <v>2567.1799999999998</v>
      </c>
      <c r="AE86" s="79">
        <v>7772.31</v>
      </c>
      <c r="AF86" s="79">
        <v>15126.2</v>
      </c>
      <c r="AG86" s="79">
        <v>2153.6</v>
      </c>
      <c r="AH86" s="79">
        <v>2222.1</v>
      </c>
      <c r="AI86" s="79">
        <v>9558.27</v>
      </c>
      <c r="AJ86" s="79">
        <v>16145.14</v>
      </c>
      <c r="AV86" s="76" t="s">
        <v>132</v>
      </c>
      <c r="AW86" s="76" t="s">
        <v>352</v>
      </c>
      <c r="AX86" s="33">
        <v>7</v>
      </c>
      <c r="AY86" s="33">
        <v>10</v>
      </c>
      <c r="AZ86" s="33">
        <v>11</v>
      </c>
      <c r="BB86" s="76" t="s">
        <v>132</v>
      </c>
      <c r="BC86" s="76" t="s">
        <v>352</v>
      </c>
      <c r="BD86" s="79">
        <v>5808.1100000000006</v>
      </c>
      <c r="BE86" s="79">
        <v>3878.95</v>
      </c>
      <c r="BF86" s="79">
        <v>5641.7199999999993</v>
      </c>
      <c r="BH86" s="76">
        <v>98109</v>
      </c>
      <c r="BI86" s="76" t="s">
        <v>10</v>
      </c>
      <c r="BJ86" s="79"/>
      <c r="BK86" s="79">
        <v>-263.08999999999997</v>
      </c>
      <c r="BL86" s="79"/>
    </row>
    <row r="87" spans="2:64" x14ac:dyDescent="0.2">
      <c r="B87" s="59">
        <v>98047</v>
      </c>
      <c r="C87" s="38" t="s">
        <v>10</v>
      </c>
      <c r="D87" s="48">
        <v>522</v>
      </c>
      <c r="E87" s="48">
        <v>521</v>
      </c>
      <c r="F87" s="48">
        <v>514</v>
      </c>
      <c r="H87" s="76">
        <v>98047</v>
      </c>
      <c r="I87" s="76" t="s">
        <v>352</v>
      </c>
      <c r="J87" s="79">
        <v>9951.52</v>
      </c>
      <c r="K87" s="79">
        <v>9287.36</v>
      </c>
      <c r="L87" s="79">
        <v>26114.129999999899</v>
      </c>
      <c r="M87" s="79">
        <v>66858.559999999998</v>
      </c>
      <c r="N87" s="79">
        <v>8787.33</v>
      </c>
      <c r="O87" s="79">
        <v>11342.58</v>
      </c>
      <c r="P87" s="79">
        <v>34491.81</v>
      </c>
      <c r="Q87" s="79">
        <v>72588.09</v>
      </c>
      <c r="R87" s="79">
        <v>8329.4500000000007</v>
      </c>
      <c r="S87" s="79">
        <v>3974.07</v>
      </c>
      <c r="T87" s="79">
        <v>27010.06</v>
      </c>
      <c r="U87" s="79">
        <v>59526.03</v>
      </c>
      <c r="W87" s="76">
        <v>98125</v>
      </c>
      <c r="X87" s="15" t="s">
        <v>10</v>
      </c>
      <c r="Y87" s="79">
        <v>2675.04</v>
      </c>
      <c r="Z87" s="79">
        <v>2659.48</v>
      </c>
      <c r="AA87" s="79">
        <v>3825.37</v>
      </c>
      <c r="AB87" s="79">
        <v>12199.46</v>
      </c>
      <c r="AC87" s="79">
        <v>2445.6799999999998</v>
      </c>
      <c r="AD87" s="79">
        <v>2220.48</v>
      </c>
      <c r="AE87" s="79">
        <v>4188.45999999999</v>
      </c>
      <c r="AF87" s="79">
        <v>11081.11</v>
      </c>
      <c r="AG87" s="79">
        <v>1789.26</v>
      </c>
      <c r="AH87" s="79">
        <v>2163.91</v>
      </c>
      <c r="AI87" s="79">
        <v>4259.5</v>
      </c>
      <c r="AJ87" s="79">
        <v>9999.5799999999908</v>
      </c>
      <c r="AV87" s="76" t="s">
        <v>132</v>
      </c>
      <c r="AW87" s="76" t="s">
        <v>10</v>
      </c>
      <c r="AX87" s="33">
        <v>55</v>
      </c>
      <c r="AY87" s="33">
        <v>69</v>
      </c>
      <c r="AZ87" s="33">
        <v>183</v>
      </c>
      <c r="BB87" s="76" t="s">
        <v>132</v>
      </c>
      <c r="BC87" s="76" t="s">
        <v>10</v>
      </c>
      <c r="BD87" s="79">
        <v>10721.99</v>
      </c>
      <c r="BE87" s="79">
        <v>27967.23</v>
      </c>
      <c r="BF87" s="79">
        <v>26873.58</v>
      </c>
      <c r="BH87" s="76">
        <v>98110</v>
      </c>
      <c r="BI87" s="76" t="s">
        <v>352</v>
      </c>
      <c r="BJ87" s="79">
        <v>-279.13</v>
      </c>
      <c r="BK87" s="79"/>
      <c r="BL87" s="79"/>
    </row>
    <row r="88" spans="2:64" x14ac:dyDescent="0.2">
      <c r="B88" s="86">
        <v>98050</v>
      </c>
      <c r="C88" s="38" t="s">
        <v>352</v>
      </c>
      <c r="D88" s="48">
        <v>11</v>
      </c>
      <c r="E88" s="48">
        <v>7</v>
      </c>
      <c r="F88" s="48">
        <v>1</v>
      </c>
      <c r="H88" s="76">
        <v>98047</v>
      </c>
      <c r="I88" s="76" t="s">
        <v>10</v>
      </c>
      <c r="J88" s="79">
        <v>58836.82</v>
      </c>
      <c r="K88" s="79">
        <v>54608.07</v>
      </c>
      <c r="L88" s="79">
        <v>171916.53999999899</v>
      </c>
      <c r="M88" s="79">
        <v>368774.45</v>
      </c>
      <c r="N88" s="79">
        <v>14946.03</v>
      </c>
      <c r="O88" s="79">
        <v>89738.99</v>
      </c>
      <c r="P88" s="79">
        <v>198678.68999999901</v>
      </c>
      <c r="Q88" s="79">
        <v>369555.20000000001</v>
      </c>
      <c r="R88" s="79">
        <v>44306.64</v>
      </c>
      <c r="S88" s="79">
        <v>13701.99</v>
      </c>
      <c r="T88" s="79">
        <v>251119.24</v>
      </c>
      <c r="U88" s="79">
        <v>376789.13</v>
      </c>
      <c r="W88" s="76">
        <v>98126</v>
      </c>
      <c r="X88" s="15" t="s">
        <v>10</v>
      </c>
      <c r="Y88" s="79">
        <v>6354.47</v>
      </c>
      <c r="Z88" s="79">
        <v>6163.42</v>
      </c>
      <c r="AA88" s="79">
        <v>8825.9699999999993</v>
      </c>
      <c r="AB88" s="79">
        <v>29033</v>
      </c>
      <c r="AC88" s="79">
        <v>6545.78</v>
      </c>
      <c r="AD88" s="79">
        <v>5443.12</v>
      </c>
      <c r="AE88" s="79">
        <v>12008.52</v>
      </c>
      <c r="AF88" s="79">
        <v>30313.87</v>
      </c>
      <c r="AG88" s="79">
        <v>5199.28</v>
      </c>
      <c r="AH88" s="79">
        <v>5229.95</v>
      </c>
      <c r="AI88" s="79">
        <v>13862.37</v>
      </c>
      <c r="AJ88" s="79">
        <v>29848.859999999899</v>
      </c>
      <c r="AV88" s="76" t="s">
        <v>133</v>
      </c>
      <c r="AW88" s="76" t="s">
        <v>352</v>
      </c>
      <c r="AX88" s="33">
        <v>1</v>
      </c>
      <c r="AY88" s="33"/>
      <c r="AZ88" s="33"/>
      <c r="BB88" s="76" t="s">
        <v>133</v>
      </c>
      <c r="BC88" s="76" t="s">
        <v>352</v>
      </c>
      <c r="BD88" s="79">
        <v>138.29</v>
      </c>
      <c r="BE88" s="79"/>
      <c r="BF88" s="79"/>
      <c r="BH88" s="76">
        <v>98110</v>
      </c>
      <c r="BI88" s="76" t="s">
        <v>10</v>
      </c>
      <c r="BJ88" s="79"/>
      <c r="BK88" s="79"/>
      <c r="BL88" s="79">
        <v>-100</v>
      </c>
    </row>
    <row r="89" spans="2:64" x14ac:dyDescent="0.2">
      <c r="B89" s="59">
        <v>98050</v>
      </c>
      <c r="C89" s="38" t="s">
        <v>10</v>
      </c>
      <c r="D89" s="48">
        <v>18</v>
      </c>
      <c r="E89" s="48">
        <v>23</v>
      </c>
      <c r="F89" s="48">
        <v>17</v>
      </c>
      <c r="H89" s="76">
        <v>98050</v>
      </c>
      <c r="I89" s="76" t="s">
        <v>352</v>
      </c>
      <c r="J89" s="79">
        <v>717.37</v>
      </c>
      <c r="K89" s="79">
        <v>386.55</v>
      </c>
      <c r="L89" s="79"/>
      <c r="M89" s="79">
        <v>25587.09</v>
      </c>
      <c r="N89" s="79">
        <v>259.20999999999998</v>
      </c>
      <c r="O89" s="79">
        <v>268.01</v>
      </c>
      <c r="P89" s="79"/>
      <c r="Q89" s="79">
        <v>1357.12</v>
      </c>
      <c r="R89" s="79"/>
      <c r="S89" s="79"/>
      <c r="T89" s="79"/>
      <c r="U89" s="79">
        <v>118.57</v>
      </c>
      <c r="W89" s="76">
        <v>98133</v>
      </c>
      <c r="X89" s="15" t="s">
        <v>10</v>
      </c>
      <c r="Y89" s="79">
        <v>4352.16</v>
      </c>
      <c r="Z89" s="79">
        <v>4136.29</v>
      </c>
      <c r="AA89" s="79">
        <v>5406.2599999999902</v>
      </c>
      <c r="AB89" s="79">
        <v>18943.849999999999</v>
      </c>
      <c r="AC89" s="79">
        <v>4287.2299999999996</v>
      </c>
      <c r="AD89" s="79">
        <v>3464.21</v>
      </c>
      <c r="AE89" s="79">
        <v>6685.89</v>
      </c>
      <c r="AF89" s="79">
        <v>18620.87</v>
      </c>
      <c r="AG89" s="79">
        <v>3442.01</v>
      </c>
      <c r="AH89" s="79">
        <v>3551.79</v>
      </c>
      <c r="AI89" s="79">
        <v>8969.65</v>
      </c>
      <c r="AJ89" s="79">
        <v>19167.2</v>
      </c>
      <c r="AV89" s="76" t="s">
        <v>133</v>
      </c>
      <c r="AW89" s="76" t="s">
        <v>10</v>
      </c>
      <c r="AX89" s="33">
        <v>9</v>
      </c>
      <c r="AY89" s="33">
        <v>6</v>
      </c>
      <c r="AZ89" s="33">
        <v>6</v>
      </c>
      <c r="BB89" s="76" t="s">
        <v>133</v>
      </c>
      <c r="BC89" s="76" t="s">
        <v>10</v>
      </c>
      <c r="BD89" s="79">
        <v>2249.15</v>
      </c>
      <c r="BE89" s="79">
        <v>4782.7</v>
      </c>
      <c r="BF89" s="79">
        <v>11821.74</v>
      </c>
      <c r="BH89" s="76">
        <v>98112</v>
      </c>
      <c r="BI89" s="76" t="s">
        <v>10</v>
      </c>
      <c r="BJ89" s="79">
        <v>-193.11</v>
      </c>
      <c r="BK89" s="79"/>
      <c r="BL89" s="79"/>
    </row>
    <row r="90" spans="2:64" x14ac:dyDescent="0.2">
      <c r="B90" s="86">
        <v>98051</v>
      </c>
      <c r="C90" s="38" t="s">
        <v>352</v>
      </c>
      <c r="D90" s="48">
        <v>33</v>
      </c>
      <c r="E90" s="48">
        <v>41</v>
      </c>
      <c r="F90" s="48">
        <v>24</v>
      </c>
      <c r="H90" s="76">
        <v>98050</v>
      </c>
      <c r="I90" s="76" t="s">
        <v>10</v>
      </c>
      <c r="J90" s="79">
        <v>2044.46</v>
      </c>
      <c r="K90" s="79">
        <v>1432.08</v>
      </c>
      <c r="L90" s="79">
        <v>4272.76</v>
      </c>
      <c r="M90" s="79">
        <v>12629.1899999999</v>
      </c>
      <c r="N90" s="79">
        <v>2740.17</v>
      </c>
      <c r="O90" s="79">
        <v>1823.7</v>
      </c>
      <c r="P90" s="79">
        <v>4550.3500000000004</v>
      </c>
      <c r="Q90" s="79">
        <v>13142.119999999901</v>
      </c>
      <c r="R90" s="79">
        <v>1595.48</v>
      </c>
      <c r="S90" s="79">
        <v>1534.84</v>
      </c>
      <c r="T90" s="79">
        <v>5372.62</v>
      </c>
      <c r="U90" s="79">
        <v>10940.3</v>
      </c>
      <c r="W90" s="76">
        <v>98136</v>
      </c>
      <c r="X90" s="15" t="s">
        <v>10</v>
      </c>
      <c r="Y90" s="79">
        <v>903.72</v>
      </c>
      <c r="Z90" s="79">
        <v>883.39</v>
      </c>
      <c r="AA90" s="79">
        <v>2127.7199999999998</v>
      </c>
      <c r="AB90" s="79">
        <v>4845.5199999999904</v>
      </c>
      <c r="AC90" s="79">
        <v>789.22</v>
      </c>
      <c r="AD90" s="79">
        <v>755.24</v>
      </c>
      <c r="AE90" s="79">
        <v>1991.28</v>
      </c>
      <c r="AF90" s="79">
        <v>4135.71</v>
      </c>
      <c r="AG90" s="79">
        <v>526.5</v>
      </c>
      <c r="AH90" s="79">
        <v>691.62</v>
      </c>
      <c r="AI90" s="79">
        <v>2336.08</v>
      </c>
      <c r="AJ90" s="79">
        <v>4030.12</v>
      </c>
      <c r="AV90" s="76" t="s">
        <v>134</v>
      </c>
      <c r="AW90" s="76" t="s">
        <v>352</v>
      </c>
      <c r="AX90" s="33">
        <v>2</v>
      </c>
      <c r="AY90" s="33">
        <v>3</v>
      </c>
      <c r="AZ90" s="33"/>
      <c r="BB90" s="76" t="s">
        <v>134</v>
      </c>
      <c r="BC90" s="76" t="s">
        <v>352</v>
      </c>
      <c r="BD90" s="79">
        <v>85285.85</v>
      </c>
      <c r="BE90" s="79">
        <v>1035.5999999999999</v>
      </c>
      <c r="BF90" s="79"/>
      <c r="BH90" s="76">
        <v>98115</v>
      </c>
      <c r="BI90" s="76" t="s">
        <v>10</v>
      </c>
      <c r="BJ90" s="79"/>
      <c r="BK90" s="79">
        <v>-1121.9000000000001</v>
      </c>
      <c r="BL90" s="79">
        <v>-212.29</v>
      </c>
    </row>
    <row r="91" spans="2:64" x14ac:dyDescent="0.2">
      <c r="B91" s="59">
        <v>98051</v>
      </c>
      <c r="C91" s="38" t="s">
        <v>10</v>
      </c>
      <c r="D91" s="48">
        <v>221</v>
      </c>
      <c r="E91" s="48">
        <v>218</v>
      </c>
      <c r="F91" s="48">
        <v>209</v>
      </c>
      <c r="H91" s="76">
        <v>98051</v>
      </c>
      <c r="I91" s="76" t="s">
        <v>352</v>
      </c>
      <c r="J91" s="79">
        <v>6000.28</v>
      </c>
      <c r="K91" s="79">
        <v>5440.06</v>
      </c>
      <c r="L91" s="79">
        <v>102470.68</v>
      </c>
      <c r="M91" s="79">
        <v>142771.67000000001</v>
      </c>
      <c r="N91" s="79">
        <v>870.08</v>
      </c>
      <c r="O91" s="79">
        <v>4895.05</v>
      </c>
      <c r="P91" s="79">
        <v>106966.64</v>
      </c>
      <c r="Q91" s="79">
        <v>188058.36</v>
      </c>
      <c r="R91" s="79">
        <v>8009.12</v>
      </c>
      <c r="S91" s="79">
        <v>367.68</v>
      </c>
      <c r="T91" s="79">
        <v>111411.61</v>
      </c>
      <c r="U91" s="79">
        <v>174198.94</v>
      </c>
      <c r="W91" s="76">
        <v>98144</v>
      </c>
      <c r="X91" s="15" t="s">
        <v>10</v>
      </c>
      <c r="Y91" s="79">
        <v>2759.11</v>
      </c>
      <c r="Z91" s="79">
        <v>1998.45</v>
      </c>
      <c r="AA91" s="79">
        <v>4541.1099999999997</v>
      </c>
      <c r="AB91" s="79">
        <v>12552.0199999999</v>
      </c>
      <c r="AC91" s="79">
        <v>2481.12</v>
      </c>
      <c r="AD91" s="79">
        <v>2366.62</v>
      </c>
      <c r="AE91" s="79">
        <v>5619.16</v>
      </c>
      <c r="AF91" s="79">
        <v>13293.55</v>
      </c>
      <c r="AG91" s="79">
        <v>2070.59</v>
      </c>
      <c r="AH91" s="79">
        <v>1848.26</v>
      </c>
      <c r="AI91" s="79">
        <v>6841.92</v>
      </c>
      <c r="AJ91" s="79">
        <v>12768.17</v>
      </c>
      <c r="AV91" s="76" t="s">
        <v>134</v>
      </c>
      <c r="AW91" s="76" t="s">
        <v>10</v>
      </c>
      <c r="AX91" s="33">
        <v>35</v>
      </c>
      <c r="AY91" s="33">
        <v>32</v>
      </c>
      <c r="AZ91" s="33">
        <v>35</v>
      </c>
      <c r="BB91" s="76" t="s">
        <v>134</v>
      </c>
      <c r="BC91" s="76" t="s">
        <v>10</v>
      </c>
      <c r="BD91" s="79">
        <v>14007.47</v>
      </c>
      <c r="BE91" s="79">
        <v>23700.21</v>
      </c>
      <c r="BF91" s="79">
        <v>32975.230000000003</v>
      </c>
      <c r="BH91" s="76">
        <v>98117</v>
      </c>
      <c r="BI91" s="76" t="s">
        <v>10</v>
      </c>
      <c r="BJ91" s="79">
        <v>-259.79000000000002</v>
      </c>
      <c r="BK91" s="79"/>
      <c r="BL91" s="79">
        <v>-81.790000000000006</v>
      </c>
    </row>
    <row r="92" spans="2:64" x14ac:dyDescent="0.2">
      <c r="B92" s="86">
        <v>98052</v>
      </c>
      <c r="C92" s="38" t="s">
        <v>352</v>
      </c>
      <c r="D92" s="48">
        <v>446</v>
      </c>
      <c r="E92" s="48">
        <v>326</v>
      </c>
      <c r="F92" s="48">
        <v>371</v>
      </c>
      <c r="H92" s="76">
        <v>98051</v>
      </c>
      <c r="I92" s="76" t="s">
        <v>10</v>
      </c>
      <c r="J92" s="79">
        <v>24406.53</v>
      </c>
      <c r="K92" s="79">
        <v>21720.83</v>
      </c>
      <c r="L92" s="79">
        <v>85584.299999999901</v>
      </c>
      <c r="M92" s="79">
        <v>187763.15</v>
      </c>
      <c r="N92" s="79">
        <v>30665.1</v>
      </c>
      <c r="O92" s="79">
        <v>16382.23</v>
      </c>
      <c r="P92" s="79">
        <v>95056.23</v>
      </c>
      <c r="Q92" s="79">
        <v>187041.64</v>
      </c>
      <c r="R92" s="79">
        <v>19919.79</v>
      </c>
      <c r="S92" s="79">
        <v>20778.25</v>
      </c>
      <c r="T92" s="79">
        <v>103196.57</v>
      </c>
      <c r="U92" s="79">
        <v>182969.8</v>
      </c>
      <c r="W92" s="76">
        <v>98146</v>
      </c>
      <c r="X92" s="15" t="s">
        <v>10</v>
      </c>
      <c r="Y92" s="79">
        <v>3784.53</v>
      </c>
      <c r="Z92" s="79">
        <v>3596.73</v>
      </c>
      <c r="AA92" s="79">
        <v>8778.25</v>
      </c>
      <c r="AB92" s="79">
        <v>20885.919999999998</v>
      </c>
      <c r="AC92" s="79">
        <v>3793.64</v>
      </c>
      <c r="AD92" s="79">
        <v>2808.55</v>
      </c>
      <c r="AE92" s="79">
        <v>9697.2999999999993</v>
      </c>
      <c r="AF92" s="79">
        <v>19811.839999999898</v>
      </c>
      <c r="AG92" s="79">
        <v>2983.91</v>
      </c>
      <c r="AH92" s="79">
        <v>3248.58</v>
      </c>
      <c r="AI92" s="79">
        <v>8766.8799999999992</v>
      </c>
      <c r="AJ92" s="79">
        <v>17285.27</v>
      </c>
      <c r="AV92" s="76" t="s">
        <v>135</v>
      </c>
      <c r="AW92" s="76" t="s">
        <v>352</v>
      </c>
      <c r="AX92" s="33">
        <v>1</v>
      </c>
      <c r="AY92" s="33">
        <v>1</v>
      </c>
      <c r="AZ92" s="33">
        <v>4</v>
      </c>
      <c r="BB92" s="76" t="s">
        <v>135</v>
      </c>
      <c r="BC92" s="76" t="s">
        <v>352</v>
      </c>
      <c r="BD92" s="79">
        <v>25.95</v>
      </c>
      <c r="BE92" s="79">
        <v>244.74</v>
      </c>
      <c r="BF92" s="79">
        <v>14527.16</v>
      </c>
      <c r="BH92" s="76">
        <v>98118</v>
      </c>
      <c r="BI92" s="76" t="s">
        <v>10</v>
      </c>
      <c r="BJ92" s="79">
        <v>-202.61</v>
      </c>
      <c r="BK92" s="79"/>
      <c r="BL92" s="79"/>
    </row>
    <row r="93" spans="2:64" x14ac:dyDescent="0.2">
      <c r="B93" s="59">
        <v>98052</v>
      </c>
      <c r="C93" s="38" t="s">
        <v>10</v>
      </c>
      <c r="D93" s="48">
        <v>3431</v>
      </c>
      <c r="E93" s="48">
        <v>3210</v>
      </c>
      <c r="F93" s="48">
        <v>3272</v>
      </c>
      <c r="H93" s="76">
        <v>98052</v>
      </c>
      <c r="I93" s="76" t="s">
        <v>352</v>
      </c>
      <c r="J93" s="79">
        <v>57309.43</v>
      </c>
      <c r="K93" s="79">
        <v>37295.35</v>
      </c>
      <c r="L93" s="79">
        <v>359152.78</v>
      </c>
      <c r="M93" s="79">
        <v>1598000.9299999899</v>
      </c>
      <c r="N93" s="79">
        <v>322771.11</v>
      </c>
      <c r="O93" s="79">
        <v>40554.25</v>
      </c>
      <c r="P93" s="79">
        <v>380354.73</v>
      </c>
      <c r="Q93" s="79">
        <v>1069749.3799999901</v>
      </c>
      <c r="R93" s="79">
        <v>56094.55</v>
      </c>
      <c r="S93" s="79">
        <v>51666.99</v>
      </c>
      <c r="T93" s="79">
        <v>384719.66</v>
      </c>
      <c r="U93" s="79">
        <v>944794.86999999895</v>
      </c>
      <c r="W93" s="76">
        <v>98148</v>
      </c>
      <c r="X93" s="15" t="s">
        <v>10</v>
      </c>
      <c r="Y93" s="79">
        <v>9372.17</v>
      </c>
      <c r="Z93" s="79">
        <v>9985.08</v>
      </c>
      <c r="AA93" s="79">
        <v>15938.209999999901</v>
      </c>
      <c r="AB93" s="79">
        <v>48399.8999999999</v>
      </c>
      <c r="AC93" s="79">
        <v>10352.92</v>
      </c>
      <c r="AD93" s="79">
        <v>8710.67</v>
      </c>
      <c r="AE93" s="79">
        <v>23957.66</v>
      </c>
      <c r="AF93" s="79">
        <v>52812.480000000003</v>
      </c>
      <c r="AG93" s="79">
        <v>7925.68</v>
      </c>
      <c r="AH93" s="79">
        <v>8926.26</v>
      </c>
      <c r="AI93" s="79">
        <v>29193.229999999901</v>
      </c>
      <c r="AJ93" s="79">
        <v>54563</v>
      </c>
      <c r="AV93" s="76" t="s">
        <v>135</v>
      </c>
      <c r="AW93" s="76" t="s">
        <v>10</v>
      </c>
      <c r="AX93" s="33">
        <v>32</v>
      </c>
      <c r="AY93" s="33">
        <v>50</v>
      </c>
      <c r="AZ93" s="33">
        <v>45</v>
      </c>
      <c r="BB93" s="76" t="s">
        <v>135</v>
      </c>
      <c r="BC93" s="76" t="s">
        <v>10</v>
      </c>
      <c r="BD93" s="79">
        <v>36109.99</v>
      </c>
      <c r="BE93" s="79">
        <v>20426.04</v>
      </c>
      <c r="BF93" s="79">
        <v>19633.79</v>
      </c>
      <c r="BH93" s="76">
        <v>98119</v>
      </c>
      <c r="BI93" s="76" t="s">
        <v>10</v>
      </c>
      <c r="BJ93" s="79"/>
      <c r="BK93" s="79">
        <v>-351.12</v>
      </c>
      <c r="BL93" s="79"/>
    </row>
    <row r="94" spans="2:64" x14ac:dyDescent="0.2">
      <c r="B94" s="86">
        <v>98053</v>
      </c>
      <c r="C94" s="38" t="s">
        <v>352</v>
      </c>
      <c r="D94" s="48">
        <v>60</v>
      </c>
      <c r="E94" s="48">
        <v>57</v>
      </c>
      <c r="F94" s="48">
        <v>62</v>
      </c>
      <c r="H94" s="76">
        <v>98052</v>
      </c>
      <c r="I94" s="76" t="s">
        <v>10</v>
      </c>
      <c r="J94" s="79">
        <v>196439.24</v>
      </c>
      <c r="K94" s="79">
        <v>156305.85999999999</v>
      </c>
      <c r="L94" s="79">
        <v>402229.71999999898</v>
      </c>
      <c r="M94" s="79">
        <v>1154259.49</v>
      </c>
      <c r="N94" s="79">
        <v>208037.86</v>
      </c>
      <c r="O94" s="79">
        <v>135346.66</v>
      </c>
      <c r="P94" s="79">
        <v>463311.68999999901</v>
      </c>
      <c r="Q94" s="79">
        <v>1151634.25</v>
      </c>
      <c r="R94" s="79">
        <v>170365.36</v>
      </c>
      <c r="S94" s="79">
        <v>146960.41</v>
      </c>
      <c r="T94" s="79">
        <v>500867.26</v>
      </c>
      <c r="U94" s="79">
        <v>1074454.7</v>
      </c>
      <c r="W94" s="76">
        <v>98155</v>
      </c>
      <c r="X94" s="15" t="s">
        <v>10</v>
      </c>
      <c r="Y94" s="79">
        <v>3221.17</v>
      </c>
      <c r="Z94" s="79">
        <v>2239.42</v>
      </c>
      <c r="AA94" s="79">
        <v>2778.68</v>
      </c>
      <c r="AB94" s="79">
        <v>11207.61</v>
      </c>
      <c r="AC94" s="79">
        <v>2138.31</v>
      </c>
      <c r="AD94" s="79">
        <v>2629.82</v>
      </c>
      <c r="AE94" s="79">
        <v>4386.58</v>
      </c>
      <c r="AF94" s="79">
        <v>11973.5</v>
      </c>
      <c r="AG94" s="79">
        <v>2483.27</v>
      </c>
      <c r="AH94" s="79">
        <v>1179.4100000000001</v>
      </c>
      <c r="AI94" s="79">
        <v>5102.2</v>
      </c>
      <c r="AJ94" s="79">
        <v>11216.16</v>
      </c>
      <c r="AV94" s="76" t="s">
        <v>136</v>
      </c>
      <c r="AW94" s="76" t="s">
        <v>352</v>
      </c>
      <c r="AX94" s="33">
        <v>7</v>
      </c>
      <c r="AY94" s="33">
        <v>6</v>
      </c>
      <c r="AZ94" s="33">
        <v>4</v>
      </c>
      <c r="BB94" s="76" t="s">
        <v>136</v>
      </c>
      <c r="BC94" s="76" t="s">
        <v>352</v>
      </c>
      <c r="BD94" s="79">
        <v>20779.690000000002</v>
      </c>
      <c r="BE94" s="79">
        <v>430.54</v>
      </c>
      <c r="BF94" s="79">
        <v>865.01</v>
      </c>
      <c r="BH94" s="76">
        <v>98122</v>
      </c>
      <c r="BI94" s="76" t="s">
        <v>352</v>
      </c>
      <c r="BJ94" s="79"/>
      <c r="BK94" s="79">
        <v>-278.98</v>
      </c>
      <c r="BL94" s="79"/>
    </row>
    <row r="95" spans="2:64" x14ac:dyDescent="0.2">
      <c r="B95" s="59">
        <v>98053</v>
      </c>
      <c r="C95" s="38" t="s">
        <v>10</v>
      </c>
      <c r="D95" s="48">
        <v>595</v>
      </c>
      <c r="E95" s="48">
        <v>595</v>
      </c>
      <c r="F95" s="48">
        <v>567</v>
      </c>
      <c r="H95" s="76">
        <v>98053</v>
      </c>
      <c r="I95" s="76" t="s">
        <v>352</v>
      </c>
      <c r="J95" s="79">
        <v>27463.24</v>
      </c>
      <c r="K95" s="79">
        <v>13065.63</v>
      </c>
      <c r="L95" s="79">
        <v>296768.3</v>
      </c>
      <c r="M95" s="79">
        <v>370995.38</v>
      </c>
      <c r="N95" s="79">
        <v>16301.68</v>
      </c>
      <c r="O95" s="79">
        <v>26619.88</v>
      </c>
      <c r="P95" s="79">
        <v>306033.03000000003</v>
      </c>
      <c r="Q95" s="79">
        <v>385804.6</v>
      </c>
      <c r="R95" s="79">
        <v>14072.74</v>
      </c>
      <c r="S95" s="79">
        <v>14250.36</v>
      </c>
      <c r="T95" s="79">
        <v>330652.90999999997</v>
      </c>
      <c r="U95" s="79">
        <v>381393.58</v>
      </c>
      <c r="W95" s="76">
        <v>98166</v>
      </c>
      <c r="X95" s="15" t="s">
        <v>10</v>
      </c>
      <c r="Y95" s="79">
        <v>4086.13</v>
      </c>
      <c r="Z95" s="79">
        <v>4392.28</v>
      </c>
      <c r="AA95" s="79">
        <v>17265.519999999899</v>
      </c>
      <c r="AB95" s="79">
        <v>31361.040000000001</v>
      </c>
      <c r="AC95" s="79">
        <v>5133.8100000000004</v>
      </c>
      <c r="AD95" s="79">
        <v>4005.77</v>
      </c>
      <c r="AE95" s="79">
        <v>21218.97</v>
      </c>
      <c r="AF95" s="79">
        <v>35404.68</v>
      </c>
      <c r="AG95" s="79">
        <v>3900.68</v>
      </c>
      <c r="AH95" s="79">
        <v>4709.45</v>
      </c>
      <c r="AI95" s="79">
        <v>24015.19</v>
      </c>
      <c r="AJ95" s="79">
        <v>36408.57</v>
      </c>
      <c r="AV95" s="76" t="s">
        <v>136</v>
      </c>
      <c r="AW95" s="76" t="s">
        <v>10</v>
      </c>
      <c r="AX95" s="33">
        <v>25</v>
      </c>
      <c r="AY95" s="33">
        <v>34</v>
      </c>
      <c r="AZ95" s="33">
        <v>32</v>
      </c>
      <c r="BB95" s="76" t="s">
        <v>136</v>
      </c>
      <c r="BC95" s="76" t="s">
        <v>10</v>
      </c>
      <c r="BD95" s="79">
        <v>5178.53</v>
      </c>
      <c r="BE95" s="79">
        <v>6982.84</v>
      </c>
      <c r="BF95" s="79">
        <v>12165.71</v>
      </c>
      <c r="BH95" s="76">
        <v>98122</v>
      </c>
      <c r="BI95" s="76" t="s">
        <v>10</v>
      </c>
      <c r="BJ95" s="79">
        <v>-50.77</v>
      </c>
      <c r="BK95" s="79">
        <v>-31.09</v>
      </c>
      <c r="BL95" s="79"/>
    </row>
    <row r="96" spans="2:64" x14ac:dyDescent="0.2">
      <c r="B96" s="86">
        <v>98055</v>
      </c>
      <c r="C96" s="38" t="s">
        <v>352</v>
      </c>
      <c r="D96" s="48">
        <v>67</v>
      </c>
      <c r="E96" s="48">
        <v>74</v>
      </c>
      <c r="F96" s="48">
        <v>76</v>
      </c>
      <c r="H96" s="76">
        <v>98053</v>
      </c>
      <c r="I96" s="76" t="s">
        <v>10</v>
      </c>
      <c r="J96" s="79">
        <v>62862.239999999998</v>
      </c>
      <c r="K96" s="79">
        <v>33430.47</v>
      </c>
      <c r="L96" s="79">
        <v>97424.93</v>
      </c>
      <c r="M96" s="79">
        <v>325566.299999999</v>
      </c>
      <c r="N96" s="79">
        <v>50319.91</v>
      </c>
      <c r="O96" s="79">
        <v>39064.080000000002</v>
      </c>
      <c r="P96" s="79">
        <v>103749.25</v>
      </c>
      <c r="Q96" s="79">
        <v>285250.74</v>
      </c>
      <c r="R96" s="79">
        <v>36253.800000000003</v>
      </c>
      <c r="S96" s="79">
        <v>28488.11</v>
      </c>
      <c r="T96" s="79">
        <v>108566.849999999</v>
      </c>
      <c r="U96" s="79">
        <v>254333.82</v>
      </c>
      <c r="W96" s="76">
        <v>98168</v>
      </c>
      <c r="X96" s="15" t="s">
        <v>10</v>
      </c>
      <c r="Y96" s="79">
        <v>5777.81</v>
      </c>
      <c r="Z96" s="79">
        <v>6541.3</v>
      </c>
      <c r="AA96" s="79">
        <v>9783.26</v>
      </c>
      <c r="AB96" s="79">
        <v>29604.18</v>
      </c>
      <c r="AC96" s="79">
        <v>6064.09</v>
      </c>
      <c r="AD96" s="79">
        <v>5153.62</v>
      </c>
      <c r="AE96" s="79">
        <v>13143.49</v>
      </c>
      <c r="AF96" s="79">
        <v>30247.08</v>
      </c>
      <c r="AG96" s="79">
        <v>5169.1099999999997</v>
      </c>
      <c r="AH96" s="79">
        <v>5853.13</v>
      </c>
      <c r="AI96" s="79">
        <v>16114.24</v>
      </c>
      <c r="AJ96" s="79">
        <v>31481.3</v>
      </c>
      <c r="AV96" s="76" t="s">
        <v>137</v>
      </c>
      <c r="AW96" s="76" t="s">
        <v>352</v>
      </c>
      <c r="AX96" s="33"/>
      <c r="AY96" s="33">
        <v>1</v>
      </c>
      <c r="AZ96" s="33"/>
      <c r="BB96" s="76" t="s">
        <v>137</v>
      </c>
      <c r="BC96" s="76" t="s">
        <v>352</v>
      </c>
      <c r="BD96" s="79"/>
      <c r="BE96" s="79">
        <v>6016.58</v>
      </c>
      <c r="BF96" s="79"/>
      <c r="BH96" s="76">
        <v>98125</v>
      </c>
      <c r="BI96" s="76" t="s">
        <v>352</v>
      </c>
      <c r="BJ96" s="79">
        <v>-304.86</v>
      </c>
      <c r="BK96" s="79"/>
      <c r="BL96" s="79"/>
    </row>
    <row r="97" spans="2:64" x14ac:dyDescent="0.2">
      <c r="B97" s="59">
        <v>98055</v>
      </c>
      <c r="C97" s="38" t="s">
        <v>10</v>
      </c>
      <c r="D97" s="48">
        <v>2078</v>
      </c>
      <c r="E97" s="48">
        <v>2086</v>
      </c>
      <c r="F97" s="48">
        <v>2108</v>
      </c>
      <c r="H97" s="76">
        <v>98055</v>
      </c>
      <c r="I97" s="76" t="s">
        <v>352</v>
      </c>
      <c r="J97" s="79">
        <v>12572.74</v>
      </c>
      <c r="K97" s="79">
        <v>12647.84</v>
      </c>
      <c r="L97" s="79">
        <v>11453.289999999901</v>
      </c>
      <c r="M97" s="79">
        <v>100768.5</v>
      </c>
      <c r="N97" s="79">
        <v>6360.93</v>
      </c>
      <c r="O97" s="79">
        <v>2377.38</v>
      </c>
      <c r="P97" s="79">
        <v>13000.629999999899</v>
      </c>
      <c r="Q97" s="79">
        <v>102169.15</v>
      </c>
      <c r="R97" s="79">
        <v>15997.32</v>
      </c>
      <c r="S97" s="79">
        <v>2235.92</v>
      </c>
      <c r="T97" s="79">
        <v>14416.41</v>
      </c>
      <c r="U97" s="79">
        <v>94622.15</v>
      </c>
      <c r="W97" s="76">
        <v>98177</v>
      </c>
      <c r="X97" s="15" t="s">
        <v>10</v>
      </c>
      <c r="Y97" s="79">
        <v>2288.33</v>
      </c>
      <c r="Z97" s="79">
        <v>2502.9699999999998</v>
      </c>
      <c r="AA97" s="79">
        <v>5856.55</v>
      </c>
      <c r="AB97" s="79">
        <v>13592</v>
      </c>
      <c r="AC97" s="79">
        <v>2692.77</v>
      </c>
      <c r="AD97" s="79">
        <v>2232.36</v>
      </c>
      <c r="AE97" s="79">
        <v>7539.29</v>
      </c>
      <c r="AF97" s="79">
        <v>14714.21</v>
      </c>
      <c r="AG97" s="79">
        <v>1954.33</v>
      </c>
      <c r="AH97" s="79">
        <v>2277.61</v>
      </c>
      <c r="AI97" s="79">
        <v>6503.49</v>
      </c>
      <c r="AJ97" s="79">
        <v>12342.5999999999</v>
      </c>
      <c r="AV97" s="76" t="s">
        <v>137</v>
      </c>
      <c r="AW97" s="76" t="s">
        <v>10</v>
      </c>
      <c r="AX97" s="33">
        <v>46</v>
      </c>
      <c r="AY97" s="33">
        <v>41</v>
      </c>
      <c r="AZ97" s="33">
        <v>40</v>
      </c>
      <c r="BB97" s="76" t="s">
        <v>137</v>
      </c>
      <c r="BC97" s="76" t="s">
        <v>10</v>
      </c>
      <c r="BD97" s="79">
        <v>24506.639999999999</v>
      </c>
      <c r="BE97" s="79">
        <v>22020.28</v>
      </c>
      <c r="BF97" s="79">
        <v>25939.97</v>
      </c>
      <c r="BH97" s="76">
        <v>98125</v>
      </c>
      <c r="BI97" s="76" t="s">
        <v>10</v>
      </c>
      <c r="BJ97" s="79">
        <v>-940.75</v>
      </c>
      <c r="BK97" s="79"/>
      <c r="BL97" s="79">
        <v>-115.91</v>
      </c>
    </row>
    <row r="98" spans="2:64" x14ac:dyDescent="0.2">
      <c r="B98" s="86">
        <v>98056</v>
      </c>
      <c r="C98" s="38" t="s">
        <v>352</v>
      </c>
      <c r="D98" s="48">
        <v>138</v>
      </c>
      <c r="E98" s="48">
        <v>133</v>
      </c>
      <c r="F98" s="48">
        <v>132</v>
      </c>
      <c r="H98" s="76">
        <v>98055</v>
      </c>
      <c r="I98" s="76" t="s">
        <v>10</v>
      </c>
      <c r="J98" s="79">
        <v>259527.34</v>
      </c>
      <c r="K98" s="79">
        <v>163902.09</v>
      </c>
      <c r="L98" s="79">
        <v>559567.79</v>
      </c>
      <c r="M98" s="79">
        <v>1301516.99</v>
      </c>
      <c r="N98" s="79">
        <v>208892.66</v>
      </c>
      <c r="O98" s="79">
        <v>211360.15</v>
      </c>
      <c r="P98" s="79">
        <v>644125.68999999994</v>
      </c>
      <c r="Q98" s="79">
        <v>1334610.1699999899</v>
      </c>
      <c r="R98" s="79">
        <v>177910.88</v>
      </c>
      <c r="S98" s="79">
        <v>172639.84</v>
      </c>
      <c r="T98" s="79">
        <v>756565.69</v>
      </c>
      <c r="U98" s="79">
        <v>1309913.70999999</v>
      </c>
      <c r="W98" s="76">
        <v>98178</v>
      </c>
      <c r="X98" s="15" t="s">
        <v>10</v>
      </c>
      <c r="Y98" s="79">
        <v>6877.95</v>
      </c>
      <c r="Z98" s="79">
        <v>7104.89</v>
      </c>
      <c r="AA98" s="79">
        <v>9594.59</v>
      </c>
      <c r="AB98" s="79">
        <v>30306.26</v>
      </c>
      <c r="AC98" s="79">
        <v>6184.43</v>
      </c>
      <c r="AD98" s="79">
        <v>6391.05</v>
      </c>
      <c r="AE98" s="79">
        <v>12699.02</v>
      </c>
      <c r="AF98" s="79">
        <v>31149.25</v>
      </c>
      <c r="AG98" s="79">
        <v>4835.76</v>
      </c>
      <c r="AH98" s="79">
        <v>5263.94</v>
      </c>
      <c r="AI98" s="79">
        <v>15830.77</v>
      </c>
      <c r="AJ98" s="79">
        <v>30195.48</v>
      </c>
      <c r="AV98" s="76" t="s">
        <v>138</v>
      </c>
      <c r="AW98" s="76" t="s">
        <v>352</v>
      </c>
      <c r="AX98" s="33">
        <v>1</v>
      </c>
      <c r="AY98" s="33"/>
      <c r="AZ98" s="33"/>
      <c r="BB98" s="76" t="s">
        <v>138</v>
      </c>
      <c r="BC98" s="76" t="s">
        <v>352</v>
      </c>
      <c r="BD98" s="79">
        <v>81.94</v>
      </c>
      <c r="BE98" s="79"/>
      <c r="BF98" s="79"/>
      <c r="BH98" s="76">
        <v>98126</v>
      </c>
      <c r="BI98" s="76" t="s">
        <v>352</v>
      </c>
      <c r="BJ98" s="79"/>
      <c r="BK98" s="79"/>
      <c r="BL98" s="79">
        <v>-67.680000000000007</v>
      </c>
    </row>
    <row r="99" spans="2:64" x14ac:dyDescent="0.2">
      <c r="B99" s="59">
        <v>98056</v>
      </c>
      <c r="C99" s="38" t="s">
        <v>10</v>
      </c>
      <c r="D99" s="48">
        <v>2672</v>
      </c>
      <c r="E99" s="48">
        <v>2659</v>
      </c>
      <c r="F99" s="48">
        <v>2618</v>
      </c>
      <c r="H99" s="76">
        <v>98056</v>
      </c>
      <c r="I99" s="76" t="s">
        <v>352</v>
      </c>
      <c r="J99" s="79">
        <v>10304.24</v>
      </c>
      <c r="K99" s="79">
        <v>8303.23</v>
      </c>
      <c r="L99" s="79">
        <v>65848.31</v>
      </c>
      <c r="M99" s="79">
        <v>134080.06999999899</v>
      </c>
      <c r="N99" s="79">
        <v>7455.09</v>
      </c>
      <c r="O99" s="79">
        <v>9904.73</v>
      </c>
      <c r="P99" s="79">
        <v>82143.699999999895</v>
      </c>
      <c r="Q99" s="79">
        <v>123208.18</v>
      </c>
      <c r="R99" s="79">
        <v>9198.11</v>
      </c>
      <c r="S99" s="79">
        <v>6583.15</v>
      </c>
      <c r="T99" s="79">
        <v>78724.59</v>
      </c>
      <c r="U99" s="79">
        <v>120240.249999999</v>
      </c>
      <c r="W99" s="76">
        <v>98188</v>
      </c>
      <c r="X99" s="15" t="s">
        <v>10</v>
      </c>
      <c r="Y99" s="79">
        <v>31582.97</v>
      </c>
      <c r="Z99" s="79">
        <v>32069.24</v>
      </c>
      <c r="AA99" s="79">
        <v>42618.37</v>
      </c>
      <c r="AB99" s="79">
        <v>145380.37999999899</v>
      </c>
      <c r="AC99" s="79">
        <v>32098.26</v>
      </c>
      <c r="AD99" s="79">
        <v>25472.31</v>
      </c>
      <c r="AE99" s="79">
        <v>58833.379999999903</v>
      </c>
      <c r="AF99" s="79">
        <v>147780.639999999</v>
      </c>
      <c r="AG99" s="79">
        <v>24875.77</v>
      </c>
      <c r="AH99" s="79">
        <v>26604.47</v>
      </c>
      <c r="AI99" s="79">
        <v>69434.869999999893</v>
      </c>
      <c r="AJ99" s="79">
        <v>147021.84999999899</v>
      </c>
      <c r="AV99" s="76" t="s">
        <v>138</v>
      </c>
      <c r="AW99" s="76" t="s">
        <v>10</v>
      </c>
      <c r="AX99" s="33">
        <v>18</v>
      </c>
      <c r="AY99" s="33">
        <v>25</v>
      </c>
      <c r="AZ99" s="33">
        <v>24</v>
      </c>
      <c r="BB99" s="76" t="s">
        <v>138</v>
      </c>
      <c r="BC99" s="76" t="s">
        <v>10</v>
      </c>
      <c r="BD99" s="79">
        <v>4425.08</v>
      </c>
      <c r="BE99" s="79">
        <v>36843.660000000003</v>
      </c>
      <c r="BF99" s="79">
        <v>8946.5300000000007</v>
      </c>
      <c r="BH99" s="76">
        <v>98126</v>
      </c>
      <c r="BI99" s="76" t="s">
        <v>10</v>
      </c>
      <c r="BJ99" s="79">
        <v>-460.63</v>
      </c>
      <c r="BK99" s="79">
        <v>-75.25</v>
      </c>
      <c r="BL99" s="79">
        <v>-180.49</v>
      </c>
    </row>
    <row r="100" spans="2:64" x14ac:dyDescent="0.2">
      <c r="B100" s="86">
        <v>98057</v>
      </c>
      <c r="C100" s="38" t="s">
        <v>352</v>
      </c>
      <c r="D100" s="48">
        <v>273</v>
      </c>
      <c r="E100" s="48">
        <v>275</v>
      </c>
      <c r="F100" s="48">
        <v>252</v>
      </c>
      <c r="H100" s="76">
        <v>98056</v>
      </c>
      <c r="I100" s="76" t="s">
        <v>10</v>
      </c>
      <c r="J100" s="79">
        <v>235473.33</v>
      </c>
      <c r="K100" s="79">
        <v>186098.52</v>
      </c>
      <c r="L100" s="79">
        <v>483661.95999999897</v>
      </c>
      <c r="M100" s="79">
        <v>1269401.71</v>
      </c>
      <c r="N100" s="79">
        <v>210485.72</v>
      </c>
      <c r="O100" s="79">
        <v>172983.54</v>
      </c>
      <c r="P100" s="79">
        <v>566500.29</v>
      </c>
      <c r="Q100" s="79">
        <v>1263322.93</v>
      </c>
      <c r="R100" s="79">
        <v>193040.71</v>
      </c>
      <c r="S100" s="79">
        <v>163367.93</v>
      </c>
      <c r="T100" s="79">
        <v>611125.53</v>
      </c>
      <c r="U100" s="79">
        <v>1198200.71</v>
      </c>
      <c r="W100" s="76">
        <v>98198</v>
      </c>
      <c r="X100" s="15" t="s">
        <v>10</v>
      </c>
      <c r="Y100" s="79">
        <v>65663.87</v>
      </c>
      <c r="Z100" s="79">
        <v>67456.92</v>
      </c>
      <c r="AA100" s="79">
        <v>96960.699999999895</v>
      </c>
      <c r="AB100" s="79">
        <v>321167.58</v>
      </c>
      <c r="AC100" s="79">
        <v>70736.22</v>
      </c>
      <c r="AD100" s="79">
        <v>52124.27</v>
      </c>
      <c r="AE100" s="79">
        <v>130844.86</v>
      </c>
      <c r="AF100" s="79">
        <v>319781.78999999899</v>
      </c>
      <c r="AG100" s="79">
        <v>50046.83</v>
      </c>
      <c r="AH100" s="79">
        <v>55343.16</v>
      </c>
      <c r="AI100" s="79">
        <v>139858.19</v>
      </c>
      <c r="AJ100" s="79">
        <v>297656.73</v>
      </c>
      <c r="AV100" s="76" t="s">
        <v>139</v>
      </c>
      <c r="AW100" s="76" t="s">
        <v>352</v>
      </c>
      <c r="AX100" s="33">
        <v>1</v>
      </c>
      <c r="AY100" s="33">
        <v>2</v>
      </c>
      <c r="AZ100" s="33">
        <v>2</v>
      </c>
      <c r="BB100" s="76" t="s">
        <v>139</v>
      </c>
      <c r="BC100" s="76" t="s">
        <v>352</v>
      </c>
      <c r="BD100" s="79">
        <v>26.94</v>
      </c>
      <c r="BE100" s="79">
        <v>5559.8600000000006</v>
      </c>
      <c r="BF100" s="79">
        <v>2000</v>
      </c>
      <c r="BH100" s="76">
        <v>98133</v>
      </c>
      <c r="BI100" s="76" t="s">
        <v>10</v>
      </c>
      <c r="BJ100" s="79">
        <v>-311.60000000000002</v>
      </c>
      <c r="BK100" s="79">
        <v>-158.41999999999999</v>
      </c>
      <c r="BL100" s="79"/>
    </row>
    <row r="101" spans="2:64" x14ac:dyDescent="0.2">
      <c r="B101" s="59">
        <v>98057</v>
      </c>
      <c r="C101" s="38" t="s">
        <v>10</v>
      </c>
      <c r="D101" s="48">
        <v>1681</v>
      </c>
      <c r="E101" s="48">
        <v>1758</v>
      </c>
      <c r="F101" s="48">
        <v>1723</v>
      </c>
      <c r="H101" s="76">
        <v>98057</v>
      </c>
      <c r="I101" s="76" t="s">
        <v>352</v>
      </c>
      <c r="J101" s="79">
        <v>52979.13</v>
      </c>
      <c r="K101" s="79">
        <v>34555.1</v>
      </c>
      <c r="L101" s="79">
        <v>186026.26</v>
      </c>
      <c r="M101" s="79">
        <v>521582.40999999898</v>
      </c>
      <c r="N101" s="79">
        <v>44971.57</v>
      </c>
      <c r="O101" s="79">
        <v>32190.92</v>
      </c>
      <c r="P101" s="79">
        <v>205007.46</v>
      </c>
      <c r="Q101" s="79">
        <v>570439.96</v>
      </c>
      <c r="R101" s="79">
        <v>53266.64</v>
      </c>
      <c r="S101" s="79">
        <v>28119.200000000001</v>
      </c>
      <c r="T101" s="79">
        <v>210237.89</v>
      </c>
      <c r="U101" s="79">
        <v>435876.62</v>
      </c>
      <c r="W101" s="76">
        <v>98199</v>
      </c>
      <c r="X101" s="15" t="s">
        <v>10</v>
      </c>
      <c r="Y101" s="79">
        <v>1025.3</v>
      </c>
      <c r="Z101" s="79">
        <v>345.43</v>
      </c>
      <c r="AA101" s="79">
        <v>305.94</v>
      </c>
      <c r="AB101" s="79">
        <v>2642.5</v>
      </c>
      <c r="AC101" s="79">
        <v>965.83</v>
      </c>
      <c r="AD101" s="79">
        <v>1025.3</v>
      </c>
      <c r="AE101" s="79">
        <v>528.36999999999898</v>
      </c>
      <c r="AF101" s="79">
        <v>3378.0299999999902</v>
      </c>
      <c r="AG101" s="79">
        <v>829.17</v>
      </c>
      <c r="AH101" s="79">
        <v>873.6</v>
      </c>
      <c r="AI101" s="79">
        <v>1074.8799999999901</v>
      </c>
      <c r="AJ101" s="79">
        <v>3403.09</v>
      </c>
      <c r="AV101" s="76" t="s">
        <v>139</v>
      </c>
      <c r="AW101" s="76" t="s">
        <v>10</v>
      </c>
      <c r="AX101" s="33">
        <v>11</v>
      </c>
      <c r="AY101" s="33">
        <v>7</v>
      </c>
      <c r="AZ101" s="33">
        <v>8</v>
      </c>
      <c r="BB101" s="76" t="s">
        <v>139</v>
      </c>
      <c r="BC101" s="76" t="s">
        <v>10</v>
      </c>
      <c r="BD101" s="79">
        <v>7418.82</v>
      </c>
      <c r="BE101" s="79">
        <v>4791.32</v>
      </c>
      <c r="BF101" s="79">
        <v>7438.48</v>
      </c>
      <c r="BH101" s="76">
        <v>98136</v>
      </c>
      <c r="BI101" s="76" t="s">
        <v>10</v>
      </c>
      <c r="BJ101" s="79"/>
      <c r="BK101" s="79"/>
      <c r="BL101" s="79">
        <v>-81.849999999999994</v>
      </c>
    </row>
    <row r="102" spans="2:64" x14ac:dyDescent="0.2">
      <c r="B102" s="86">
        <v>98058</v>
      </c>
      <c r="C102" s="38" t="s">
        <v>352</v>
      </c>
      <c r="D102" s="48">
        <v>66</v>
      </c>
      <c r="E102" s="48">
        <v>90</v>
      </c>
      <c r="F102" s="48">
        <v>100</v>
      </c>
      <c r="H102" s="76">
        <v>98057</v>
      </c>
      <c r="I102" s="76" t="s">
        <v>10</v>
      </c>
      <c r="J102" s="79">
        <v>120334.32</v>
      </c>
      <c r="K102" s="79">
        <v>107791</v>
      </c>
      <c r="L102" s="79">
        <v>276892.77999999898</v>
      </c>
      <c r="M102" s="79">
        <v>674373.97</v>
      </c>
      <c r="N102" s="79">
        <v>116654.75</v>
      </c>
      <c r="O102" s="79">
        <v>95189.54</v>
      </c>
      <c r="P102" s="79">
        <v>333389.99</v>
      </c>
      <c r="Q102" s="79">
        <v>725962.85000000102</v>
      </c>
      <c r="R102" s="79">
        <v>98188.64</v>
      </c>
      <c r="S102" s="79">
        <v>90901.81</v>
      </c>
      <c r="T102" s="79">
        <v>375585.81</v>
      </c>
      <c r="U102" s="79">
        <v>677553.1</v>
      </c>
      <c r="W102" s="76">
        <v>98201</v>
      </c>
      <c r="X102" s="15" t="s">
        <v>10</v>
      </c>
      <c r="Y102" s="79">
        <v>4729.3500000000004</v>
      </c>
      <c r="Z102" s="79">
        <v>3734.29</v>
      </c>
      <c r="AA102" s="79">
        <v>5967.55</v>
      </c>
      <c r="AB102" s="79">
        <v>19963.439999999999</v>
      </c>
      <c r="AC102" s="79">
        <v>3444.24</v>
      </c>
      <c r="AD102" s="79">
        <v>3156.98</v>
      </c>
      <c r="AE102" s="79">
        <v>7087.7699999999904</v>
      </c>
      <c r="AF102" s="79">
        <v>17526.259999999998</v>
      </c>
      <c r="AG102" s="79">
        <v>3131.67</v>
      </c>
      <c r="AH102" s="79">
        <v>3082.46</v>
      </c>
      <c r="AI102" s="79">
        <v>8797.5099999999893</v>
      </c>
      <c r="AJ102" s="79">
        <v>17918.789999999899</v>
      </c>
      <c r="AV102" s="76" t="s">
        <v>141</v>
      </c>
      <c r="AW102" s="76" t="s">
        <v>352</v>
      </c>
      <c r="AX102" s="33">
        <v>1</v>
      </c>
      <c r="AY102" s="33">
        <v>3</v>
      </c>
      <c r="AZ102" s="33">
        <v>2</v>
      </c>
      <c r="BB102" s="76" t="s">
        <v>141</v>
      </c>
      <c r="BC102" s="76" t="s">
        <v>352</v>
      </c>
      <c r="BD102" s="79">
        <v>428.16</v>
      </c>
      <c r="BE102" s="79">
        <v>7132.27</v>
      </c>
      <c r="BF102" s="79">
        <v>118.66</v>
      </c>
      <c r="BH102" s="76">
        <v>98144</v>
      </c>
      <c r="BI102" s="76" t="s">
        <v>10</v>
      </c>
      <c r="BJ102" s="79">
        <v>-53.61</v>
      </c>
      <c r="BK102" s="79"/>
      <c r="BL102" s="79">
        <v>-80.06</v>
      </c>
    </row>
    <row r="103" spans="2:64" x14ac:dyDescent="0.2">
      <c r="B103" s="59">
        <v>98058</v>
      </c>
      <c r="C103" s="38" t="s">
        <v>10</v>
      </c>
      <c r="D103" s="48">
        <v>2651</v>
      </c>
      <c r="E103" s="48">
        <v>2642</v>
      </c>
      <c r="F103" s="48">
        <v>2626</v>
      </c>
      <c r="H103" s="76">
        <v>98058</v>
      </c>
      <c r="I103" s="76" t="s">
        <v>352</v>
      </c>
      <c r="J103" s="79">
        <v>15305.54</v>
      </c>
      <c r="K103" s="79">
        <v>5997.42</v>
      </c>
      <c r="L103" s="79">
        <v>43759.98</v>
      </c>
      <c r="M103" s="79">
        <v>102860.71</v>
      </c>
      <c r="N103" s="79">
        <v>5365.3</v>
      </c>
      <c r="O103" s="79">
        <v>5928.47</v>
      </c>
      <c r="P103" s="79">
        <v>43241.86</v>
      </c>
      <c r="Q103" s="79">
        <v>108041.37</v>
      </c>
      <c r="R103" s="79">
        <v>5818.62</v>
      </c>
      <c r="S103" s="79">
        <v>5029.37</v>
      </c>
      <c r="T103" s="79">
        <v>42624.789999999899</v>
      </c>
      <c r="U103" s="79">
        <v>89089.949999999895</v>
      </c>
      <c r="W103" s="76">
        <v>98203</v>
      </c>
      <c r="X103" s="15" t="s">
        <v>10</v>
      </c>
      <c r="Y103" s="79">
        <v>5947.93</v>
      </c>
      <c r="Z103" s="79">
        <v>4390.55</v>
      </c>
      <c r="AA103" s="79">
        <v>7138.1799999999903</v>
      </c>
      <c r="AB103" s="79">
        <v>23853.249999999902</v>
      </c>
      <c r="AC103" s="79">
        <v>4452.72</v>
      </c>
      <c r="AD103" s="79">
        <v>4037.15</v>
      </c>
      <c r="AE103" s="79">
        <v>9378.0400000000009</v>
      </c>
      <c r="AF103" s="79">
        <v>22466.42</v>
      </c>
      <c r="AG103" s="79">
        <v>3517</v>
      </c>
      <c r="AH103" s="79">
        <v>3655.44</v>
      </c>
      <c r="AI103" s="79">
        <v>10954.71</v>
      </c>
      <c r="AJ103" s="79">
        <v>21406.449999999899</v>
      </c>
      <c r="AV103" s="76" t="s">
        <v>141</v>
      </c>
      <c r="AW103" s="76" t="s">
        <v>10</v>
      </c>
      <c r="AX103" s="33">
        <v>11</v>
      </c>
      <c r="AY103" s="33">
        <v>9</v>
      </c>
      <c r="AZ103" s="33">
        <v>5</v>
      </c>
      <c r="BB103" s="76" t="s">
        <v>141</v>
      </c>
      <c r="BC103" s="76" t="s">
        <v>10</v>
      </c>
      <c r="BD103" s="79">
        <v>3211.59</v>
      </c>
      <c r="BE103" s="79">
        <v>3457.02</v>
      </c>
      <c r="BF103" s="79">
        <v>1492.25</v>
      </c>
      <c r="BH103" s="76">
        <v>98146</v>
      </c>
      <c r="BI103" s="76" t="s">
        <v>10</v>
      </c>
      <c r="BJ103" s="79"/>
      <c r="BK103" s="79"/>
      <c r="BL103" s="79">
        <v>-52.16</v>
      </c>
    </row>
    <row r="104" spans="2:64" x14ac:dyDescent="0.2">
      <c r="B104" s="86">
        <v>98059</v>
      </c>
      <c r="C104" s="38" t="s">
        <v>352</v>
      </c>
      <c r="D104" s="48">
        <v>131</v>
      </c>
      <c r="E104" s="48">
        <v>139</v>
      </c>
      <c r="F104" s="48">
        <v>134</v>
      </c>
      <c r="H104" s="76">
        <v>98058</v>
      </c>
      <c r="I104" s="76" t="s">
        <v>10</v>
      </c>
      <c r="J104" s="79">
        <v>284028.2</v>
      </c>
      <c r="K104" s="79">
        <v>201026.79</v>
      </c>
      <c r="L104" s="79">
        <v>676315.75999999896</v>
      </c>
      <c r="M104" s="79">
        <v>1576486.11</v>
      </c>
      <c r="N104" s="79">
        <v>244933.01</v>
      </c>
      <c r="O104" s="79">
        <v>217057.25</v>
      </c>
      <c r="P104" s="79">
        <v>768598.13</v>
      </c>
      <c r="Q104" s="79">
        <v>1621952.72</v>
      </c>
      <c r="R104" s="79">
        <v>229041.82</v>
      </c>
      <c r="S104" s="79">
        <v>184390.45</v>
      </c>
      <c r="T104" s="79">
        <v>850525.41999999899</v>
      </c>
      <c r="U104" s="79">
        <v>1555030.24</v>
      </c>
      <c r="W104" s="76">
        <v>98204</v>
      </c>
      <c r="X104" s="15" t="s">
        <v>10</v>
      </c>
      <c r="Y104" s="79">
        <v>2900.97</v>
      </c>
      <c r="Z104" s="79">
        <v>2427.21</v>
      </c>
      <c r="AA104" s="79">
        <v>2132.0099999999902</v>
      </c>
      <c r="AB104" s="79">
        <v>11431.97</v>
      </c>
      <c r="AC104" s="79">
        <v>3189.67</v>
      </c>
      <c r="AD104" s="79">
        <v>2449.08</v>
      </c>
      <c r="AE104" s="79">
        <v>4017.7799999999902</v>
      </c>
      <c r="AF104" s="79">
        <v>14106.8499999999</v>
      </c>
      <c r="AG104" s="79">
        <v>3406.91</v>
      </c>
      <c r="AH104" s="79">
        <v>2415.91</v>
      </c>
      <c r="AI104" s="79">
        <v>4872.7299999999996</v>
      </c>
      <c r="AJ104" s="79">
        <v>13609.8399999999</v>
      </c>
      <c r="AV104" s="76" t="s">
        <v>142</v>
      </c>
      <c r="AW104" s="76" t="s">
        <v>352</v>
      </c>
      <c r="AX104" s="33">
        <v>2</v>
      </c>
      <c r="AY104" s="33">
        <v>10</v>
      </c>
      <c r="AZ104" s="33">
        <v>4</v>
      </c>
      <c r="BB104" s="76" t="s">
        <v>142</v>
      </c>
      <c r="BC104" s="76" t="s">
        <v>352</v>
      </c>
      <c r="BD104" s="79">
        <v>7033.64</v>
      </c>
      <c r="BE104" s="79">
        <v>4471.78</v>
      </c>
      <c r="BF104" s="79">
        <v>1944.24</v>
      </c>
      <c r="BH104" s="76">
        <v>98166</v>
      </c>
      <c r="BI104" s="76" t="s">
        <v>10</v>
      </c>
      <c r="BJ104" s="79"/>
      <c r="BK104" s="79">
        <v>-35.07</v>
      </c>
      <c r="BL104" s="79">
        <v>-35.07</v>
      </c>
    </row>
    <row r="105" spans="2:64" x14ac:dyDescent="0.2">
      <c r="B105" s="59">
        <v>98059</v>
      </c>
      <c r="C105" s="38" t="s">
        <v>10</v>
      </c>
      <c r="D105" s="48">
        <v>1882</v>
      </c>
      <c r="E105" s="48">
        <v>1911</v>
      </c>
      <c r="F105" s="48">
        <v>1905</v>
      </c>
      <c r="H105" s="76">
        <v>98059</v>
      </c>
      <c r="I105" s="76" t="s">
        <v>352</v>
      </c>
      <c r="J105" s="79">
        <v>24095</v>
      </c>
      <c r="K105" s="79">
        <v>7761.39</v>
      </c>
      <c r="L105" s="79">
        <v>40962.43</v>
      </c>
      <c r="M105" s="79">
        <v>128699.44</v>
      </c>
      <c r="N105" s="79">
        <v>22571.03</v>
      </c>
      <c r="O105" s="79">
        <v>22219.05</v>
      </c>
      <c r="P105" s="79">
        <v>40129.85</v>
      </c>
      <c r="Q105" s="79">
        <v>117584.49</v>
      </c>
      <c r="R105" s="79">
        <v>8411.31</v>
      </c>
      <c r="S105" s="79">
        <v>21365.91</v>
      </c>
      <c r="T105" s="79">
        <v>59351.119999999901</v>
      </c>
      <c r="U105" s="79">
        <v>122670.19999999899</v>
      </c>
      <c r="W105" s="76">
        <v>98208</v>
      </c>
      <c r="X105" s="15" t="s">
        <v>10</v>
      </c>
      <c r="Y105" s="79">
        <v>4894.67</v>
      </c>
      <c r="Z105" s="79">
        <v>4012.23</v>
      </c>
      <c r="AA105" s="79">
        <v>7557.12</v>
      </c>
      <c r="AB105" s="79">
        <v>23267.78</v>
      </c>
      <c r="AC105" s="79">
        <v>5229.33</v>
      </c>
      <c r="AD105" s="79">
        <v>4257.4399999999996</v>
      </c>
      <c r="AE105" s="79">
        <v>10625.58</v>
      </c>
      <c r="AF105" s="79">
        <v>25621.089999999898</v>
      </c>
      <c r="AG105" s="79">
        <v>4349.0600000000004</v>
      </c>
      <c r="AH105" s="79">
        <v>4106.07</v>
      </c>
      <c r="AI105" s="79">
        <v>12598.39</v>
      </c>
      <c r="AJ105" s="79">
        <v>25473.24</v>
      </c>
      <c r="AV105" s="76" t="s">
        <v>142</v>
      </c>
      <c r="AW105" s="76" t="s">
        <v>10</v>
      </c>
      <c r="AX105" s="33">
        <v>10</v>
      </c>
      <c r="AY105" s="33">
        <v>16</v>
      </c>
      <c r="AZ105" s="33">
        <v>8</v>
      </c>
      <c r="BB105" s="76" t="s">
        <v>142</v>
      </c>
      <c r="BC105" s="76" t="s">
        <v>10</v>
      </c>
      <c r="BD105" s="79">
        <v>2359.9</v>
      </c>
      <c r="BE105" s="79">
        <v>5444.69</v>
      </c>
      <c r="BF105" s="79">
        <v>2899.74</v>
      </c>
      <c r="BH105" s="76">
        <v>98168</v>
      </c>
      <c r="BI105" s="76" t="s">
        <v>10</v>
      </c>
      <c r="BJ105" s="79">
        <v>-411.16</v>
      </c>
      <c r="BK105" s="79">
        <v>-150</v>
      </c>
      <c r="BL105" s="79">
        <v>-150</v>
      </c>
    </row>
    <row r="106" spans="2:64" x14ac:dyDescent="0.2">
      <c r="B106" s="86">
        <v>98065</v>
      </c>
      <c r="C106" s="38" t="s">
        <v>352</v>
      </c>
      <c r="D106" s="48">
        <v>78</v>
      </c>
      <c r="E106" s="48">
        <v>77</v>
      </c>
      <c r="F106" s="48">
        <v>56</v>
      </c>
      <c r="H106" s="76">
        <v>98059</v>
      </c>
      <c r="I106" s="76" t="s">
        <v>10</v>
      </c>
      <c r="J106" s="79">
        <v>185359.8</v>
      </c>
      <c r="K106" s="79">
        <v>140604.79999999999</v>
      </c>
      <c r="L106" s="79">
        <v>435460.32999999903</v>
      </c>
      <c r="M106" s="79">
        <v>1062605.1399999899</v>
      </c>
      <c r="N106" s="79">
        <v>162821.85999999999</v>
      </c>
      <c r="O106" s="79">
        <v>130725.58</v>
      </c>
      <c r="P106" s="79">
        <v>478412.74999999901</v>
      </c>
      <c r="Q106" s="79">
        <v>1041462.83</v>
      </c>
      <c r="R106" s="79">
        <v>149318.79999999999</v>
      </c>
      <c r="S106" s="79">
        <v>123280.26</v>
      </c>
      <c r="T106" s="79">
        <v>529579</v>
      </c>
      <c r="U106" s="79">
        <v>1006928.94</v>
      </c>
      <c r="W106" s="76">
        <v>98220</v>
      </c>
      <c r="X106" s="15" t="s">
        <v>10</v>
      </c>
      <c r="Y106" s="79">
        <v>393.55</v>
      </c>
      <c r="Z106" s="79">
        <v>904.41</v>
      </c>
      <c r="AA106" s="79"/>
      <c r="AB106" s="79">
        <v>6038.5</v>
      </c>
      <c r="AC106" s="79">
        <v>1372.19</v>
      </c>
      <c r="AD106" s="79">
        <v>144.97999999999999</v>
      </c>
      <c r="AE106" s="79">
        <v>904.41</v>
      </c>
      <c r="AF106" s="79">
        <v>2681.43</v>
      </c>
      <c r="AG106" s="79">
        <v>259.85000000000002</v>
      </c>
      <c r="AH106" s="79">
        <v>869.63</v>
      </c>
      <c r="AI106" s="79">
        <v>660.24</v>
      </c>
      <c r="AJ106" s="79">
        <v>4484.34</v>
      </c>
      <c r="AV106" s="76" t="s">
        <v>143</v>
      </c>
      <c r="AW106" s="76" t="s">
        <v>10</v>
      </c>
      <c r="AX106" s="33">
        <v>4</v>
      </c>
      <c r="AY106" s="33">
        <v>14</v>
      </c>
      <c r="AZ106" s="33">
        <v>6</v>
      </c>
      <c r="BB106" s="76" t="s">
        <v>143</v>
      </c>
      <c r="BC106" s="76" t="s">
        <v>10</v>
      </c>
      <c r="BD106" s="79">
        <v>202.81</v>
      </c>
      <c r="BE106" s="79">
        <v>13674.82</v>
      </c>
      <c r="BF106" s="79">
        <v>2077.17</v>
      </c>
      <c r="BH106" s="76">
        <v>98177</v>
      </c>
      <c r="BI106" s="76" t="s">
        <v>10</v>
      </c>
      <c r="BJ106" s="79"/>
      <c r="BK106" s="79">
        <v>-649.74</v>
      </c>
      <c r="BL106" s="79"/>
    </row>
    <row r="107" spans="2:64" x14ac:dyDescent="0.2">
      <c r="B107" s="59">
        <v>98065</v>
      </c>
      <c r="C107" s="38" t="s">
        <v>10</v>
      </c>
      <c r="D107" s="48">
        <v>706</v>
      </c>
      <c r="E107" s="48">
        <v>706</v>
      </c>
      <c r="F107" s="48">
        <v>688</v>
      </c>
      <c r="H107" s="76">
        <v>98065</v>
      </c>
      <c r="I107" s="76" t="s">
        <v>352</v>
      </c>
      <c r="J107" s="79">
        <v>18923.830000000002</v>
      </c>
      <c r="K107" s="79">
        <v>1992.76</v>
      </c>
      <c r="L107" s="79">
        <v>19345.38</v>
      </c>
      <c r="M107" s="79">
        <v>73717.589999999895</v>
      </c>
      <c r="N107" s="79">
        <v>5892.52</v>
      </c>
      <c r="O107" s="79">
        <v>6809.87</v>
      </c>
      <c r="P107" s="79">
        <v>20548.93</v>
      </c>
      <c r="Q107" s="79">
        <v>139754.44999999899</v>
      </c>
      <c r="R107" s="79">
        <v>2934.42</v>
      </c>
      <c r="S107" s="79">
        <v>3311.89</v>
      </c>
      <c r="T107" s="79">
        <v>23435.599999999999</v>
      </c>
      <c r="U107" s="79">
        <v>59436.47</v>
      </c>
      <c r="W107" s="76">
        <v>98221</v>
      </c>
      <c r="X107" s="15" t="s">
        <v>10</v>
      </c>
      <c r="Y107" s="79">
        <v>12037.34</v>
      </c>
      <c r="Z107" s="79">
        <v>8965.36</v>
      </c>
      <c r="AA107" s="79">
        <v>14794.33</v>
      </c>
      <c r="AB107" s="79">
        <v>52059.4399999999</v>
      </c>
      <c r="AC107" s="79">
        <v>10154.09</v>
      </c>
      <c r="AD107" s="79">
        <v>8583.0300000000007</v>
      </c>
      <c r="AE107" s="79">
        <v>21438.59</v>
      </c>
      <c r="AF107" s="79">
        <v>49786.7599999999</v>
      </c>
      <c r="AG107" s="79">
        <v>6821.69</v>
      </c>
      <c r="AH107" s="79">
        <v>8344.1299999999992</v>
      </c>
      <c r="AI107" s="79">
        <v>24358.559999999899</v>
      </c>
      <c r="AJ107" s="79">
        <v>49856.819999999898</v>
      </c>
      <c r="AV107" s="76" t="s">
        <v>144</v>
      </c>
      <c r="AW107" s="76" t="s">
        <v>10</v>
      </c>
      <c r="AX107" s="33">
        <v>6</v>
      </c>
      <c r="AY107" s="33">
        <v>3</v>
      </c>
      <c r="AZ107" s="33">
        <v>4</v>
      </c>
      <c r="BB107" s="76" t="s">
        <v>144</v>
      </c>
      <c r="BC107" s="76" t="s">
        <v>10</v>
      </c>
      <c r="BD107" s="79">
        <v>1657.36</v>
      </c>
      <c r="BE107" s="79">
        <v>1200.3</v>
      </c>
      <c r="BF107" s="79">
        <v>1251.83</v>
      </c>
      <c r="BH107" s="76">
        <v>98178</v>
      </c>
      <c r="BI107" s="76" t="s">
        <v>10</v>
      </c>
      <c r="BJ107" s="79">
        <v>-108.36</v>
      </c>
      <c r="BK107" s="79"/>
      <c r="BL107" s="79"/>
    </row>
    <row r="108" spans="2:64" x14ac:dyDescent="0.2">
      <c r="B108" s="86">
        <v>98068</v>
      </c>
      <c r="C108" s="38" t="s">
        <v>352</v>
      </c>
      <c r="D108" s="48">
        <v>13</v>
      </c>
      <c r="E108" s="48">
        <v>12</v>
      </c>
      <c r="F108" s="48">
        <v>9</v>
      </c>
      <c r="H108" s="76">
        <v>98065</v>
      </c>
      <c r="I108" s="76" t="s">
        <v>10</v>
      </c>
      <c r="J108" s="79">
        <v>59112.639999999999</v>
      </c>
      <c r="K108" s="79">
        <v>41065.629999999997</v>
      </c>
      <c r="L108" s="79">
        <v>118419.85</v>
      </c>
      <c r="M108" s="79">
        <v>339553.74</v>
      </c>
      <c r="N108" s="79">
        <v>53325.66</v>
      </c>
      <c r="O108" s="79">
        <v>38846.53</v>
      </c>
      <c r="P108" s="79">
        <v>124842.78</v>
      </c>
      <c r="Q108" s="79">
        <v>318503.38</v>
      </c>
      <c r="R108" s="79">
        <v>44539.839999999997</v>
      </c>
      <c r="S108" s="79">
        <v>36498.410000000003</v>
      </c>
      <c r="T108" s="79">
        <v>131916.13</v>
      </c>
      <c r="U108" s="79">
        <v>296594.20999999897</v>
      </c>
      <c r="W108" s="76">
        <v>98223</v>
      </c>
      <c r="X108" s="15" t="s">
        <v>10</v>
      </c>
      <c r="Y108" s="79">
        <v>529.9</v>
      </c>
      <c r="Z108" s="79">
        <v>580.62</v>
      </c>
      <c r="AA108" s="79">
        <v>588.19999999999902</v>
      </c>
      <c r="AB108" s="79">
        <v>2235.1299999999901</v>
      </c>
      <c r="AC108" s="79">
        <v>533.66999999999996</v>
      </c>
      <c r="AD108" s="79">
        <v>529.9</v>
      </c>
      <c r="AE108" s="79">
        <v>1133.0999999999999</v>
      </c>
      <c r="AF108" s="79">
        <v>2628.68</v>
      </c>
      <c r="AG108" s="79">
        <v>432.01</v>
      </c>
      <c r="AH108" s="79">
        <v>482.22</v>
      </c>
      <c r="AI108" s="79">
        <v>1333</v>
      </c>
      <c r="AJ108" s="79">
        <v>2539.0899999999901</v>
      </c>
      <c r="AV108" s="76" t="s">
        <v>145</v>
      </c>
      <c r="AW108" s="76" t="s">
        <v>10</v>
      </c>
      <c r="AX108" s="33">
        <v>3</v>
      </c>
      <c r="AY108" s="33">
        <v>4</v>
      </c>
      <c r="AZ108" s="33">
        <v>3</v>
      </c>
      <c r="BB108" s="76" t="s">
        <v>145</v>
      </c>
      <c r="BC108" s="76" t="s">
        <v>10</v>
      </c>
      <c r="BD108" s="79">
        <v>1899.25</v>
      </c>
      <c r="BE108" s="79">
        <v>1135.75</v>
      </c>
      <c r="BF108" s="79">
        <v>14038.74</v>
      </c>
      <c r="BH108" s="76">
        <v>98188</v>
      </c>
      <c r="BI108" s="76" t="s">
        <v>10</v>
      </c>
      <c r="BJ108" s="79">
        <v>-216.92</v>
      </c>
      <c r="BK108" s="79">
        <v>-1092.6400000000001</v>
      </c>
      <c r="BL108" s="79">
        <v>-719.56</v>
      </c>
    </row>
    <row r="109" spans="2:64" x14ac:dyDescent="0.2">
      <c r="B109" s="59">
        <v>98068</v>
      </c>
      <c r="C109" s="38" t="s">
        <v>10</v>
      </c>
      <c r="D109" s="48">
        <v>76</v>
      </c>
      <c r="E109" s="48">
        <v>100</v>
      </c>
      <c r="F109" s="48">
        <v>70</v>
      </c>
      <c r="H109" s="76">
        <v>98068</v>
      </c>
      <c r="I109" s="76" t="s">
        <v>352</v>
      </c>
      <c r="J109" s="79">
        <v>1706.07</v>
      </c>
      <c r="K109" s="79">
        <v>1245.22</v>
      </c>
      <c r="L109" s="79">
        <v>18076.52</v>
      </c>
      <c r="M109" s="79">
        <v>29264.0799999999</v>
      </c>
      <c r="N109" s="79">
        <v>1406.98</v>
      </c>
      <c r="O109" s="79">
        <v>1483.65</v>
      </c>
      <c r="P109" s="79">
        <v>14101.32</v>
      </c>
      <c r="Q109" s="79">
        <v>19637.740000000002</v>
      </c>
      <c r="R109" s="79">
        <v>1314.52</v>
      </c>
      <c r="S109" s="79">
        <v>1406.98</v>
      </c>
      <c r="T109" s="79">
        <v>15584.969999999899</v>
      </c>
      <c r="U109" s="79">
        <v>19899.23</v>
      </c>
      <c r="W109" s="76">
        <v>98224</v>
      </c>
      <c r="X109" s="15" t="s">
        <v>10</v>
      </c>
      <c r="Y109" s="79">
        <v>650.23</v>
      </c>
      <c r="Z109" s="79">
        <v>735.76</v>
      </c>
      <c r="AA109" s="79">
        <v>2322.1</v>
      </c>
      <c r="AB109" s="79">
        <v>4655.37</v>
      </c>
      <c r="AC109" s="79">
        <v>947.28</v>
      </c>
      <c r="AD109" s="79">
        <v>650.23</v>
      </c>
      <c r="AE109" s="79">
        <v>2957.86</v>
      </c>
      <c r="AF109" s="79">
        <v>5341.12</v>
      </c>
      <c r="AG109" s="79">
        <v>452.83</v>
      </c>
      <c r="AH109" s="79">
        <v>947.28</v>
      </c>
      <c r="AI109" s="79">
        <v>2941.01</v>
      </c>
      <c r="AJ109" s="79">
        <v>5045.2999999999902</v>
      </c>
      <c r="AV109" s="76" t="s">
        <v>282</v>
      </c>
      <c r="AW109" s="76" t="s">
        <v>352</v>
      </c>
      <c r="AX109" s="33">
        <v>1</v>
      </c>
      <c r="AY109" s="33"/>
      <c r="AZ109" s="33">
        <v>1</v>
      </c>
      <c r="BB109" s="76" t="s">
        <v>282</v>
      </c>
      <c r="BC109" s="76" t="s">
        <v>352</v>
      </c>
      <c r="BD109" s="79">
        <v>394.28</v>
      </c>
      <c r="BE109" s="79"/>
      <c r="BF109" s="79">
        <v>306.76</v>
      </c>
      <c r="BH109" s="76">
        <v>98198</v>
      </c>
      <c r="BI109" s="76" t="s">
        <v>352</v>
      </c>
      <c r="BJ109" s="79">
        <v>-800</v>
      </c>
      <c r="BK109" s="79">
        <v>-700</v>
      </c>
      <c r="BL109" s="79">
        <v>-1171.74</v>
      </c>
    </row>
    <row r="110" spans="2:64" x14ac:dyDescent="0.2">
      <c r="B110" s="86">
        <v>98070</v>
      </c>
      <c r="C110" s="38" t="s">
        <v>352</v>
      </c>
      <c r="D110" s="48">
        <v>132</v>
      </c>
      <c r="E110" s="48">
        <v>130</v>
      </c>
      <c r="F110" s="48">
        <v>111</v>
      </c>
      <c r="H110" s="76">
        <v>98068</v>
      </c>
      <c r="I110" s="76" t="s">
        <v>10</v>
      </c>
      <c r="J110" s="79">
        <v>9196.51</v>
      </c>
      <c r="K110" s="79">
        <v>1812.61</v>
      </c>
      <c r="L110" s="79">
        <v>16332.73</v>
      </c>
      <c r="M110" s="79">
        <v>38571.42</v>
      </c>
      <c r="N110" s="79">
        <v>5779.09</v>
      </c>
      <c r="O110" s="79">
        <v>4511.54</v>
      </c>
      <c r="P110" s="79">
        <v>16328.75</v>
      </c>
      <c r="Q110" s="79">
        <v>43487.109999999899</v>
      </c>
      <c r="R110" s="79">
        <v>5709.95</v>
      </c>
      <c r="S110" s="79">
        <v>3982.94</v>
      </c>
      <c r="T110" s="79">
        <v>18025.29</v>
      </c>
      <c r="U110" s="79">
        <v>32899.419999999896</v>
      </c>
      <c r="W110" s="76">
        <v>98225</v>
      </c>
      <c r="X110" s="15" t="s">
        <v>10</v>
      </c>
      <c r="Y110" s="79">
        <v>28671.919999999998</v>
      </c>
      <c r="Z110" s="79">
        <v>27757.33</v>
      </c>
      <c r="AA110" s="79">
        <v>34653.81</v>
      </c>
      <c r="AB110" s="79">
        <v>128519.189999999</v>
      </c>
      <c r="AC110" s="79">
        <v>19410.45</v>
      </c>
      <c r="AD110" s="79">
        <v>31050.59</v>
      </c>
      <c r="AE110" s="79">
        <v>47752.44</v>
      </c>
      <c r="AF110" s="79">
        <v>131243.21</v>
      </c>
      <c r="AG110" s="79">
        <v>24784.19</v>
      </c>
      <c r="AH110" s="79">
        <v>14977.87</v>
      </c>
      <c r="AI110" s="79">
        <v>55741.65</v>
      </c>
      <c r="AJ110" s="79">
        <v>122618.549999999</v>
      </c>
      <c r="AV110" s="76" t="s">
        <v>282</v>
      </c>
      <c r="AW110" s="76" t="s">
        <v>10</v>
      </c>
      <c r="AX110" s="33">
        <v>8</v>
      </c>
      <c r="AY110" s="33">
        <v>8</v>
      </c>
      <c r="AZ110" s="33">
        <v>7</v>
      </c>
      <c r="BB110" s="76" t="s">
        <v>282</v>
      </c>
      <c r="BC110" s="76" t="s">
        <v>10</v>
      </c>
      <c r="BD110" s="79">
        <v>6102.76</v>
      </c>
      <c r="BE110" s="79">
        <v>1052.1300000000001</v>
      </c>
      <c r="BF110" s="79">
        <v>1187.8399999999999</v>
      </c>
      <c r="BH110" s="76">
        <v>98198</v>
      </c>
      <c r="BI110" s="76" t="s">
        <v>10</v>
      </c>
      <c r="BJ110" s="79">
        <v>-98.39</v>
      </c>
      <c r="BK110" s="79">
        <v>-1620.81</v>
      </c>
      <c r="BL110" s="79">
        <v>-516.48</v>
      </c>
    </row>
    <row r="111" spans="2:64" x14ac:dyDescent="0.2">
      <c r="B111" s="59">
        <v>98070</v>
      </c>
      <c r="C111" s="38" t="s">
        <v>10</v>
      </c>
      <c r="D111" s="48">
        <v>653</v>
      </c>
      <c r="E111" s="48">
        <v>655</v>
      </c>
      <c r="F111" s="48">
        <v>617</v>
      </c>
      <c r="H111" s="76">
        <v>98070</v>
      </c>
      <c r="I111" s="76" t="s">
        <v>352</v>
      </c>
      <c r="J111" s="79">
        <v>11554.34</v>
      </c>
      <c r="K111" s="79">
        <v>7235.23</v>
      </c>
      <c r="L111" s="79">
        <v>44122.45</v>
      </c>
      <c r="M111" s="79">
        <v>90713.94</v>
      </c>
      <c r="N111" s="79">
        <v>9024.98</v>
      </c>
      <c r="O111" s="79">
        <v>6404.03</v>
      </c>
      <c r="P111" s="79">
        <v>38089.160000000003</v>
      </c>
      <c r="Q111" s="79">
        <v>107748.159999999</v>
      </c>
      <c r="R111" s="79">
        <v>6641.51</v>
      </c>
      <c r="S111" s="79">
        <v>5614.2</v>
      </c>
      <c r="T111" s="79">
        <v>36963.9</v>
      </c>
      <c r="U111" s="79">
        <v>60252.249999999898</v>
      </c>
      <c r="W111" s="76">
        <v>98226</v>
      </c>
      <c r="X111" s="15" t="s">
        <v>10</v>
      </c>
      <c r="Y111" s="79">
        <v>101569.43</v>
      </c>
      <c r="Z111" s="79">
        <v>84008.23</v>
      </c>
      <c r="AA111" s="79">
        <v>120505.91</v>
      </c>
      <c r="AB111" s="79">
        <v>442960.16</v>
      </c>
      <c r="AC111" s="79">
        <v>102191.09</v>
      </c>
      <c r="AD111" s="79">
        <v>61248.19</v>
      </c>
      <c r="AE111" s="79">
        <v>191542.209999999</v>
      </c>
      <c r="AF111" s="79">
        <v>406789.06999999902</v>
      </c>
      <c r="AG111" s="79">
        <v>38154.44</v>
      </c>
      <c r="AH111" s="79">
        <v>79531.41</v>
      </c>
      <c r="AI111" s="79">
        <v>195844.8</v>
      </c>
      <c r="AJ111" s="79">
        <v>405697.5</v>
      </c>
      <c r="AV111" s="76" t="s">
        <v>146</v>
      </c>
      <c r="AW111" s="76" t="s">
        <v>352</v>
      </c>
      <c r="AX111" s="33"/>
      <c r="AY111" s="33"/>
      <c r="AZ111" s="33">
        <v>12</v>
      </c>
      <c r="BB111" s="76" t="s">
        <v>146</v>
      </c>
      <c r="BC111" s="76" t="s">
        <v>352</v>
      </c>
      <c r="BD111" s="79"/>
      <c r="BE111" s="79"/>
      <c r="BF111" s="79">
        <v>1444.06</v>
      </c>
      <c r="BH111" s="76">
        <v>98199</v>
      </c>
      <c r="BI111" s="76" t="s">
        <v>10</v>
      </c>
      <c r="BJ111" s="79"/>
      <c r="BK111" s="79">
        <v>-101.45</v>
      </c>
      <c r="BL111" s="79"/>
    </row>
    <row r="112" spans="2:64" x14ac:dyDescent="0.2">
      <c r="B112" s="86">
        <v>98072</v>
      </c>
      <c r="C112" s="38" t="s">
        <v>352</v>
      </c>
      <c r="D112" s="48">
        <v>143</v>
      </c>
      <c r="E112" s="48">
        <v>130</v>
      </c>
      <c r="F112" s="48">
        <v>137</v>
      </c>
      <c r="H112" s="76">
        <v>98070</v>
      </c>
      <c r="I112" s="76" t="s">
        <v>10</v>
      </c>
      <c r="J112" s="79">
        <v>70091.72</v>
      </c>
      <c r="K112" s="79">
        <v>42190.76</v>
      </c>
      <c r="L112" s="79">
        <v>112641.46</v>
      </c>
      <c r="M112" s="79">
        <v>343111.53</v>
      </c>
      <c r="N112" s="79">
        <v>63083.27</v>
      </c>
      <c r="O112" s="79">
        <v>49418.97</v>
      </c>
      <c r="P112" s="79">
        <v>130473.62</v>
      </c>
      <c r="Q112" s="79">
        <v>346203.08999999898</v>
      </c>
      <c r="R112" s="79">
        <v>52159.09</v>
      </c>
      <c r="S112" s="79">
        <v>41123.410000000003</v>
      </c>
      <c r="T112" s="79">
        <v>151810.26999999999</v>
      </c>
      <c r="U112" s="79">
        <v>314766.13</v>
      </c>
      <c r="W112" s="76">
        <v>98229</v>
      </c>
      <c r="X112" s="15" t="s">
        <v>10</v>
      </c>
      <c r="Y112" s="79">
        <v>30995.19</v>
      </c>
      <c r="Z112" s="79">
        <v>27756.46</v>
      </c>
      <c r="AA112" s="79">
        <v>38009.249999999898</v>
      </c>
      <c r="AB112" s="79">
        <v>137319.25999999899</v>
      </c>
      <c r="AC112" s="79">
        <v>23906.240000000002</v>
      </c>
      <c r="AD112" s="79">
        <v>31623.17</v>
      </c>
      <c r="AE112" s="79">
        <v>51447.5</v>
      </c>
      <c r="AF112" s="79">
        <v>142444.46</v>
      </c>
      <c r="AG112" s="79">
        <v>25648.04</v>
      </c>
      <c r="AH112" s="79">
        <v>17904.86</v>
      </c>
      <c r="AI112" s="79">
        <v>61751.81</v>
      </c>
      <c r="AJ112" s="79">
        <v>134067.75999999899</v>
      </c>
      <c r="AV112" s="76" t="s">
        <v>146</v>
      </c>
      <c r="AW112" s="76" t="s">
        <v>10</v>
      </c>
      <c r="AX112" s="33">
        <v>46</v>
      </c>
      <c r="AY112" s="33">
        <v>41</v>
      </c>
      <c r="AZ112" s="33">
        <v>45</v>
      </c>
      <c r="BB112" s="76" t="s">
        <v>146</v>
      </c>
      <c r="BC112" s="76" t="s">
        <v>10</v>
      </c>
      <c r="BD112" s="79">
        <v>43386.09</v>
      </c>
      <c r="BE112" s="79">
        <v>17605.91</v>
      </c>
      <c r="BF112" s="79">
        <v>33374.519999999997</v>
      </c>
      <c r="BH112" s="76">
        <v>98201</v>
      </c>
      <c r="BI112" s="76" t="s">
        <v>10</v>
      </c>
      <c r="BJ112" s="79">
        <v>-87.58</v>
      </c>
      <c r="BK112" s="79">
        <v>-354.57</v>
      </c>
      <c r="BL112" s="79">
        <v>-879.41</v>
      </c>
    </row>
    <row r="113" spans="2:64" x14ac:dyDescent="0.2">
      <c r="B113" s="59">
        <v>98072</v>
      </c>
      <c r="C113" s="38" t="s">
        <v>10</v>
      </c>
      <c r="D113" s="48">
        <v>845</v>
      </c>
      <c r="E113" s="48">
        <v>785</v>
      </c>
      <c r="F113" s="48">
        <v>854</v>
      </c>
      <c r="H113" s="76">
        <v>98072</v>
      </c>
      <c r="I113" s="76" t="s">
        <v>352</v>
      </c>
      <c r="J113" s="79">
        <v>19348.439999999999</v>
      </c>
      <c r="K113" s="79">
        <v>24369.19</v>
      </c>
      <c r="L113" s="79">
        <v>121934.43</v>
      </c>
      <c r="M113" s="79">
        <v>279666.03999999899</v>
      </c>
      <c r="N113" s="79">
        <v>24153.68</v>
      </c>
      <c r="O113" s="79">
        <v>15957.69</v>
      </c>
      <c r="P113" s="79">
        <v>124280.84</v>
      </c>
      <c r="Q113" s="79">
        <v>208395.02</v>
      </c>
      <c r="R113" s="79">
        <v>12970.38</v>
      </c>
      <c r="S113" s="79">
        <v>20367.939999999999</v>
      </c>
      <c r="T113" s="79">
        <v>128735.37</v>
      </c>
      <c r="U113" s="79">
        <v>294354.88999999902</v>
      </c>
      <c r="W113" s="76">
        <v>98230</v>
      </c>
      <c r="X113" s="15" t="s">
        <v>10</v>
      </c>
      <c r="Y113" s="79">
        <v>18892.439999999999</v>
      </c>
      <c r="Z113" s="79">
        <v>17447.75</v>
      </c>
      <c r="AA113" s="79">
        <v>35946.17</v>
      </c>
      <c r="AB113" s="79">
        <v>95903.59</v>
      </c>
      <c r="AC113" s="79">
        <v>17370.39</v>
      </c>
      <c r="AD113" s="79">
        <v>15910.3</v>
      </c>
      <c r="AE113" s="79">
        <v>41575.659999999902</v>
      </c>
      <c r="AF113" s="79">
        <v>93202.01</v>
      </c>
      <c r="AG113" s="79">
        <v>13685.85</v>
      </c>
      <c r="AH113" s="79">
        <v>13717.5</v>
      </c>
      <c r="AI113" s="79">
        <v>40868.910000000003</v>
      </c>
      <c r="AJ113" s="79">
        <v>81775.359999999899</v>
      </c>
      <c r="AV113" s="76" t="s">
        <v>283</v>
      </c>
      <c r="AW113" s="76" t="s">
        <v>352</v>
      </c>
      <c r="AX113" s="33">
        <v>1</v>
      </c>
      <c r="AY113" s="33">
        <v>3</v>
      </c>
      <c r="AZ113" s="33">
        <v>2</v>
      </c>
      <c r="BB113" s="76" t="s">
        <v>283</v>
      </c>
      <c r="BC113" s="76" t="s">
        <v>352</v>
      </c>
      <c r="BD113" s="79">
        <v>1384.86</v>
      </c>
      <c r="BE113" s="79">
        <v>3631.64</v>
      </c>
      <c r="BF113" s="79">
        <v>13854.72</v>
      </c>
      <c r="BH113" s="76">
        <v>98203</v>
      </c>
      <c r="BI113" s="76" t="s">
        <v>10</v>
      </c>
      <c r="BJ113" s="79">
        <v>-103.68</v>
      </c>
      <c r="BK113" s="79"/>
      <c r="BL113" s="79"/>
    </row>
    <row r="114" spans="2:64" x14ac:dyDescent="0.2">
      <c r="B114" s="86">
        <v>98074</v>
      </c>
      <c r="C114" s="38" t="s">
        <v>352</v>
      </c>
      <c r="D114" s="48">
        <v>84</v>
      </c>
      <c r="E114" s="48">
        <v>70</v>
      </c>
      <c r="F114" s="48">
        <v>77</v>
      </c>
      <c r="H114" s="76">
        <v>98072</v>
      </c>
      <c r="I114" s="76" t="s">
        <v>10</v>
      </c>
      <c r="J114" s="79">
        <v>78473.759999999995</v>
      </c>
      <c r="K114" s="79">
        <v>40561.96</v>
      </c>
      <c r="L114" s="79">
        <v>144329.78999999899</v>
      </c>
      <c r="M114" s="79">
        <v>377852.15999999898</v>
      </c>
      <c r="N114" s="79">
        <v>57069.06</v>
      </c>
      <c r="O114" s="79">
        <v>54681.31</v>
      </c>
      <c r="P114" s="79">
        <v>156210.35999999999</v>
      </c>
      <c r="Q114" s="79">
        <v>352566.8</v>
      </c>
      <c r="R114" s="79">
        <v>48988.84</v>
      </c>
      <c r="S114" s="79">
        <v>43305.55</v>
      </c>
      <c r="T114" s="79">
        <v>176577.66999999899</v>
      </c>
      <c r="U114" s="79">
        <v>351467.89</v>
      </c>
      <c r="W114" s="76">
        <v>98232</v>
      </c>
      <c r="X114" s="15" t="s">
        <v>10</v>
      </c>
      <c r="Y114" s="79">
        <v>4913.93</v>
      </c>
      <c r="Z114" s="79">
        <v>2240.7600000000002</v>
      </c>
      <c r="AA114" s="79">
        <v>989.63999999999896</v>
      </c>
      <c r="AB114" s="79">
        <v>10529.89</v>
      </c>
      <c r="AC114" s="79">
        <v>1015.08</v>
      </c>
      <c r="AD114" s="79">
        <v>4402.95</v>
      </c>
      <c r="AE114" s="79">
        <v>3120.89</v>
      </c>
      <c r="AF114" s="79">
        <v>12272.64</v>
      </c>
      <c r="AG114" s="79">
        <v>2990.25</v>
      </c>
      <c r="AH114" s="79">
        <v>618.24</v>
      </c>
      <c r="AI114" s="79">
        <v>5643.05</v>
      </c>
      <c r="AJ114" s="79">
        <v>11170.35</v>
      </c>
      <c r="AV114" s="76" t="s">
        <v>283</v>
      </c>
      <c r="AW114" s="76" t="s">
        <v>10</v>
      </c>
      <c r="AX114" s="33"/>
      <c r="AY114" s="33">
        <v>1</v>
      </c>
      <c r="AZ114" s="33">
        <v>2</v>
      </c>
      <c r="BB114" s="76" t="s">
        <v>283</v>
      </c>
      <c r="BC114" s="76" t="s">
        <v>10</v>
      </c>
      <c r="BD114" s="79"/>
      <c r="BE114" s="79">
        <v>89.92</v>
      </c>
      <c r="BF114" s="79">
        <v>263.8</v>
      </c>
      <c r="BH114" s="76">
        <v>98204</v>
      </c>
      <c r="BI114" s="76" t="s">
        <v>10</v>
      </c>
      <c r="BJ114" s="79">
        <v>-1043.46</v>
      </c>
      <c r="BK114" s="79"/>
      <c r="BL114" s="79"/>
    </row>
    <row r="115" spans="2:64" x14ac:dyDescent="0.2">
      <c r="B115" s="59">
        <v>98074</v>
      </c>
      <c r="C115" s="38" t="s">
        <v>10</v>
      </c>
      <c r="D115" s="48">
        <v>992</v>
      </c>
      <c r="E115" s="48">
        <v>963</v>
      </c>
      <c r="F115" s="48">
        <v>924</v>
      </c>
      <c r="H115" s="76">
        <v>98074</v>
      </c>
      <c r="I115" s="76" t="s">
        <v>352</v>
      </c>
      <c r="J115" s="79">
        <v>6068.27</v>
      </c>
      <c r="K115" s="79">
        <v>1520.66</v>
      </c>
      <c r="L115" s="79">
        <v>11971.91</v>
      </c>
      <c r="M115" s="79">
        <v>50978.89</v>
      </c>
      <c r="N115" s="79">
        <v>2072.83</v>
      </c>
      <c r="O115" s="79">
        <v>4652.99</v>
      </c>
      <c r="P115" s="79">
        <v>13147.34</v>
      </c>
      <c r="Q115" s="79">
        <v>37728.469999999899</v>
      </c>
      <c r="R115" s="79">
        <v>5871.02</v>
      </c>
      <c r="S115" s="79">
        <v>1428.92</v>
      </c>
      <c r="T115" s="79">
        <v>17639.71</v>
      </c>
      <c r="U115" s="79">
        <v>53559.14</v>
      </c>
      <c r="W115" s="76">
        <v>98233</v>
      </c>
      <c r="X115" s="15" t="s">
        <v>10</v>
      </c>
      <c r="Y115" s="79">
        <v>11261.75</v>
      </c>
      <c r="Z115" s="79">
        <v>9468.9599999999991</v>
      </c>
      <c r="AA115" s="79">
        <v>7481.3</v>
      </c>
      <c r="AB115" s="79">
        <v>43802.809999999903</v>
      </c>
      <c r="AC115" s="79">
        <v>1619.85</v>
      </c>
      <c r="AD115" s="79">
        <v>17403.48</v>
      </c>
      <c r="AE115" s="79">
        <v>10760.15</v>
      </c>
      <c r="AF115" s="79">
        <v>44753.52</v>
      </c>
      <c r="AG115" s="79">
        <v>9452.06</v>
      </c>
      <c r="AH115" s="79">
        <v>1253.8399999999999</v>
      </c>
      <c r="AI115" s="79">
        <v>19147.72</v>
      </c>
      <c r="AJ115" s="79">
        <v>40501.17</v>
      </c>
      <c r="AV115" s="76" t="s">
        <v>284</v>
      </c>
      <c r="AW115" s="76" t="s">
        <v>352</v>
      </c>
      <c r="AX115" s="33">
        <v>1</v>
      </c>
      <c r="AY115" s="33"/>
      <c r="AZ115" s="33">
        <v>1</v>
      </c>
      <c r="BB115" s="76" t="s">
        <v>284</v>
      </c>
      <c r="BC115" s="76" t="s">
        <v>352</v>
      </c>
      <c r="BD115" s="79">
        <v>195.96</v>
      </c>
      <c r="BE115" s="79"/>
      <c r="BF115" s="79">
        <v>1199.54</v>
      </c>
      <c r="BH115" s="76">
        <v>98208</v>
      </c>
      <c r="BI115" s="76" t="s">
        <v>10</v>
      </c>
      <c r="BJ115" s="79">
        <v>-56.13</v>
      </c>
      <c r="BK115" s="79">
        <v>-56.27</v>
      </c>
      <c r="BL115" s="79"/>
    </row>
    <row r="116" spans="2:64" x14ac:dyDescent="0.2">
      <c r="B116" s="86">
        <v>98075</v>
      </c>
      <c r="C116" s="38" t="s">
        <v>352</v>
      </c>
      <c r="D116" s="48">
        <v>62</v>
      </c>
      <c r="E116" s="48">
        <v>77</v>
      </c>
      <c r="F116" s="48">
        <v>101</v>
      </c>
      <c r="H116" s="76">
        <v>98074</v>
      </c>
      <c r="I116" s="76" t="s">
        <v>10</v>
      </c>
      <c r="J116" s="79">
        <v>80049.09</v>
      </c>
      <c r="K116" s="79">
        <v>35685</v>
      </c>
      <c r="L116" s="79">
        <v>118144.42</v>
      </c>
      <c r="M116" s="79">
        <v>419842.25</v>
      </c>
      <c r="N116" s="79">
        <v>56209.599999999999</v>
      </c>
      <c r="O116" s="79">
        <v>45607.81</v>
      </c>
      <c r="P116" s="79">
        <v>116340.77999999899</v>
      </c>
      <c r="Q116" s="79">
        <v>376464.77</v>
      </c>
      <c r="R116" s="79">
        <v>48490.71</v>
      </c>
      <c r="S116" s="79">
        <v>33058.04</v>
      </c>
      <c r="T116" s="79">
        <v>130753.37</v>
      </c>
      <c r="U116" s="79">
        <v>337154.33</v>
      </c>
      <c r="W116" s="76">
        <v>98235</v>
      </c>
      <c r="X116" s="15" t="s">
        <v>10</v>
      </c>
      <c r="Y116" s="79">
        <v>2278.66</v>
      </c>
      <c r="Z116" s="79">
        <v>520.16999999999996</v>
      </c>
      <c r="AA116" s="79">
        <v>3169.24</v>
      </c>
      <c r="AB116" s="79">
        <v>7081.22</v>
      </c>
      <c r="AC116" s="79">
        <v>1113.1500000000001</v>
      </c>
      <c r="AD116" s="79">
        <v>2278.66</v>
      </c>
      <c r="AE116" s="79">
        <v>2988.73</v>
      </c>
      <c r="AF116" s="79">
        <v>8217.93</v>
      </c>
      <c r="AG116" s="79">
        <v>1837.39</v>
      </c>
      <c r="AH116" s="79">
        <v>1113.1500000000001</v>
      </c>
      <c r="AI116" s="79">
        <v>4056.54</v>
      </c>
      <c r="AJ116" s="79">
        <v>7577.0499999999902</v>
      </c>
      <c r="AV116" s="76" t="s">
        <v>284</v>
      </c>
      <c r="AW116" s="76" t="s">
        <v>10</v>
      </c>
      <c r="AX116" s="33">
        <v>14</v>
      </c>
      <c r="AY116" s="33">
        <v>8</v>
      </c>
      <c r="AZ116" s="33">
        <v>6</v>
      </c>
      <c r="BB116" s="76" t="s">
        <v>284</v>
      </c>
      <c r="BC116" s="76" t="s">
        <v>10</v>
      </c>
      <c r="BD116" s="79">
        <v>597.33000000000004</v>
      </c>
      <c r="BE116" s="79">
        <v>599.39</v>
      </c>
      <c r="BF116" s="79">
        <v>1240.4000000000001</v>
      </c>
      <c r="BH116" s="76">
        <v>98220</v>
      </c>
      <c r="BI116" s="76" t="s">
        <v>10</v>
      </c>
      <c r="BJ116" s="79"/>
      <c r="BK116" s="79"/>
      <c r="BL116" s="79">
        <v>-100</v>
      </c>
    </row>
    <row r="117" spans="2:64" x14ac:dyDescent="0.2">
      <c r="B117" s="59">
        <v>98075</v>
      </c>
      <c r="C117" s="38" t="s">
        <v>10</v>
      </c>
      <c r="D117" s="48">
        <v>752</v>
      </c>
      <c r="E117" s="48">
        <v>760</v>
      </c>
      <c r="F117" s="48">
        <v>747</v>
      </c>
      <c r="H117" s="76">
        <v>98075</v>
      </c>
      <c r="I117" s="76" t="s">
        <v>352</v>
      </c>
      <c r="J117" s="79">
        <v>1572.29</v>
      </c>
      <c r="K117" s="79">
        <v>673.76</v>
      </c>
      <c r="L117" s="79">
        <v>13826.9999999999</v>
      </c>
      <c r="M117" s="79">
        <v>26218.319999999901</v>
      </c>
      <c r="N117" s="79">
        <v>721.56</v>
      </c>
      <c r="O117" s="79">
        <v>429.91</v>
      </c>
      <c r="P117" s="79">
        <v>14180.35</v>
      </c>
      <c r="Q117" s="79">
        <v>33995.949999999997</v>
      </c>
      <c r="R117" s="79">
        <v>776.17</v>
      </c>
      <c r="S117" s="79">
        <v>426.25</v>
      </c>
      <c r="T117" s="79">
        <v>14107.05</v>
      </c>
      <c r="U117" s="79">
        <v>37379.699999999903</v>
      </c>
      <c r="W117" s="76">
        <v>98236</v>
      </c>
      <c r="X117" s="15" t="s">
        <v>10</v>
      </c>
      <c r="Y117" s="79">
        <v>6603.42</v>
      </c>
      <c r="Z117" s="79">
        <v>6261.57</v>
      </c>
      <c r="AA117" s="79">
        <v>15204.33</v>
      </c>
      <c r="AB117" s="79">
        <v>36509.43</v>
      </c>
      <c r="AC117" s="79">
        <v>5482.71</v>
      </c>
      <c r="AD117" s="79">
        <v>4634.07</v>
      </c>
      <c r="AE117" s="79">
        <v>18450.859999999899</v>
      </c>
      <c r="AF117" s="79">
        <v>34996.03</v>
      </c>
      <c r="AG117" s="79">
        <v>5364.44</v>
      </c>
      <c r="AH117" s="79">
        <v>4840.1499999999996</v>
      </c>
      <c r="AI117" s="79">
        <v>19105.84</v>
      </c>
      <c r="AJ117" s="79">
        <v>36571.309999999903</v>
      </c>
      <c r="AV117" s="76" t="s">
        <v>285</v>
      </c>
      <c r="AW117" s="76" t="s">
        <v>352</v>
      </c>
      <c r="AX117" s="33"/>
      <c r="AY117" s="33"/>
      <c r="AZ117" s="33">
        <v>3</v>
      </c>
      <c r="BB117" s="76" t="s">
        <v>285</v>
      </c>
      <c r="BC117" s="76" t="s">
        <v>352</v>
      </c>
      <c r="BD117" s="79"/>
      <c r="BE117" s="79"/>
      <c r="BF117" s="79">
        <v>4136.17</v>
      </c>
      <c r="BH117" s="76">
        <v>98221</v>
      </c>
      <c r="BI117" s="76" t="s">
        <v>352</v>
      </c>
      <c r="BJ117" s="79">
        <v>-1200</v>
      </c>
      <c r="BK117" s="79">
        <v>-600</v>
      </c>
      <c r="BL117" s="79">
        <v>-600</v>
      </c>
    </row>
    <row r="118" spans="2:64" x14ac:dyDescent="0.2">
      <c r="B118" s="86">
        <v>98077</v>
      </c>
      <c r="C118" s="38" t="s">
        <v>352</v>
      </c>
      <c r="D118" s="48">
        <v>18</v>
      </c>
      <c r="E118" s="48">
        <v>17</v>
      </c>
      <c r="F118" s="48">
        <v>14</v>
      </c>
      <c r="H118" s="76">
        <v>98075</v>
      </c>
      <c r="I118" s="76" t="s">
        <v>10</v>
      </c>
      <c r="J118" s="79">
        <v>63201.760000000002</v>
      </c>
      <c r="K118" s="79">
        <v>25217.97</v>
      </c>
      <c r="L118" s="79">
        <v>90618</v>
      </c>
      <c r="M118" s="79">
        <v>320060.15000000002</v>
      </c>
      <c r="N118" s="79">
        <v>36584.370000000003</v>
      </c>
      <c r="O118" s="79">
        <v>38288.79</v>
      </c>
      <c r="P118" s="79">
        <v>100642.06</v>
      </c>
      <c r="Q118" s="79">
        <v>310699.06</v>
      </c>
      <c r="R118" s="79">
        <v>39385.22</v>
      </c>
      <c r="S118" s="79">
        <v>22855.19</v>
      </c>
      <c r="T118" s="79">
        <v>109352.36</v>
      </c>
      <c r="U118" s="79">
        <v>282293.58</v>
      </c>
      <c r="W118" s="76">
        <v>98237</v>
      </c>
      <c r="X118" s="15" t="s">
        <v>10</v>
      </c>
      <c r="Y118" s="79">
        <v>27032.51</v>
      </c>
      <c r="Z118" s="79">
        <v>14200.13</v>
      </c>
      <c r="AA118" s="79">
        <v>41493.99</v>
      </c>
      <c r="AB118" s="79">
        <v>98186.3</v>
      </c>
      <c r="AC118" s="79">
        <v>13050.13</v>
      </c>
      <c r="AD118" s="79">
        <v>25638.7</v>
      </c>
      <c r="AE118" s="79">
        <v>48824.41</v>
      </c>
      <c r="AF118" s="79">
        <v>115142.18</v>
      </c>
      <c r="AG118" s="79">
        <v>20020.66</v>
      </c>
      <c r="AH118" s="79">
        <v>12073.26</v>
      </c>
      <c r="AI118" s="79">
        <v>64823.199999999997</v>
      </c>
      <c r="AJ118" s="79">
        <v>111620.85</v>
      </c>
      <c r="AV118" s="76" t="s">
        <v>285</v>
      </c>
      <c r="AW118" s="76" t="s">
        <v>10</v>
      </c>
      <c r="AX118" s="33">
        <v>14</v>
      </c>
      <c r="AY118" s="33">
        <v>11</v>
      </c>
      <c r="AZ118" s="33">
        <v>12</v>
      </c>
      <c r="BB118" s="76" t="s">
        <v>285</v>
      </c>
      <c r="BC118" s="76" t="s">
        <v>10</v>
      </c>
      <c r="BD118" s="79">
        <v>1359.13</v>
      </c>
      <c r="BE118" s="79">
        <v>949.15</v>
      </c>
      <c r="BF118" s="79">
        <v>3770.95</v>
      </c>
      <c r="BH118" s="76">
        <v>98221</v>
      </c>
      <c r="BI118" s="76" t="s">
        <v>10</v>
      </c>
      <c r="BJ118" s="79">
        <v>-261.91000000000003</v>
      </c>
      <c r="BK118" s="79">
        <v>-131.62</v>
      </c>
      <c r="BL118" s="79">
        <v>-181.93</v>
      </c>
    </row>
    <row r="119" spans="2:64" x14ac:dyDescent="0.2">
      <c r="B119" s="59">
        <v>98077</v>
      </c>
      <c r="C119" s="38" t="s">
        <v>10</v>
      </c>
      <c r="D119" s="48">
        <v>218</v>
      </c>
      <c r="E119" s="48">
        <v>209</v>
      </c>
      <c r="F119" s="48">
        <v>201</v>
      </c>
      <c r="H119" s="76">
        <v>98077</v>
      </c>
      <c r="I119" s="76" t="s">
        <v>352</v>
      </c>
      <c r="J119" s="79">
        <v>425.12</v>
      </c>
      <c r="K119" s="79">
        <v>423.92</v>
      </c>
      <c r="L119" s="79">
        <v>5729.11</v>
      </c>
      <c r="M119" s="79">
        <v>8731.48</v>
      </c>
      <c r="N119" s="79">
        <v>1627.05</v>
      </c>
      <c r="O119" s="79">
        <v>318.70999999999998</v>
      </c>
      <c r="P119" s="79">
        <v>6002.26</v>
      </c>
      <c r="Q119" s="79">
        <v>10184.879999999999</v>
      </c>
      <c r="R119" s="79">
        <v>636.39</v>
      </c>
      <c r="S119" s="79">
        <v>579.07000000000005</v>
      </c>
      <c r="T119" s="79">
        <v>6320.97</v>
      </c>
      <c r="U119" s="79">
        <v>16155.949999999901</v>
      </c>
      <c r="W119" s="76">
        <v>98239</v>
      </c>
      <c r="X119" s="15" t="s">
        <v>10</v>
      </c>
      <c r="Y119" s="79">
        <v>8406.35</v>
      </c>
      <c r="Z119" s="79">
        <v>5328.63</v>
      </c>
      <c r="AA119" s="79">
        <v>5342.19</v>
      </c>
      <c r="AB119" s="79">
        <v>28477.599999999999</v>
      </c>
      <c r="AC119" s="79">
        <v>4244.34</v>
      </c>
      <c r="AD119" s="79">
        <v>7820.44</v>
      </c>
      <c r="AE119" s="79">
        <v>11635.09</v>
      </c>
      <c r="AF119" s="79">
        <v>28338.59</v>
      </c>
      <c r="AG119" s="79">
        <v>3082.12</v>
      </c>
      <c r="AH119" s="79">
        <v>3700.64</v>
      </c>
      <c r="AI119" s="79">
        <v>14861.62</v>
      </c>
      <c r="AJ119" s="79">
        <v>27471.6699999999</v>
      </c>
      <c r="AV119" s="76" t="s">
        <v>286</v>
      </c>
      <c r="AW119" s="76" t="s">
        <v>352</v>
      </c>
      <c r="AX119" s="33"/>
      <c r="AY119" s="33">
        <v>1</v>
      </c>
      <c r="AZ119" s="33">
        <v>1</v>
      </c>
      <c r="BB119" s="76" t="s">
        <v>286</v>
      </c>
      <c r="BC119" s="76" t="s">
        <v>352</v>
      </c>
      <c r="BD119" s="79"/>
      <c r="BE119" s="79">
        <v>836.34</v>
      </c>
      <c r="BF119" s="79"/>
      <c r="BH119" s="76">
        <v>98223</v>
      </c>
      <c r="BI119" s="76" t="s">
        <v>10</v>
      </c>
      <c r="BJ119" s="79">
        <v>-42.1</v>
      </c>
      <c r="BK119" s="79"/>
      <c r="BL119" s="79"/>
    </row>
    <row r="120" spans="2:64" x14ac:dyDescent="0.2">
      <c r="B120" s="86">
        <v>98087</v>
      </c>
      <c r="C120" s="38" t="s">
        <v>352</v>
      </c>
      <c r="D120" s="48">
        <v>22</v>
      </c>
      <c r="E120" s="48">
        <v>29</v>
      </c>
      <c r="F120" s="48">
        <v>17</v>
      </c>
      <c r="H120" s="76">
        <v>98077</v>
      </c>
      <c r="I120" s="76" t="s">
        <v>10</v>
      </c>
      <c r="J120" s="79">
        <v>49851.46</v>
      </c>
      <c r="K120" s="79">
        <v>39633.18</v>
      </c>
      <c r="L120" s="79">
        <v>78471.489999999903</v>
      </c>
      <c r="M120" s="79">
        <v>228471.31</v>
      </c>
      <c r="N120" s="79">
        <v>34732.89</v>
      </c>
      <c r="O120" s="79">
        <v>20895.759999999998</v>
      </c>
      <c r="P120" s="79">
        <v>90216.34</v>
      </c>
      <c r="Q120" s="79">
        <v>198056.52</v>
      </c>
      <c r="R120" s="79">
        <v>25879.919999999998</v>
      </c>
      <c r="S120" s="79">
        <v>24350.9</v>
      </c>
      <c r="T120" s="79">
        <v>81317.709999999905</v>
      </c>
      <c r="U120" s="79">
        <v>172104.18</v>
      </c>
      <c r="W120" s="76">
        <v>98240</v>
      </c>
      <c r="X120" s="15" t="s">
        <v>10</v>
      </c>
      <c r="Y120" s="79">
        <v>4707.7299999999996</v>
      </c>
      <c r="Z120" s="79">
        <v>3835.16</v>
      </c>
      <c r="AA120" s="79">
        <v>5678.68</v>
      </c>
      <c r="AB120" s="79">
        <v>19752.18</v>
      </c>
      <c r="AC120" s="79">
        <v>3416.12</v>
      </c>
      <c r="AD120" s="79">
        <v>3855</v>
      </c>
      <c r="AE120" s="79">
        <v>6866.8599999999897</v>
      </c>
      <c r="AF120" s="79">
        <v>19052.57</v>
      </c>
      <c r="AG120" s="79">
        <v>3195.43</v>
      </c>
      <c r="AH120" s="79">
        <v>2556.09</v>
      </c>
      <c r="AI120" s="79">
        <v>6448.1299999999901</v>
      </c>
      <c r="AJ120" s="79">
        <v>15575.46</v>
      </c>
      <c r="AV120" s="76" t="s">
        <v>286</v>
      </c>
      <c r="AW120" s="76" t="s">
        <v>10</v>
      </c>
      <c r="AX120" s="33">
        <v>2</v>
      </c>
      <c r="AY120" s="33">
        <v>3</v>
      </c>
      <c r="AZ120" s="33"/>
      <c r="BB120" s="76" t="s">
        <v>286</v>
      </c>
      <c r="BC120" s="76" t="s">
        <v>10</v>
      </c>
      <c r="BD120" s="79">
        <v>179.44</v>
      </c>
      <c r="BE120" s="79">
        <v>409.62</v>
      </c>
      <c r="BF120" s="79"/>
      <c r="BH120" s="76">
        <v>98225</v>
      </c>
      <c r="BI120" s="76" t="s">
        <v>352</v>
      </c>
      <c r="BJ120" s="79"/>
      <c r="BK120" s="79"/>
      <c r="BL120" s="79">
        <v>-359.06</v>
      </c>
    </row>
    <row r="121" spans="2:64" x14ac:dyDescent="0.2">
      <c r="B121" s="59">
        <v>98087</v>
      </c>
      <c r="C121" s="38" t="s">
        <v>10</v>
      </c>
      <c r="D121" s="48">
        <v>848</v>
      </c>
      <c r="E121" s="48">
        <v>846</v>
      </c>
      <c r="F121" s="48">
        <v>823</v>
      </c>
      <c r="H121" s="76">
        <v>98087</v>
      </c>
      <c r="I121" s="76" t="s">
        <v>352</v>
      </c>
      <c r="J121" s="79">
        <v>1817.94</v>
      </c>
      <c r="K121" s="79">
        <v>2187.7199999999998</v>
      </c>
      <c r="L121" s="79">
        <v>9668.7099999999991</v>
      </c>
      <c r="M121" s="79">
        <v>22698.080000000002</v>
      </c>
      <c r="N121" s="79">
        <v>1496.25</v>
      </c>
      <c r="O121" s="79">
        <v>1291.6600000000001</v>
      </c>
      <c r="P121" s="79">
        <v>10603.79</v>
      </c>
      <c r="Q121" s="79">
        <v>17941.949999999899</v>
      </c>
      <c r="R121" s="79">
        <v>1097.71</v>
      </c>
      <c r="S121" s="79">
        <v>1170.08</v>
      </c>
      <c r="T121" s="79">
        <v>10000.73</v>
      </c>
      <c r="U121" s="79">
        <v>16565.21</v>
      </c>
      <c r="W121" s="76">
        <v>98244</v>
      </c>
      <c r="X121" s="15" t="s">
        <v>10</v>
      </c>
      <c r="Y121" s="79">
        <v>5243.79</v>
      </c>
      <c r="Z121" s="79">
        <v>13169.06</v>
      </c>
      <c r="AA121" s="79">
        <v>25231.77</v>
      </c>
      <c r="AB121" s="79">
        <v>60406.78</v>
      </c>
      <c r="AC121" s="79">
        <v>12505.87</v>
      </c>
      <c r="AD121" s="79">
        <v>3272.76</v>
      </c>
      <c r="AE121" s="79">
        <v>31099.09</v>
      </c>
      <c r="AF121" s="79">
        <v>53697.32</v>
      </c>
      <c r="AG121" s="79">
        <v>4065.6</v>
      </c>
      <c r="AH121" s="79">
        <v>8108.18</v>
      </c>
      <c r="AI121" s="79">
        <v>26102.19</v>
      </c>
      <c r="AJ121" s="79">
        <v>50699.13</v>
      </c>
      <c r="AV121" s="76" t="s">
        <v>287</v>
      </c>
      <c r="AW121" s="76" t="s">
        <v>352</v>
      </c>
      <c r="AX121" s="33">
        <v>2</v>
      </c>
      <c r="AY121" s="33">
        <v>2</v>
      </c>
      <c r="AZ121" s="33"/>
      <c r="BB121" s="76" t="s">
        <v>287</v>
      </c>
      <c r="BC121" s="76" t="s">
        <v>352</v>
      </c>
      <c r="BD121" s="79">
        <v>136.25</v>
      </c>
      <c r="BE121" s="79"/>
      <c r="BF121" s="79"/>
      <c r="BH121" s="76">
        <v>98225</v>
      </c>
      <c r="BI121" s="76" t="s">
        <v>10</v>
      </c>
      <c r="BJ121" s="79">
        <v>-1805.19</v>
      </c>
      <c r="BK121" s="79">
        <v>-1756.61</v>
      </c>
      <c r="BL121" s="79">
        <v>-1062.45</v>
      </c>
    </row>
    <row r="122" spans="2:64" x14ac:dyDescent="0.2">
      <c r="B122" s="86">
        <v>98092</v>
      </c>
      <c r="C122" s="38" t="s">
        <v>352</v>
      </c>
      <c r="D122" s="48">
        <v>242</v>
      </c>
      <c r="E122" s="48">
        <v>218</v>
      </c>
      <c r="F122" s="48">
        <v>266</v>
      </c>
      <c r="H122" s="76">
        <v>98087</v>
      </c>
      <c r="I122" s="76" t="s">
        <v>10</v>
      </c>
      <c r="J122" s="79">
        <v>41467.89</v>
      </c>
      <c r="K122" s="79">
        <v>38419.089999999997</v>
      </c>
      <c r="L122" s="79">
        <v>85227.839999999895</v>
      </c>
      <c r="M122" s="79">
        <v>238350.359999999</v>
      </c>
      <c r="N122" s="79">
        <v>38571.42</v>
      </c>
      <c r="O122" s="79">
        <v>28315.040000000001</v>
      </c>
      <c r="P122" s="79">
        <v>102543.09</v>
      </c>
      <c r="Q122" s="79">
        <v>233023.15999999901</v>
      </c>
      <c r="R122" s="79">
        <v>35851.730000000003</v>
      </c>
      <c r="S122" s="79">
        <v>28569.72</v>
      </c>
      <c r="T122" s="79">
        <v>111426.33</v>
      </c>
      <c r="U122" s="79">
        <v>223383.12</v>
      </c>
      <c r="W122" s="76">
        <v>98247</v>
      </c>
      <c r="X122" s="15" t="s">
        <v>10</v>
      </c>
      <c r="Y122" s="79">
        <v>11843.35</v>
      </c>
      <c r="Z122" s="79">
        <v>9673.3799999999992</v>
      </c>
      <c r="AA122" s="79">
        <v>26736.929999999898</v>
      </c>
      <c r="AB122" s="79">
        <v>61441.3999999999</v>
      </c>
      <c r="AC122" s="79">
        <v>9232.57</v>
      </c>
      <c r="AD122" s="79">
        <v>7537.8</v>
      </c>
      <c r="AE122" s="79">
        <v>30053.34</v>
      </c>
      <c r="AF122" s="79">
        <v>56943.11</v>
      </c>
      <c r="AG122" s="79">
        <v>6280.43</v>
      </c>
      <c r="AH122" s="79">
        <v>6246.31</v>
      </c>
      <c r="AI122" s="79">
        <v>31910.09</v>
      </c>
      <c r="AJ122" s="79">
        <v>51328.14</v>
      </c>
      <c r="AV122" s="76" t="s">
        <v>287</v>
      </c>
      <c r="AW122" s="76" t="s">
        <v>10</v>
      </c>
      <c r="AX122" s="33">
        <v>6</v>
      </c>
      <c r="AY122" s="33">
        <v>12</v>
      </c>
      <c r="AZ122" s="33">
        <v>4</v>
      </c>
      <c r="BB122" s="76" t="s">
        <v>287</v>
      </c>
      <c r="BC122" s="76" t="s">
        <v>10</v>
      </c>
      <c r="BD122" s="79">
        <v>3179.28</v>
      </c>
      <c r="BE122" s="79">
        <v>3338.95</v>
      </c>
      <c r="BF122" s="79">
        <v>363.64</v>
      </c>
      <c r="BH122" s="76">
        <v>98226</v>
      </c>
      <c r="BI122" s="76" t="s">
        <v>352</v>
      </c>
      <c r="BJ122" s="79">
        <v>-400.08</v>
      </c>
      <c r="BK122" s="79"/>
      <c r="BL122" s="79"/>
    </row>
    <row r="123" spans="2:64" x14ac:dyDescent="0.2">
      <c r="B123" s="59">
        <v>98092</v>
      </c>
      <c r="C123" s="38" t="s">
        <v>10</v>
      </c>
      <c r="D123" s="48">
        <v>4307</v>
      </c>
      <c r="E123" s="48">
        <v>3452</v>
      </c>
      <c r="F123" s="48">
        <v>3590</v>
      </c>
      <c r="H123" s="76">
        <v>98092</v>
      </c>
      <c r="I123" s="76" t="s">
        <v>352</v>
      </c>
      <c r="J123" s="79">
        <v>13179.82</v>
      </c>
      <c r="K123" s="79">
        <v>4196.28</v>
      </c>
      <c r="L123" s="79">
        <v>27685.07</v>
      </c>
      <c r="M123" s="79">
        <v>139647.139999999</v>
      </c>
      <c r="N123" s="79">
        <v>44050.18</v>
      </c>
      <c r="O123" s="79">
        <v>6351.51</v>
      </c>
      <c r="P123" s="79">
        <v>29880.05</v>
      </c>
      <c r="Q123" s="79">
        <v>146890.84999999899</v>
      </c>
      <c r="R123" s="79">
        <v>23770.06</v>
      </c>
      <c r="S123" s="79">
        <v>24231.439999999999</v>
      </c>
      <c r="T123" s="79">
        <v>33206.47</v>
      </c>
      <c r="U123" s="79">
        <v>221003.34999999899</v>
      </c>
      <c r="W123" s="76">
        <v>98248</v>
      </c>
      <c r="X123" s="15" t="s">
        <v>10</v>
      </c>
      <c r="Y123" s="79">
        <v>48378.69</v>
      </c>
      <c r="Z123" s="79">
        <v>34062.94</v>
      </c>
      <c r="AA123" s="79">
        <v>57562.720000000001</v>
      </c>
      <c r="AB123" s="79">
        <v>199008.99</v>
      </c>
      <c r="AC123" s="79">
        <v>45239.96</v>
      </c>
      <c r="AD123" s="79">
        <v>36346.230000000003</v>
      </c>
      <c r="AE123" s="79">
        <v>85585.47</v>
      </c>
      <c r="AF123" s="79">
        <v>202925.859999999</v>
      </c>
      <c r="AG123" s="79">
        <v>25618.77</v>
      </c>
      <c r="AH123" s="79">
        <v>32794.589999999997</v>
      </c>
      <c r="AI123" s="79">
        <v>82229.919999999998</v>
      </c>
      <c r="AJ123" s="79">
        <v>175015.14</v>
      </c>
      <c r="AV123" s="76" t="s">
        <v>288</v>
      </c>
      <c r="AW123" s="76" t="s">
        <v>352</v>
      </c>
      <c r="AX123" s="33">
        <v>2</v>
      </c>
      <c r="AY123" s="33"/>
      <c r="AZ123" s="33"/>
      <c r="BB123" s="76" t="s">
        <v>288</v>
      </c>
      <c r="BC123" s="76" t="s">
        <v>352</v>
      </c>
      <c r="BD123" s="79">
        <v>1127.44</v>
      </c>
      <c r="BE123" s="79"/>
      <c r="BF123" s="79"/>
      <c r="BH123" s="76">
        <v>98226</v>
      </c>
      <c r="BI123" s="76" t="s">
        <v>10</v>
      </c>
      <c r="BJ123" s="79">
        <v>-425.92</v>
      </c>
      <c r="BK123" s="79">
        <v>-736.13</v>
      </c>
      <c r="BL123" s="79">
        <v>-757.15</v>
      </c>
    </row>
    <row r="124" spans="2:64" x14ac:dyDescent="0.2">
      <c r="B124" s="86">
        <v>98101</v>
      </c>
      <c r="C124" s="38" t="s">
        <v>352</v>
      </c>
      <c r="D124" s="48">
        <v>61</v>
      </c>
      <c r="E124" s="48">
        <v>56</v>
      </c>
      <c r="F124" s="48">
        <v>51</v>
      </c>
      <c r="H124" s="76">
        <v>98092</v>
      </c>
      <c r="I124" s="76" t="s">
        <v>10</v>
      </c>
      <c r="J124" s="79">
        <v>410209.94</v>
      </c>
      <c r="K124" s="79">
        <v>253105.56</v>
      </c>
      <c r="L124" s="79">
        <v>862635.42000000097</v>
      </c>
      <c r="M124" s="79">
        <v>2215730.7599999998</v>
      </c>
      <c r="N124" s="79">
        <v>329019.11</v>
      </c>
      <c r="O124" s="79">
        <v>257653.97</v>
      </c>
      <c r="P124" s="79">
        <v>1039361.78</v>
      </c>
      <c r="Q124" s="79">
        <v>2065513.47999999</v>
      </c>
      <c r="R124" s="79">
        <v>229982.32</v>
      </c>
      <c r="S124" s="79">
        <v>240279.03</v>
      </c>
      <c r="T124" s="79">
        <v>1107280.98</v>
      </c>
      <c r="U124" s="79">
        <v>2003791.72999999</v>
      </c>
      <c r="W124" s="76">
        <v>98249</v>
      </c>
      <c r="X124" s="15" t="s">
        <v>10</v>
      </c>
      <c r="Y124" s="79">
        <v>6622.68</v>
      </c>
      <c r="Z124" s="79">
        <v>7127.89</v>
      </c>
      <c r="AA124" s="79">
        <v>10165.0099999999</v>
      </c>
      <c r="AB124" s="79">
        <v>32516.51</v>
      </c>
      <c r="AC124" s="79">
        <v>6610.67</v>
      </c>
      <c r="AD124" s="79">
        <v>4193.4799999999996</v>
      </c>
      <c r="AE124" s="79">
        <v>13882.29</v>
      </c>
      <c r="AF124" s="79">
        <v>32497.47</v>
      </c>
      <c r="AG124" s="79">
        <v>6609.97</v>
      </c>
      <c r="AH124" s="79">
        <v>6143.98</v>
      </c>
      <c r="AI124" s="79">
        <v>16574.04</v>
      </c>
      <c r="AJ124" s="79">
        <v>35715.589999999997</v>
      </c>
      <c r="AV124" s="76" t="s">
        <v>288</v>
      </c>
      <c r="AW124" s="76" t="s">
        <v>10</v>
      </c>
      <c r="AX124" s="33">
        <v>10</v>
      </c>
      <c r="AY124" s="33">
        <v>9</v>
      </c>
      <c r="AZ124" s="33">
        <v>6</v>
      </c>
      <c r="BB124" s="76" t="s">
        <v>288</v>
      </c>
      <c r="BC124" s="76" t="s">
        <v>10</v>
      </c>
      <c r="BD124" s="79">
        <v>2885.44</v>
      </c>
      <c r="BE124" s="79">
        <v>4039.16</v>
      </c>
      <c r="BF124" s="79">
        <v>813.63</v>
      </c>
      <c r="BH124" s="76">
        <v>98229</v>
      </c>
      <c r="BI124" s="76" t="s">
        <v>352</v>
      </c>
      <c r="BJ124" s="79"/>
      <c r="BK124" s="79"/>
      <c r="BL124" s="79">
        <v>-412.58</v>
      </c>
    </row>
    <row r="125" spans="2:64" x14ac:dyDescent="0.2">
      <c r="B125" s="59">
        <v>98101</v>
      </c>
      <c r="C125" s="38" t="s">
        <v>10</v>
      </c>
      <c r="D125" s="48">
        <v>44</v>
      </c>
      <c r="E125" s="48">
        <v>44</v>
      </c>
      <c r="F125" s="48">
        <v>41</v>
      </c>
      <c r="H125" s="76">
        <v>98101</v>
      </c>
      <c r="I125" s="76" t="s">
        <v>352</v>
      </c>
      <c r="J125" s="79">
        <v>17226.53</v>
      </c>
      <c r="K125" s="79">
        <v>3361.95</v>
      </c>
      <c r="L125" s="79">
        <v>31704.42</v>
      </c>
      <c r="M125" s="79">
        <v>131003.569999999</v>
      </c>
      <c r="N125" s="79">
        <v>31547.49</v>
      </c>
      <c r="O125" s="79">
        <v>14747.03</v>
      </c>
      <c r="P125" s="79">
        <v>26409.47</v>
      </c>
      <c r="Q125" s="79">
        <v>158730.02999999901</v>
      </c>
      <c r="R125" s="79">
        <v>11519.86</v>
      </c>
      <c r="S125" s="79">
        <v>3673.29</v>
      </c>
      <c r="T125" s="79">
        <v>9504.76</v>
      </c>
      <c r="U125" s="79">
        <v>71969.61</v>
      </c>
      <c r="W125" s="76">
        <v>98251</v>
      </c>
      <c r="X125" s="15" t="s">
        <v>10</v>
      </c>
      <c r="Y125" s="79">
        <v>1042.77</v>
      </c>
      <c r="Z125" s="79">
        <v>553.41999999999996</v>
      </c>
      <c r="AA125" s="79">
        <v>381.51</v>
      </c>
      <c r="AB125" s="79">
        <v>2392.63</v>
      </c>
      <c r="AC125" s="79">
        <v>212.61</v>
      </c>
      <c r="AD125" s="79">
        <v>219.45</v>
      </c>
      <c r="AE125" s="79">
        <v>447.86</v>
      </c>
      <c r="AF125" s="79">
        <v>879.92</v>
      </c>
      <c r="AG125" s="79"/>
      <c r="AH125" s="79">
        <v>212.61</v>
      </c>
      <c r="AI125" s="79">
        <v>164.42</v>
      </c>
      <c r="AJ125" s="79">
        <v>728.43</v>
      </c>
      <c r="AV125" s="76" t="s">
        <v>289</v>
      </c>
      <c r="AW125" s="76" t="s">
        <v>352</v>
      </c>
      <c r="AX125" s="33">
        <v>1</v>
      </c>
      <c r="AY125" s="33">
        <v>1</v>
      </c>
      <c r="AZ125" s="33"/>
      <c r="BB125" s="76" t="s">
        <v>289</v>
      </c>
      <c r="BC125" s="76" t="s">
        <v>352</v>
      </c>
      <c r="BD125" s="79"/>
      <c r="BE125" s="79">
        <v>869.8</v>
      </c>
      <c r="BF125" s="79"/>
      <c r="BH125" s="76">
        <v>98229</v>
      </c>
      <c r="BI125" s="76" t="s">
        <v>10</v>
      </c>
      <c r="BJ125" s="79">
        <v>-1100.73</v>
      </c>
      <c r="BK125" s="79">
        <v>-469.64</v>
      </c>
      <c r="BL125" s="79">
        <v>-678.5</v>
      </c>
    </row>
    <row r="126" spans="2:64" x14ac:dyDescent="0.2">
      <c r="B126" s="86">
        <v>98102</v>
      </c>
      <c r="C126" s="38" t="s">
        <v>352</v>
      </c>
      <c r="D126" s="48">
        <v>105</v>
      </c>
      <c r="E126" s="48">
        <v>101</v>
      </c>
      <c r="F126" s="48">
        <v>102</v>
      </c>
      <c r="H126" s="76">
        <v>98101</v>
      </c>
      <c r="I126" s="76" t="s">
        <v>10</v>
      </c>
      <c r="J126" s="79">
        <v>559.19000000000005</v>
      </c>
      <c r="K126" s="79">
        <v>550.94000000000005</v>
      </c>
      <c r="L126" s="79">
        <v>2699.02</v>
      </c>
      <c r="M126" s="79">
        <v>4778.4799999999996</v>
      </c>
      <c r="N126" s="79">
        <v>724.84</v>
      </c>
      <c r="O126" s="79">
        <v>439.52</v>
      </c>
      <c r="P126" s="79">
        <v>3012.70999999999</v>
      </c>
      <c r="Q126" s="79">
        <v>7564.7199999999903</v>
      </c>
      <c r="R126" s="79">
        <v>502.23</v>
      </c>
      <c r="S126" s="79">
        <v>604.29999999999995</v>
      </c>
      <c r="T126" s="79">
        <v>2886.22</v>
      </c>
      <c r="U126" s="79">
        <v>5295.08</v>
      </c>
      <c r="W126" s="76">
        <v>98252</v>
      </c>
      <c r="X126" s="15" t="s">
        <v>10</v>
      </c>
      <c r="Y126" s="79">
        <v>1279.02</v>
      </c>
      <c r="Z126" s="79">
        <v>1066.94</v>
      </c>
      <c r="AA126" s="79">
        <v>3291.1899999999901</v>
      </c>
      <c r="AB126" s="79">
        <v>7203.05</v>
      </c>
      <c r="AC126" s="79">
        <v>1410.33</v>
      </c>
      <c r="AD126" s="79">
        <v>1014.96</v>
      </c>
      <c r="AE126" s="79">
        <v>3297.6899999999901</v>
      </c>
      <c r="AF126" s="79">
        <v>7112.33</v>
      </c>
      <c r="AG126" s="79">
        <v>830.17</v>
      </c>
      <c r="AH126" s="79">
        <v>726.82</v>
      </c>
      <c r="AI126" s="79">
        <v>2363.7399999999998</v>
      </c>
      <c r="AJ126" s="79">
        <v>4820.3999999999996</v>
      </c>
      <c r="AV126" s="76" t="s">
        <v>289</v>
      </c>
      <c r="AW126" s="76" t="s">
        <v>10</v>
      </c>
      <c r="AX126" s="33">
        <v>9</v>
      </c>
      <c r="AY126" s="33">
        <v>5</v>
      </c>
      <c r="AZ126" s="33">
        <v>8</v>
      </c>
      <c r="BB126" s="76" t="s">
        <v>289</v>
      </c>
      <c r="BC126" s="76" t="s">
        <v>10</v>
      </c>
      <c r="BD126" s="79">
        <v>1621.32</v>
      </c>
      <c r="BE126" s="79">
        <v>635.05999999999995</v>
      </c>
      <c r="BF126" s="79">
        <v>1146.8800000000001</v>
      </c>
      <c r="BH126" s="76">
        <v>98230</v>
      </c>
      <c r="BI126" s="76" t="s">
        <v>10</v>
      </c>
      <c r="BJ126" s="79"/>
      <c r="BK126" s="79"/>
      <c r="BL126" s="79">
        <v>-434.14</v>
      </c>
    </row>
    <row r="127" spans="2:64" x14ac:dyDescent="0.2">
      <c r="B127" s="59">
        <v>98102</v>
      </c>
      <c r="C127" s="38" t="s">
        <v>10</v>
      </c>
      <c r="D127" s="48">
        <v>653</v>
      </c>
      <c r="E127" s="48">
        <v>659</v>
      </c>
      <c r="F127" s="48">
        <v>653</v>
      </c>
      <c r="H127" s="76">
        <v>98102</v>
      </c>
      <c r="I127" s="76" t="s">
        <v>352</v>
      </c>
      <c r="J127" s="79">
        <v>13066.21</v>
      </c>
      <c r="K127" s="79">
        <v>7924.33</v>
      </c>
      <c r="L127" s="79">
        <v>42226.619999999901</v>
      </c>
      <c r="M127" s="79">
        <v>146745.85</v>
      </c>
      <c r="N127" s="79">
        <v>21443.83</v>
      </c>
      <c r="O127" s="79">
        <v>6497</v>
      </c>
      <c r="P127" s="79">
        <v>47162.709999999897</v>
      </c>
      <c r="Q127" s="79">
        <v>131813.98000000001</v>
      </c>
      <c r="R127" s="79">
        <v>12430.3</v>
      </c>
      <c r="S127" s="79">
        <v>7631.71</v>
      </c>
      <c r="T127" s="79">
        <v>51436.369999999901</v>
      </c>
      <c r="U127" s="79">
        <v>122567.94999999899</v>
      </c>
      <c r="W127" s="76">
        <v>98253</v>
      </c>
      <c r="X127" s="15" t="s">
        <v>10</v>
      </c>
      <c r="Y127" s="79">
        <v>364.61</v>
      </c>
      <c r="Z127" s="79">
        <v>1603.22</v>
      </c>
      <c r="AA127" s="79">
        <v>193.83</v>
      </c>
      <c r="AB127" s="79">
        <v>4550.6099999999997</v>
      </c>
      <c r="AC127" s="79">
        <v>2095.88</v>
      </c>
      <c r="AD127" s="79">
        <v>232.55</v>
      </c>
      <c r="AE127" s="79">
        <v>1202.8499999999999</v>
      </c>
      <c r="AF127" s="79">
        <v>4313.53</v>
      </c>
      <c r="AG127" s="79">
        <v>782.25</v>
      </c>
      <c r="AH127" s="79">
        <v>2095.88</v>
      </c>
      <c r="AI127" s="79">
        <v>1435.3999999999901</v>
      </c>
      <c r="AJ127" s="79">
        <v>6202.7</v>
      </c>
      <c r="AV127" s="76" t="s">
        <v>290</v>
      </c>
      <c r="AW127" s="76" t="s">
        <v>352</v>
      </c>
      <c r="AX127" s="33"/>
      <c r="AY127" s="33">
        <v>1</v>
      </c>
      <c r="AZ127" s="33">
        <v>3</v>
      </c>
      <c r="BB127" s="76" t="s">
        <v>290</v>
      </c>
      <c r="BC127" s="76" t="s">
        <v>352</v>
      </c>
      <c r="BD127" s="79"/>
      <c r="BE127" s="79">
        <v>62.8</v>
      </c>
      <c r="BF127" s="79">
        <v>1993.29</v>
      </c>
      <c r="BH127" s="76">
        <v>98233</v>
      </c>
      <c r="BI127" s="76" t="s">
        <v>10</v>
      </c>
      <c r="BJ127" s="79">
        <v>-28.9</v>
      </c>
      <c r="BK127" s="79">
        <v>-53</v>
      </c>
      <c r="BL127" s="79">
        <v>-237.25</v>
      </c>
    </row>
    <row r="128" spans="2:64" x14ac:dyDescent="0.2">
      <c r="B128" s="86">
        <v>98103</v>
      </c>
      <c r="C128" s="38" t="s">
        <v>352</v>
      </c>
      <c r="D128" s="48">
        <v>108</v>
      </c>
      <c r="E128" s="48">
        <v>106</v>
      </c>
      <c r="F128" s="48">
        <v>81</v>
      </c>
      <c r="H128" s="76">
        <v>98102</v>
      </c>
      <c r="I128" s="76" t="s">
        <v>10</v>
      </c>
      <c r="J128" s="79">
        <v>24676.23</v>
      </c>
      <c r="K128" s="79">
        <v>17131.830000000002</v>
      </c>
      <c r="L128" s="79">
        <v>35430.26</v>
      </c>
      <c r="M128" s="79">
        <v>134251.16999999899</v>
      </c>
      <c r="N128" s="79">
        <v>29557.15</v>
      </c>
      <c r="O128" s="79">
        <v>15475.57</v>
      </c>
      <c r="P128" s="79">
        <v>43782.71</v>
      </c>
      <c r="Q128" s="79">
        <v>124243.30999999899</v>
      </c>
      <c r="R128" s="79">
        <v>17579.36</v>
      </c>
      <c r="S128" s="79">
        <v>20246.75</v>
      </c>
      <c r="T128" s="79">
        <v>48985.889999999898</v>
      </c>
      <c r="U128" s="79">
        <v>113145.11</v>
      </c>
      <c r="W128" s="76">
        <v>98255</v>
      </c>
      <c r="X128" s="15" t="s">
        <v>10</v>
      </c>
      <c r="Y128" s="79">
        <v>3441.59</v>
      </c>
      <c r="Z128" s="79"/>
      <c r="AA128" s="79">
        <v>1737.77</v>
      </c>
      <c r="AB128" s="79">
        <v>5179.3599999999997</v>
      </c>
      <c r="AC128" s="79"/>
      <c r="AD128" s="79">
        <v>2271.33</v>
      </c>
      <c r="AE128" s="79">
        <v>1437.77</v>
      </c>
      <c r="AF128" s="79">
        <v>8684.25</v>
      </c>
      <c r="AG128" s="79">
        <v>4463.51</v>
      </c>
      <c r="AH128" s="79"/>
      <c r="AI128" s="79">
        <v>2636.2799999999902</v>
      </c>
      <c r="AJ128" s="79">
        <v>7099.79</v>
      </c>
      <c r="AV128" s="76" t="s">
        <v>290</v>
      </c>
      <c r="AW128" s="76" t="s">
        <v>10</v>
      </c>
      <c r="AX128" s="33">
        <v>7</v>
      </c>
      <c r="AY128" s="33">
        <v>8</v>
      </c>
      <c r="AZ128" s="33">
        <v>8</v>
      </c>
      <c r="BB128" s="76" t="s">
        <v>290</v>
      </c>
      <c r="BC128" s="76" t="s">
        <v>10</v>
      </c>
      <c r="BD128" s="79">
        <v>290.74</v>
      </c>
      <c r="BE128" s="79">
        <v>1561.92</v>
      </c>
      <c r="BF128" s="79">
        <v>4349.21</v>
      </c>
      <c r="BH128" s="76">
        <v>98236</v>
      </c>
      <c r="BI128" s="76" t="s">
        <v>10</v>
      </c>
      <c r="BJ128" s="79"/>
      <c r="BK128" s="79">
        <v>-41.31</v>
      </c>
      <c r="BL128" s="79"/>
    </row>
    <row r="129" spans="2:64" x14ac:dyDescent="0.2">
      <c r="B129" s="59">
        <v>98103</v>
      </c>
      <c r="C129" s="38" t="s">
        <v>10</v>
      </c>
      <c r="D129" s="48">
        <v>1136</v>
      </c>
      <c r="E129" s="48">
        <v>1106</v>
      </c>
      <c r="F129" s="48">
        <v>1110</v>
      </c>
      <c r="H129" s="76">
        <v>98103</v>
      </c>
      <c r="I129" s="76" t="s">
        <v>352</v>
      </c>
      <c r="J129" s="79">
        <v>9633.65</v>
      </c>
      <c r="K129" s="79">
        <v>6663.17</v>
      </c>
      <c r="L129" s="79">
        <v>38703.75</v>
      </c>
      <c r="M129" s="79">
        <v>114115.76</v>
      </c>
      <c r="N129" s="79">
        <v>10037.450000000001</v>
      </c>
      <c r="O129" s="79">
        <v>5688.67</v>
      </c>
      <c r="P129" s="79">
        <v>43433.679999999898</v>
      </c>
      <c r="Q129" s="79">
        <v>138177.63</v>
      </c>
      <c r="R129" s="79">
        <v>15609.2</v>
      </c>
      <c r="S129" s="79">
        <v>5735.18</v>
      </c>
      <c r="T129" s="79">
        <v>46129.279999999999</v>
      </c>
      <c r="U129" s="79">
        <v>98952.639999999999</v>
      </c>
      <c r="W129" s="76">
        <v>98257</v>
      </c>
      <c r="X129" s="15" t="s">
        <v>10</v>
      </c>
      <c r="Y129" s="79">
        <v>12058.1</v>
      </c>
      <c r="Z129" s="79">
        <v>10255.25</v>
      </c>
      <c r="AA129" s="79">
        <v>21426.98</v>
      </c>
      <c r="AB129" s="79">
        <v>60005.19</v>
      </c>
      <c r="AC129" s="79">
        <v>12556.91</v>
      </c>
      <c r="AD129" s="79">
        <v>10895.68</v>
      </c>
      <c r="AE129" s="79">
        <v>27617.25</v>
      </c>
      <c r="AF129" s="79">
        <v>65746.58</v>
      </c>
      <c r="AG129" s="79">
        <v>11258.27</v>
      </c>
      <c r="AH129" s="79">
        <v>10305.540000000001</v>
      </c>
      <c r="AI129" s="79">
        <v>31110.2</v>
      </c>
      <c r="AJ129" s="79">
        <v>63610.25</v>
      </c>
      <c r="AV129" s="76" t="s">
        <v>291</v>
      </c>
      <c r="AW129" s="76" t="s">
        <v>352</v>
      </c>
      <c r="AX129" s="33">
        <v>1</v>
      </c>
      <c r="AY129" s="33">
        <v>1</v>
      </c>
      <c r="AZ129" s="33">
        <v>2</v>
      </c>
      <c r="BB129" s="76" t="s">
        <v>291</v>
      </c>
      <c r="BC129" s="76" t="s">
        <v>352</v>
      </c>
      <c r="BD129" s="79"/>
      <c r="BE129" s="79">
        <v>278.37</v>
      </c>
      <c r="BF129" s="79">
        <v>934.36</v>
      </c>
      <c r="BH129" s="76">
        <v>98237</v>
      </c>
      <c r="BI129" s="76" t="s">
        <v>10</v>
      </c>
      <c r="BJ129" s="79">
        <v>-169.99</v>
      </c>
      <c r="BK129" s="79">
        <v>-169.99</v>
      </c>
      <c r="BL129" s="79">
        <v>-50</v>
      </c>
    </row>
    <row r="130" spans="2:64" x14ac:dyDescent="0.2">
      <c r="B130" s="86">
        <v>98104</v>
      </c>
      <c r="C130" s="38" t="s">
        <v>352</v>
      </c>
      <c r="D130" s="48">
        <v>87</v>
      </c>
      <c r="E130" s="48">
        <v>90</v>
      </c>
      <c r="F130" s="48">
        <v>71</v>
      </c>
      <c r="H130" s="76">
        <v>98103</v>
      </c>
      <c r="I130" s="76" t="s">
        <v>10</v>
      </c>
      <c r="J130" s="79">
        <v>53461.29</v>
      </c>
      <c r="K130" s="79">
        <v>39553</v>
      </c>
      <c r="L130" s="79">
        <v>91675.29</v>
      </c>
      <c r="M130" s="79">
        <v>282694.84999999998</v>
      </c>
      <c r="N130" s="79">
        <v>57321.04</v>
      </c>
      <c r="O130" s="79">
        <v>36670.49</v>
      </c>
      <c r="P130" s="79">
        <v>112062.9</v>
      </c>
      <c r="Q130" s="79">
        <v>276567.3</v>
      </c>
      <c r="R130" s="79">
        <v>41768.339999999997</v>
      </c>
      <c r="S130" s="79">
        <v>41623.71</v>
      </c>
      <c r="T130" s="79">
        <v>125823.92</v>
      </c>
      <c r="U130" s="79">
        <v>267914.21000000002</v>
      </c>
      <c r="W130" s="76">
        <v>98258</v>
      </c>
      <c r="X130" s="15" t="s">
        <v>10</v>
      </c>
      <c r="Y130" s="79">
        <v>5157.88</v>
      </c>
      <c r="Z130" s="79">
        <v>4362.3599999999997</v>
      </c>
      <c r="AA130" s="79">
        <v>14563.7</v>
      </c>
      <c r="AB130" s="79">
        <v>30712.720000000001</v>
      </c>
      <c r="AC130" s="79">
        <v>4658.62</v>
      </c>
      <c r="AD130" s="79">
        <v>3902.19</v>
      </c>
      <c r="AE130" s="79">
        <v>15363.47</v>
      </c>
      <c r="AF130" s="79">
        <v>29368.09</v>
      </c>
      <c r="AG130" s="79">
        <v>3353.53</v>
      </c>
      <c r="AH130" s="79">
        <v>3351.69</v>
      </c>
      <c r="AI130" s="79">
        <v>11865.65</v>
      </c>
      <c r="AJ130" s="79">
        <v>21736.42</v>
      </c>
      <c r="AV130" s="76" t="s">
        <v>291</v>
      </c>
      <c r="AW130" s="76" t="s">
        <v>10</v>
      </c>
      <c r="AX130" s="33">
        <v>4</v>
      </c>
      <c r="AY130" s="33">
        <v>4</v>
      </c>
      <c r="AZ130" s="33">
        <v>8</v>
      </c>
      <c r="BB130" s="76" t="s">
        <v>291</v>
      </c>
      <c r="BC130" s="76" t="s">
        <v>10</v>
      </c>
      <c r="BD130" s="79">
        <v>662.1</v>
      </c>
      <c r="BE130" s="79">
        <v>221.93</v>
      </c>
      <c r="BF130" s="79">
        <v>2095.52</v>
      </c>
      <c r="BH130" s="76">
        <v>98239</v>
      </c>
      <c r="BI130" s="76" t="s">
        <v>10</v>
      </c>
      <c r="BJ130" s="79"/>
      <c r="BK130" s="79"/>
      <c r="BL130" s="79">
        <v>-98.5</v>
      </c>
    </row>
    <row r="131" spans="2:64" x14ac:dyDescent="0.2">
      <c r="B131" s="59">
        <v>98104</v>
      </c>
      <c r="C131" s="38" t="s">
        <v>10</v>
      </c>
      <c r="D131" s="48">
        <v>49</v>
      </c>
      <c r="E131" s="48">
        <v>48</v>
      </c>
      <c r="F131" s="48">
        <v>46</v>
      </c>
      <c r="H131" s="76">
        <v>98104</v>
      </c>
      <c r="I131" s="76" t="s">
        <v>352</v>
      </c>
      <c r="J131" s="79">
        <v>33698.379999999997</v>
      </c>
      <c r="K131" s="79">
        <v>14126.68</v>
      </c>
      <c r="L131" s="79">
        <v>53454.720000000001</v>
      </c>
      <c r="M131" s="79">
        <v>151993.519999999</v>
      </c>
      <c r="N131" s="79">
        <v>9500.69</v>
      </c>
      <c r="O131" s="79">
        <v>6715.99</v>
      </c>
      <c r="P131" s="79">
        <v>47454.17</v>
      </c>
      <c r="Q131" s="79">
        <v>137280.66999999899</v>
      </c>
      <c r="R131" s="79">
        <v>16768.57</v>
      </c>
      <c r="S131" s="79">
        <v>4487.71</v>
      </c>
      <c r="T131" s="79">
        <v>45081.57</v>
      </c>
      <c r="U131" s="79">
        <v>109081.16</v>
      </c>
      <c r="W131" s="76">
        <v>98260</v>
      </c>
      <c r="X131" s="15" t="s">
        <v>10</v>
      </c>
      <c r="Y131" s="79">
        <v>5392.67</v>
      </c>
      <c r="Z131" s="79">
        <v>4712.71</v>
      </c>
      <c r="AA131" s="79">
        <v>5133.7</v>
      </c>
      <c r="AB131" s="79">
        <v>21944.27</v>
      </c>
      <c r="AC131" s="79">
        <v>4862.66</v>
      </c>
      <c r="AD131" s="79">
        <v>4666.74</v>
      </c>
      <c r="AE131" s="79">
        <v>8774.5</v>
      </c>
      <c r="AF131" s="79">
        <v>23840.289999999899</v>
      </c>
      <c r="AG131" s="79">
        <v>4362.55</v>
      </c>
      <c r="AH131" s="79">
        <v>3841.71</v>
      </c>
      <c r="AI131" s="79">
        <v>12295.6699999999</v>
      </c>
      <c r="AJ131" s="79">
        <v>24131.4199999999</v>
      </c>
      <c r="AV131" s="76" t="s">
        <v>147</v>
      </c>
      <c r="AW131" s="76" t="s">
        <v>352</v>
      </c>
      <c r="AX131" s="33">
        <v>1</v>
      </c>
      <c r="AY131" s="33">
        <v>1</v>
      </c>
      <c r="AZ131" s="33"/>
      <c r="BB131" s="76" t="s">
        <v>147</v>
      </c>
      <c r="BC131" s="76" t="s">
        <v>352</v>
      </c>
      <c r="BD131" s="79"/>
      <c r="BE131" s="79">
        <v>281.31</v>
      </c>
      <c r="BF131" s="79"/>
      <c r="BH131" s="76">
        <v>98240</v>
      </c>
      <c r="BI131" s="76" t="s">
        <v>10</v>
      </c>
      <c r="BJ131" s="79">
        <v>-100</v>
      </c>
      <c r="BK131" s="79">
        <v>-100</v>
      </c>
      <c r="BL131" s="79">
        <v>-100</v>
      </c>
    </row>
    <row r="132" spans="2:64" x14ac:dyDescent="0.2">
      <c r="B132" s="86">
        <v>98105</v>
      </c>
      <c r="C132" s="38" t="s">
        <v>352</v>
      </c>
      <c r="D132" s="48">
        <v>163</v>
      </c>
      <c r="E132" s="48">
        <v>131</v>
      </c>
      <c r="F132" s="48">
        <v>127</v>
      </c>
      <c r="H132" s="76">
        <v>98104</v>
      </c>
      <c r="I132" s="76" t="s">
        <v>10</v>
      </c>
      <c r="J132" s="79">
        <v>30288.95</v>
      </c>
      <c r="K132" s="79">
        <v>2894.9</v>
      </c>
      <c r="L132" s="79">
        <v>9712.3599999999897</v>
      </c>
      <c r="M132" s="79">
        <v>58107.699999999903</v>
      </c>
      <c r="N132" s="79">
        <v>14974.33</v>
      </c>
      <c r="O132" s="79">
        <v>29678.45</v>
      </c>
      <c r="P132" s="79">
        <v>11446.45</v>
      </c>
      <c r="Q132" s="79">
        <v>70552.31</v>
      </c>
      <c r="R132" s="79">
        <v>13963.27</v>
      </c>
      <c r="S132" s="79">
        <v>14755.87</v>
      </c>
      <c r="T132" s="79">
        <v>40624.5</v>
      </c>
      <c r="U132" s="79">
        <v>86586.009999999893</v>
      </c>
      <c r="W132" s="76">
        <v>98262</v>
      </c>
      <c r="X132" s="15" t="s">
        <v>10</v>
      </c>
      <c r="Y132" s="79">
        <v>2029.76</v>
      </c>
      <c r="Z132" s="79">
        <v>1416.94</v>
      </c>
      <c r="AA132" s="79">
        <v>1378.69</v>
      </c>
      <c r="AB132" s="79">
        <v>6098.96</v>
      </c>
      <c r="AC132" s="79">
        <v>996.78</v>
      </c>
      <c r="AD132" s="79">
        <v>1000.9</v>
      </c>
      <c r="AE132" s="79">
        <v>3389.49</v>
      </c>
      <c r="AF132" s="79">
        <v>6525.84</v>
      </c>
      <c r="AG132" s="79">
        <v>1138.67</v>
      </c>
      <c r="AH132" s="79">
        <v>926.53</v>
      </c>
      <c r="AI132" s="79">
        <v>3764.0699999999902</v>
      </c>
      <c r="AJ132" s="79">
        <v>6917.76</v>
      </c>
      <c r="AV132" s="76" t="s">
        <v>147</v>
      </c>
      <c r="AW132" s="76" t="s">
        <v>10</v>
      </c>
      <c r="AX132" s="33">
        <v>5</v>
      </c>
      <c r="AY132" s="33">
        <v>3</v>
      </c>
      <c r="AZ132" s="33">
        <v>8</v>
      </c>
      <c r="BB132" s="76" t="s">
        <v>147</v>
      </c>
      <c r="BC132" s="76" t="s">
        <v>10</v>
      </c>
      <c r="BD132" s="79">
        <v>1139.23</v>
      </c>
      <c r="BE132" s="79">
        <v>1698.8</v>
      </c>
      <c r="BF132" s="79">
        <v>2182.36</v>
      </c>
      <c r="BH132" s="76">
        <v>98247</v>
      </c>
      <c r="BI132" s="76" t="s">
        <v>10</v>
      </c>
      <c r="BJ132" s="79"/>
      <c r="BK132" s="79">
        <v>-100</v>
      </c>
      <c r="BL132" s="79">
        <v>-41.09</v>
      </c>
    </row>
    <row r="133" spans="2:64" x14ac:dyDescent="0.2">
      <c r="B133" s="59">
        <v>98105</v>
      </c>
      <c r="C133" s="38" t="s">
        <v>10</v>
      </c>
      <c r="D133" s="48">
        <v>930</v>
      </c>
      <c r="E133" s="48">
        <v>711</v>
      </c>
      <c r="F133" s="48">
        <v>675</v>
      </c>
      <c r="H133" s="76">
        <v>98105</v>
      </c>
      <c r="I133" s="76" t="s">
        <v>352</v>
      </c>
      <c r="J133" s="79">
        <v>18044.8</v>
      </c>
      <c r="K133" s="79">
        <v>7652.46</v>
      </c>
      <c r="L133" s="79">
        <v>79928.679999999993</v>
      </c>
      <c r="M133" s="79">
        <v>231254.57</v>
      </c>
      <c r="N133" s="79">
        <v>47201.06</v>
      </c>
      <c r="O133" s="79">
        <v>10966.75</v>
      </c>
      <c r="P133" s="79">
        <v>82248.03</v>
      </c>
      <c r="Q133" s="79">
        <v>207666.1</v>
      </c>
      <c r="R133" s="79">
        <v>15582.49</v>
      </c>
      <c r="S133" s="79">
        <v>40706.230000000003</v>
      </c>
      <c r="T133" s="79">
        <v>91091.09</v>
      </c>
      <c r="U133" s="79">
        <v>199492.44999999899</v>
      </c>
      <c r="W133" s="76">
        <v>98263</v>
      </c>
      <c r="X133" s="15" t="s">
        <v>10</v>
      </c>
      <c r="Y133" s="79">
        <v>256.3</v>
      </c>
      <c r="Z133" s="79"/>
      <c r="AA133" s="79"/>
      <c r="AB133" s="79">
        <v>256.3</v>
      </c>
      <c r="AC133" s="79"/>
      <c r="AD133" s="79">
        <v>256.3</v>
      </c>
      <c r="AE133" s="79"/>
      <c r="AF133" s="79">
        <v>2723.28</v>
      </c>
      <c r="AG133" s="79">
        <v>1612.17</v>
      </c>
      <c r="AH133" s="79"/>
      <c r="AI133" s="79"/>
      <c r="AJ133" s="79">
        <v>1612.1699999999901</v>
      </c>
      <c r="AV133" s="76" t="s">
        <v>292</v>
      </c>
      <c r="AW133" s="76" t="s">
        <v>352</v>
      </c>
      <c r="AX133" s="33"/>
      <c r="AY133" s="33"/>
      <c r="AZ133" s="33">
        <v>3</v>
      </c>
      <c r="BB133" s="76" t="s">
        <v>292</v>
      </c>
      <c r="BC133" s="76" t="s">
        <v>352</v>
      </c>
      <c r="BD133" s="79"/>
      <c r="BE133" s="79"/>
      <c r="BF133" s="79">
        <v>4542.8100000000004</v>
      </c>
      <c r="BH133" s="76">
        <v>98248</v>
      </c>
      <c r="BI133" s="76" t="s">
        <v>10</v>
      </c>
      <c r="BJ133" s="79">
        <v>-623.28</v>
      </c>
      <c r="BK133" s="79"/>
      <c r="BL133" s="79">
        <v>-204.37</v>
      </c>
    </row>
    <row r="134" spans="2:64" x14ac:dyDescent="0.2">
      <c r="B134" s="86">
        <v>98106</v>
      </c>
      <c r="C134" s="38" t="s">
        <v>352</v>
      </c>
      <c r="D134" s="48">
        <v>34</v>
      </c>
      <c r="E134" s="48">
        <v>42</v>
      </c>
      <c r="F134" s="48">
        <v>31</v>
      </c>
      <c r="H134" s="76">
        <v>98105</v>
      </c>
      <c r="I134" s="76" t="s">
        <v>10</v>
      </c>
      <c r="J134" s="79">
        <v>51509.1</v>
      </c>
      <c r="K134" s="79">
        <v>25164.5</v>
      </c>
      <c r="L134" s="79">
        <v>63454.25</v>
      </c>
      <c r="M134" s="79">
        <v>227415.81</v>
      </c>
      <c r="N134" s="79">
        <v>36040.51</v>
      </c>
      <c r="O134" s="79">
        <v>30002.39</v>
      </c>
      <c r="P134" s="79">
        <v>79549.569999999905</v>
      </c>
      <c r="Q134" s="79">
        <v>197266.49</v>
      </c>
      <c r="R134" s="79">
        <v>22050.55</v>
      </c>
      <c r="S134" s="79">
        <v>21595</v>
      </c>
      <c r="T134" s="79">
        <v>88253.89</v>
      </c>
      <c r="U134" s="79">
        <v>174880.67</v>
      </c>
      <c r="W134" s="76">
        <v>98264</v>
      </c>
      <c r="X134" s="15" t="s">
        <v>10</v>
      </c>
      <c r="Y134" s="79">
        <v>13493.01</v>
      </c>
      <c r="Z134" s="79">
        <v>10240.959999999999</v>
      </c>
      <c r="AA134" s="79">
        <v>19808.189999999999</v>
      </c>
      <c r="AB134" s="79">
        <v>61078.919999999896</v>
      </c>
      <c r="AC134" s="79">
        <v>10477.799999999999</v>
      </c>
      <c r="AD134" s="79">
        <v>9592.18</v>
      </c>
      <c r="AE134" s="79">
        <v>17911.150000000001</v>
      </c>
      <c r="AF134" s="79">
        <v>56863.779999999897</v>
      </c>
      <c r="AG134" s="79">
        <v>13170.67</v>
      </c>
      <c r="AH134" s="79">
        <v>6669.28</v>
      </c>
      <c r="AI134" s="79">
        <v>18371.61</v>
      </c>
      <c r="AJ134" s="79">
        <v>49105.91</v>
      </c>
      <c r="AV134" s="76" t="s">
        <v>292</v>
      </c>
      <c r="AW134" s="76" t="s">
        <v>10</v>
      </c>
      <c r="AX134" s="33">
        <v>7</v>
      </c>
      <c r="AY134" s="33">
        <v>3</v>
      </c>
      <c r="AZ134" s="33">
        <v>3</v>
      </c>
      <c r="BB134" s="76" t="s">
        <v>292</v>
      </c>
      <c r="BC134" s="76" t="s">
        <v>10</v>
      </c>
      <c r="BD134" s="79">
        <v>728.39</v>
      </c>
      <c r="BE134" s="79">
        <v>159.77000000000001</v>
      </c>
      <c r="BF134" s="79">
        <v>900.75</v>
      </c>
      <c r="BH134" s="76">
        <v>98252</v>
      </c>
      <c r="BI134" s="76" t="s">
        <v>10</v>
      </c>
      <c r="BJ134" s="79">
        <v>-176.13</v>
      </c>
      <c r="BK134" s="79"/>
      <c r="BL134" s="79"/>
    </row>
    <row r="135" spans="2:64" x14ac:dyDescent="0.2">
      <c r="B135" s="59">
        <v>98106</v>
      </c>
      <c r="C135" s="38" t="s">
        <v>10</v>
      </c>
      <c r="D135" s="48">
        <v>581</v>
      </c>
      <c r="E135" s="48">
        <v>629</v>
      </c>
      <c r="F135" s="48">
        <v>646</v>
      </c>
      <c r="H135" s="76">
        <v>98106</v>
      </c>
      <c r="I135" s="76" t="s">
        <v>352</v>
      </c>
      <c r="J135" s="79">
        <v>7710.71</v>
      </c>
      <c r="K135" s="79">
        <v>2687.74</v>
      </c>
      <c r="L135" s="79">
        <v>9195.75</v>
      </c>
      <c r="M135" s="79">
        <v>31017.749999999902</v>
      </c>
      <c r="N135" s="79">
        <v>3434.32</v>
      </c>
      <c r="O135" s="79">
        <v>2549.46</v>
      </c>
      <c r="P135" s="79">
        <v>10170.209999999901</v>
      </c>
      <c r="Q135" s="79">
        <v>25760.5099999999</v>
      </c>
      <c r="R135" s="79">
        <v>4173.6400000000003</v>
      </c>
      <c r="S135" s="79">
        <v>2735.77</v>
      </c>
      <c r="T135" s="79">
        <v>11434.04</v>
      </c>
      <c r="U135" s="79">
        <v>23150.3999999999</v>
      </c>
      <c r="W135" s="76">
        <v>98266</v>
      </c>
      <c r="X135" s="15" t="s">
        <v>10</v>
      </c>
      <c r="Y135" s="79">
        <v>20060.650000000001</v>
      </c>
      <c r="Z135" s="79">
        <v>20928.82</v>
      </c>
      <c r="AA135" s="79">
        <v>32159.4399999999</v>
      </c>
      <c r="AB135" s="79">
        <v>98397.74</v>
      </c>
      <c r="AC135" s="79">
        <v>19247.419999999998</v>
      </c>
      <c r="AD135" s="79">
        <v>16824.32</v>
      </c>
      <c r="AE135" s="79">
        <v>42799.23</v>
      </c>
      <c r="AF135" s="79">
        <v>100016.82</v>
      </c>
      <c r="AG135" s="79">
        <v>15592.59</v>
      </c>
      <c r="AH135" s="79">
        <v>14846.29</v>
      </c>
      <c r="AI135" s="79">
        <v>44402.659999999902</v>
      </c>
      <c r="AJ135" s="79">
        <v>90248.97</v>
      </c>
      <c r="AV135" s="76" t="s">
        <v>293</v>
      </c>
      <c r="AW135" s="76" t="s">
        <v>352</v>
      </c>
      <c r="AX135" s="33"/>
      <c r="AY135" s="33">
        <v>3</v>
      </c>
      <c r="AZ135" s="33"/>
      <c r="BB135" s="76" t="s">
        <v>293</v>
      </c>
      <c r="BC135" s="76" t="s">
        <v>352</v>
      </c>
      <c r="BD135" s="79"/>
      <c r="BE135" s="79">
        <v>306.89999999999998</v>
      </c>
      <c r="BF135" s="79"/>
      <c r="BH135" s="76">
        <v>98253</v>
      </c>
      <c r="BI135" s="76" t="s">
        <v>10</v>
      </c>
      <c r="BJ135" s="79">
        <v>-185.23</v>
      </c>
      <c r="BK135" s="79"/>
      <c r="BL135" s="79"/>
    </row>
    <row r="136" spans="2:64" x14ac:dyDescent="0.2">
      <c r="B136" s="86">
        <v>98107</v>
      </c>
      <c r="C136" s="38" t="s">
        <v>352</v>
      </c>
      <c r="D136" s="48">
        <v>72</v>
      </c>
      <c r="E136" s="48">
        <v>75</v>
      </c>
      <c r="F136" s="48">
        <v>75</v>
      </c>
      <c r="H136" s="76">
        <v>98106</v>
      </c>
      <c r="I136" s="76" t="s">
        <v>10</v>
      </c>
      <c r="J136" s="79">
        <v>31316.13</v>
      </c>
      <c r="K136" s="79">
        <v>26255.27</v>
      </c>
      <c r="L136" s="79">
        <v>63156.5</v>
      </c>
      <c r="M136" s="79">
        <v>164358.21</v>
      </c>
      <c r="N136" s="79">
        <v>30281.62</v>
      </c>
      <c r="O136" s="79">
        <v>23713.83</v>
      </c>
      <c r="P136" s="79">
        <v>74828.87</v>
      </c>
      <c r="Q136" s="79">
        <v>166579.329999999</v>
      </c>
      <c r="R136" s="79">
        <v>26324.6</v>
      </c>
      <c r="S136" s="79">
        <v>25281.15</v>
      </c>
      <c r="T136" s="79">
        <v>89724.04</v>
      </c>
      <c r="U136" s="79">
        <v>176372.44</v>
      </c>
      <c r="W136" s="76">
        <v>98267</v>
      </c>
      <c r="X136" s="15" t="s">
        <v>10</v>
      </c>
      <c r="Y136" s="79"/>
      <c r="Z136" s="79">
        <v>2509.84</v>
      </c>
      <c r="AA136" s="79">
        <v>509.74</v>
      </c>
      <c r="AB136" s="79">
        <v>5437.09</v>
      </c>
      <c r="AC136" s="79">
        <v>1993.28</v>
      </c>
      <c r="AD136" s="79"/>
      <c r="AE136" s="79">
        <v>2805.88</v>
      </c>
      <c r="AF136" s="79">
        <v>4799.16</v>
      </c>
      <c r="AG136" s="79"/>
      <c r="AH136" s="79">
        <v>1687.09</v>
      </c>
      <c r="AI136" s="79">
        <v>1844.92</v>
      </c>
      <c r="AJ136" s="79">
        <v>6441.23</v>
      </c>
      <c r="AV136" s="76" t="s">
        <v>293</v>
      </c>
      <c r="AW136" s="76" t="s">
        <v>10</v>
      </c>
      <c r="AX136" s="33">
        <v>8</v>
      </c>
      <c r="AY136" s="33">
        <v>6</v>
      </c>
      <c r="AZ136" s="33">
        <v>6</v>
      </c>
      <c r="BB136" s="76" t="s">
        <v>293</v>
      </c>
      <c r="BC136" s="76" t="s">
        <v>10</v>
      </c>
      <c r="BD136" s="79">
        <v>1370.76</v>
      </c>
      <c r="BE136" s="79">
        <v>699.96</v>
      </c>
      <c r="BF136" s="79">
        <v>1801.34</v>
      </c>
      <c r="BH136" s="76">
        <v>98258</v>
      </c>
      <c r="BI136" s="76" t="s">
        <v>10</v>
      </c>
      <c r="BJ136" s="79">
        <v>-165.98</v>
      </c>
      <c r="BK136" s="79">
        <v>-197.58</v>
      </c>
      <c r="BL136" s="79"/>
    </row>
    <row r="137" spans="2:64" x14ac:dyDescent="0.2">
      <c r="B137" s="59">
        <v>98107</v>
      </c>
      <c r="C137" s="38" t="s">
        <v>10</v>
      </c>
      <c r="D137" s="48">
        <v>599</v>
      </c>
      <c r="E137" s="48">
        <v>560</v>
      </c>
      <c r="F137" s="48">
        <v>584</v>
      </c>
      <c r="H137" s="76">
        <v>98107</v>
      </c>
      <c r="I137" s="76" t="s">
        <v>352</v>
      </c>
      <c r="J137" s="79">
        <v>14019.51</v>
      </c>
      <c r="K137" s="79">
        <v>11297.01</v>
      </c>
      <c r="L137" s="79">
        <v>42552.42</v>
      </c>
      <c r="M137" s="79">
        <v>93610.84</v>
      </c>
      <c r="N137" s="79">
        <v>10125.93</v>
      </c>
      <c r="O137" s="79">
        <v>8783.2000000000007</v>
      </c>
      <c r="P137" s="79">
        <v>51977.599999999897</v>
      </c>
      <c r="Q137" s="79">
        <v>92959.78</v>
      </c>
      <c r="R137" s="79">
        <v>6851.29</v>
      </c>
      <c r="S137" s="79">
        <v>7696.32</v>
      </c>
      <c r="T137" s="79">
        <v>57053.760000000002</v>
      </c>
      <c r="U137" s="79">
        <v>87242.61</v>
      </c>
      <c r="W137" s="76">
        <v>98270</v>
      </c>
      <c r="X137" s="15" t="s">
        <v>10</v>
      </c>
      <c r="Y137" s="79">
        <v>10191.19</v>
      </c>
      <c r="Z137" s="79">
        <v>9256.6200000000008</v>
      </c>
      <c r="AA137" s="79">
        <v>19772.080000000002</v>
      </c>
      <c r="AB137" s="79">
        <v>51997.229999999901</v>
      </c>
      <c r="AC137" s="79">
        <v>8997.0499999999993</v>
      </c>
      <c r="AD137" s="79">
        <v>8721.15</v>
      </c>
      <c r="AE137" s="79">
        <v>23526.560000000001</v>
      </c>
      <c r="AF137" s="79">
        <v>50120.71</v>
      </c>
      <c r="AG137" s="79">
        <v>7052.19</v>
      </c>
      <c r="AH137" s="79">
        <v>7593.07</v>
      </c>
      <c r="AI137" s="79">
        <v>23204.38</v>
      </c>
      <c r="AJ137" s="79">
        <v>44876.0799999999</v>
      </c>
      <c r="AV137" s="76" t="s">
        <v>294</v>
      </c>
      <c r="AW137" s="76" t="s">
        <v>352</v>
      </c>
      <c r="AX137" s="33">
        <v>1</v>
      </c>
      <c r="AY137" s="33">
        <v>1</v>
      </c>
      <c r="AZ137" s="33">
        <v>2</v>
      </c>
      <c r="BB137" s="76" t="s">
        <v>294</v>
      </c>
      <c r="BC137" s="76" t="s">
        <v>352</v>
      </c>
      <c r="BD137" s="79">
        <v>225.03</v>
      </c>
      <c r="BE137" s="79">
        <v>2788.67</v>
      </c>
      <c r="BF137" s="79">
        <v>1445.11</v>
      </c>
      <c r="BH137" s="76">
        <v>98262</v>
      </c>
      <c r="BI137" s="76" t="s">
        <v>10</v>
      </c>
      <c r="BJ137" s="79">
        <v>-100</v>
      </c>
      <c r="BK137" s="79">
        <v>-100</v>
      </c>
      <c r="BL137" s="79"/>
    </row>
    <row r="138" spans="2:64" x14ac:dyDescent="0.2">
      <c r="B138" s="86">
        <v>98108</v>
      </c>
      <c r="C138" s="38" t="s">
        <v>352</v>
      </c>
      <c r="D138" s="48">
        <v>195</v>
      </c>
      <c r="E138" s="48">
        <v>134</v>
      </c>
      <c r="F138" s="48">
        <v>138</v>
      </c>
      <c r="H138" s="76">
        <v>98107</v>
      </c>
      <c r="I138" s="76" t="s">
        <v>10</v>
      </c>
      <c r="J138" s="79">
        <v>32886.11</v>
      </c>
      <c r="K138" s="79">
        <v>29761.24</v>
      </c>
      <c r="L138" s="79">
        <v>49910.9399999999</v>
      </c>
      <c r="M138" s="79">
        <v>162655.15</v>
      </c>
      <c r="N138" s="79">
        <v>32087.119999999999</v>
      </c>
      <c r="O138" s="79">
        <v>26081.16</v>
      </c>
      <c r="P138" s="79">
        <v>66234.789999999994</v>
      </c>
      <c r="Q138" s="79">
        <v>167843.36999999901</v>
      </c>
      <c r="R138" s="79">
        <v>31508.99</v>
      </c>
      <c r="S138" s="79">
        <v>26465.21</v>
      </c>
      <c r="T138" s="79">
        <v>81405.289999999906</v>
      </c>
      <c r="U138" s="79">
        <v>173160.99</v>
      </c>
      <c r="W138" s="76">
        <v>98271</v>
      </c>
      <c r="X138" s="15" t="s">
        <v>10</v>
      </c>
      <c r="Y138" s="79">
        <v>3206.08</v>
      </c>
      <c r="Z138" s="79">
        <v>2336.2199999999998</v>
      </c>
      <c r="AA138" s="79">
        <v>5666.36</v>
      </c>
      <c r="AB138" s="79">
        <v>14778.1499999999</v>
      </c>
      <c r="AC138" s="79">
        <v>2493.77</v>
      </c>
      <c r="AD138" s="79">
        <v>2466.59</v>
      </c>
      <c r="AE138" s="79">
        <v>7365.34</v>
      </c>
      <c r="AF138" s="79">
        <v>15044.46</v>
      </c>
      <c r="AG138" s="79">
        <v>2249.08</v>
      </c>
      <c r="AH138" s="79">
        <v>2075.5500000000002</v>
      </c>
      <c r="AI138" s="79">
        <v>3938.52</v>
      </c>
      <c r="AJ138" s="79">
        <v>10765.21</v>
      </c>
      <c r="AV138" s="76" t="s">
        <v>294</v>
      </c>
      <c r="AW138" s="76" t="s">
        <v>10</v>
      </c>
      <c r="AX138" s="33">
        <v>3</v>
      </c>
      <c r="AY138" s="33">
        <v>1</v>
      </c>
      <c r="AZ138" s="33">
        <v>6</v>
      </c>
      <c r="BB138" s="76" t="s">
        <v>294</v>
      </c>
      <c r="BC138" s="76" t="s">
        <v>10</v>
      </c>
      <c r="BD138" s="79">
        <v>2387.4699999999998</v>
      </c>
      <c r="BE138" s="79">
        <v>202.29</v>
      </c>
      <c r="BF138" s="79">
        <v>4307.5</v>
      </c>
      <c r="BH138" s="76">
        <v>98264</v>
      </c>
      <c r="BI138" s="76" t="s">
        <v>10</v>
      </c>
      <c r="BJ138" s="79"/>
      <c r="BK138" s="79">
        <v>-407.74</v>
      </c>
      <c r="BL138" s="79">
        <v>-100.22</v>
      </c>
    </row>
    <row r="139" spans="2:64" x14ac:dyDescent="0.2">
      <c r="B139" s="59">
        <v>98108</v>
      </c>
      <c r="C139" s="38" t="s">
        <v>10</v>
      </c>
      <c r="D139" s="48">
        <v>1023</v>
      </c>
      <c r="E139" s="48">
        <v>841</v>
      </c>
      <c r="F139" s="48">
        <v>859</v>
      </c>
      <c r="H139" s="76">
        <v>98108</v>
      </c>
      <c r="I139" s="76" t="s">
        <v>352</v>
      </c>
      <c r="J139" s="79">
        <v>30774.22</v>
      </c>
      <c r="K139" s="79">
        <v>14630.89</v>
      </c>
      <c r="L139" s="79">
        <v>37824.519999999997</v>
      </c>
      <c r="M139" s="79">
        <v>293312.40999999898</v>
      </c>
      <c r="N139" s="79">
        <v>89830.080000000002</v>
      </c>
      <c r="O139" s="79">
        <v>18179.86</v>
      </c>
      <c r="P139" s="79">
        <v>49476.94</v>
      </c>
      <c r="Q139" s="79">
        <v>211677.91999999899</v>
      </c>
      <c r="R139" s="79">
        <v>21769.27</v>
      </c>
      <c r="S139" s="79">
        <v>11012.3</v>
      </c>
      <c r="T139" s="79">
        <v>59008.349999999897</v>
      </c>
      <c r="U139" s="79">
        <v>244455.36999999901</v>
      </c>
      <c r="W139" s="76">
        <v>98272</v>
      </c>
      <c r="X139" s="15" t="s">
        <v>10</v>
      </c>
      <c r="Y139" s="79">
        <v>1206.8699999999999</v>
      </c>
      <c r="Z139" s="79">
        <v>840.54</v>
      </c>
      <c r="AA139" s="79">
        <v>3972.06</v>
      </c>
      <c r="AB139" s="79">
        <v>8023.1999999999898</v>
      </c>
      <c r="AC139" s="79">
        <v>1619.81</v>
      </c>
      <c r="AD139" s="79">
        <v>1193.27</v>
      </c>
      <c r="AE139" s="79">
        <v>3700.84</v>
      </c>
      <c r="AF139" s="79">
        <v>7747.84</v>
      </c>
      <c r="AG139" s="79">
        <v>1008.83</v>
      </c>
      <c r="AH139" s="79">
        <v>1238.26</v>
      </c>
      <c r="AI139" s="79">
        <v>4443.05</v>
      </c>
      <c r="AJ139" s="79">
        <v>7806.68</v>
      </c>
      <c r="AV139" s="76" t="s">
        <v>295</v>
      </c>
      <c r="AW139" s="76" t="s">
        <v>352</v>
      </c>
      <c r="AX139" s="33"/>
      <c r="AY139" s="33"/>
      <c r="AZ139" s="33">
        <v>1</v>
      </c>
      <c r="BB139" s="76" t="s">
        <v>295</v>
      </c>
      <c r="BC139" s="76" t="s">
        <v>352</v>
      </c>
      <c r="BD139" s="79"/>
      <c r="BE139" s="79"/>
      <c r="BF139" s="79">
        <v>897.64</v>
      </c>
      <c r="BH139" s="76">
        <v>98266</v>
      </c>
      <c r="BI139" s="76" t="s">
        <v>10</v>
      </c>
      <c r="BJ139" s="79"/>
      <c r="BK139" s="79"/>
      <c r="BL139" s="79">
        <v>-192.7</v>
      </c>
    </row>
    <row r="140" spans="2:64" x14ac:dyDescent="0.2">
      <c r="B140" s="86">
        <v>98109</v>
      </c>
      <c r="C140" s="38" t="s">
        <v>352</v>
      </c>
      <c r="D140" s="48">
        <v>95</v>
      </c>
      <c r="E140" s="48">
        <v>100</v>
      </c>
      <c r="F140" s="48">
        <v>136</v>
      </c>
      <c r="H140" s="76">
        <v>98108</v>
      </c>
      <c r="I140" s="76" t="s">
        <v>10</v>
      </c>
      <c r="J140" s="79">
        <v>60468.02</v>
      </c>
      <c r="K140" s="79">
        <v>40166.639999999999</v>
      </c>
      <c r="L140" s="79">
        <v>81281.289999999994</v>
      </c>
      <c r="M140" s="79">
        <v>272294.55</v>
      </c>
      <c r="N140" s="79">
        <v>47339.32</v>
      </c>
      <c r="O140" s="79">
        <v>38228.25</v>
      </c>
      <c r="P140" s="79">
        <v>111765.39</v>
      </c>
      <c r="Q140" s="79">
        <v>241483.49</v>
      </c>
      <c r="R140" s="79">
        <v>29620.35</v>
      </c>
      <c r="S140" s="79">
        <v>33936.160000000003</v>
      </c>
      <c r="T140" s="79">
        <v>124413.09</v>
      </c>
      <c r="U140" s="79">
        <v>233688.7</v>
      </c>
      <c r="W140" s="76">
        <v>98273</v>
      </c>
      <c r="X140" s="15" t="s">
        <v>10</v>
      </c>
      <c r="Y140" s="79">
        <v>29390.21</v>
      </c>
      <c r="Z140" s="79">
        <v>21005.31</v>
      </c>
      <c r="AA140" s="79">
        <v>27431.77</v>
      </c>
      <c r="AB140" s="79">
        <v>119927.07</v>
      </c>
      <c r="AC140" s="79">
        <v>20229.59</v>
      </c>
      <c r="AD140" s="79">
        <v>30278.49</v>
      </c>
      <c r="AE140" s="79">
        <v>38867.29</v>
      </c>
      <c r="AF140" s="79">
        <v>125431.93</v>
      </c>
      <c r="AG140" s="79">
        <v>21512.34</v>
      </c>
      <c r="AH140" s="79">
        <v>13286.15</v>
      </c>
      <c r="AI140" s="79">
        <v>48114.6</v>
      </c>
      <c r="AJ140" s="79">
        <v>108398.45</v>
      </c>
      <c r="AV140" s="76" t="s">
        <v>295</v>
      </c>
      <c r="AW140" s="76" t="s">
        <v>10</v>
      </c>
      <c r="AX140" s="33">
        <v>11</v>
      </c>
      <c r="AY140" s="33">
        <v>5</v>
      </c>
      <c r="AZ140" s="33">
        <v>9</v>
      </c>
      <c r="BB140" s="76" t="s">
        <v>295</v>
      </c>
      <c r="BC140" s="76" t="s">
        <v>10</v>
      </c>
      <c r="BD140" s="79">
        <v>1393.27</v>
      </c>
      <c r="BE140" s="79">
        <v>2997.33</v>
      </c>
      <c r="BF140" s="79">
        <v>2301.84</v>
      </c>
      <c r="BH140" s="76">
        <v>98270</v>
      </c>
      <c r="BI140" s="76" t="s">
        <v>10</v>
      </c>
      <c r="BJ140" s="79">
        <v>-243.95</v>
      </c>
      <c r="BK140" s="79">
        <v>-175</v>
      </c>
      <c r="BL140" s="79">
        <v>-45</v>
      </c>
    </row>
    <row r="141" spans="2:64" x14ac:dyDescent="0.2">
      <c r="B141" s="59">
        <v>98109</v>
      </c>
      <c r="C141" s="38" t="s">
        <v>10</v>
      </c>
      <c r="D141" s="48">
        <v>442</v>
      </c>
      <c r="E141" s="48">
        <v>445</v>
      </c>
      <c r="F141" s="48">
        <v>449</v>
      </c>
      <c r="H141" s="76">
        <v>98109</v>
      </c>
      <c r="I141" s="76" t="s">
        <v>352</v>
      </c>
      <c r="J141" s="79">
        <v>14038.39</v>
      </c>
      <c r="K141" s="79">
        <v>9874.66</v>
      </c>
      <c r="L141" s="79">
        <v>2973.55</v>
      </c>
      <c r="M141" s="79">
        <v>164850.55999999901</v>
      </c>
      <c r="N141" s="79">
        <v>25987.79</v>
      </c>
      <c r="O141" s="79">
        <v>8762.0300000000007</v>
      </c>
      <c r="P141" s="79">
        <v>3520.42</v>
      </c>
      <c r="Q141" s="79">
        <v>149992.78</v>
      </c>
      <c r="R141" s="79">
        <v>44126.5</v>
      </c>
      <c r="S141" s="79">
        <v>13015.92</v>
      </c>
      <c r="T141" s="79">
        <v>8301.52</v>
      </c>
      <c r="U141" s="79">
        <v>150320.16</v>
      </c>
      <c r="W141" s="76">
        <v>98274</v>
      </c>
      <c r="X141" s="15" t="s">
        <v>10</v>
      </c>
      <c r="Y141" s="79">
        <v>11718.86</v>
      </c>
      <c r="Z141" s="79">
        <v>7976.03</v>
      </c>
      <c r="AA141" s="79">
        <v>23767.56</v>
      </c>
      <c r="AB141" s="79">
        <v>60599.94</v>
      </c>
      <c r="AC141" s="79">
        <v>11696.38</v>
      </c>
      <c r="AD141" s="79">
        <v>7882.83</v>
      </c>
      <c r="AE141" s="79">
        <v>25944.87</v>
      </c>
      <c r="AF141" s="79">
        <v>60816.35</v>
      </c>
      <c r="AG141" s="79">
        <v>9870.7800000000007</v>
      </c>
      <c r="AH141" s="79">
        <v>7599.91</v>
      </c>
      <c r="AI141" s="79">
        <v>17718.53</v>
      </c>
      <c r="AJ141" s="79">
        <v>48352.5099999999</v>
      </c>
      <c r="AV141" s="76" t="s">
        <v>296</v>
      </c>
      <c r="AW141" s="76" t="s">
        <v>352</v>
      </c>
      <c r="AX141" s="33"/>
      <c r="AY141" s="33">
        <v>5</v>
      </c>
      <c r="AZ141" s="33">
        <v>2</v>
      </c>
      <c r="BB141" s="76" t="s">
        <v>296</v>
      </c>
      <c r="BC141" s="76" t="s">
        <v>352</v>
      </c>
      <c r="BD141" s="79"/>
      <c r="BE141" s="79">
        <v>4911.13</v>
      </c>
      <c r="BF141" s="79">
        <v>363.87</v>
      </c>
      <c r="BH141" s="76">
        <v>98272</v>
      </c>
      <c r="BI141" s="76" t="s">
        <v>10</v>
      </c>
      <c r="BJ141" s="79"/>
      <c r="BK141" s="79">
        <v>-123.95</v>
      </c>
      <c r="BL141" s="79">
        <v>-36.11</v>
      </c>
    </row>
    <row r="142" spans="2:64" x14ac:dyDescent="0.2">
      <c r="B142" s="86">
        <v>98110</v>
      </c>
      <c r="C142" s="38" t="s">
        <v>352</v>
      </c>
      <c r="D142" s="48">
        <v>286</v>
      </c>
      <c r="E142" s="48">
        <v>271</v>
      </c>
      <c r="F142" s="48">
        <v>211</v>
      </c>
      <c r="H142" s="76">
        <v>98109</v>
      </c>
      <c r="I142" s="76" t="s">
        <v>10</v>
      </c>
      <c r="J142" s="79">
        <v>18035</v>
      </c>
      <c r="K142" s="79">
        <v>13672.23</v>
      </c>
      <c r="L142" s="79">
        <v>31280.67</v>
      </c>
      <c r="M142" s="79">
        <v>92345.499999999898</v>
      </c>
      <c r="N142" s="79">
        <v>16726.060000000001</v>
      </c>
      <c r="O142" s="79">
        <v>12771.87</v>
      </c>
      <c r="P142" s="79">
        <v>35450.300000000003</v>
      </c>
      <c r="Q142" s="79">
        <v>97131.219999999899</v>
      </c>
      <c r="R142" s="79">
        <v>14872.98</v>
      </c>
      <c r="S142" s="79">
        <v>11080.69</v>
      </c>
      <c r="T142" s="79">
        <v>38902.789999999899</v>
      </c>
      <c r="U142" s="79">
        <v>82484.059999999896</v>
      </c>
      <c r="W142" s="76">
        <v>98275</v>
      </c>
      <c r="X142" s="15" t="s">
        <v>10</v>
      </c>
      <c r="Y142" s="79">
        <v>1631.36</v>
      </c>
      <c r="Z142" s="79">
        <v>1743.36</v>
      </c>
      <c r="AA142" s="79">
        <v>3342.25</v>
      </c>
      <c r="AB142" s="79">
        <v>8407.0499999999993</v>
      </c>
      <c r="AC142" s="79">
        <v>1371.14</v>
      </c>
      <c r="AD142" s="79">
        <v>1267.6500000000001</v>
      </c>
      <c r="AE142" s="79">
        <v>4466.8599999999997</v>
      </c>
      <c r="AF142" s="79">
        <v>9253.51</v>
      </c>
      <c r="AG142" s="79">
        <v>2034.61</v>
      </c>
      <c r="AH142" s="79">
        <v>1067.52</v>
      </c>
      <c r="AI142" s="79">
        <v>4928.66</v>
      </c>
      <c r="AJ142" s="79">
        <v>9195.3699999999899</v>
      </c>
      <c r="AV142" s="76" t="s">
        <v>296</v>
      </c>
      <c r="AW142" s="76" t="s">
        <v>10</v>
      </c>
      <c r="AX142" s="33">
        <v>9</v>
      </c>
      <c r="AY142" s="33">
        <v>9</v>
      </c>
      <c r="AZ142" s="33">
        <v>10</v>
      </c>
      <c r="BB142" s="76" t="s">
        <v>296</v>
      </c>
      <c r="BC142" s="76" t="s">
        <v>10</v>
      </c>
      <c r="BD142" s="79">
        <v>1015.42</v>
      </c>
      <c r="BE142" s="79">
        <v>1656.45</v>
      </c>
      <c r="BF142" s="79">
        <v>2841.17</v>
      </c>
      <c r="BH142" s="76">
        <v>98273</v>
      </c>
      <c r="BI142" s="76" t="s">
        <v>10</v>
      </c>
      <c r="BJ142" s="79">
        <v>-431.65</v>
      </c>
      <c r="BK142" s="79">
        <v>-113.01</v>
      </c>
      <c r="BL142" s="79">
        <v>-608.59</v>
      </c>
    </row>
    <row r="143" spans="2:64" x14ac:dyDescent="0.2">
      <c r="B143" s="59">
        <v>98110</v>
      </c>
      <c r="C143" s="38" t="s">
        <v>10</v>
      </c>
      <c r="D143" s="48">
        <v>1557</v>
      </c>
      <c r="E143" s="48">
        <v>1091</v>
      </c>
      <c r="F143" s="48">
        <v>978</v>
      </c>
      <c r="H143" s="76">
        <v>98110</v>
      </c>
      <c r="I143" s="76" t="s">
        <v>352</v>
      </c>
      <c r="J143" s="79">
        <v>16763.77</v>
      </c>
      <c r="K143" s="79">
        <v>9305.74</v>
      </c>
      <c r="L143" s="79">
        <v>17241.990000000002</v>
      </c>
      <c r="M143" s="79">
        <v>192518.02</v>
      </c>
      <c r="N143" s="79">
        <v>11098.66</v>
      </c>
      <c r="O143" s="79">
        <v>4282.04</v>
      </c>
      <c r="P143" s="79">
        <v>18245.07</v>
      </c>
      <c r="Q143" s="79">
        <v>144853.92000000001</v>
      </c>
      <c r="R143" s="79">
        <v>5389.17</v>
      </c>
      <c r="S143" s="79">
        <v>4833</v>
      </c>
      <c r="T143" s="79">
        <v>16111.3</v>
      </c>
      <c r="U143" s="79">
        <v>111297.36</v>
      </c>
      <c r="W143" s="76">
        <v>98276</v>
      </c>
      <c r="X143" s="15" t="s">
        <v>10</v>
      </c>
      <c r="Y143" s="79">
        <v>930.18</v>
      </c>
      <c r="Z143" s="79">
        <v>748.8</v>
      </c>
      <c r="AA143" s="79">
        <v>724.19999999999902</v>
      </c>
      <c r="AB143" s="79">
        <v>3887.3799999999901</v>
      </c>
      <c r="AC143" s="79">
        <v>877.14</v>
      </c>
      <c r="AD143" s="79">
        <v>624.03</v>
      </c>
      <c r="AE143" s="79">
        <v>1077.3900000000001</v>
      </c>
      <c r="AF143" s="79">
        <v>4003.39</v>
      </c>
      <c r="AG143" s="79">
        <v>848.04</v>
      </c>
      <c r="AH143" s="79">
        <v>457.7</v>
      </c>
      <c r="AI143" s="79">
        <v>951.31</v>
      </c>
      <c r="AJ143" s="79">
        <v>3294.6</v>
      </c>
      <c r="AV143" s="76" t="s">
        <v>297</v>
      </c>
      <c r="AW143" s="76" t="s">
        <v>10</v>
      </c>
      <c r="AX143" s="33">
        <v>7</v>
      </c>
      <c r="AY143" s="33">
        <v>6</v>
      </c>
      <c r="AZ143" s="33">
        <v>4</v>
      </c>
      <c r="BB143" s="76" t="s">
        <v>297</v>
      </c>
      <c r="BC143" s="76" t="s">
        <v>10</v>
      </c>
      <c r="BD143" s="79">
        <v>1107</v>
      </c>
      <c r="BE143" s="79">
        <v>1390.31</v>
      </c>
      <c r="BF143" s="79">
        <v>1658.43</v>
      </c>
      <c r="BH143" s="76">
        <v>98274</v>
      </c>
      <c r="BI143" s="76" t="s">
        <v>10</v>
      </c>
      <c r="BJ143" s="79">
        <v>-194.92</v>
      </c>
      <c r="BK143" s="79">
        <v>-149.47</v>
      </c>
      <c r="BL143" s="79">
        <v>-525.28</v>
      </c>
    </row>
    <row r="144" spans="2:64" x14ac:dyDescent="0.2">
      <c r="B144" s="86">
        <v>98112</v>
      </c>
      <c r="C144" s="38" t="s">
        <v>352</v>
      </c>
      <c r="D144" s="48">
        <v>61</v>
      </c>
      <c r="E144" s="48">
        <v>51</v>
      </c>
      <c r="F144" s="48">
        <v>61</v>
      </c>
      <c r="H144" s="76">
        <v>98110</v>
      </c>
      <c r="I144" s="76" t="s">
        <v>10</v>
      </c>
      <c r="J144" s="79">
        <v>127877.27</v>
      </c>
      <c r="K144" s="79">
        <v>48939.22</v>
      </c>
      <c r="L144" s="79">
        <v>109090.709999999</v>
      </c>
      <c r="M144" s="79">
        <v>550740.02</v>
      </c>
      <c r="N144" s="79">
        <v>79764.05</v>
      </c>
      <c r="O144" s="79">
        <v>60733.08</v>
      </c>
      <c r="P144" s="79">
        <v>138519.31999999899</v>
      </c>
      <c r="Q144" s="79">
        <v>399747.37999999902</v>
      </c>
      <c r="R144" s="79">
        <v>34297.26</v>
      </c>
      <c r="S144" s="79">
        <v>46823.25</v>
      </c>
      <c r="T144" s="79">
        <v>161560.87</v>
      </c>
      <c r="U144" s="79">
        <v>364456.65</v>
      </c>
      <c r="W144" s="76">
        <v>98277</v>
      </c>
      <c r="X144" s="15" t="s">
        <v>10</v>
      </c>
      <c r="Y144" s="79">
        <v>48408.26</v>
      </c>
      <c r="Z144" s="79">
        <v>41586.629999999997</v>
      </c>
      <c r="AA144" s="79">
        <v>99627.249999999898</v>
      </c>
      <c r="AB144" s="79">
        <v>250811.90999999901</v>
      </c>
      <c r="AC144" s="79">
        <v>49860.99</v>
      </c>
      <c r="AD144" s="79">
        <v>40597.279999999999</v>
      </c>
      <c r="AE144" s="79">
        <v>119255.649999999</v>
      </c>
      <c r="AF144" s="79">
        <v>259566.18</v>
      </c>
      <c r="AG144" s="79">
        <v>42648.14</v>
      </c>
      <c r="AH144" s="79">
        <v>44041.46</v>
      </c>
      <c r="AI144" s="79">
        <v>137851.62</v>
      </c>
      <c r="AJ144" s="79">
        <v>267656.21999999997</v>
      </c>
      <c r="AV144" s="76" t="s">
        <v>298</v>
      </c>
      <c r="AW144" s="76" t="s">
        <v>352</v>
      </c>
      <c r="AX144" s="33"/>
      <c r="AY144" s="33"/>
      <c r="AZ144" s="33">
        <v>2</v>
      </c>
      <c r="BB144" s="76" t="s">
        <v>298</v>
      </c>
      <c r="BC144" s="76" t="s">
        <v>352</v>
      </c>
      <c r="BD144" s="79"/>
      <c r="BE144" s="79"/>
      <c r="BF144" s="79">
        <v>4444.7</v>
      </c>
      <c r="BH144" s="76">
        <v>98275</v>
      </c>
      <c r="BI144" s="76" t="s">
        <v>10</v>
      </c>
      <c r="BJ144" s="79">
        <v>-306.07</v>
      </c>
      <c r="BK144" s="79">
        <v>-436.12</v>
      </c>
      <c r="BL144" s="79"/>
    </row>
    <row r="145" spans="2:64" x14ac:dyDescent="0.2">
      <c r="B145" s="59">
        <v>98112</v>
      </c>
      <c r="C145" s="38" t="s">
        <v>10</v>
      </c>
      <c r="D145" s="48">
        <v>790</v>
      </c>
      <c r="E145" s="48">
        <v>710</v>
      </c>
      <c r="F145" s="48">
        <v>721</v>
      </c>
      <c r="H145" s="76">
        <v>98112</v>
      </c>
      <c r="I145" s="76" t="s">
        <v>352</v>
      </c>
      <c r="J145" s="79">
        <v>14019.62</v>
      </c>
      <c r="K145" s="79">
        <v>2511.09</v>
      </c>
      <c r="L145" s="79">
        <v>14400.35</v>
      </c>
      <c r="M145" s="79">
        <v>131727.22</v>
      </c>
      <c r="N145" s="79">
        <v>51047.72</v>
      </c>
      <c r="O145" s="79">
        <v>2268.91</v>
      </c>
      <c r="P145" s="79">
        <v>13418.7499999999</v>
      </c>
      <c r="Q145" s="79">
        <v>91456.8</v>
      </c>
      <c r="R145" s="79">
        <v>4003.31</v>
      </c>
      <c r="S145" s="79">
        <v>39410.720000000001</v>
      </c>
      <c r="T145" s="79">
        <v>10875.05</v>
      </c>
      <c r="U145" s="79">
        <v>84752.86</v>
      </c>
      <c r="W145" s="76">
        <v>98281</v>
      </c>
      <c r="X145" s="15" t="s">
        <v>10</v>
      </c>
      <c r="Y145" s="79">
        <v>2824.82</v>
      </c>
      <c r="Z145" s="79">
        <v>1282.22</v>
      </c>
      <c r="AA145" s="79">
        <v>555.74</v>
      </c>
      <c r="AB145" s="79">
        <v>7210.68</v>
      </c>
      <c r="AC145" s="79">
        <v>1448.58</v>
      </c>
      <c r="AD145" s="79">
        <v>805.2</v>
      </c>
      <c r="AE145" s="79">
        <v>1198.22</v>
      </c>
      <c r="AF145" s="79">
        <v>3451.99999999999</v>
      </c>
      <c r="AG145" s="79"/>
      <c r="AH145" s="79">
        <v>958.23</v>
      </c>
      <c r="AI145" s="79">
        <v>1902.69</v>
      </c>
      <c r="AJ145" s="79">
        <v>4061.4</v>
      </c>
      <c r="AV145" s="76" t="s">
        <v>298</v>
      </c>
      <c r="AW145" s="76" t="s">
        <v>10</v>
      </c>
      <c r="AX145" s="33"/>
      <c r="AY145" s="33">
        <v>8</v>
      </c>
      <c r="AZ145" s="33">
        <v>2</v>
      </c>
      <c r="BB145" s="76" t="s">
        <v>298</v>
      </c>
      <c r="BC145" s="76" t="s">
        <v>10</v>
      </c>
      <c r="BD145" s="79"/>
      <c r="BE145" s="79">
        <v>1925.77</v>
      </c>
      <c r="BF145" s="79">
        <v>269.66000000000003</v>
      </c>
      <c r="BH145" s="76">
        <v>98277</v>
      </c>
      <c r="BI145" s="76" t="s">
        <v>352</v>
      </c>
      <c r="BJ145" s="79">
        <v>-95.6</v>
      </c>
      <c r="BK145" s="79"/>
      <c r="BL145" s="79">
        <v>-480.11</v>
      </c>
    </row>
    <row r="146" spans="2:64" x14ac:dyDescent="0.2">
      <c r="B146" s="86">
        <v>98115</v>
      </c>
      <c r="C146" s="38" t="s">
        <v>352</v>
      </c>
      <c r="D146" s="48">
        <v>75</v>
      </c>
      <c r="E146" s="48">
        <v>62</v>
      </c>
      <c r="F146" s="48">
        <v>56</v>
      </c>
      <c r="H146" s="76">
        <v>98112</v>
      </c>
      <c r="I146" s="76" t="s">
        <v>10</v>
      </c>
      <c r="J146" s="79">
        <v>59848.51</v>
      </c>
      <c r="K146" s="79">
        <v>26096.47</v>
      </c>
      <c r="L146" s="79">
        <v>63953.6499999999</v>
      </c>
      <c r="M146" s="79">
        <v>239826.56999999899</v>
      </c>
      <c r="N146" s="79">
        <v>34998.5</v>
      </c>
      <c r="O146" s="79">
        <v>35438.160000000003</v>
      </c>
      <c r="P146" s="79">
        <v>71413.179999999906</v>
      </c>
      <c r="Q146" s="79">
        <v>199731.56</v>
      </c>
      <c r="R146" s="79">
        <v>25239.97</v>
      </c>
      <c r="S146" s="79">
        <v>21173.47</v>
      </c>
      <c r="T146" s="79">
        <v>77258.399999999907</v>
      </c>
      <c r="U146" s="79">
        <v>165452.68</v>
      </c>
      <c r="W146" s="76">
        <v>98283</v>
      </c>
      <c r="X146" s="15" t="s">
        <v>10</v>
      </c>
      <c r="Y146" s="79">
        <v>2372.29</v>
      </c>
      <c r="Z146" s="79">
        <v>1864.64</v>
      </c>
      <c r="AA146" s="79">
        <v>11195.98</v>
      </c>
      <c r="AB146" s="79">
        <v>17038.28</v>
      </c>
      <c r="AC146" s="79">
        <v>1605.37</v>
      </c>
      <c r="AD146" s="79">
        <v>2372.29</v>
      </c>
      <c r="AE146" s="79">
        <v>13058.89</v>
      </c>
      <c r="AF146" s="79">
        <v>18369.71</v>
      </c>
      <c r="AG146" s="79">
        <v>621.16</v>
      </c>
      <c r="AH146" s="79">
        <v>1421.99</v>
      </c>
      <c r="AI146" s="79">
        <v>15106.6899999999</v>
      </c>
      <c r="AJ146" s="79">
        <v>18557.91</v>
      </c>
      <c r="AV146" s="76" t="s">
        <v>299</v>
      </c>
      <c r="AW146" s="76" t="s">
        <v>352</v>
      </c>
      <c r="AX146" s="33">
        <v>1</v>
      </c>
      <c r="AY146" s="33">
        <v>3</v>
      </c>
      <c r="AZ146" s="33">
        <v>2</v>
      </c>
      <c r="BB146" s="76" t="s">
        <v>299</v>
      </c>
      <c r="BC146" s="76" t="s">
        <v>352</v>
      </c>
      <c r="BD146" s="79">
        <v>1117.04</v>
      </c>
      <c r="BE146" s="79">
        <v>993.09</v>
      </c>
      <c r="BF146" s="79">
        <v>1811.24</v>
      </c>
      <c r="BH146" s="76">
        <v>98277</v>
      </c>
      <c r="BI146" s="76" t="s">
        <v>10</v>
      </c>
      <c r="BJ146" s="79">
        <v>-347.95</v>
      </c>
      <c r="BK146" s="79">
        <v>-77.36</v>
      </c>
      <c r="BL146" s="79">
        <v>-725.75</v>
      </c>
    </row>
    <row r="147" spans="2:64" x14ac:dyDescent="0.2">
      <c r="B147" s="59">
        <v>98115</v>
      </c>
      <c r="C147" s="38" t="s">
        <v>10</v>
      </c>
      <c r="D147" s="48">
        <v>980</v>
      </c>
      <c r="E147" s="48">
        <v>798</v>
      </c>
      <c r="F147" s="48">
        <v>798</v>
      </c>
      <c r="H147" s="76">
        <v>98115</v>
      </c>
      <c r="I147" s="76" t="s">
        <v>352</v>
      </c>
      <c r="J147" s="79">
        <v>16817.990000000002</v>
      </c>
      <c r="K147" s="79">
        <v>7646.12</v>
      </c>
      <c r="L147" s="79">
        <v>54104.49</v>
      </c>
      <c r="M147" s="79">
        <v>120144.53</v>
      </c>
      <c r="N147" s="79">
        <v>7263.13</v>
      </c>
      <c r="O147" s="79">
        <v>7170.44</v>
      </c>
      <c r="P147" s="79">
        <v>54706.059999999903</v>
      </c>
      <c r="Q147" s="79">
        <v>104228.73</v>
      </c>
      <c r="R147" s="79">
        <v>5065.6000000000004</v>
      </c>
      <c r="S147" s="79">
        <v>5874.79</v>
      </c>
      <c r="T147" s="79">
        <v>59260.9</v>
      </c>
      <c r="U147" s="79">
        <v>83242.299999999901</v>
      </c>
      <c r="W147" s="76">
        <v>98284</v>
      </c>
      <c r="X147" s="15" t="s">
        <v>10</v>
      </c>
      <c r="Y147" s="79">
        <v>33964.01</v>
      </c>
      <c r="Z147" s="79">
        <v>27114.52</v>
      </c>
      <c r="AA147" s="79">
        <v>42875.709999999897</v>
      </c>
      <c r="AB147" s="79">
        <v>148659.59</v>
      </c>
      <c r="AC147" s="79">
        <v>33660.870000000003</v>
      </c>
      <c r="AD147" s="79">
        <v>26162.06</v>
      </c>
      <c r="AE147" s="79">
        <v>47748.109999999899</v>
      </c>
      <c r="AF147" s="79">
        <v>144566.9</v>
      </c>
      <c r="AG147" s="79">
        <v>27233.919999999998</v>
      </c>
      <c r="AH147" s="79">
        <v>26291.45</v>
      </c>
      <c r="AI147" s="79">
        <v>55807.95</v>
      </c>
      <c r="AJ147" s="79">
        <v>138698.92000000001</v>
      </c>
      <c r="AV147" s="76" t="s">
        <v>299</v>
      </c>
      <c r="AW147" s="76" t="s">
        <v>10</v>
      </c>
      <c r="AX147" s="33">
        <v>10</v>
      </c>
      <c r="AY147" s="33">
        <v>12</v>
      </c>
      <c r="AZ147" s="33">
        <v>14</v>
      </c>
      <c r="BB147" s="76" t="s">
        <v>299</v>
      </c>
      <c r="BC147" s="76" t="s">
        <v>10</v>
      </c>
      <c r="BD147" s="79">
        <v>787.03</v>
      </c>
      <c r="BE147" s="79">
        <v>669.91</v>
      </c>
      <c r="BF147" s="79">
        <v>1419.58</v>
      </c>
      <c r="BH147" s="76">
        <v>98281</v>
      </c>
      <c r="BI147" s="76" t="s">
        <v>10</v>
      </c>
      <c r="BJ147" s="79"/>
      <c r="BK147" s="79">
        <v>-72.19</v>
      </c>
      <c r="BL147" s="79"/>
    </row>
    <row r="148" spans="2:64" x14ac:dyDescent="0.2">
      <c r="B148" s="86">
        <v>98116</v>
      </c>
      <c r="C148" s="38" t="s">
        <v>352</v>
      </c>
      <c r="D148" s="48">
        <v>33</v>
      </c>
      <c r="E148" s="48">
        <v>32</v>
      </c>
      <c r="F148" s="48">
        <v>27</v>
      </c>
      <c r="H148" s="76">
        <v>98115</v>
      </c>
      <c r="I148" s="76" t="s">
        <v>10</v>
      </c>
      <c r="J148" s="79">
        <v>63582.65</v>
      </c>
      <c r="K148" s="79">
        <v>39744.17</v>
      </c>
      <c r="L148" s="79">
        <v>95366.1</v>
      </c>
      <c r="M148" s="79">
        <v>295779.98</v>
      </c>
      <c r="N148" s="79">
        <v>32516.46</v>
      </c>
      <c r="O148" s="79">
        <v>50697.25</v>
      </c>
      <c r="P148" s="79">
        <v>120996.03</v>
      </c>
      <c r="Q148" s="79">
        <v>255605.44</v>
      </c>
      <c r="R148" s="79">
        <v>29218.53</v>
      </c>
      <c r="S148" s="79">
        <v>22779.27</v>
      </c>
      <c r="T148" s="79">
        <v>145266.97</v>
      </c>
      <c r="U148" s="79">
        <v>249722.19999999899</v>
      </c>
      <c r="W148" s="76">
        <v>98288</v>
      </c>
      <c r="X148" s="15" t="s">
        <v>10</v>
      </c>
      <c r="Y148" s="79">
        <v>576.24</v>
      </c>
      <c r="Z148" s="79">
        <v>891.58</v>
      </c>
      <c r="AA148" s="79">
        <v>739.59</v>
      </c>
      <c r="AB148" s="79">
        <v>3470.72</v>
      </c>
      <c r="AC148" s="79">
        <v>1263.31</v>
      </c>
      <c r="AD148" s="79">
        <v>322.06</v>
      </c>
      <c r="AE148" s="79">
        <v>1530</v>
      </c>
      <c r="AF148" s="79">
        <v>3741.72</v>
      </c>
      <c r="AG148" s="79">
        <v>313.02999999999997</v>
      </c>
      <c r="AH148" s="79">
        <v>1263.31</v>
      </c>
      <c r="AI148" s="79">
        <v>1423.07</v>
      </c>
      <c r="AJ148" s="79">
        <v>4028.25</v>
      </c>
      <c r="AV148" s="76" t="s">
        <v>300</v>
      </c>
      <c r="AW148" s="76" t="s">
        <v>352</v>
      </c>
      <c r="AX148" s="33">
        <v>1</v>
      </c>
      <c r="AY148" s="33">
        <v>2</v>
      </c>
      <c r="AZ148" s="33"/>
      <c r="BB148" s="76" t="s">
        <v>300</v>
      </c>
      <c r="BC148" s="76" t="s">
        <v>352</v>
      </c>
      <c r="BD148" s="79"/>
      <c r="BE148" s="79">
        <v>1470.7</v>
      </c>
      <c r="BF148" s="79"/>
      <c r="BH148" s="76">
        <v>98284</v>
      </c>
      <c r="BI148" s="76" t="s">
        <v>10</v>
      </c>
      <c r="BJ148" s="79">
        <v>-559.51</v>
      </c>
      <c r="BK148" s="79">
        <v>-487.7</v>
      </c>
      <c r="BL148" s="79">
        <v>-272.14999999999998</v>
      </c>
    </row>
    <row r="149" spans="2:64" x14ac:dyDescent="0.2">
      <c r="B149" s="59">
        <v>98116</v>
      </c>
      <c r="C149" s="38" t="s">
        <v>10</v>
      </c>
      <c r="D149" s="48">
        <v>509</v>
      </c>
      <c r="E149" s="48">
        <v>523</v>
      </c>
      <c r="F149" s="48">
        <v>523</v>
      </c>
      <c r="H149" s="76">
        <v>98116</v>
      </c>
      <c r="I149" s="76" t="s">
        <v>352</v>
      </c>
      <c r="J149" s="79">
        <v>6468.66</v>
      </c>
      <c r="K149" s="79">
        <v>7763.98</v>
      </c>
      <c r="L149" s="79">
        <v>34582.479999999901</v>
      </c>
      <c r="M149" s="79">
        <v>59723.879999999903</v>
      </c>
      <c r="N149" s="79">
        <v>4583.43</v>
      </c>
      <c r="O149" s="79">
        <v>2824.1</v>
      </c>
      <c r="P149" s="79">
        <v>32994.35</v>
      </c>
      <c r="Q149" s="79">
        <v>50637.869999999901</v>
      </c>
      <c r="R149" s="79">
        <v>5227.8</v>
      </c>
      <c r="S149" s="79">
        <v>3288.03</v>
      </c>
      <c r="T149" s="79">
        <v>33544.04</v>
      </c>
      <c r="U149" s="79">
        <v>48987.51</v>
      </c>
      <c r="W149" s="76">
        <v>98290</v>
      </c>
      <c r="X149" s="15" t="s">
        <v>10</v>
      </c>
      <c r="Y149" s="79">
        <v>1203.72</v>
      </c>
      <c r="Z149" s="79">
        <v>1188.53</v>
      </c>
      <c r="AA149" s="79">
        <v>2769.20999999999</v>
      </c>
      <c r="AB149" s="79">
        <v>6326.04</v>
      </c>
      <c r="AC149" s="79">
        <v>931.31</v>
      </c>
      <c r="AD149" s="79">
        <v>1029.29</v>
      </c>
      <c r="AE149" s="79">
        <v>3087.46</v>
      </c>
      <c r="AF149" s="79">
        <v>6090.8</v>
      </c>
      <c r="AG149" s="79">
        <v>751.72</v>
      </c>
      <c r="AH149" s="79">
        <v>853.05</v>
      </c>
      <c r="AI149" s="79">
        <v>3496.74</v>
      </c>
      <c r="AJ149" s="79">
        <v>5693.7599999999902</v>
      </c>
      <c r="AV149" s="76" t="s">
        <v>300</v>
      </c>
      <c r="AW149" s="76" t="s">
        <v>10</v>
      </c>
      <c r="AX149" s="33">
        <v>10</v>
      </c>
      <c r="AY149" s="33">
        <v>4</v>
      </c>
      <c r="AZ149" s="33">
        <v>4</v>
      </c>
      <c r="BB149" s="76" t="s">
        <v>300</v>
      </c>
      <c r="BC149" s="76" t="s">
        <v>10</v>
      </c>
      <c r="BD149" s="79">
        <v>1379.75</v>
      </c>
      <c r="BE149" s="79">
        <v>778.51</v>
      </c>
      <c r="BF149" s="79">
        <v>578.74</v>
      </c>
      <c r="BH149" s="76">
        <v>98295</v>
      </c>
      <c r="BI149" s="76" t="s">
        <v>352</v>
      </c>
      <c r="BJ149" s="79"/>
      <c r="BK149" s="79"/>
      <c r="BL149" s="79">
        <v>-201.73</v>
      </c>
    </row>
    <row r="150" spans="2:64" x14ac:dyDescent="0.2">
      <c r="B150" s="86">
        <v>98117</v>
      </c>
      <c r="C150" s="38" t="s">
        <v>352</v>
      </c>
      <c r="D150" s="48">
        <v>25</v>
      </c>
      <c r="E150" s="48">
        <v>29</v>
      </c>
      <c r="F150" s="48">
        <v>20</v>
      </c>
      <c r="H150" s="76">
        <v>98116</v>
      </c>
      <c r="I150" s="76" t="s">
        <v>10</v>
      </c>
      <c r="J150" s="79">
        <v>27061.63</v>
      </c>
      <c r="K150" s="79">
        <v>24679.24</v>
      </c>
      <c r="L150" s="79">
        <v>47611.09</v>
      </c>
      <c r="M150" s="79">
        <v>144944.06</v>
      </c>
      <c r="N150" s="79">
        <v>28597.05</v>
      </c>
      <c r="O150" s="79">
        <v>20364.169999999998</v>
      </c>
      <c r="P150" s="79">
        <v>61136.389999999898</v>
      </c>
      <c r="Q150" s="79">
        <v>147546.27999999901</v>
      </c>
      <c r="R150" s="79">
        <v>23491.64</v>
      </c>
      <c r="S150" s="79">
        <v>21447.439999999999</v>
      </c>
      <c r="T150" s="79">
        <v>65842.139999999898</v>
      </c>
      <c r="U150" s="79">
        <v>140683.36999999901</v>
      </c>
      <c r="W150" s="76">
        <v>98292</v>
      </c>
      <c r="X150" s="15" t="s">
        <v>10</v>
      </c>
      <c r="Y150" s="79">
        <v>229.46</v>
      </c>
      <c r="Z150" s="79">
        <v>77.03</v>
      </c>
      <c r="AA150" s="79">
        <v>665.04</v>
      </c>
      <c r="AB150" s="79">
        <v>1143.71999999999</v>
      </c>
      <c r="AC150" s="79">
        <v>172.19</v>
      </c>
      <c r="AD150" s="79">
        <v>115.48</v>
      </c>
      <c r="AE150" s="79">
        <v>788.78</v>
      </c>
      <c r="AF150" s="79">
        <v>1076.45</v>
      </c>
      <c r="AG150" s="79"/>
      <c r="AH150" s="79">
        <v>172.19</v>
      </c>
      <c r="AI150" s="79">
        <v>836.99</v>
      </c>
      <c r="AJ150" s="79">
        <v>1009.18</v>
      </c>
      <c r="AV150" s="76" t="s">
        <v>301</v>
      </c>
      <c r="AW150" s="76" t="s">
        <v>352</v>
      </c>
      <c r="AX150" s="33">
        <v>1</v>
      </c>
      <c r="AY150" s="33"/>
      <c r="AZ150" s="33">
        <v>2</v>
      </c>
      <c r="BB150" s="76" t="s">
        <v>301</v>
      </c>
      <c r="BC150" s="76" t="s">
        <v>352</v>
      </c>
      <c r="BD150" s="79">
        <v>67.680000000000007</v>
      </c>
      <c r="BE150" s="79"/>
      <c r="BF150" s="79">
        <v>39.6</v>
      </c>
      <c r="BH150" s="76">
        <v>98310</v>
      </c>
      <c r="BI150" s="76" t="s">
        <v>10</v>
      </c>
      <c r="BJ150" s="79">
        <v>-228.55</v>
      </c>
      <c r="BK150" s="79">
        <v>-192.64</v>
      </c>
      <c r="BL150" s="79">
        <v>-585.59</v>
      </c>
    </row>
    <row r="151" spans="2:64" x14ac:dyDescent="0.2">
      <c r="B151" s="59">
        <v>98117</v>
      </c>
      <c r="C151" s="38" t="s">
        <v>10</v>
      </c>
      <c r="D151" s="48">
        <v>749</v>
      </c>
      <c r="E151" s="48">
        <v>796</v>
      </c>
      <c r="F151" s="48">
        <v>777</v>
      </c>
      <c r="H151" s="76">
        <v>98117</v>
      </c>
      <c r="I151" s="76" t="s">
        <v>352</v>
      </c>
      <c r="J151" s="79">
        <v>8339.67</v>
      </c>
      <c r="K151" s="79">
        <v>999.68</v>
      </c>
      <c r="L151" s="79">
        <v>4552.84</v>
      </c>
      <c r="M151" s="79">
        <v>27546.1699999999</v>
      </c>
      <c r="N151" s="79">
        <v>2516.46</v>
      </c>
      <c r="O151" s="79">
        <v>1690.87</v>
      </c>
      <c r="P151" s="79">
        <v>4579.24</v>
      </c>
      <c r="Q151" s="79">
        <v>38613.569999999898</v>
      </c>
      <c r="R151" s="79">
        <v>1805.66</v>
      </c>
      <c r="S151" s="79">
        <v>1728.7</v>
      </c>
      <c r="T151" s="79">
        <v>5391.48</v>
      </c>
      <c r="U151" s="79">
        <v>12398.54</v>
      </c>
      <c r="W151" s="76">
        <v>98294</v>
      </c>
      <c r="X151" s="15" t="s">
        <v>10</v>
      </c>
      <c r="Y151" s="79">
        <v>2532.4899999999998</v>
      </c>
      <c r="Z151" s="79">
        <v>1592.57</v>
      </c>
      <c r="AA151" s="79">
        <v>3471.7799999999902</v>
      </c>
      <c r="AB151" s="79">
        <v>9323.3599999999897</v>
      </c>
      <c r="AC151" s="79">
        <v>1358.03</v>
      </c>
      <c r="AD151" s="79">
        <v>1627.35</v>
      </c>
      <c r="AE151" s="79">
        <v>5202.0899999999901</v>
      </c>
      <c r="AF151" s="79">
        <v>8859.0400000000009</v>
      </c>
      <c r="AG151" s="79">
        <v>600.67999999999995</v>
      </c>
      <c r="AH151" s="79">
        <v>1267.8599999999999</v>
      </c>
      <c r="AI151" s="79">
        <v>6182.08</v>
      </c>
      <c r="AJ151" s="79">
        <v>9496.2099999999991</v>
      </c>
      <c r="AV151" s="76" t="s">
        <v>301</v>
      </c>
      <c r="AW151" s="76" t="s">
        <v>10</v>
      </c>
      <c r="AX151" s="33">
        <v>2</v>
      </c>
      <c r="AY151" s="33">
        <v>8</v>
      </c>
      <c r="AZ151" s="33">
        <v>10</v>
      </c>
      <c r="BB151" s="76" t="s">
        <v>301</v>
      </c>
      <c r="BC151" s="76" t="s">
        <v>10</v>
      </c>
      <c r="BD151" s="79">
        <v>1584.76</v>
      </c>
      <c r="BE151" s="79">
        <v>909.69</v>
      </c>
      <c r="BF151" s="79">
        <v>2542.2800000000002</v>
      </c>
      <c r="BH151" s="76">
        <v>98311</v>
      </c>
      <c r="BI151" s="76" t="s">
        <v>10</v>
      </c>
      <c r="BJ151" s="79"/>
      <c r="BK151" s="79">
        <v>-216.4</v>
      </c>
      <c r="BL151" s="79">
        <v>-247.11</v>
      </c>
    </row>
    <row r="152" spans="2:64" x14ac:dyDescent="0.2">
      <c r="B152" s="86">
        <v>98118</v>
      </c>
      <c r="C152" s="38" t="s">
        <v>352</v>
      </c>
      <c r="D152" s="48">
        <v>96</v>
      </c>
      <c r="E152" s="48">
        <v>98</v>
      </c>
      <c r="F152" s="48">
        <v>89</v>
      </c>
      <c r="H152" s="76">
        <v>98117</v>
      </c>
      <c r="I152" s="76" t="s">
        <v>10</v>
      </c>
      <c r="J152" s="79">
        <v>35534.32</v>
      </c>
      <c r="K152" s="79">
        <v>32894.699999999997</v>
      </c>
      <c r="L152" s="79">
        <v>73477.899999999994</v>
      </c>
      <c r="M152" s="79">
        <v>211291.84999999899</v>
      </c>
      <c r="N152" s="79">
        <v>40280.75</v>
      </c>
      <c r="O152" s="79">
        <v>24166.46</v>
      </c>
      <c r="P152" s="79">
        <v>84037.379999999903</v>
      </c>
      <c r="Q152" s="79">
        <v>199720.01</v>
      </c>
      <c r="R152" s="79">
        <v>29220.94</v>
      </c>
      <c r="S152" s="79">
        <v>28873.31</v>
      </c>
      <c r="T152" s="79">
        <v>92144.16</v>
      </c>
      <c r="U152" s="79">
        <v>190693.1</v>
      </c>
      <c r="W152" s="76">
        <v>98295</v>
      </c>
      <c r="X152" s="15" t="s">
        <v>10</v>
      </c>
      <c r="Y152" s="79">
        <v>1620.98</v>
      </c>
      <c r="Z152" s="79">
        <v>11.69</v>
      </c>
      <c r="AA152" s="79">
        <v>479.87</v>
      </c>
      <c r="AB152" s="79">
        <v>5697.24</v>
      </c>
      <c r="AC152" s="79">
        <v>3105.14</v>
      </c>
      <c r="AD152" s="79">
        <v>1032.46</v>
      </c>
      <c r="AE152" s="79">
        <v>479.87</v>
      </c>
      <c r="AF152" s="79">
        <v>4810.3099999999904</v>
      </c>
      <c r="AG152" s="79">
        <v>192.84</v>
      </c>
      <c r="AH152" s="79">
        <v>126.91</v>
      </c>
      <c r="AI152" s="79">
        <v>260.77</v>
      </c>
      <c r="AJ152" s="79">
        <v>1817.09</v>
      </c>
      <c r="AV152" s="76" t="s">
        <v>302</v>
      </c>
      <c r="AW152" s="76" t="s">
        <v>352</v>
      </c>
      <c r="AX152" s="33">
        <v>2</v>
      </c>
      <c r="AY152" s="33">
        <v>1</v>
      </c>
      <c r="AZ152" s="33"/>
      <c r="BB152" s="76" t="s">
        <v>302</v>
      </c>
      <c r="BC152" s="76" t="s">
        <v>352</v>
      </c>
      <c r="BD152" s="79">
        <v>150.94</v>
      </c>
      <c r="BE152" s="79">
        <v>1292.44</v>
      </c>
      <c r="BF152" s="79"/>
      <c r="BH152" s="76">
        <v>98312</v>
      </c>
      <c r="BI152" s="76" t="s">
        <v>352</v>
      </c>
      <c r="BJ152" s="79">
        <v>-415.66</v>
      </c>
      <c r="BK152" s="79"/>
      <c r="BL152" s="79"/>
    </row>
    <row r="153" spans="2:64" x14ac:dyDescent="0.2">
      <c r="B153" s="59">
        <v>98118</v>
      </c>
      <c r="C153" s="38" t="s">
        <v>10</v>
      </c>
      <c r="D153" s="48">
        <v>1600</v>
      </c>
      <c r="E153" s="48">
        <v>1593</v>
      </c>
      <c r="F153" s="48">
        <v>1569</v>
      </c>
      <c r="H153" s="76">
        <v>98118</v>
      </c>
      <c r="I153" s="76" t="s">
        <v>352</v>
      </c>
      <c r="J153" s="79">
        <v>28625.279999999999</v>
      </c>
      <c r="K153" s="79">
        <v>11599.32</v>
      </c>
      <c r="L153" s="79">
        <v>47214.97</v>
      </c>
      <c r="M153" s="79">
        <v>116648.61</v>
      </c>
      <c r="N153" s="79">
        <v>12188.31</v>
      </c>
      <c r="O153" s="79">
        <v>10581.1</v>
      </c>
      <c r="P153" s="79">
        <v>51716.049999999901</v>
      </c>
      <c r="Q153" s="79">
        <v>116192.68</v>
      </c>
      <c r="R153" s="79">
        <v>9402.77</v>
      </c>
      <c r="S153" s="79">
        <v>8877</v>
      </c>
      <c r="T153" s="79">
        <v>53541.32</v>
      </c>
      <c r="U153" s="79">
        <v>94176.83</v>
      </c>
      <c r="W153" s="76">
        <v>98296</v>
      </c>
      <c r="X153" s="15" t="s">
        <v>10</v>
      </c>
      <c r="Y153" s="79">
        <v>1335.05</v>
      </c>
      <c r="Z153" s="79">
        <v>906.43</v>
      </c>
      <c r="AA153" s="79">
        <v>1484.56</v>
      </c>
      <c r="AB153" s="79">
        <v>5649.16</v>
      </c>
      <c r="AC153" s="79">
        <v>1239.48</v>
      </c>
      <c r="AD153" s="79">
        <v>1257.44</v>
      </c>
      <c r="AE153" s="79">
        <v>2293.71</v>
      </c>
      <c r="AF153" s="79">
        <v>5828.2</v>
      </c>
      <c r="AG153" s="79">
        <v>544.45000000000005</v>
      </c>
      <c r="AH153" s="79">
        <v>433.6</v>
      </c>
      <c r="AI153" s="79">
        <v>776</v>
      </c>
      <c r="AJ153" s="79">
        <v>2428.19</v>
      </c>
      <c r="AV153" s="76" t="s">
        <v>302</v>
      </c>
      <c r="AW153" s="76" t="s">
        <v>10</v>
      </c>
      <c r="AX153" s="33">
        <v>12</v>
      </c>
      <c r="AY153" s="33">
        <v>7</v>
      </c>
      <c r="AZ153" s="33">
        <v>11</v>
      </c>
      <c r="BB153" s="76" t="s">
        <v>302</v>
      </c>
      <c r="BC153" s="76" t="s">
        <v>10</v>
      </c>
      <c r="BD153" s="79">
        <v>2906.02</v>
      </c>
      <c r="BE153" s="79">
        <v>1239.67</v>
      </c>
      <c r="BF153" s="79">
        <v>2744.1</v>
      </c>
      <c r="BH153" s="76">
        <v>98312</v>
      </c>
      <c r="BI153" s="76" t="s">
        <v>10</v>
      </c>
      <c r="BJ153" s="79">
        <v>-1747.16</v>
      </c>
      <c r="BK153" s="79">
        <v>-806.67</v>
      </c>
      <c r="BL153" s="79">
        <v>-338.93</v>
      </c>
    </row>
    <row r="154" spans="2:64" x14ac:dyDescent="0.2">
      <c r="B154" s="86">
        <v>98119</v>
      </c>
      <c r="C154" s="38" t="s">
        <v>352</v>
      </c>
      <c r="D154" s="48">
        <v>30</v>
      </c>
      <c r="E154" s="48">
        <v>51</v>
      </c>
      <c r="F154" s="48">
        <v>33</v>
      </c>
      <c r="H154" s="76">
        <v>98118</v>
      </c>
      <c r="I154" s="76" t="s">
        <v>10</v>
      </c>
      <c r="J154" s="79">
        <v>103763.81</v>
      </c>
      <c r="K154" s="79">
        <v>71065.3</v>
      </c>
      <c r="L154" s="79">
        <v>214025.18</v>
      </c>
      <c r="M154" s="79">
        <v>529642.03999999899</v>
      </c>
      <c r="N154" s="79">
        <v>81607.460000000006</v>
      </c>
      <c r="O154" s="79">
        <v>75907.259999999995</v>
      </c>
      <c r="P154" s="79">
        <v>234835.84</v>
      </c>
      <c r="Q154" s="79">
        <v>514833.37999999902</v>
      </c>
      <c r="R154" s="79">
        <v>73128.600000000006</v>
      </c>
      <c r="S154" s="79">
        <v>59664.12</v>
      </c>
      <c r="T154" s="79">
        <v>261776.49999999901</v>
      </c>
      <c r="U154" s="79">
        <v>482894.11</v>
      </c>
      <c r="W154" s="76">
        <v>98310</v>
      </c>
      <c r="X154" s="15" t="s">
        <v>10</v>
      </c>
      <c r="Y154" s="79">
        <v>33694.81</v>
      </c>
      <c r="Z154" s="79">
        <v>30297.23</v>
      </c>
      <c r="AA154" s="79">
        <v>72627.83</v>
      </c>
      <c r="AB154" s="79">
        <v>175224.29</v>
      </c>
      <c r="AC154" s="79">
        <v>31934.42</v>
      </c>
      <c r="AD154" s="79">
        <v>27930.38</v>
      </c>
      <c r="AE154" s="79">
        <v>81523.539999999994</v>
      </c>
      <c r="AF154" s="79">
        <v>177557.25</v>
      </c>
      <c r="AG154" s="79">
        <v>29079.57</v>
      </c>
      <c r="AH154" s="79">
        <v>27684.22</v>
      </c>
      <c r="AI154" s="79">
        <v>83588.59</v>
      </c>
      <c r="AJ154" s="79">
        <v>167609.519999999</v>
      </c>
      <c r="AV154" s="76" t="s">
        <v>303</v>
      </c>
      <c r="AW154" s="76" t="s">
        <v>10</v>
      </c>
      <c r="AX154" s="33"/>
      <c r="AY154" s="33">
        <v>1</v>
      </c>
      <c r="AZ154" s="33"/>
      <c r="BB154" s="76" t="s">
        <v>303</v>
      </c>
      <c r="BC154" s="76" t="s">
        <v>10</v>
      </c>
      <c r="BD154" s="79"/>
      <c r="BE154" s="79">
        <v>1370.72</v>
      </c>
      <c r="BF154" s="79"/>
      <c r="BH154" s="76">
        <v>98321</v>
      </c>
      <c r="BI154" s="76" t="s">
        <v>10</v>
      </c>
      <c r="BJ154" s="79"/>
      <c r="BK154" s="79">
        <v>-300</v>
      </c>
      <c r="BL154" s="79"/>
    </row>
    <row r="155" spans="2:64" x14ac:dyDescent="0.2">
      <c r="B155" s="59">
        <v>98119</v>
      </c>
      <c r="C155" s="38" t="s">
        <v>10</v>
      </c>
      <c r="D155" s="48">
        <v>501</v>
      </c>
      <c r="E155" s="48">
        <v>528</v>
      </c>
      <c r="F155" s="48">
        <v>501</v>
      </c>
      <c r="H155" s="76">
        <v>98119</v>
      </c>
      <c r="I155" s="76" t="s">
        <v>352</v>
      </c>
      <c r="J155" s="79">
        <v>13804.5</v>
      </c>
      <c r="K155" s="79">
        <v>6637.32</v>
      </c>
      <c r="L155" s="79">
        <v>3009.68</v>
      </c>
      <c r="M155" s="79">
        <v>54993.47</v>
      </c>
      <c r="N155" s="79">
        <v>4330.4799999999996</v>
      </c>
      <c r="O155" s="79">
        <v>384.77</v>
      </c>
      <c r="P155" s="79">
        <v>3309.15</v>
      </c>
      <c r="Q155" s="79">
        <v>76601.48</v>
      </c>
      <c r="R155" s="79">
        <v>2865.44</v>
      </c>
      <c r="S155" s="79">
        <v>857.13</v>
      </c>
      <c r="T155" s="79">
        <v>1698.8899999999901</v>
      </c>
      <c r="U155" s="79">
        <v>17864.07</v>
      </c>
      <c r="W155" s="76">
        <v>98311</v>
      </c>
      <c r="X155" s="15" t="s">
        <v>10</v>
      </c>
      <c r="Y155" s="79">
        <v>35129.760000000002</v>
      </c>
      <c r="Z155" s="79">
        <v>30100.2</v>
      </c>
      <c r="AA155" s="79">
        <v>94221.53</v>
      </c>
      <c r="AB155" s="79">
        <v>201058.44999999899</v>
      </c>
      <c r="AC155" s="79">
        <v>34794.269999999997</v>
      </c>
      <c r="AD155" s="79">
        <v>29580.07</v>
      </c>
      <c r="AE155" s="79">
        <v>112496.61999999901</v>
      </c>
      <c r="AF155" s="79">
        <v>216984.68999999901</v>
      </c>
      <c r="AG155" s="79">
        <v>32651.78</v>
      </c>
      <c r="AH155" s="79">
        <v>30244</v>
      </c>
      <c r="AI155" s="79">
        <v>119051.94</v>
      </c>
      <c r="AJ155" s="79">
        <v>212549.22</v>
      </c>
      <c r="AV155" s="76" t="s">
        <v>304</v>
      </c>
      <c r="AW155" s="76" t="s">
        <v>352</v>
      </c>
      <c r="AX155" s="33"/>
      <c r="AY155" s="33">
        <v>2</v>
      </c>
      <c r="AZ155" s="33">
        <v>1</v>
      </c>
      <c r="BB155" s="76" t="s">
        <v>304</v>
      </c>
      <c r="BC155" s="76" t="s">
        <v>352</v>
      </c>
      <c r="BD155" s="79"/>
      <c r="BE155" s="79">
        <v>553.98</v>
      </c>
      <c r="BF155" s="79"/>
      <c r="BH155" s="76">
        <v>98323</v>
      </c>
      <c r="BI155" s="76" t="s">
        <v>10</v>
      </c>
      <c r="BJ155" s="79">
        <v>-245.09</v>
      </c>
      <c r="BK155" s="79"/>
      <c r="BL155" s="79"/>
    </row>
    <row r="156" spans="2:64" x14ac:dyDescent="0.2">
      <c r="B156" s="86">
        <v>98121</v>
      </c>
      <c r="C156" s="38" t="s">
        <v>352</v>
      </c>
      <c r="D156" s="48">
        <v>48</v>
      </c>
      <c r="E156" s="48">
        <v>60</v>
      </c>
      <c r="F156" s="48">
        <v>57</v>
      </c>
      <c r="H156" s="76">
        <v>98119</v>
      </c>
      <c r="I156" s="76" t="s">
        <v>10</v>
      </c>
      <c r="J156" s="79">
        <v>23159.51</v>
      </c>
      <c r="K156" s="79">
        <v>19996.82</v>
      </c>
      <c r="L156" s="79">
        <v>38061.440000000002</v>
      </c>
      <c r="M156" s="79">
        <v>118099.24</v>
      </c>
      <c r="N156" s="79">
        <v>19352.5</v>
      </c>
      <c r="O156" s="79">
        <v>14981.67</v>
      </c>
      <c r="P156" s="79">
        <v>45516.480000000003</v>
      </c>
      <c r="Q156" s="79">
        <v>111504.25</v>
      </c>
      <c r="R156" s="79">
        <v>15602.8</v>
      </c>
      <c r="S156" s="79">
        <v>13717.37</v>
      </c>
      <c r="T156" s="79">
        <v>51381.91</v>
      </c>
      <c r="U156" s="79">
        <v>103527.67999999999</v>
      </c>
      <c r="W156" s="76">
        <v>98312</v>
      </c>
      <c r="X156" s="15" t="s">
        <v>10</v>
      </c>
      <c r="Y156" s="79">
        <v>58778.39</v>
      </c>
      <c r="Z156" s="79">
        <v>53781.83</v>
      </c>
      <c r="AA156" s="79">
        <v>89984.74</v>
      </c>
      <c r="AB156" s="79">
        <v>272709.93999999901</v>
      </c>
      <c r="AC156" s="79">
        <v>56243.58</v>
      </c>
      <c r="AD156" s="79">
        <v>46346.38</v>
      </c>
      <c r="AE156" s="79">
        <v>113470.129999999</v>
      </c>
      <c r="AF156" s="79">
        <v>273165.489999999</v>
      </c>
      <c r="AG156" s="79">
        <v>48505.43</v>
      </c>
      <c r="AH156" s="79">
        <v>48176.08</v>
      </c>
      <c r="AI156" s="79">
        <v>137134.35999999999</v>
      </c>
      <c r="AJ156" s="79">
        <v>289861.48</v>
      </c>
      <c r="AV156" s="76" t="s">
        <v>304</v>
      </c>
      <c r="AW156" s="76" t="s">
        <v>10</v>
      </c>
      <c r="AX156" s="33">
        <v>5</v>
      </c>
      <c r="AY156" s="33">
        <v>5</v>
      </c>
      <c r="AZ156" s="33">
        <v>6</v>
      </c>
      <c r="BB156" s="76" t="s">
        <v>304</v>
      </c>
      <c r="BC156" s="76" t="s">
        <v>10</v>
      </c>
      <c r="BD156" s="79">
        <v>1970.08</v>
      </c>
      <c r="BE156" s="79">
        <v>1254.07</v>
      </c>
      <c r="BF156" s="79">
        <v>761.72</v>
      </c>
      <c r="BH156" s="76">
        <v>98327</v>
      </c>
      <c r="BI156" s="76" t="s">
        <v>10</v>
      </c>
      <c r="BJ156" s="79">
        <v>-202.72</v>
      </c>
      <c r="BK156" s="79">
        <v>-344.15</v>
      </c>
      <c r="BL156" s="79">
        <v>-266.81</v>
      </c>
    </row>
    <row r="157" spans="2:64" x14ac:dyDescent="0.2">
      <c r="B157" s="59">
        <v>98121</v>
      </c>
      <c r="C157" s="38" t="s">
        <v>10</v>
      </c>
      <c r="D157" s="48">
        <v>132</v>
      </c>
      <c r="E157" s="48">
        <v>129</v>
      </c>
      <c r="F157" s="48">
        <v>112</v>
      </c>
      <c r="H157" s="76">
        <v>98121</v>
      </c>
      <c r="I157" s="76" t="s">
        <v>352</v>
      </c>
      <c r="J157" s="79">
        <v>10388.02</v>
      </c>
      <c r="K157" s="79">
        <v>4455.63</v>
      </c>
      <c r="L157" s="79">
        <v>35347.64</v>
      </c>
      <c r="M157" s="79">
        <v>74148.289999999994</v>
      </c>
      <c r="N157" s="79">
        <v>7821.2</v>
      </c>
      <c r="O157" s="79">
        <v>6046.29</v>
      </c>
      <c r="P157" s="79">
        <v>37653.75</v>
      </c>
      <c r="Q157" s="79">
        <v>104253.50999999901</v>
      </c>
      <c r="R157" s="79">
        <v>7618.49</v>
      </c>
      <c r="S157" s="79">
        <v>2633.81</v>
      </c>
      <c r="T157" s="79">
        <v>36256.14</v>
      </c>
      <c r="U157" s="79">
        <v>87924.67</v>
      </c>
      <c r="W157" s="76">
        <v>98321</v>
      </c>
      <c r="X157" s="15" t="s">
        <v>10</v>
      </c>
      <c r="Y157" s="79">
        <v>22583.72</v>
      </c>
      <c r="Z157" s="79">
        <v>17571.09</v>
      </c>
      <c r="AA157" s="79">
        <v>26795.11</v>
      </c>
      <c r="AB157" s="79">
        <v>88902.97</v>
      </c>
      <c r="AC157" s="79">
        <v>16778.36</v>
      </c>
      <c r="AD157" s="79">
        <v>17416.669999999998</v>
      </c>
      <c r="AE157" s="79">
        <v>35465.879999999997</v>
      </c>
      <c r="AF157" s="79">
        <v>89581.42</v>
      </c>
      <c r="AG157" s="79">
        <v>15465.03</v>
      </c>
      <c r="AH157" s="79">
        <v>13312.95</v>
      </c>
      <c r="AI157" s="79">
        <v>40602.07</v>
      </c>
      <c r="AJ157" s="79">
        <v>85655.039999999906</v>
      </c>
      <c r="AV157" s="76" t="s">
        <v>305</v>
      </c>
      <c r="AW157" s="76" t="s">
        <v>10</v>
      </c>
      <c r="AX157" s="33">
        <v>17</v>
      </c>
      <c r="AY157" s="33">
        <v>9</v>
      </c>
      <c r="AZ157" s="33">
        <v>10</v>
      </c>
      <c r="BB157" s="76" t="s">
        <v>305</v>
      </c>
      <c r="BC157" s="76" t="s">
        <v>10</v>
      </c>
      <c r="BD157" s="79">
        <v>1148.6099999999999</v>
      </c>
      <c r="BE157" s="79">
        <v>3573.04</v>
      </c>
      <c r="BF157" s="79">
        <v>1743.23</v>
      </c>
      <c r="BH157" s="76">
        <v>98335</v>
      </c>
      <c r="BI157" s="76" t="s">
        <v>10</v>
      </c>
      <c r="BJ157" s="79">
        <v>-235</v>
      </c>
      <c r="BK157" s="79"/>
      <c r="BL157" s="79"/>
    </row>
    <row r="158" spans="2:64" x14ac:dyDescent="0.2">
      <c r="B158" s="86">
        <v>98122</v>
      </c>
      <c r="C158" s="38" t="s">
        <v>352</v>
      </c>
      <c r="D158" s="48">
        <v>118</v>
      </c>
      <c r="E158" s="48">
        <v>118</v>
      </c>
      <c r="F158" s="48">
        <v>114</v>
      </c>
      <c r="H158" s="76">
        <v>98121</v>
      </c>
      <c r="I158" s="76" t="s">
        <v>10</v>
      </c>
      <c r="J158" s="79">
        <v>9117.2800000000007</v>
      </c>
      <c r="K158" s="79">
        <v>1864.47</v>
      </c>
      <c r="L158" s="79">
        <v>8612.8700000000008</v>
      </c>
      <c r="M158" s="79">
        <v>29888.44</v>
      </c>
      <c r="N158" s="79">
        <v>7983.4</v>
      </c>
      <c r="O158" s="79">
        <v>7648.26</v>
      </c>
      <c r="P158" s="79">
        <v>7995.0499999999902</v>
      </c>
      <c r="Q158" s="79">
        <v>34862.769999999997</v>
      </c>
      <c r="R158" s="79">
        <v>5724.6</v>
      </c>
      <c r="S158" s="79">
        <v>4015.34</v>
      </c>
      <c r="T158" s="79">
        <v>10511.07</v>
      </c>
      <c r="U158" s="79">
        <v>27578.869999999901</v>
      </c>
      <c r="W158" s="76">
        <v>98323</v>
      </c>
      <c r="X158" s="15" t="s">
        <v>10</v>
      </c>
      <c r="Y158" s="79"/>
      <c r="Z158" s="79">
        <v>1184.98</v>
      </c>
      <c r="AA158" s="79">
        <v>328.78</v>
      </c>
      <c r="AB158" s="79">
        <v>3444.25</v>
      </c>
      <c r="AC158" s="79">
        <v>1267.02</v>
      </c>
      <c r="AD158" s="79"/>
      <c r="AE158" s="79">
        <v>1513.76</v>
      </c>
      <c r="AF158" s="79">
        <v>2780.78</v>
      </c>
      <c r="AG158" s="79"/>
      <c r="AH158" s="79">
        <v>53.72</v>
      </c>
      <c r="AI158" s="79"/>
      <c r="AJ158" s="79">
        <v>829.11</v>
      </c>
      <c r="AV158" s="76" t="s">
        <v>306</v>
      </c>
      <c r="AW158" s="76" t="s">
        <v>352</v>
      </c>
      <c r="AX158" s="33"/>
      <c r="AY158" s="33"/>
      <c r="AZ158" s="33">
        <v>1</v>
      </c>
      <c r="BB158" s="76" t="s">
        <v>306</v>
      </c>
      <c r="BC158" s="76" t="s">
        <v>352</v>
      </c>
      <c r="BD158" s="79"/>
      <c r="BE158" s="79"/>
      <c r="BF158" s="79">
        <v>6708.15</v>
      </c>
      <c r="BH158" s="76">
        <v>98337</v>
      </c>
      <c r="BI158" s="76" t="s">
        <v>352</v>
      </c>
      <c r="BJ158" s="79">
        <v>-712.35</v>
      </c>
      <c r="BK158" s="79"/>
      <c r="BL158" s="79"/>
    </row>
    <row r="159" spans="2:64" x14ac:dyDescent="0.2">
      <c r="B159" s="59">
        <v>98122</v>
      </c>
      <c r="C159" s="38" t="s">
        <v>10</v>
      </c>
      <c r="D159" s="48">
        <v>1357</v>
      </c>
      <c r="E159" s="48">
        <v>1313</v>
      </c>
      <c r="F159" s="48">
        <v>1360</v>
      </c>
      <c r="H159" s="76">
        <v>98122</v>
      </c>
      <c r="I159" s="76" t="s">
        <v>352</v>
      </c>
      <c r="J159" s="79">
        <v>27015.439999999999</v>
      </c>
      <c r="K159" s="79">
        <v>8219.81</v>
      </c>
      <c r="L159" s="79">
        <v>47803.49</v>
      </c>
      <c r="M159" s="79">
        <v>133867.79</v>
      </c>
      <c r="N159" s="79">
        <v>16616.439999999999</v>
      </c>
      <c r="O159" s="79">
        <v>9374.7199999999993</v>
      </c>
      <c r="P159" s="79">
        <v>49279.93</v>
      </c>
      <c r="Q159" s="79">
        <v>132865.46</v>
      </c>
      <c r="R159" s="79">
        <v>12341.18</v>
      </c>
      <c r="S159" s="79">
        <v>5873.8</v>
      </c>
      <c r="T159" s="79">
        <v>52068.25</v>
      </c>
      <c r="U159" s="79">
        <v>112708.18</v>
      </c>
      <c r="W159" s="76">
        <v>98327</v>
      </c>
      <c r="X159" s="15" t="s">
        <v>10</v>
      </c>
      <c r="Y159" s="79">
        <v>3349.24</v>
      </c>
      <c r="Z159" s="79">
        <v>3392.09</v>
      </c>
      <c r="AA159" s="79">
        <v>2629.51999999999</v>
      </c>
      <c r="AB159" s="79">
        <v>12613.75</v>
      </c>
      <c r="AC159" s="79">
        <v>2673.02</v>
      </c>
      <c r="AD159" s="79">
        <v>3105.24</v>
      </c>
      <c r="AE159" s="79">
        <v>5008.3999999999996</v>
      </c>
      <c r="AF159" s="79">
        <v>13800.359999999901</v>
      </c>
      <c r="AG159" s="79">
        <v>1764.42</v>
      </c>
      <c r="AH159" s="79">
        <v>1989.67</v>
      </c>
      <c r="AI159" s="79">
        <v>5282.56</v>
      </c>
      <c r="AJ159" s="79">
        <v>11275.37</v>
      </c>
      <c r="AV159" s="76" t="s">
        <v>306</v>
      </c>
      <c r="AW159" s="76" t="s">
        <v>10</v>
      </c>
      <c r="AX159" s="33">
        <v>6</v>
      </c>
      <c r="AY159" s="33">
        <v>4</v>
      </c>
      <c r="AZ159" s="33">
        <v>6</v>
      </c>
      <c r="BB159" s="76" t="s">
        <v>306</v>
      </c>
      <c r="BC159" s="76" t="s">
        <v>10</v>
      </c>
      <c r="BD159" s="79">
        <v>1041.45</v>
      </c>
      <c r="BE159" s="79">
        <v>586.97</v>
      </c>
      <c r="BF159" s="79">
        <v>1867</v>
      </c>
      <c r="BH159" s="76">
        <v>98337</v>
      </c>
      <c r="BI159" s="76" t="s">
        <v>10</v>
      </c>
      <c r="BJ159" s="79">
        <v>-79.61</v>
      </c>
      <c r="BK159" s="79">
        <v>-92.86</v>
      </c>
      <c r="BL159" s="79"/>
    </row>
    <row r="160" spans="2:64" x14ac:dyDescent="0.2">
      <c r="B160" s="86">
        <v>98125</v>
      </c>
      <c r="C160" s="38" t="s">
        <v>352</v>
      </c>
      <c r="D160" s="48">
        <v>37</v>
      </c>
      <c r="E160" s="48">
        <v>21</v>
      </c>
      <c r="F160" s="48">
        <v>28</v>
      </c>
      <c r="H160" s="76">
        <v>98122</v>
      </c>
      <c r="I160" s="76" t="s">
        <v>10</v>
      </c>
      <c r="J160" s="79">
        <v>50534.01</v>
      </c>
      <c r="K160" s="79">
        <v>39895.31</v>
      </c>
      <c r="L160" s="79">
        <v>123862.33999999901</v>
      </c>
      <c r="M160" s="79">
        <v>303280.88999999902</v>
      </c>
      <c r="N160" s="79">
        <v>48955.66</v>
      </c>
      <c r="O160" s="79">
        <v>37933.199999999997</v>
      </c>
      <c r="P160" s="79">
        <v>144374.149999999</v>
      </c>
      <c r="Q160" s="79">
        <v>308479.609999999</v>
      </c>
      <c r="R160" s="79">
        <v>42864.1</v>
      </c>
      <c r="S160" s="79">
        <v>37450.46</v>
      </c>
      <c r="T160" s="79">
        <v>161187.99999999901</v>
      </c>
      <c r="U160" s="79">
        <v>304591.87</v>
      </c>
      <c r="W160" s="76">
        <v>98328</v>
      </c>
      <c r="X160" s="15" t="s">
        <v>10</v>
      </c>
      <c r="Y160" s="79">
        <v>2946.94</v>
      </c>
      <c r="Z160" s="79">
        <v>2333.9699999999998</v>
      </c>
      <c r="AA160" s="79"/>
      <c r="AB160" s="79">
        <v>5780.8499999999904</v>
      </c>
      <c r="AC160" s="79">
        <v>499.94</v>
      </c>
      <c r="AD160" s="79">
        <v>2756.55</v>
      </c>
      <c r="AE160" s="79">
        <v>1790.53</v>
      </c>
      <c r="AF160" s="79">
        <v>5047.0200000000004</v>
      </c>
      <c r="AG160" s="79"/>
      <c r="AH160" s="79">
        <v>166.64</v>
      </c>
      <c r="AI160" s="79">
        <v>3847.08</v>
      </c>
      <c r="AJ160" s="79">
        <v>6096.51</v>
      </c>
      <c r="AV160" s="76" t="s">
        <v>148</v>
      </c>
      <c r="AW160" s="76" t="s">
        <v>352</v>
      </c>
      <c r="AX160" s="33"/>
      <c r="AY160" s="33">
        <v>1</v>
      </c>
      <c r="AZ160" s="33">
        <v>1</v>
      </c>
      <c r="BB160" s="76" t="s">
        <v>148</v>
      </c>
      <c r="BC160" s="76" t="s">
        <v>352</v>
      </c>
      <c r="BD160" s="79"/>
      <c r="BE160" s="79">
        <v>2713.4</v>
      </c>
      <c r="BF160" s="79">
        <v>39.94</v>
      </c>
      <c r="BH160" s="76">
        <v>98338</v>
      </c>
      <c r="BI160" s="76" t="s">
        <v>352</v>
      </c>
      <c r="BJ160" s="79">
        <v>-2199.3200000000002</v>
      </c>
      <c r="BK160" s="79">
        <v>-2199.3200000000002</v>
      </c>
      <c r="BL160" s="79">
        <v>-230.82</v>
      </c>
    </row>
    <row r="161" spans="2:64" x14ac:dyDescent="0.2">
      <c r="B161" s="59">
        <v>98125</v>
      </c>
      <c r="C161" s="38" t="s">
        <v>10</v>
      </c>
      <c r="D161" s="48">
        <v>552</v>
      </c>
      <c r="E161" s="48">
        <v>536</v>
      </c>
      <c r="F161" s="48">
        <v>568</v>
      </c>
      <c r="H161" s="76">
        <v>98125</v>
      </c>
      <c r="I161" s="76" t="s">
        <v>352</v>
      </c>
      <c r="J161" s="79">
        <v>8983.2000000000007</v>
      </c>
      <c r="K161" s="79">
        <v>791.88</v>
      </c>
      <c r="L161" s="79">
        <v>23873.64</v>
      </c>
      <c r="M161" s="79">
        <v>52106.58</v>
      </c>
      <c r="N161" s="79">
        <v>2429.85</v>
      </c>
      <c r="O161" s="79">
        <v>1393.34</v>
      </c>
      <c r="P161" s="79">
        <v>19837.459999999901</v>
      </c>
      <c r="Q161" s="79">
        <v>30464.91</v>
      </c>
      <c r="R161" s="79">
        <v>1858</v>
      </c>
      <c r="S161" s="79">
        <v>1232.01</v>
      </c>
      <c r="T161" s="79">
        <v>25479.929999999898</v>
      </c>
      <c r="U161" s="79">
        <v>36220.839999999997</v>
      </c>
      <c r="W161" s="76">
        <v>98332</v>
      </c>
      <c r="X161" s="15" t="s">
        <v>10</v>
      </c>
      <c r="Y161" s="79">
        <v>741.21</v>
      </c>
      <c r="Z161" s="79">
        <v>1288.19</v>
      </c>
      <c r="AA161" s="79">
        <v>743</v>
      </c>
      <c r="AB161" s="79">
        <v>3579.8</v>
      </c>
      <c r="AC161" s="79">
        <v>689.99</v>
      </c>
      <c r="AD161" s="79">
        <v>713.2</v>
      </c>
      <c r="AE161" s="79">
        <v>1767.36</v>
      </c>
      <c r="AF161" s="79">
        <v>3822.3199999999902</v>
      </c>
      <c r="AG161" s="79">
        <v>651.77</v>
      </c>
      <c r="AH161" s="79">
        <v>639.30999999999995</v>
      </c>
      <c r="AI161" s="79">
        <v>2221.56</v>
      </c>
      <c r="AJ161" s="79">
        <v>4279.54</v>
      </c>
      <c r="AV161" s="76" t="s">
        <v>148</v>
      </c>
      <c r="AW161" s="76" t="s">
        <v>10</v>
      </c>
      <c r="AX161" s="33">
        <v>17</v>
      </c>
      <c r="AY161" s="33">
        <v>2</v>
      </c>
      <c r="AZ161" s="33">
        <v>3</v>
      </c>
      <c r="BB161" s="76" t="s">
        <v>148</v>
      </c>
      <c r="BC161" s="76" t="s">
        <v>10</v>
      </c>
      <c r="BD161" s="79">
        <v>4397.8500000000004</v>
      </c>
      <c r="BE161" s="79">
        <v>2677.24</v>
      </c>
      <c r="BF161" s="79">
        <v>2908.75</v>
      </c>
      <c r="BH161" s="76">
        <v>98338</v>
      </c>
      <c r="BI161" s="76" t="s">
        <v>10</v>
      </c>
      <c r="BJ161" s="79">
        <v>-88.92</v>
      </c>
      <c r="BK161" s="79"/>
      <c r="BL161" s="79">
        <v>-40</v>
      </c>
    </row>
    <row r="162" spans="2:64" x14ac:dyDescent="0.2">
      <c r="B162" s="86">
        <v>98126</v>
      </c>
      <c r="C162" s="38" t="s">
        <v>352</v>
      </c>
      <c r="D162" s="48">
        <v>25</v>
      </c>
      <c r="E162" s="48">
        <v>19</v>
      </c>
      <c r="F162" s="48">
        <v>18</v>
      </c>
      <c r="H162" s="76">
        <v>98125</v>
      </c>
      <c r="I162" s="76" t="s">
        <v>10</v>
      </c>
      <c r="J162" s="79">
        <v>37361.339999999997</v>
      </c>
      <c r="K162" s="79">
        <v>26918.400000000001</v>
      </c>
      <c r="L162" s="79">
        <v>61037.799999999901</v>
      </c>
      <c r="M162" s="79">
        <v>178751.06999999899</v>
      </c>
      <c r="N162" s="79">
        <v>32337.01</v>
      </c>
      <c r="O162" s="79">
        <v>28707.59</v>
      </c>
      <c r="P162" s="79">
        <v>68671.779999999897</v>
      </c>
      <c r="Q162" s="79">
        <v>171049.97999999899</v>
      </c>
      <c r="R162" s="79">
        <v>25389.56</v>
      </c>
      <c r="S162" s="79">
        <v>24259.68</v>
      </c>
      <c r="T162" s="79">
        <v>77441.36</v>
      </c>
      <c r="U162" s="79">
        <v>164347.18</v>
      </c>
      <c r="W162" s="76">
        <v>98335</v>
      </c>
      <c r="X162" s="15" t="s">
        <v>10</v>
      </c>
      <c r="Y162" s="79">
        <v>2612.67</v>
      </c>
      <c r="Z162" s="79">
        <v>2859.51</v>
      </c>
      <c r="AA162" s="79">
        <v>3478.0699999999902</v>
      </c>
      <c r="AB162" s="79">
        <v>12901.029999999901</v>
      </c>
      <c r="AC162" s="79">
        <v>3056.31</v>
      </c>
      <c r="AD162" s="79">
        <v>2502.9</v>
      </c>
      <c r="AE162" s="79">
        <v>5835.94</v>
      </c>
      <c r="AF162" s="79">
        <v>14462.69</v>
      </c>
      <c r="AG162" s="79">
        <v>2547.8200000000002</v>
      </c>
      <c r="AH162" s="79">
        <v>2493.33</v>
      </c>
      <c r="AI162" s="79">
        <v>6754.21</v>
      </c>
      <c r="AJ162" s="79">
        <v>14398.06</v>
      </c>
      <c r="AV162" s="76" t="s">
        <v>149</v>
      </c>
      <c r="AW162" s="76" t="s">
        <v>352</v>
      </c>
      <c r="AX162" s="33"/>
      <c r="AY162" s="33"/>
      <c r="AZ162" s="33">
        <v>1</v>
      </c>
      <c r="BB162" s="76" t="s">
        <v>149</v>
      </c>
      <c r="BC162" s="76" t="s">
        <v>352</v>
      </c>
      <c r="BD162" s="79"/>
      <c r="BE162" s="79"/>
      <c r="BF162" s="79">
        <v>1232.1500000000001</v>
      </c>
      <c r="BH162" s="76">
        <v>98346</v>
      </c>
      <c r="BI162" s="76" t="s">
        <v>352</v>
      </c>
      <c r="BJ162" s="79">
        <v>-1000</v>
      </c>
      <c r="BK162" s="79">
        <v>-1000</v>
      </c>
      <c r="BL162" s="79">
        <v>-1000</v>
      </c>
    </row>
    <row r="163" spans="2:64" x14ac:dyDescent="0.2">
      <c r="B163" s="59">
        <v>98126</v>
      </c>
      <c r="C163" s="38" t="s">
        <v>10</v>
      </c>
      <c r="D163" s="48">
        <v>710</v>
      </c>
      <c r="E163" s="48">
        <v>715</v>
      </c>
      <c r="F163" s="48">
        <v>720</v>
      </c>
      <c r="H163" s="76">
        <v>98126</v>
      </c>
      <c r="I163" s="76" t="s">
        <v>352</v>
      </c>
      <c r="J163" s="79">
        <v>7638.99</v>
      </c>
      <c r="K163" s="79">
        <v>2746.31</v>
      </c>
      <c r="L163" s="79">
        <v>15432.64</v>
      </c>
      <c r="M163" s="79">
        <v>34955.82</v>
      </c>
      <c r="N163" s="79">
        <v>2660.74</v>
      </c>
      <c r="O163" s="79">
        <v>2137.9499999999998</v>
      </c>
      <c r="P163" s="79">
        <v>17641.64</v>
      </c>
      <c r="Q163" s="79">
        <v>39266.78</v>
      </c>
      <c r="R163" s="79">
        <v>1896.92</v>
      </c>
      <c r="S163" s="79">
        <v>2364.54</v>
      </c>
      <c r="T163" s="79">
        <v>19275.73</v>
      </c>
      <c r="U163" s="79">
        <v>28627.2399999999</v>
      </c>
      <c r="W163" s="76">
        <v>98337</v>
      </c>
      <c r="X163" s="15" t="s">
        <v>10</v>
      </c>
      <c r="Y163" s="79">
        <v>12501.15</v>
      </c>
      <c r="Z163" s="79">
        <v>12640.07</v>
      </c>
      <c r="AA163" s="79">
        <v>24494.6899999999</v>
      </c>
      <c r="AB163" s="79">
        <v>63051.28</v>
      </c>
      <c r="AC163" s="79">
        <v>11945.75</v>
      </c>
      <c r="AD163" s="79">
        <v>10848.07</v>
      </c>
      <c r="AE163" s="79">
        <v>26185.42</v>
      </c>
      <c r="AF163" s="79">
        <v>61695.519999999997</v>
      </c>
      <c r="AG163" s="79">
        <v>10658.94</v>
      </c>
      <c r="AH163" s="79">
        <v>10229.48</v>
      </c>
      <c r="AI163" s="79">
        <v>29411.029999999901</v>
      </c>
      <c r="AJ163" s="79">
        <v>60551.159999999902</v>
      </c>
      <c r="AV163" s="76" t="s">
        <v>149</v>
      </c>
      <c r="AW163" s="76" t="s">
        <v>10</v>
      </c>
      <c r="AX163" s="33">
        <v>8</v>
      </c>
      <c r="AY163" s="33">
        <v>7</v>
      </c>
      <c r="AZ163" s="33">
        <v>9</v>
      </c>
      <c r="BB163" s="76" t="s">
        <v>149</v>
      </c>
      <c r="BC163" s="76" t="s">
        <v>10</v>
      </c>
      <c r="BD163" s="79">
        <v>5374.65</v>
      </c>
      <c r="BE163" s="79">
        <v>4291.71</v>
      </c>
      <c r="BF163" s="79">
        <v>3457.89</v>
      </c>
      <c r="BH163" s="76">
        <v>98346</v>
      </c>
      <c r="BI163" s="76" t="s">
        <v>10</v>
      </c>
      <c r="BJ163" s="79"/>
      <c r="BK163" s="79">
        <v>-84.89</v>
      </c>
      <c r="BL163" s="79"/>
    </row>
    <row r="164" spans="2:64" x14ac:dyDescent="0.2">
      <c r="B164" s="86">
        <v>98133</v>
      </c>
      <c r="C164" s="38" t="s">
        <v>352</v>
      </c>
      <c r="D164" s="48">
        <v>53</v>
      </c>
      <c r="E164" s="48">
        <v>56</v>
      </c>
      <c r="F164" s="48">
        <v>49</v>
      </c>
      <c r="H164" s="76">
        <v>98126</v>
      </c>
      <c r="I164" s="76" t="s">
        <v>10</v>
      </c>
      <c r="J164" s="79">
        <v>37987.870000000003</v>
      </c>
      <c r="K164" s="79">
        <v>31246.43</v>
      </c>
      <c r="L164" s="79">
        <v>73248.45</v>
      </c>
      <c r="M164" s="79">
        <v>205989.81999999899</v>
      </c>
      <c r="N164" s="79">
        <v>43337.69</v>
      </c>
      <c r="O164" s="79">
        <v>28052.29</v>
      </c>
      <c r="P164" s="79">
        <v>86508.4</v>
      </c>
      <c r="Q164" s="79">
        <v>205228.389999999</v>
      </c>
      <c r="R164" s="79">
        <v>34571.949999999997</v>
      </c>
      <c r="S164" s="79">
        <v>33793.089999999997</v>
      </c>
      <c r="T164" s="79">
        <v>97648.49</v>
      </c>
      <c r="U164" s="79">
        <v>204625.01</v>
      </c>
      <c r="W164" s="76">
        <v>98338</v>
      </c>
      <c r="X164" s="15" t="s">
        <v>10</v>
      </c>
      <c r="Y164" s="79">
        <v>20590.57</v>
      </c>
      <c r="Z164" s="79">
        <v>16524.18</v>
      </c>
      <c r="AA164" s="79">
        <v>28177.07</v>
      </c>
      <c r="AB164" s="79">
        <v>85533.38</v>
      </c>
      <c r="AC164" s="79">
        <v>15094.44</v>
      </c>
      <c r="AD164" s="79">
        <v>18472.669999999998</v>
      </c>
      <c r="AE164" s="79">
        <v>39477.24</v>
      </c>
      <c r="AF164" s="79">
        <v>95073.9399999999</v>
      </c>
      <c r="AG164" s="79">
        <v>19387.939999999999</v>
      </c>
      <c r="AH164" s="79">
        <v>13404.31</v>
      </c>
      <c r="AI164" s="79">
        <v>43760.160000000003</v>
      </c>
      <c r="AJ164" s="79">
        <v>91091.11</v>
      </c>
      <c r="AV164" s="76" t="s">
        <v>151</v>
      </c>
      <c r="AW164" s="76" t="s">
        <v>352</v>
      </c>
      <c r="AX164" s="33">
        <v>3</v>
      </c>
      <c r="AY164" s="33">
        <v>3</v>
      </c>
      <c r="AZ164" s="33">
        <v>1</v>
      </c>
      <c r="BB164" s="76" t="s">
        <v>151</v>
      </c>
      <c r="BC164" s="76" t="s">
        <v>352</v>
      </c>
      <c r="BD164" s="79">
        <v>1994.06</v>
      </c>
      <c r="BE164" s="79">
        <v>2744.61</v>
      </c>
      <c r="BF164" s="79">
        <v>553.52</v>
      </c>
      <c r="BH164" s="76">
        <v>98354</v>
      </c>
      <c r="BI164" s="76" t="s">
        <v>10</v>
      </c>
      <c r="BJ164" s="79">
        <v>-25.56</v>
      </c>
      <c r="BK164" s="79"/>
      <c r="BL164" s="79">
        <v>-245.86</v>
      </c>
    </row>
    <row r="165" spans="2:64" x14ac:dyDescent="0.2">
      <c r="B165" s="59">
        <v>98133</v>
      </c>
      <c r="C165" s="38" t="s">
        <v>10</v>
      </c>
      <c r="D165" s="48">
        <v>900</v>
      </c>
      <c r="E165" s="48">
        <v>898</v>
      </c>
      <c r="F165" s="48">
        <v>914</v>
      </c>
      <c r="H165" s="76">
        <v>98133</v>
      </c>
      <c r="I165" s="76" t="s">
        <v>352</v>
      </c>
      <c r="J165" s="79">
        <v>13467.16</v>
      </c>
      <c r="K165" s="79">
        <v>4203.09</v>
      </c>
      <c r="L165" s="79">
        <v>26777.96</v>
      </c>
      <c r="M165" s="79">
        <v>82344.709999999905</v>
      </c>
      <c r="N165" s="79">
        <v>7087.32</v>
      </c>
      <c r="O165" s="79">
        <v>3211.57</v>
      </c>
      <c r="P165" s="79">
        <v>28442.76</v>
      </c>
      <c r="Q165" s="79">
        <v>90314.8299999999</v>
      </c>
      <c r="R165" s="79">
        <v>6602.48</v>
      </c>
      <c r="S165" s="79">
        <v>5188.33</v>
      </c>
      <c r="T165" s="79">
        <v>30121.62</v>
      </c>
      <c r="U165" s="79">
        <v>59580.44</v>
      </c>
      <c r="W165" s="76">
        <v>98340</v>
      </c>
      <c r="X165" s="15" t="s">
        <v>10</v>
      </c>
      <c r="Y165" s="79">
        <v>3625.05</v>
      </c>
      <c r="Z165" s="79">
        <v>1462.79</v>
      </c>
      <c r="AA165" s="79">
        <v>2015.02999999999</v>
      </c>
      <c r="AB165" s="79">
        <v>9681.2099999999991</v>
      </c>
      <c r="AC165" s="79">
        <v>2292.48</v>
      </c>
      <c r="AD165" s="79">
        <v>2031.98</v>
      </c>
      <c r="AE165" s="79">
        <v>4742.97</v>
      </c>
      <c r="AF165" s="79">
        <v>7084.5299999999897</v>
      </c>
      <c r="AG165" s="79"/>
      <c r="AH165" s="79">
        <v>1333.88</v>
      </c>
      <c r="AI165" s="79">
        <v>5148.67</v>
      </c>
      <c r="AJ165" s="79">
        <v>5255.23</v>
      </c>
      <c r="AV165" s="76" t="s">
        <v>151</v>
      </c>
      <c r="AW165" s="76" t="s">
        <v>10</v>
      </c>
      <c r="AX165" s="33">
        <v>5</v>
      </c>
      <c r="AY165" s="33">
        <v>11</v>
      </c>
      <c r="AZ165" s="33">
        <v>11</v>
      </c>
      <c r="BB165" s="76" t="s">
        <v>151</v>
      </c>
      <c r="BC165" s="76" t="s">
        <v>10</v>
      </c>
      <c r="BD165" s="79">
        <v>1483.84</v>
      </c>
      <c r="BE165" s="79">
        <v>3439.87</v>
      </c>
      <c r="BF165" s="79">
        <v>2435.4</v>
      </c>
      <c r="BH165" s="76">
        <v>98360</v>
      </c>
      <c r="BI165" s="76" t="s">
        <v>10</v>
      </c>
      <c r="BJ165" s="79">
        <v>-345.36</v>
      </c>
      <c r="BK165" s="79">
        <v>-235.17</v>
      </c>
      <c r="BL165" s="79">
        <v>-10</v>
      </c>
    </row>
    <row r="166" spans="2:64" x14ac:dyDescent="0.2">
      <c r="B166" s="86">
        <v>98134</v>
      </c>
      <c r="C166" s="38" t="s">
        <v>352</v>
      </c>
      <c r="D166" s="48">
        <v>99</v>
      </c>
      <c r="E166" s="48">
        <v>77</v>
      </c>
      <c r="F166" s="48">
        <v>71</v>
      </c>
      <c r="H166" s="76">
        <v>98133</v>
      </c>
      <c r="I166" s="76" t="s">
        <v>10</v>
      </c>
      <c r="J166" s="79">
        <v>53323.44</v>
      </c>
      <c r="K166" s="79">
        <v>44164.12</v>
      </c>
      <c r="L166" s="79">
        <v>100920.41</v>
      </c>
      <c r="M166" s="79">
        <v>291012.57</v>
      </c>
      <c r="N166" s="79">
        <v>53266.68</v>
      </c>
      <c r="O166" s="79">
        <v>36908.81</v>
      </c>
      <c r="P166" s="79">
        <v>118035.18</v>
      </c>
      <c r="Q166" s="79">
        <v>276920.2</v>
      </c>
      <c r="R166" s="79">
        <v>43568.71</v>
      </c>
      <c r="S166" s="79">
        <v>39496.81</v>
      </c>
      <c r="T166" s="79">
        <v>131162.23999999999</v>
      </c>
      <c r="U166" s="79">
        <v>272925.5</v>
      </c>
      <c r="W166" s="76">
        <v>98342</v>
      </c>
      <c r="X166" s="15" t="s">
        <v>10</v>
      </c>
      <c r="Y166" s="79">
        <v>1810.93</v>
      </c>
      <c r="Z166" s="79">
        <v>1271.6500000000001</v>
      </c>
      <c r="AA166" s="79">
        <v>953.95</v>
      </c>
      <c r="AB166" s="79">
        <v>6232.6399999999903</v>
      </c>
      <c r="AC166" s="79">
        <v>1377.97</v>
      </c>
      <c r="AD166" s="79">
        <v>1042.4000000000001</v>
      </c>
      <c r="AE166" s="79">
        <v>1594.94</v>
      </c>
      <c r="AF166" s="79">
        <v>7345.23</v>
      </c>
      <c r="AG166" s="79">
        <v>2918.25</v>
      </c>
      <c r="AH166" s="79">
        <v>959.96</v>
      </c>
      <c r="AI166" s="79">
        <v>1879.9</v>
      </c>
      <c r="AJ166" s="79">
        <v>8918.6199999999899</v>
      </c>
      <c r="AV166" s="76" t="s">
        <v>152</v>
      </c>
      <c r="AW166" s="76" t="s">
        <v>352</v>
      </c>
      <c r="AX166" s="33"/>
      <c r="AY166" s="33"/>
      <c r="AZ166" s="33">
        <v>1</v>
      </c>
      <c r="BB166" s="76" t="s">
        <v>152</v>
      </c>
      <c r="BC166" s="76" t="s">
        <v>352</v>
      </c>
      <c r="BD166" s="79"/>
      <c r="BE166" s="79"/>
      <c r="BF166" s="79">
        <v>1249.93</v>
      </c>
      <c r="BH166" s="76">
        <v>98366</v>
      </c>
      <c r="BI166" s="76" t="s">
        <v>10</v>
      </c>
      <c r="BJ166" s="79">
        <v>-728.54</v>
      </c>
      <c r="BK166" s="79">
        <v>-10</v>
      </c>
      <c r="BL166" s="79">
        <v>-277.93</v>
      </c>
    </row>
    <row r="167" spans="2:64" x14ac:dyDescent="0.2">
      <c r="B167" s="59">
        <v>98134</v>
      </c>
      <c r="C167" s="38" t="s">
        <v>10</v>
      </c>
      <c r="D167" s="48">
        <v>35</v>
      </c>
      <c r="E167" s="48">
        <v>21</v>
      </c>
      <c r="F167" s="48">
        <v>18</v>
      </c>
      <c r="H167" s="76">
        <v>98134</v>
      </c>
      <c r="I167" s="76" t="s">
        <v>352</v>
      </c>
      <c r="J167" s="79">
        <v>33527.08</v>
      </c>
      <c r="K167" s="79">
        <v>31251.46</v>
      </c>
      <c r="L167" s="79">
        <v>90984.489999999903</v>
      </c>
      <c r="M167" s="79">
        <v>245391.049999999</v>
      </c>
      <c r="N167" s="79">
        <v>31354.19</v>
      </c>
      <c r="O167" s="79">
        <v>13164.52</v>
      </c>
      <c r="P167" s="79">
        <v>86335.969999999899</v>
      </c>
      <c r="Q167" s="79">
        <v>175357.41</v>
      </c>
      <c r="R167" s="79">
        <v>19071.060000000001</v>
      </c>
      <c r="S167" s="79">
        <v>28512.38</v>
      </c>
      <c r="T167" s="79">
        <v>93169.94</v>
      </c>
      <c r="U167" s="79">
        <v>214344.109999999</v>
      </c>
      <c r="W167" s="76">
        <v>98345</v>
      </c>
      <c r="X167" s="15" t="s">
        <v>10</v>
      </c>
      <c r="Y167" s="79">
        <v>150.26</v>
      </c>
      <c r="Z167" s="79">
        <v>158.30000000000001</v>
      </c>
      <c r="AA167" s="79">
        <v>179.99</v>
      </c>
      <c r="AB167" s="79">
        <v>604.51</v>
      </c>
      <c r="AC167" s="79">
        <v>115.96</v>
      </c>
      <c r="AD167" s="79">
        <v>150.26</v>
      </c>
      <c r="AE167" s="79">
        <v>223.67</v>
      </c>
      <c r="AF167" s="79">
        <v>801.54</v>
      </c>
      <c r="AG167" s="79">
        <v>83.23</v>
      </c>
      <c r="AH167" s="79">
        <v>115.96</v>
      </c>
      <c r="AI167" s="79">
        <v>160.72</v>
      </c>
      <c r="AJ167" s="79">
        <v>447.42999999999898</v>
      </c>
      <c r="AV167" s="76" t="s">
        <v>152</v>
      </c>
      <c r="AW167" s="76" t="s">
        <v>10</v>
      </c>
      <c r="AX167" s="33">
        <v>11</v>
      </c>
      <c r="AY167" s="33">
        <v>7</v>
      </c>
      <c r="AZ167" s="33">
        <v>13</v>
      </c>
      <c r="BB167" s="76" t="s">
        <v>152</v>
      </c>
      <c r="BC167" s="76" t="s">
        <v>10</v>
      </c>
      <c r="BD167" s="79">
        <v>2892.83</v>
      </c>
      <c r="BE167" s="79">
        <v>889.55</v>
      </c>
      <c r="BF167" s="79">
        <v>6489.44</v>
      </c>
      <c r="BH167" s="76">
        <v>98367</v>
      </c>
      <c r="BI167" s="76" t="s">
        <v>10</v>
      </c>
      <c r="BJ167" s="79">
        <v>-50</v>
      </c>
      <c r="BK167" s="79">
        <v>-310.91000000000003</v>
      </c>
      <c r="BL167" s="79">
        <v>-50</v>
      </c>
    </row>
    <row r="168" spans="2:64" x14ac:dyDescent="0.2">
      <c r="B168" s="86">
        <v>98136</v>
      </c>
      <c r="C168" s="38" t="s">
        <v>352</v>
      </c>
      <c r="D168" s="48">
        <v>12</v>
      </c>
      <c r="E168" s="48">
        <v>7</v>
      </c>
      <c r="F168" s="48">
        <v>8</v>
      </c>
      <c r="H168" s="76">
        <v>98134</v>
      </c>
      <c r="I168" s="76" t="s">
        <v>10</v>
      </c>
      <c r="J168" s="79">
        <v>3428.58</v>
      </c>
      <c r="K168" s="79">
        <v>2981.61</v>
      </c>
      <c r="L168" s="79">
        <v>10357.450000000001</v>
      </c>
      <c r="M168" s="79">
        <v>32617.73</v>
      </c>
      <c r="N168" s="79">
        <v>1809.6</v>
      </c>
      <c r="O168" s="79">
        <v>3559.64</v>
      </c>
      <c r="P168" s="79">
        <v>12166.2499999999</v>
      </c>
      <c r="Q168" s="79">
        <v>19764.66</v>
      </c>
      <c r="R168" s="79">
        <v>625.98</v>
      </c>
      <c r="S168" s="79">
        <v>1149.03</v>
      </c>
      <c r="T168" s="79">
        <v>13320.15</v>
      </c>
      <c r="U168" s="79">
        <v>17286.650000000001</v>
      </c>
      <c r="W168" s="76">
        <v>98346</v>
      </c>
      <c r="X168" s="15" t="s">
        <v>10</v>
      </c>
      <c r="Y168" s="79">
        <v>27892.76</v>
      </c>
      <c r="Z168" s="79">
        <v>12908.47</v>
      </c>
      <c r="AA168" s="79">
        <v>26674.799999999999</v>
      </c>
      <c r="AB168" s="79">
        <v>96687.38</v>
      </c>
      <c r="AC168" s="79">
        <v>14437.46</v>
      </c>
      <c r="AD168" s="79">
        <v>20202.45</v>
      </c>
      <c r="AE168" s="79">
        <v>39408.15</v>
      </c>
      <c r="AF168" s="79">
        <v>82374.899999999994</v>
      </c>
      <c r="AG168" s="79">
        <v>5948.21</v>
      </c>
      <c r="AH168" s="79">
        <v>9326.98</v>
      </c>
      <c r="AI168" s="79">
        <v>44600.14</v>
      </c>
      <c r="AJ168" s="79">
        <v>75545.75</v>
      </c>
      <c r="AV168" s="76" t="s">
        <v>309</v>
      </c>
      <c r="AW168" s="76" t="s">
        <v>10</v>
      </c>
      <c r="AX168" s="33">
        <v>1</v>
      </c>
      <c r="AY168" s="33">
        <v>3</v>
      </c>
      <c r="AZ168" s="33">
        <v>2</v>
      </c>
      <c r="BB168" s="76" t="s">
        <v>309</v>
      </c>
      <c r="BC168" s="76" t="s">
        <v>10</v>
      </c>
      <c r="BD168" s="79">
        <v>263.74</v>
      </c>
      <c r="BE168" s="79">
        <v>1261.8</v>
      </c>
      <c r="BF168" s="79">
        <v>543.73</v>
      </c>
      <c r="BH168" s="76">
        <v>98370</v>
      </c>
      <c r="BI168" s="76" t="s">
        <v>352</v>
      </c>
      <c r="BJ168" s="79"/>
      <c r="BK168" s="79">
        <v>-140.13</v>
      </c>
      <c r="BL168" s="79"/>
    </row>
    <row r="169" spans="2:64" x14ac:dyDescent="0.2">
      <c r="B169" s="59">
        <v>98136</v>
      </c>
      <c r="C169" s="38" t="s">
        <v>10</v>
      </c>
      <c r="D169" s="48">
        <v>413</v>
      </c>
      <c r="E169" s="48">
        <v>427</v>
      </c>
      <c r="F169" s="48">
        <v>423</v>
      </c>
      <c r="H169" s="76">
        <v>98136</v>
      </c>
      <c r="I169" s="76" t="s">
        <v>352</v>
      </c>
      <c r="J169" s="79">
        <v>766.29</v>
      </c>
      <c r="K169" s="79">
        <v>332.54</v>
      </c>
      <c r="L169" s="79">
        <v>3710.3599999999901</v>
      </c>
      <c r="M169" s="79">
        <v>6217.37</v>
      </c>
      <c r="N169" s="79">
        <v>485.91</v>
      </c>
      <c r="O169" s="79">
        <v>302.63</v>
      </c>
      <c r="P169" s="79">
        <v>3493.88</v>
      </c>
      <c r="Q169" s="79">
        <v>4744.53999999999</v>
      </c>
      <c r="R169" s="79">
        <v>218.77</v>
      </c>
      <c r="S169" s="79">
        <v>292.67</v>
      </c>
      <c r="T169" s="79">
        <v>3631.8099999999899</v>
      </c>
      <c r="U169" s="79">
        <v>4915.2299999999996</v>
      </c>
      <c r="W169" s="76">
        <v>98354</v>
      </c>
      <c r="X169" s="15" t="s">
        <v>10</v>
      </c>
      <c r="Y169" s="79">
        <v>271.83999999999997</v>
      </c>
      <c r="Z169" s="79">
        <v>115.51</v>
      </c>
      <c r="AA169" s="79">
        <v>98.52</v>
      </c>
      <c r="AB169" s="79">
        <v>989.12999999999897</v>
      </c>
      <c r="AC169" s="79">
        <v>240.88</v>
      </c>
      <c r="AD169" s="79">
        <v>86.44</v>
      </c>
      <c r="AE169" s="79">
        <v>214.02999999999901</v>
      </c>
      <c r="AF169" s="79">
        <v>773.89</v>
      </c>
      <c r="AG169" s="79">
        <v>232.54</v>
      </c>
      <c r="AH169" s="79">
        <v>240.88</v>
      </c>
      <c r="AI169" s="79">
        <v>300.47000000000003</v>
      </c>
      <c r="AJ169" s="79">
        <v>1067.8</v>
      </c>
      <c r="AV169" s="76" t="s">
        <v>153</v>
      </c>
      <c r="AW169" s="76" t="s">
        <v>352</v>
      </c>
      <c r="AX169" s="33">
        <v>1</v>
      </c>
      <c r="AY169" s="33"/>
      <c r="AZ169" s="33"/>
      <c r="BB169" s="76" t="s">
        <v>153</v>
      </c>
      <c r="BC169" s="76" t="s">
        <v>352</v>
      </c>
      <c r="BD169" s="79">
        <v>7618.43</v>
      </c>
      <c r="BE169" s="79"/>
      <c r="BF169" s="79"/>
      <c r="BH169" s="76">
        <v>98370</v>
      </c>
      <c r="BI169" s="76" t="s">
        <v>10</v>
      </c>
      <c r="BJ169" s="79"/>
      <c r="BK169" s="79">
        <v>-126.77</v>
      </c>
      <c r="BL169" s="79"/>
    </row>
    <row r="170" spans="2:64" x14ac:dyDescent="0.2">
      <c r="B170" s="86">
        <v>98144</v>
      </c>
      <c r="C170" s="38" t="s">
        <v>352</v>
      </c>
      <c r="D170" s="48">
        <v>94</v>
      </c>
      <c r="E170" s="48">
        <v>96</v>
      </c>
      <c r="F170" s="48">
        <v>95</v>
      </c>
      <c r="H170" s="76">
        <v>98136</v>
      </c>
      <c r="I170" s="76" t="s">
        <v>10</v>
      </c>
      <c r="J170" s="79">
        <v>21508.48</v>
      </c>
      <c r="K170" s="79">
        <v>20761.150000000001</v>
      </c>
      <c r="L170" s="79">
        <v>34679.61</v>
      </c>
      <c r="M170" s="79">
        <v>117651.05999999899</v>
      </c>
      <c r="N170" s="79">
        <v>25597.94</v>
      </c>
      <c r="O170" s="79">
        <v>16457.990000000002</v>
      </c>
      <c r="P170" s="79">
        <v>44899.26</v>
      </c>
      <c r="Q170" s="79">
        <v>118132.43</v>
      </c>
      <c r="R170" s="79">
        <v>16370.49</v>
      </c>
      <c r="S170" s="79">
        <v>16088.79</v>
      </c>
      <c r="T170" s="79">
        <v>49334.47</v>
      </c>
      <c r="U170" s="79">
        <v>105149.329999999</v>
      </c>
      <c r="W170" s="76">
        <v>98359</v>
      </c>
      <c r="X170" s="15" t="s">
        <v>10</v>
      </c>
      <c r="Y170" s="79">
        <v>5847.44</v>
      </c>
      <c r="Z170" s="79">
        <v>4574.97</v>
      </c>
      <c r="AA170" s="79">
        <v>25096.89</v>
      </c>
      <c r="AB170" s="79">
        <v>42856.479999999901</v>
      </c>
      <c r="AC170" s="79">
        <v>5969.38</v>
      </c>
      <c r="AD170" s="79">
        <v>4595.7700000000004</v>
      </c>
      <c r="AE170" s="79">
        <v>28836.880000000001</v>
      </c>
      <c r="AF170" s="79">
        <v>46146.609999999899</v>
      </c>
      <c r="AG170" s="79">
        <v>5498.64</v>
      </c>
      <c r="AH170" s="79">
        <v>5085.13</v>
      </c>
      <c r="AI170" s="79">
        <v>30390.18</v>
      </c>
      <c r="AJ170" s="79">
        <v>46150.78</v>
      </c>
      <c r="AV170" s="76" t="s">
        <v>153</v>
      </c>
      <c r="AW170" s="76" t="s">
        <v>10</v>
      </c>
      <c r="AX170" s="33">
        <v>10</v>
      </c>
      <c r="AY170" s="33">
        <v>4</v>
      </c>
      <c r="AZ170" s="33">
        <v>5</v>
      </c>
      <c r="BB170" s="76" t="s">
        <v>153</v>
      </c>
      <c r="BC170" s="76" t="s">
        <v>10</v>
      </c>
      <c r="BD170" s="79">
        <v>1244.54</v>
      </c>
      <c r="BE170" s="79">
        <v>716.85</v>
      </c>
      <c r="BF170" s="79">
        <v>767.6</v>
      </c>
      <c r="BH170" s="76">
        <v>98371</v>
      </c>
      <c r="BI170" s="76" t="s">
        <v>10</v>
      </c>
      <c r="BJ170" s="79">
        <v>-218.3</v>
      </c>
      <c r="BK170" s="79">
        <v>-1462.33</v>
      </c>
      <c r="BL170" s="79">
        <v>-411.94</v>
      </c>
    </row>
    <row r="171" spans="2:64" x14ac:dyDescent="0.2">
      <c r="B171" s="59">
        <v>98144</v>
      </c>
      <c r="C171" s="38" t="s">
        <v>10</v>
      </c>
      <c r="D171" s="48">
        <v>1193</v>
      </c>
      <c r="E171" s="48">
        <v>1167</v>
      </c>
      <c r="F171" s="48">
        <v>1163</v>
      </c>
      <c r="H171" s="76">
        <v>98144</v>
      </c>
      <c r="I171" s="76" t="s">
        <v>352</v>
      </c>
      <c r="J171" s="79">
        <v>14237.13</v>
      </c>
      <c r="K171" s="79">
        <v>12216.92</v>
      </c>
      <c r="L171" s="79">
        <v>34157.919999999998</v>
      </c>
      <c r="M171" s="79">
        <v>102696.91</v>
      </c>
      <c r="N171" s="79">
        <v>14210.42</v>
      </c>
      <c r="O171" s="79">
        <v>12157.82</v>
      </c>
      <c r="P171" s="79">
        <v>42615.67</v>
      </c>
      <c r="Q171" s="79">
        <v>108806.319999999</v>
      </c>
      <c r="R171" s="79">
        <v>10396.6</v>
      </c>
      <c r="S171" s="79">
        <v>10452.450000000001</v>
      </c>
      <c r="T171" s="79">
        <v>46524.62</v>
      </c>
      <c r="U171" s="79">
        <v>100353.37</v>
      </c>
      <c r="W171" s="76">
        <v>98360</v>
      </c>
      <c r="X171" s="15" t="s">
        <v>10</v>
      </c>
      <c r="Y171" s="79">
        <v>14809.13</v>
      </c>
      <c r="Z171" s="79">
        <v>17230.080000000002</v>
      </c>
      <c r="AA171" s="79">
        <v>38408.46</v>
      </c>
      <c r="AB171" s="79">
        <v>94529.16</v>
      </c>
      <c r="AC171" s="79">
        <v>18699.59</v>
      </c>
      <c r="AD171" s="79">
        <v>11078.64</v>
      </c>
      <c r="AE171" s="79">
        <v>48520.56</v>
      </c>
      <c r="AF171" s="79">
        <v>93988.99</v>
      </c>
      <c r="AG171" s="79">
        <v>12893.64</v>
      </c>
      <c r="AH171" s="79">
        <v>15876.03</v>
      </c>
      <c r="AI171" s="79">
        <v>50934.13</v>
      </c>
      <c r="AJ171" s="79">
        <v>97761.32</v>
      </c>
      <c r="AV171" s="76" t="s">
        <v>154</v>
      </c>
      <c r="AW171" s="76" t="s">
        <v>352</v>
      </c>
      <c r="AX171" s="33">
        <v>3</v>
      </c>
      <c r="AY171" s="33">
        <v>4</v>
      </c>
      <c r="AZ171" s="33">
        <v>9</v>
      </c>
      <c r="BB171" s="76" t="s">
        <v>154</v>
      </c>
      <c r="BC171" s="76" t="s">
        <v>352</v>
      </c>
      <c r="BD171" s="79">
        <v>3643.76</v>
      </c>
      <c r="BE171" s="79">
        <v>2253.04</v>
      </c>
      <c r="BF171" s="79">
        <v>16619.830000000002</v>
      </c>
      <c r="BH171" s="76">
        <v>98372</v>
      </c>
      <c r="BI171" s="76" t="s">
        <v>10</v>
      </c>
      <c r="BJ171" s="79">
        <v>-1166.0899999999999</v>
      </c>
      <c r="BK171" s="79">
        <v>-489.89</v>
      </c>
      <c r="BL171" s="79">
        <v>-678.43</v>
      </c>
    </row>
    <row r="172" spans="2:64" x14ac:dyDescent="0.2">
      <c r="B172" s="86">
        <v>98146</v>
      </c>
      <c r="C172" s="38" t="s">
        <v>352</v>
      </c>
      <c r="D172" s="48">
        <v>16</v>
      </c>
      <c r="E172" s="48">
        <v>16</v>
      </c>
      <c r="F172" s="48">
        <v>17</v>
      </c>
      <c r="H172" s="76">
        <v>98144</v>
      </c>
      <c r="I172" s="76" t="s">
        <v>10</v>
      </c>
      <c r="J172" s="79">
        <v>55044.28</v>
      </c>
      <c r="K172" s="79">
        <v>40365.49</v>
      </c>
      <c r="L172" s="79">
        <v>127571.72</v>
      </c>
      <c r="M172" s="79">
        <v>328289.21999999997</v>
      </c>
      <c r="N172" s="79">
        <v>48692.77</v>
      </c>
      <c r="O172" s="79">
        <v>37339.1</v>
      </c>
      <c r="P172" s="79">
        <v>143017.64000000001</v>
      </c>
      <c r="Q172" s="79">
        <v>314964.01</v>
      </c>
      <c r="R172" s="79">
        <v>43462.55</v>
      </c>
      <c r="S172" s="79">
        <v>33524.03</v>
      </c>
      <c r="T172" s="79">
        <v>147160.46</v>
      </c>
      <c r="U172" s="79">
        <v>283934.37999999902</v>
      </c>
      <c r="W172" s="76">
        <v>98366</v>
      </c>
      <c r="X172" s="15" t="s">
        <v>10</v>
      </c>
      <c r="Y172" s="79">
        <v>47269.24</v>
      </c>
      <c r="Z172" s="79">
        <v>43493.11</v>
      </c>
      <c r="AA172" s="79">
        <v>88440.159999999902</v>
      </c>
      <c r="AB172" s="79">
        <v>236935.25999999899</v>
      </c>
      <c r="AC172" s="79">
        <v>46572.12</v>
      </c>
      <c r="AD172" s="79">
        <v>41386.370000000003</v>
      </c>
      <c r="AE172" s="79">
        <v>116015.52</v>
      </c>
      <c r="AF172" s="79">
        <v>252026.859999999</v>
      </c>
      <c r="AG172" s="79">
        <v>39684.639999999999</v>
      </c>
      <c r="AH172" s="79">
        <v>39535.660000000003</v>
      </c>
      <c r="AI172" s="79">
        <v>126285.64</v>
      </c>
      <c r="AJ172" s="79">
        <v>243613.87999999899</v>
      </c>
      <c r="AV172" s="76" t="s">
        <v>154</v>
      </c>
      <c r="AW172" s="76" t="s">
        <v>10</v>
      </c>
      <c r="AX172" s="33">
        <v>37</v>
      </c>
      <c r="AY172" s="33">
        <v>44</v>
      </c>
      <c r="AZ172" s="33">
        <v>31</v>
      </c>
      <c r="BB172" s="76" t="s">
        <v>154</v>
      </c>
      <c r="BC172" s="76" t="s">
        <v>10</v>
      </c>
      <c r="BD172" s="79">
        <v>16360.33</v>
      </c>
      <c r="BE172" s="79">
        <v>16676.419999999998</v>
      </c>
      <c r="BF172" s="79">
        <v>17497.29</v>
      </c>
      <c r="BH172" s="76">
        <v>98373</v>
      </c>
      <c r="BI172" s="76" t="s">
        <v>352</v>
      </c>
      <c r="BJ172" s="79">
        <v>-235.29</v>
      </c>
      <c r="BK172" s="79"/>
      <c r="BL172" s="79"/>
    </row>
    <row r="173" spans="2:64" x14ac:dyDescent="0.2">
      <c r="B173" s="59">
        <v>98146</v>
      </c>
      <c r="C173" s="38" t="s">
        <v>10</v>
      </c>
      <c r="D173" s="48">
        <v>670</v>
      </c>
      <c r="E173" s="48">
        <v>714</v>
      </c>
      <c r="F173" s="48">
        <v>725</v>
      </c>
      <c r="H173" s="76">
        <v>98146</v>
      </c>
      <c r="I173" s="76" t="s">
        <v>352</v>
      </c>
      <c r="J173" s="79">
        <v>3936.34</v>
      </c>
      <c r="K173" s="79">
        <v>2773.78</v>
      </c>
      <c r="L173" s="79">
        <v>6920</v>
      </c>
      <c r="M173" s="79">
        <v>24292.86</v>
      </c>
      <c r="N173" s="79">
        <v>4211.28</v>
      </c>
      <c r="O173" s="79">
        <v>3786.69</v>
      </c>
      <c r="P173" s="79">
        <v>9347.7999999999993</v>
      </c>
      <c r="Q173" s="79">
        <v>24162.3</v>
      </c>
      <c r="R173" s="79">
        <v>3922.22</v>
      </c>
      <c r="S173" s="79">
        <v>3731.24</v>
      </c>
      <c r="T173" s="79">
        <v>6426.3399999999901</v>
      </c>
      <c r="U173" s="79">
        <v>18303.27</v>
      </c>
      <c r="W173" s="76">
        <v>98367</v>
      </c>
      <c r="X173" s="15" t="s">
        <v>10</v>
      </c>
      <c r="Y173" s="79">
        <v>30977.26</v>
      </c>
      <c r="Z173" s="79">
        <v>25111.37</v>
      </c>
      <c r="AA173" s="79">
        <v>74159.409999999902</v>
      </c>
      <c r="AB173" s="79">
        <v>163066.01999999999</v>
      </c>
      <c r="AC173" s="79">
        <v>27917.79</v>
      </c>
      <c r="AD173" s="79">
        <v>27192.7</v>
      </c>
      <c r="AE173" s="79">
        <v>87993.659999999902</v>
      </c>
      <c r="AF173" s="79">
        <v>176666.859999999</v>
      </c>
      <c r="AG173" s="79">
        <v>29397.17</v>
      </c>
      <c r="AH173" s="79">
        <v>24911.54</v>
      </c>
      <c r="AI173" s="79">
        <v>99819.039999999906</v>
      </c>
      <c r="AJ173" s="79">
        <v>181257.91999999899</v>
      </c>
      <c r="AV173" s="76" t="s">
        <v>155</v>
      </c>
      <c r="AW173" s="76" t="s">
        <v>352</v>
      </c>
      <c r="AX173" s="33">
        <v>1</v>
      </c>
      <c r="AY173" s="33">
        <v>6</v>
      </c>
      <c r="AZ173" s="33">
        <v>3</v>
      </c>
      <c r="BB173" s="76" t="s">
        <v>155</v>
      </c>
      <c r="BC173" s="76" t="s">
        <v>352</v>
      </c>
      <c r="BD173" s="79">
        <v>148.75</v>
      </c>
      <c r="BE173" s="79">
        <v>3546.14</v>
      </c>
      <c r="BF173" s="79">
        <v>7021.89</v>
      </c>
      <c r="BH173" s="76">
        <v>98373</v>
      </c>
      <c r="BI173" s="76" t="s">
        <v>10</v>
      </c>
      <c r="BJ173" s="79">
        <v>-610.70000000000005</v>
      </c>
      <c r="BK173" s="79">
        <v>-99.44</v>
      </c>
      <c r="BL173" s="79">
        <v>-1129.99</v>
      </c>
    </row>
    <row r="174" spans="2:64" x14ac:dyDescent="0.2">
      <c r="B174" s="86">
        <v>98148</v>
      </c>
      <c r="C174" s="38" t="s">
        <v>352</v>
      </c>
      <c r="D174" s="48">
        <v>47</v>
      </c>
      <c r="E174" s="48">
        <v>59</v>
      </c>
      <c r="F174" s="48">
        <v>51</v>
      </c>
      <c r="H174" s="76">
        <v>98146</v>
      </c>
      <c r="I174" s="76" t="s">
        <v>10</v>
      </c>
      <c r="J174" s="79">
        <v>37316.239999999998</v>
      </c>
      <c r="K174" s="79">
        <v>35246.29</v>
      </c>
      <c r="L174" s="79">
        <v>92320.86</v>
      </c>
      <c r="M174" s="79">
        <v>236596.75</v>
      </c>
      <c r="N174" s="79">
        <v>46525.29</v>
      </c>
      <c r="O174" s="79">
        <v>28085.83</v>
      </c>
      <c r="P174" s="79">
        <v>102922.04</v>
      </c>
      <c r="Q174" s="79">
        <v>233466.77999999901</v>
      </c>
      <c r="R174" s="79">
        <v>34583.18</v>
      </c>
      <c r="S174" s="79">
        <v>34935.129999999997</v>
      </c>
      <c r="T174" s="79">
        <v>112031.24</v>
      </c>
      <c r="U174" s="79">
        <v>225685.11999999901</v>
      </c>
      <c r="W174" s="76">
        <v>98370</v>
      </c>
      <c r="X174" s="15" t="s">
        <v>10</v>
      </c>
      <c r="Y174" s="79">
        <v>28031.16</v>
      </c>
      <c r="Z174" s="79">
        <v>22959.53</v>
      </c>
      <c r="AA174" s="79">
        <v>73598.3299999999</v>
      </c>
      <c r="AB174" s="79">
        <v>165051.6</v>
      </c>
      <c r="AC174" s="79">
        <v>30998.38</v>
      </c>
      <c r="AD174" s="79">
        <v>23114.46</v>
      </c>
      <c r="AE174" s="79">
        <v>77908.099999999904</v>
      </c>
      <c r="AF174" s="79">
        <v>162998.88</v>
      </c>
      <c r="AG174" s="79">
        <v>22017.78</v>
      </c>
      <c r="AH174" s="79">
        <v>26316.68</v>
      </c>
      <c r="AI174" s="79">
        <v>87293.529999999897</v>
      </c>
      <c r="AJ174" s="79">
        <v>162631.679999999</v>
      </c>
      <c r="AV174" s="76" t="s">
        <v>155</v>
      </c>
      <c r="AW174" s="76" t="s">
        <v>10</v>
      </c>
      <c r="AX174" s="33">
        <v>44</v>
      </c>
      <c r="AY174" s="33">
        <v>60</v>
      </c>
      <c r="AZ174" s="33">
        <v>47</v>
      </c>
      <c r="BB174" s="76" t="s">
        <v>155</v>
      </c>
      <c r="BC174" s="76" t="s">
        <v>10</v>
      </c>
      <c r="BD174" s="79">
        <v>20928.23</v>
      </c>
      <c r="BE174" s="79">
        <v>28433.39</v>
      </c>
      <c r="BF174" s="79">
        <v>52700.56</v>
      </c>
      <c r="BH174" s="76">
        <v>98374</v>
      </c>
      <c r="BI174" s="76" t="s">
        <v>10</v>
      </c>
      <c r="BJ174" s="79">
        <v>-632.52</v>
      </c>
      <c r="BK174" s="79">
        <v>-890.43</v>
      </c>
      <c r="BL174" s="79">
        <v>-641.9</v>
      </c>
    </row>
    <row r="175" spans="2:64" x14ac:dyDescent="0.2">
      <c r="B175" s="59">
        <v>98148</v>
      </c>
      <c r="C175" s="38" t="s">
        <v>10</v>
      </c>
      <c r="D175" s="48">
        <v>672</v>
      </c>
      <c r="E175" s="48">
        <v>651</v>
      </c>
      <c r="F175" s="48">
        <v>638</v>
      </c>
      <c r="H175" s="76">
        <v>98148</v>
      </c>
      <c r="I175" s="76" t="s">
        <v>352</v>
      </c>
      <c r="J175" s="79">
        <v>5555.86</v>
      </c>
      <c r="K175" s="79">
        <v>4041.62</v>
      </c>
      <c r="L175" s="79">
        <v>18800.43</v>
      </c>
      <c r="M175" s="79">
        <v>40747.410000000003</v>
      </c>
      <c r="N175" s="79">
        <v>5577.73</v>
      </c>
      <c r="O175" s="79">
        <v>4823.2700000000004</v>
      </c>
      <c r="P175" s="79">
        <v>19102.34</v>
      </c>
      <c r="Q175" s="79">
        <v>44118.81</v>
      </c>
      <c r="R175" s="79">
        <v>5334.18</v>
      </c>
      <c r="S175" s="79">
        <v>4680.16</v>
      </c>
      <c r="T175" s="79">
        <v>19708.4899999999</v>
      </c>
      <c r="U175" s="79">
        <v>41701.039999999899</v>
      </c>
      <c r="W175" s="76">
        <v>98371</v>
      </c>
      <c r="X175" s="15" t="s">
        <v>10</v>
      </c>
      <c r="Y175" s="79">
        <v>31727.39</v>
      </c>
      <c r="Z175" s="79">
        <v>30098.54</v>
      </c>
      <c r="AA175" s="79">
        <v>55581.67</v>
      </c>
      <c r="AB175" s="79">
        <v>157492.12</v>
      </c>
      <c r="AC175" s="79">
        <v>31922.84</v>
      </c>
      <c r="AD175" s="79">
        <v>26467.77</v>
      </c>
      <c r="AE175" s="79">
        <v>70999.879999999903</v>
      </c>
      <c r="AF175" s="79">
        <v>159121.41</v>
      </c>
      <c r="AG175" s="79">
        <v>24099.42</v>
      </c>
      <c r="AH175" s="79">
        <v>26695.759999999998</v>
      </c>
      <c r="AI175" s="79">
        <v>77855.88</v>
      </c>
      <c r="AJ175" s="79">
        <v>153219.48000000001</v>
      </c>
      <c r="AV175" s="76" t="s">
        <v>313</v>
      </c>
      <c r="AW175" s="76" t="s">
        <v>10</v>
      </c>
      <c r="AX175" s="33">
        <v>3</v>
      </c>
      <c r="AY175" s="33">
        <v>6</v>
      </c>
      <c r="AZ175" s="33">
        <v>2</v>
      </c>
      <c r="BB175" s="76" t="s">
        <v>313</v>
      </c>
      <c r="BC175" s="76" t="s">
        <v>10</v>
      </c>
      <c r="BD175" s="79">
        <v>379.34</v>
      </c>
      <c r="BE175" s="79">
        <v>3128.76</v>
      </c>
      <c r="BF175" s="79">
        <v>329.67</v>
      </c>
      <c r="BH175" s="76">
        <v>98375</v>
      </c>
      <c r="BI175" s="76" t="s">
        <v>10</v>
      </c>
      <c r="BJ175" s="79">
        <v>-252.78</v>
      </c>
      <c r="BK175" s="79">
        <v>-51.86</v>
      </c>
      <c r="BL175" s="79"/>
    </row>
    <row r="176" spans="2:64" x14ac:dyDescent="0.2">
      <c r="B176" s="86">
        <v>98154</v>
      </c>
      <c r="C176" s="38" t="s">
        <v>352</v>
      </c>
      <c r="D176" s="74">
        <v>1</v>
      </c>
      <c r="E176" s="48"/>
      <c r="F176" s="48">
        <v>1</v>
      </c>
      <c r="H176" s="76">
        <v>98148</v>
      </c>
      <c r="I176" s="76" t="s">
        <v>10</v>
      </c>
      <c r="J176" s="79">
        <v>61967.79</v>
      </c>
      <c r="K176" s="79">
        <v>51265.58</v>
      </c>
      <c r="L176" s="79">
        <v>140311.57</v>
      </c>
      <c r="M176" s="79">
        <v>358397.4</v>
      </c>
      <c r="N176" s="79">
        <v>67158.86</v>
      </c>
      <c r="O176" s="79">
        <v>50813.24</v>
      </c>
      <c r="P176" s="79">
        <v>170061.91</v>
      </c>
      <c r="Q176" s="79">
        <v>372368.53</v>
      </c>
      <c r="R176" s="79">
        <v>58407.21</v>
      </c>
      <c r="S176" s="79">
        <v>51417.32</v>
      </c>
      <c r="T176" s="79">
        <v>194702.51</v>
      </c>
      <c r="U176" s="79">
        <v>365151.64999999898</v>
      </c>
      <c r="W176" s="76">
        <v>98372</v>
      </c>
      <c r="X176" s="15" t="s">
        <v>10</v>
      </c>
      <c r="Y176" s="79">
        <v>37669.949999999997</v>
      </c>
      <c r="Z176" s="79">
        <v>34098.5</v>
      </c>
      <c r="AA176" s="79">
        <v>75833.899999999994</v>
      </c>
      <c r="AB176" s="79">
        <v>192412.96</v>
      </c>
      <c r="AC176" s="79">
        <v>34612.79</v>
      </c>
      <c r="AD176" s="79">
        <v>30875.94</v>
      </c>
      <c r="AE176" s="79">
        <v>88520.8</v>
      </c>
      <c r="AF176" s="79">
        <v>183747.859999999</v>
      </c>
      <c r="AG176" s="79">
        <v>24012.53</v>
      </c>
      <c r="AH176" s="79">
        <v>27254.12</v>
      </c>
      <c r="AI176" s="79">
        <v>86366.2</v>
      </c>
      <c r="AJ176" s="79">
        <v>163990.81</v>
      </c>
      <c r="AV176" s="76" t="s">
        <v>314</v>
      </c>
      <c r="AW176" s="76" t="s">
        <v>352</v>
      </c>
      <c r="AX176" s="33"/>
      <c r="AY176" s="33">
        <v>1</v>
      </c>
      <c r="AZ176" s="33">
        <v>3</v>
      </c>
      <c r="BB176" s="76" t="s">
        <v>314</v>
      </c>
      <c r="BC176" s="76" t="s">
        <v>352</v>
      </c>
      <c r="BD176" s="79"/>
      <c r="BE176" s="79">
        <v>513.5</v>
      </c>
      <c r="BF176" s="79">
        <v>4064.92</v>
      </c>
      <c r="BH176" s="76">
        <v>98380</v>
      </c>
      <c r="BI176" s="76" t="s">
        <v>10</v>
      </c>
      <c r="BJ176" s="79"/>
      <c r="BK176" s="79">
        <v>-700</v>
      </c>
      <c r="BL176" s="79">
        <v>-1558.62</v>
      </c>
    </row>
    <row r="177" spans="2:64" x14ac:dyDescent="0.2">
      <c r="B177" s="86">
        <v>98155</v>
      </c>
      <c r="C177" s="38" t="s">
        <v>352</v>
      </c>
      <c r="D177" s="48">
        <v>19</v>
      </c>
      <c r="E177" s="48">
        <v>26</v>
      </c>
      <c r="F177" s="48">
        <v>19</v>
      </c>
      <c r="H177" s="76">
        <v>98154</v>
      </c>
      <c r="I177" s="76" t="s">
        <v>352</v>
      </c>
      <c r="J177" s="79"/>
      <c r="K177" s="79"/>
      <c r="L177" s="79"/>
      <c r="M177" s="79">
        <v>105.45</v>
      </c>
      <c r="N177" s="79"/>
      <c r="O177" s="79"/>
      <c r="P177" s="79"/>
      <c r="Q177" s="79"/>
      <c r="R177" s="79"/>
      <c r="S177" s="79"/>
      <c r="T177" s="79"/>
      <c r="U177" s="79">
        <v>46.47</v>
      </c>
      <c r="W177" s="76">
        <v>98373</v>
      </c>
      <c r="X177" s="15" t="s">
        <v>10</v>
      </c>
      <c r="Y177" s="79">
        <v>26797.74</v>
      </c>
      <c r="Z177" s="79">
        <v>24162.93</v>
      </c>
      <c r="AA177" s="79">
        <v>52956.84</v>
      </c>
      <c r="AB177" s="79">
        <v>139528.829999999</v>
      </c>
      <c r="AC177" s="79">
        <v>27244.41</v>
      </c>
      <c r="AD177" s="79">
        <v>20519.43</v>
      </c>
      <c r="AE177" s="79">
        <v>59976.75</v>
      </c>
      <c r="AF177" s="79">
        <v>133546.51999999999</v>
      </c>
      <c r="AG177" s="79">
        <v>19387.86</v>
      </c>
      <c r="AH177" s="79">
        <v>20221.96</v>
      </c>
      <c r="AI177" s="79">
        <v>62542.569999999898</v>
      </c>
      <c r="AJ177" s="79">
        <v>122185.9</v>
      </c>
      <c r="AV177" s="76" t="s">
        <v>314</v>
      </c>
      <c r="AW177" s="76" t="s">
        <v>10</v>
      </c>
      <c r="AX177" s="33">
        <v>11</v>
      </c>
      <c r="AY177" s="33">
        <v>11</v>
      </c>
      <c r="AZ177" s="33">
        <v>12</v>
      </c>
      <c r="BB177" s="76" t="s">
        <v>314</v>
      </c>
      <c r="BC177" s="76" t="s">
        <v>10</v>
      </c>
      <c r="BD177" s="79">
        <v>3054.18</v>
      </c>
      <c r="BE177" s="79">
        <v>3460.47</v>
      </c>
      <c r="BF177" s="79">
        <v>2952.81</v>
      </c>
      <c r="BH177" s="76">
        <v>98383</v>
      </c>
      <c r="BI177" s="76" t="s">
        <v>10</v>
      </c>
      <c r="BJ177" s="79">
        <v>-899.41</v>
      </c>
      <c r="BK177" s="79">
        <v>-63.85</v>
      </c>
      <c r="BL177" s="79">
        <v>-206.49</v>
      </c>
    </row>
    <row r="178" spans="2:64" x14ac:dyDescent="0.2">
      <c r="B178" s="59">
        <v>98155</v>
      </c>
      <c r="C178" s="38" t="s">
        <v>10</v>
      </c>
      <c r="D178" s="48">
        <v>636</v>
      </c>
      <c r="E178" s="48">
        <v>661</v>
      </c>
      <c r="F178" s="48">
        <v>665</v>
      </c>
      <c r="H178" s="76">
        <v>98155</v>
      </c>
      <c r="I178" s="76" t="s">
        <v>352</v>
      </c>
      <c r="J178" s="79">
        <v>1465.8</v>
      </c>
      <c r="K178" s="79">
        <v>1211.44</v>
      </c>
      <c r="L178" s="79">
        <v>5929.88</v>
      </c>
      <c r="M178" s="79">
        <v>14924.13</v>
      </c>
      <c r="N178" s="79">
        <v>2235.89</v>
      </c>
      <c r="O178" s="79">
        <v>965.65</v>
      </c>
      <c r="P178" s="79">
        <v>6351.7999999999902</v>
      </c>
      <c r="Q178" s="79">
        <v>12579.72</v>
      </c>
      <c r="R178" s="79">
        <v>1215.21</v>
      </c>
      <c r="S178" s="79">
        <v>701.45</v>
      </c>
      <c r="T178" s="79">
        <v>6156</v>
      </c>
      <c r="U178" s="79">
        <v>26561.6499999999</v>
      </c>
      <c r="W178" s="76">
        <v>98374</v>
      </c>
      <c r="X178" s="15" t="s">
        <v>10</v>
      </c>
      <c r="Y178" s="79">
        <v>56416.55</v>
      </c>
      <c r="Z178" s="79">
        <v>50324.15</v>
      </c>
      <c r="AA178" s="79">
        <v>75441.89</v>
      </c>
      <c r="AB178" s="79">
        <v>251455.55</v>
      </c>
      <c r="AC178" s="79">
        <v>56192.639999999999</v>
      </c>
      <c r="AD178" s="79">
        <v>46645.25</v>
      </c>
      <c r="AE178" s="79">
        <v>104369.86999999901</v>
      </c>
      <c r="AF178" s="79">
        <v>261355.47999999899</v>
      </c>
      <c r="AG178" s="79">
        <v>43401.42</v>
      </c>
      <c r="AH178" s="79">
        <v>47531.37</v>
      </c>
      <c r="AI178" s="79">
        <v>115759.03</v>
      </c>
      <c r="AJ178" s="79">
        <v>252482.18999999901</v>
      </c>
      <c r="AV178" s="76" t="s">
        <v>315</v>
      </c>
      <c r="AW178" s="76" t="s">
        <v>352</v>
      </c>
      <c r="AX178" s="33">
        <v>1</v>
      </c>
      <c r="AY178" s="33">
        <v>2</v>
      </c>
      <c r="AZ178" s="33"/>
      <c r="BB178" s="76" t="s">
        <v>315</v>
      </c>
      <c r="BC178" s="76" t="s">
        <v>352</v>
      </c>
      <c r="BD178" s="79">
        <v>2736.29</v>
      </c>
      <c r="BE178" s="79">
        <v>1830.96</v>
      </c>
      <c r="BF178" s="79"/>
      <c r="BH178" s="76">
        <v>98387</v>
      </c>
      <c r="BI178" s="76" t="s">
        <v>10</v>
      </c>
      <c r="BJ178" s="79">
        <v>-133.52000000000001</v>
      </c>
      <c r="BK178" s="79">
        <v>-389.04</v>
      </c>
      <c r="BL178" s="79">
        <v>-442.79</v>
      </c>
    </row>
    <row r="179" spans="2:64" x14ac:dyDescent="0.2">
      <c r="B179" s="86">
        <v>98158</v>
      </c>
      <c r="C179" s="38" t="s">
        <v>352</v>
      </c>
      <c r="D179" s="48"/>
      <c r="E179" s="48">
        <v>1</v>
      </c>
      <c r="F179" s="74">
        <v>3</v>
      </c>
      <c r="H179" s="76">
        <v>98155</v>
      </c>
      <c r="I179" s="76" t="s">
        <v>10</v>
      </c>
      <c r="J179" s="79">
        <v>40763.01</v>
      </c>
      <c r="K179" s="79">
        <v>36405.85</v>
      </c>
      <c r="L179" s="79">
        <v>76113.91</v>
      </c>
      <c r="M179" s="79">
        <v>230841.52999999901</v>
      </c>
      <c r="N179" s="79">
        <v>43165.9</v>
      </c>
      <c r="O179" s="79">
        <v>27572.04</v>
      </c>
      <c r="P179" s="79">
        <v>90364.54</v>
      </c>
      <c r="Q179" s="79">
        <v>219433.80999999901</v>
      </c>
      <c r="R179" s="79">
        <v>37299.629999999997</v>
      </c>
      <c r="S179" s="79">
        <v>31391.78</v>
      </c>
      <c r="T179" s="79">
        <v>99422.09</v>
      </c>
      <c r="U179" s="79">
        <v>216692.49</v>
      </c>
      <c r="W179" s="76">
        <v>98375</v>
      </c>
      <c r="X179" s="15" t="s">
        <v>10</v>
      </c>
      <c r="Y179" s="79">
        <v>26627.82</v>
      </c>
      <c r="Z179" s="79">
        <v>22203.55</v>
      </c>
      <c r="AA179" s="79">
        <v>39898.85</v>
      </c>
      <c r="AB179" s="79">
        <v>122392.03</v>
      </c>
      <c r="AC179" s="79">
        <v>27069.919999999998</v>
      </c>
      <c r="AD179" s="79">
        <v>20303.75</v>
      </c>
      <c r="AE179" s="79">
        <v>49933.37</v>
      </c>
      <c r="AF179" s="79">
        <v>123867.86</v>
      </c>
      <c r="AG179" s="79">
        <v>20898.259999999998</v>
      </c>
      <c r="AH179" s="79">
        <v>21427.86</v>
      </c>
      <c r="AI179" s="79">
        <v>52896.94</v>
      </c>
      <c r="AJ179" s="79">
        <v>117758.16</v>
      </c>
      <c r="AV179" s="76" t="s">
        <v>315</v>
      </c>
      <c r="AW179" s="76" t="s">
        <v>10</v>
      </c>
      <c r="AX179" s="33">
        <v>7</v>
      </c>
      <c r="AY179" s="33">
        <v>10</v>
      </c>
      <c r="AZ179" s="33">
        <v>12</v>
      </c>
      <c r="BB179" s="76" t="s">
        <v>315</v>
      </c>
      <c r="BC179" s="76" t="s">
        <v>10</v>
      </c>
      <c r="BD179" s="79">
        <v>3949.85</v>
      </c>
      <c r="BE179" s="79">
        <v>3913.35</v>
      </c>
      <c r="BF179" s="79">
        <v>3225.13</v>
      </c>
      <c r="BH179" s="76">
        <v>98390</v>
      </c>
      <c r="BI179" s="76" t="s">
        <v>352</v>
      </c>
      <c r="BJ179" s="79"/>
      <c r="BK179" s="79">
        <v>-177.87</v>
      </c>
      <c r="BL179" s="79"/>
    </row>
    <row r="180" spans="2:64" x14ac:dyDescent="0.2">
      <c r="B180" s="59">
        <v>98158</v>
      </c>
      <c r="C180" s="38" t="s">
        <v>10</v>
      </c>
      <c r="D180" s="48">
        <v>1</v>
      </c>
      <c r="E180" s="48">
        <v>1</v>
      </c>
      <c r="F180" s="48">
        <v>1</v>
      </c>
      <c r="H180" s="76">
        <v>98158</v>
      </c>
      <c r="I180" s="76" t="s">
        <v>352</v>
      </c>
      <c r="J180" s="79"/>
      <c r="K180" s="79"/>
      <c r="L180" s="79"/>
      <c r="M180" s="79"/>
      <c r="N180" s="79"/>
      <c r="O180" s="79"/>
      <c r="P180" s="79"/>
      <c r="Q180" s="79">
        <v>482.87</v>
      </c>
      <c r="R180" s="79"/>
      <c r="S180" s="79"/>
      <c r="T180" s="79"/>
      <c r="U180" s="79">
        <v>3907.2799999999902</v>
      </c>
      <c r="W180" s="76">
        <v>98380</v>
      </c>
      <c r="X180" s="15" t="s">
        <v>10</v>
      </c>
      <c r="Y180" s="79">
        <v>8046.74</v>
      </c>
      <c r="Z180" s="79">
        <v>2823.26</v>
      </c>
      <c r="AA180" s="79">
        <v>11099.869999999901</v>
      </c>
      <c r="AB180" s="79">
        <v>27449.82</v>
      </c>
      <c r="AC180" s="79">
        <v>5249.62</v>
      </c>
      <c r="AD180" s="79">
        <v>7204.9</v>
      </c>
      <c r="AE180" s="79">
        <v>11781.58</v>
      </c>
      <c r="AF180" s="79">
        <v>32444.91</v>
      </c>
      <c r="AG180" s="79">
        <v>7917.66</v>
      </c>
      <c r="AH180" s="79">
        <v>3731.72</v>
      </c>
      <c r="AI180" s="79">
        <v>16528.4899999999</v>
      </c>
      <c r="AJ180" s="79">
        <v>32343.0799999999</v>
      </c>
      <c r="AV180" s="76" t="s">
        <v>316</v>
      </c>
      <c r="AW180" s="76" t="s">
        <v>10</v>
      </c>
      <c r="AX180" s="33">
        <v>9</v>
      </c>
      <c r="AY180" s="33">
        <v>8</v>
      </c>
      <c r="AZ180" s="33">
        <v>4</v>
      </c>
      <c r="BB180" s="76" t="s">
        <v>316</v>
      </c>
      <c r="BC180" s="76" t="s">
        <v>10</v>
      </c>
      <c r="BD180" s="79">
        <v>1820.62</v>
      </c>
      <c r="BE180" s="79">
        <v>1064.58</v>
      </c>
      <c r="BF180" s="79">
        <v>842.11</v>
      </c>
      <c r="BH180" s="76">
        <v>98390</v>
      </c>
      <c r="BI180" s="76" t="s">
        <v>10</v>
      </c>
      <c r="BJ180" s="79">
        <v>-370.09</v>
      </c>
      <c r="BK180" s="79"/>
      <c r="BL180" s="79">
        <v>-269.83999999999997</v>
      </c>
    </row>
    <row r="181" spans="2:64" x14ac:dyDescent="0.2">
      <c r="B181" s="86">
        <v>98166</v>
      </c>
      <c r="C181" s="38" t="s">
        <v>352</v>
      </c>
      <c r="D181" s="48">
        <v>53</v>
      </c>
      <c r="E181" s="74">
        <v>53</v>
      </c>
      <c r="F181" s="74">
        <v>57</v>
      </c>
      <c r="H181" s="76">
        <v>98158</v>
      </c>
      <c r="I181" s="76" t="s">
        <v>10</v>
      </c>
      <c r="J181" s="79">
        <v>3135.8</v>
      </c>
      <c r="K181" s="79">
        <v>3294.93</v>
      </c>
      <c r="L181" s="79">
        <v>17940.3299999999</v>
      </c>
      <c r="M181" s="79">
        <v>26265.51</v>
      </c>
      <c r="N181" s="79">
        <v>1894.45</v>
      </c>
      <c r="O181" s="79">
        <v>3135.8</v>
      </c>
      <c r="P181" s="79">
        <v>18533.419999999998</v>
      </c>
      <c r="Q181" s="79">
        <v>25249.629999999899</v>
      </c>
      <c r="R181" s="79">
        <v>1685.96</v>
      </c>
      <c r="S181" s="79">
        <v>1894.45</v>
      </c>
      <c r="T181" s="79">
        <v>21669.219999999899</v>
      </c>
      <c r="U181" s="79">
        <v>26733.11</v>
      </c>
      <c r="W181" s="76">
        <v>98383</v>
      </c>
      <c r="X181" s="15" t="s">
        <v>10</v>
      </c>
      <c r="Y181" s="79">
        <v>11246.85</v>
      </c>
      <c r="Z181" s="79">
        <v>8524.59</v>
      </c>
      <c r="AA181" s="79">
        <v>18983.7399999999</v>
      </c>
      <c r="AB181" s="79">
        <v>52481.96</v>
      </c>
      <c r="AC181" s="79">
        <v>11081.94</v>
      </c>
      <c r="AD181" s="79">
        <v>9754.3700000000008</v>
      </c>
      <c r="AE181" s="79">
        <v>25479.64</v>
      </c>
      <c r="AF181" s="79">
        <v>58183.519999999902</v>
      </c>
      <c r="AG181" s="79">
        <v>9536.59</v>
      </c>
      <c r="AH181" s="79">
        <v>9296.7099999999991</v>
      </c>
      <c r="AI181" s="79">
        <v>28769.369999999901</v>
      </c>
      <c r="AJ181" s="79">
        <v>56922.85</v>
      </c>
      <c r="AV181" s="76" t="s">
        <v>317</v>
      </c>
      <c r="AW181" s="76" t="s">
        <v>352</v>
      </c>
      <c r="AX181" s="33">
        <v>1</v>
      </c>
      <c r="AY181" s="33"/>
      <c r="AZ181" s="33">
        <v>1</v>
      </c>
      <c r="BB181" s="76" t="s">
        <v>317</v>
      </c>
      <c r="BC181" s="76" t="s">
        <v>352</v>
      </c>
      <c r="BD181" s="79">
        <v>374.82</v>
      </c>
      <c r="BE181" s="79"/>
      <c r="BF181" s="79">
        <v>629.41999999999996</v>
      </c>
      <c r="BH181" s="76">
        <v>98391</v>
      </c>
      <c r="BI181" s="76" t="s">
        <v>352</v>
      </c>
      <c r="BJ181" s="79">
        <v>-1121.33</v>
      </c>
      <c r="BK181" s="79">
        <v>-1121.33</v>
      </c>
      <c r="BL181" s="79">
        <v>-1259.69</v>
      </c>
    </row>
    <row r="182" spans="2:64" x14ac:dyDescent="0.2">
      <c r="B182" s="86">
        <v>98166</v>
      </c>
      <c r="C182" s="38" t="s">
        <v>10</v>
      </c>
      <c r="D182" s="48">
        <v>812</v>
      </c>
      <c r="E182" s="48">
        <v>845</v>
      </c>
      <c r="F182" s="48">
        <v>816</v>
      </c>
      <c r="H182" s="76">
        <v>98166</v>
      </c>
      <c r="I182" s="76" t="s">
        <v>352</v>
      </c>
      <c r="J182" s="79">
        <v>9111.15</v>
      </c>
      <c r="K182" s="79">
        <v>8380.9599999999991</v>
      </c>
      <c r="L182" s="79">
        <v>38866.04</v>
      </c>
      <c r="M182" s="79">
        <v>72035.459999999905</v>
      </c>
      <c r="N182" s="79">
        <v>7937.5</v>
      </c>
      <c r="O182" s="79">
        <v>6347.12</v>
      </c>
      <c r="P182" s="79">
        <v>42146.27</v>
      </c>
      <c r="Q182" s="79">
        <v>68091.679999999993</v>
      </c>
      <c r="R182" s="79">
        <v>5518.35</v>
      </c>
      <c r="S182" s="79">
        <v>5753</v>
      </c>
      <c r="T182" s="79">
        <v>44532.67</v>
      </c>
      <c r="U182" s="79">
        <v>68386.52</v>
      </c>
      <c r="W182" s="76">
        <v>98385</v>
      </c>
      <c r="X182" s="15" t="s">
        <v>10</v>
      </c>
      <c r="Y182" s="79">
        <v>237.65</v>
      </c>
      <c r="Z182" s="79">
        <v>322.97000000000003</v>
      </c>
      <c r="AA182" s="79">
        <v>301.8</v>
      </c>
      <c r="AB182" s="79">
        <v>1569.07</v>
      </c>
      <c r="AC182" s="79">
        <v>706.65</v>
      </c>
      <c r="AD182" s="79">
        <v>237.65</v>
      </c>
      <c r="AE182" s="79">
        <v>624.77</v>
      </c>
      <c r="AF182" s="79">
        <v>2050</v>
      </c>
      <c r="AG182" s="79">
        <v>480.93</v>
      </c>
      <c r="AH182" s="79">
        <v>506.65</v>
      </c>
      <c r="AI182" s="79">
        <v>862.42</v>
      </c>
      <c r="AJ182" s="79">
        <v>2409.06</v>
      </c>
      <c r="AV182" s="76" t="s">
        <v>317</v>
      </c>
      <c r="AW182" s="76" t="s">
        <v>10</v>
      </c>
      <c r="AX182" s="33">
        <v>11</v>
      </c>
      <c r="AY182" s="33">
        <v>5</v>
      </c>
      <c r="AZ182" s="33">
        <v>11</v>
      </c>
      <c r="BB182" s="76" t="s">
        <v>317</v>
      </c>
      <c r="BC182" s="76" t="s">
        <v>10</v>
      </c>
      <c r="BD182" s="79">
        <v>3801.73</v>
      </c>
      <c r="BE182" s="79">
        <v>1568.54</v>
      </c>
      <c r="BF182" s="79">
        <v>6974.39</v>
      </c>
      <c r="BH182" s="76">
        <v>98391</v>
      </c>
      <c r="BI182" s="76" t="s">
        <v>10</v>
      </c>
      <c r="BJ182" s="79">
        <v>-2222.14</v>
      </c>
      <c r="BK182" s="79">
        <v>-1033.1199999999999</v>
      </c>
      <c r="BL182" s="79">
        <v>-2587.09</v>
      </c>
    </row>
    <row r="183" spans="2:64" x14ac:dyDescent="0.2">
      <c r="B183" s="59">
        <v>98168</v>
      </c>
      <c r="C183" s="38" t="s">
        <v>352</v>
      </c>
      <c r="D183" s="48">
        <v>70</v>
      </c>
      <c r="E183" s="48">
        <v>70</v>
      </c>
      <c r="F183" s="48">
        <v>77</v>
      </c>
      <c r="H183" s="76">
        <v>98166</v>
      </c>
      <c r="I183" s="76" t="s">
        <v>10</v>
      </c>
      <c r="J183" s="79">
        <v>46424.08</v>
      </c>
      <c r="K183" s="79">
        <v>42689.760000000002</v>
      </c>
      <c r="L183" s="79">
        <v>109895.389999999</v>
      </c>
      <c r="M183" s="79">
        <v>294575.21999999997</v>
      </c>
      <c r="N183" s="79">
        <v>54027.69</v>
      </c>
      <c r="O183" s="79">
        <v>34277.760000000002</v>
      </c>
      <c r="P183" s="79">
        <v>136725.82999999999</v>
      </c>
      <c r="Q183" s="79">
        <v>305915.73</v>
      </c>
      <c r="R183" s="79">
        <v>48192.79</v>
      </c>
      <c r="S183" s="79">
        <v>42135.32</v>
      </c>
      <c r="T183" s="79">
        <v>156803.37</v>
      </c>
      <c r="U183" s="79">
        <v>307334.05</v>
      </c>
      <c r="W183" s="76">
        <v>98387</v>
      </c>
      <c r="X183" s="15" t="s">
        <v>10</v>
      </c>
      <c r="Y183" s="79">
        <v>38066.870000000003</v>
      </c>
      <c r="Z183" s="79">
        <v>19854.099999999999</v>
      </c>
      <c r="AA183" s="79">
        <v>37728.519999999997</v>
      </c>
      <c r="AB183" s="79">
        <v>122579.6</v>
      </c>
      <c r="AC183" s="79">
        <v>18758.419999999998</v>
      </c>
      <c r="AD183" s="79">
        <v>21366.27</v>
      </c>
      <c r="AE183" s="79">
        <v>55101.43</v>
      </c>
      <c r="AF183" s="79">
        <v>105581.18</v>
      </c>
      <c r="AG183" s="79">
        <v>8284.49</v>
      </c>
      <c r="AH183" s="79">
        <v>15206.88</v>
      </c>
      <c r="AI183" s="79">
        <v>54220.1499999999</v>
      </c>
      <c r="AJ183" s="79">
        <v>95810.72</v>
      </c>
      <c r="AV183" s="76" t="s">
        <v>156</v>
      </c>
      <c r="AW183" s="76" t="s">
        <v>352</v>
      </c>
      <c r="AX183" s="33"/>
      <c r="AY183" s="33"/>
      <c r="AZ183" s="33">
        <v>1</v>
      </c>
      <c r="BB183" s="76" t="s">
        <v>156</v>
      </c>
      <c r="BC183" s="76" t="s">
        <v>352</v>
      </c>
      <c r="BD183" s="79"/>
      <c r="BE183" s="79"/>
      <c r="BF183" s="79"/>
      <c r="BH183" s="76">
        <v>98392</v>
      </c>
      <c r="BI183" s="76" t="s">
        <v>10</v>
      </c>
      <c r="BJ183" s="79">
        <v>-146.38999999999999</v>
      </c>
      <c r="BK183" s="79">
        <v>-146.38999999999999</v>
      </c>
      <c r="BL183" s="79">
        <v>-146.38999999999999</v>
      </c>
    </row>
    <row r="184" spans="2:64" x14ac:dyDescent="0.2">
      <c r="B184" s="86">
        <v>98168</v>
      </c>
      <c r="C184" s="38" t="s">
        <v>10</v>
      </c>
      <c r="D184" s="48">
        <v>1045</v>
      </c>
      <c r="E184" s="48">
        <v>1026</v>
      </c>
      <c r="F184" s="48">
        <v>1042</v>
      </c>
      <c r="H184" s="76">
        <v>98168</v>
      </c>
      <c r="I184" s="76" t="s">
        <v>352</v>
      </c>
      <c r="J184" s="79">
        <v>10948.5</v>
      </c>
      <c r="K184" s="79">
        <v>11152.99</v>
      </c>
      <c r="L184" s="79">
        <v>20442.97</v>
      </c>
      <c r="M184" s="79">
        <v>65929.459999999905</v>
      </c>
      <c r="N184" s="79">
        <v>8329.07</v>
      </c>
      <c r="O184" s="79">
        <v>8750</v>
      </c>
      <c r="P184" s="79">
        <v>25578.78</v>
      </c>
      <c r="Q184" s="79">
        <v>58326.479999999901</v>
      </c>
      <c r="R184" s="79">
        <v>8610.6200000000008</v>
      </c>
      <c r="S184" s="79">
        <v>5626.56</v>
      </c>
      <c r="T184" s="79">
        <v>28965.64</v>
      </c>
      <c r="U184" s="79">
        <v>81751.87</v>
      </c>
      <c r="W184" s="76">
        <v>98388</v>
      </c>
      <c r="X184" s="15" t="s">
        <v>10</v>
      </c>
      <c r="Y184" s="79">
        <v>497.03</v>
      </c>
      <c r="Z184" s="79">
        <v>186.01</v>
      </c>
      <c r="AA184" s="79">
        <v>1113.1799999999901</v>
      </c>
      <c r="AB184" s="79">
        <v>2332.91</v>
      </c>
      <c r="AC184" s="79">
        <v>244.1</v>
      </c>
      <c r="AD184" s="79">
        <v>220.33</v>
      </c>
      <c r="AE184" s="79">
        <v>853.40999999999894</v>
      </c>
      <c r="AF184" s="79">
        <v>1607.96999999999</v>
      </c>
      <c r="AG184" s="79">
        <v>188.95</v>
      </c>
      <c r="AH184" s="79">
        <v>244.1</v>
      </c>
      <c r="AI184" s="79">
        <v>927.95999999999901</v>
      </c>
      <c r="AJ184" s="79">
        <v>1739.5</v>
      </c>
      <c r="AV184" s="76" t="s">
        <v>156</v>
      </c>
      <c r="AW184" s="76" t="s">
        <v>10</v>
      </c>
      <c r="AX184" s="33"/>
      <c r="AY184" s="33">
        <v>1</v>
      </c>
      <c r="AZ184" s="33">
        <v>1</v>
      </c>
      <c r="BB184" s="76" t="s">
        <v>156</v>
      </c>
      <c r="BC184" s="76" t="s">
        <v>10</v>
      </c>
      <c r="BD184" s="79"/>
      <c r="BE184" s="79">
        <v>743.67</v>
      </c>
      <c r="BF184" s="79">
        <v>643.66999999999996</v>
      </c>
      <c r="BH184" s="76">
        <v>98396</v>
      </c>
      <c r="BI184" s="76" t="s">
        <v>10</v>
      </c>
      <c r="BJ184" s="79"/>
      <c r="BK184" s="79">
        <v>-206.18</v>
      </c>
      <c r="BL184" s="79"/>
    </row>
    <row r="185" spans="2:64" x14ac:dyDescent="0.2">
      <c r="B185" s="59">
        <v>98177</v>
      </c>
      <c r="C185" s="38" t="s">
        <v>352</v>
      </c>
      <c r="D185" s="48">
        <v>4</v>
      </c>
      <c r="E185" s="48">
        <v>5</v>
      </c>
      <c r="F185" s="48">
        <v>5</v>
      </c>
      <c r="H185" s="76">
        <v>98168</v>
      </c>
      <c r="I185" s="76" t="s">
        <v>10</v>
      </c>
      <c r="J185" s="79">
        <v>69917.259999999995</v>
      </c>
      <c r="K185" s="79">
        <v>64414</v>
      </c>
      <c r="L185" s="79">
        <v>179948.65999999901</v>
      </c>
      <c r="M185" s="79">
        <v>427008.359999999</v>
      </c>
      <c r="N185" s="79">
        <v>71819.59</v>
      </c>
      <c r="O185" s="79">
        <v>53418.15</v>
      </c>
      <c r="P185" s="79">
        <v>217900.14</v>
      </c>
      <c r="Q185" s="79">
        <v>432849.33999999898</v>
      </c>
      <c r="R185" s="79">
        <v>57575.24</v>
      </c>
      <c r="S185" s="79">
        <v>56016.36</v>
      </c>
      <c r="T185" s="79">
        <v>235070.18</v>
      </c>
      <c r="U185" s="79">
        <v>414865.34</v>
      </c>
      <c r="W185" s="76">
        <v>98390</v>
      </c>
      <c r="X185" s="15" t="s">
        <v>10</v>
      </c>
      <c r="Y185" s="79">
        <v>16424.48</v>
      </c>
      <c r="Z185" s="79">
        <v>15899.27</v>
      </c>
      <c r="AA185" s="79">
        <v>44252.75</v>
      </c>
      <c r="AB185" s="79">
        <v>97890.299999999901</v>
      </c>
      <c r="AC185" s="79">
        <v>16566.07</v>
      </c>
      <c r="AD185" s="79">
        <v>13732.43</v>
      </c>
      <c r="AE185" s="79">
        <v>47622.29</v>
      </c>
      <c r="AF185" s="79">
        <v>92474.87</v>
      </c>
      <c r="AG185" s="79">
        <v>10309.129999999999</v>
      </c>
      <c r="AH185" s="79">
        <v>13175</v>
      </c>
      <c r="AI185" s="79">
        <v>49124.729999999901</v>
      </c>
      <c r="AJ185" s="79">
        <v>83052.460000000006</v>
      </c>
      <c r="AV185" s="76" t="s">
        <v>157</v>
      </c>
      <c r="AW185" s="76" t="s">
        <v>352</v>
      </c>
      <c r="AX185" s="33">
        <v>5</v>
      </c>
      <c r="AY185" s="33">
        <v>2</v>
      </c>
      <c r="AZ185" s="33">
        <v>2</v>
      </c>
      <c r="BB185" s="76" t="s">
        <v>157</v>
      </c>
      <c r="BC185" s="76" t="s">
        <v>352</v>
      </c>
      <c r="BD185" s="79">
        <v>24601.62</v>
      </c>
      <c r="BE185" s="79">
        <v>23396.85</v>
      </c>
      <c r="BF185" s="79">
        <v>23163.29</v>
      </c>
      <c r="BH185" s="76">
        <v>98402</v>
      </c>
      <c r="BI185" s="76" t="s">
        <v>352</v>
      </c>
      <c r="BJ185" s="79">
        <v>-296.57</v>
      </c>
      <c r="BK185" s="79"/>
      <c r="BL185" s="79">
        <v>-75.62</v>
      </c>
    </row>
    <row r="186" spans="2:64" x14ac:dyDescent="0.2">
      <c r="B186" s="86">
        <v>98177</v>
      </c>
      <c r="C186" s="38" t="s">
        <v>10</v>
      </c>
      <c r="D186" s="48">
        <v>490</v>
      </c>
      <c r="E186" s="48">
        <v>499</v>
      </c>
      <c r="F186" s="48">
        <v>463</v>
      </c>
      <c r="H186" s="76">
        <v>98177</v>
      </c>
      <c r="I186" s="76" t="s">
        <v>352</v>
      </c>
      <c r="J186" s="79">
        <v>6587.37</v>
      </c>
      <c r="K186" s="79">
        <v>286.10000000000002</v>
      </c>
      <c r="L186" s="79">
        <v>326.43</v>
      </c>
      <c r="M186" s="79">
        <v>7864.89</v>
      </c>
      <c r="N186" s="79">
        <v>231.76</v>
      </c>
      <c r="O186" s="79">
        <v>215.2</v>
      </c>
      <c r="P186" s="79">
        <v>612.53</v>
      </c>
      <c r="Q186" s="79">
        <v>1497.94</v>
      </c>
      <c r="R186" s="79">
        <v>183.51</v>
      </c>
      <c r="S186" s="79">
        <v>231.76</v>
      </c>
      <c r="T186" s="79">
        <v>827.73</v>
      </c>
      <c r="U186" s="79">
        <v>2394.5700000000002</v>
      </c>
      <c r="W186" s="76">
        <v>98391</v>
      </c>
      <c r="X186" s="15" t="s">
        <v>10</v>
      </c>
      <c r="Y186" s="79">
        <v>57353.24</v>
      </c>
      <c r="Z186" s="79">
        <v>51754.64</v>
      </c>
      <c r="AA186" s="79">
        <v>74726.720000000001</v>
      </c>
      <c r="AB186" s="79">
        <v>256697.68999999901</v>
      </c>
      <c r="AC186" s="79">
        <v>55257.2</v>
      </c>
      <c r="AD186" s="79">
        <v>44551.76</v>
      </c>
      <c r="AE186" s="79">
        <v>100377.57</v>
      </c>
      <c r="AF186" s="79">
        <v>257735.08999999901</v>
      </c>
      <c r="AG186" s="79">
        <v>45583.519999999997</v>
      </c>
      <c r="AH186" s="79">
        <v>45068.08</v>
      </c>
      <c r="AI186" s="79">
        <v>111235.79</v>
      </c>
      <c r="AJ186" s="79">
        <v>248566.46999999901</v>
      </c>
      <c r="AV186" s="76" t="s">
        <v>157</v>
      </c>
      <c r="AW186" s="76" t="s">
        <v>10</v>
      </c>
      <c r="AX186" s="33">
        <v>9</v>
      </c>
      <c r="AY186" s="33">
        <v>10</v>
      </c>
      <c r="AZ186" s="33">
        <v>9</v>
      </c>
      <c r="BB186" s="76" t="s">
        <v>157</v>
      </c>
      <c r="BC186" s="76" t="s">
        <v>10</v>
      </c>
      <c r="BD186" s="79">
        <v>2126.36</v>
      </c>
      <c r="BE186" s="79">
        <v>2273.64</v>
      </c>
      <c r="BF186" s="79">
        <v>2774.36</v>
      </c>
      <c r="BH186" s="76">
        <v>98404</v>
      </c>
      <c r="BI186" s="76" t="s">
        <v>10</v>
      </c>
      <c r="BJ186" s="79">
        <v>-53.13</v>
      </c>
      <c r="BK186" s="79">
        <v>-577.58000000000004</v>
      </c>
      <c r="BL186" s="79">
        <v>-160.36000000000001</v>
      </c>
    </row>
    <row r="187" spans="2:64" x14ac:dyDescent="0.2">
      <c r="B187" s="59">
        <v>98178</v>
      </c>
      <c r="C187" s="38" t="s">
        <v>352</v>
      </c>
      <c r="D187" s="48">
        <v>13</v>
      </c>
      <c r="E187" s="48">
        <v>18</v>
      </c>
      <c r="F187" s="48">
        <v>13</v>
      </c>
      <c r="H187" s="76">
        <v>98177</v>
      </c>
      <c r="I187" s="76" t="s">
        <v>10</v>
      </c>
      <c r="J187" s="79">
        <v>36102.21</v>
      </c>
      <c r="K187" s="79">
        <v>33403.730000000003</v>
      </c>
      <c r="L187" s="79">
        <v>57385.6499999999</v>
      </c>
      <c r="M187" s="79">
        <v>203549.69999999899</v>
      </c>
      <c r="N187" s="79">
        <v>33843.64</v>
      </c>
      <c r="O187" s="79">
        <v>37611.46</v>
      </c>
      <c r="P187" s="79">
        <v>72784.179999999906</v>
      </c>
      <c r="Q187" s="79">
        <v>198158.519999999</v>
      </c>
      <c r="R187" s="79">
        <v>25663.040000000001</v>
      </c>
      <c r="S187" s="79">
        <v>23084.77</v>
      </c>
      <c r="T187" s="79">
        <v>83517.070000000007</v>
      </c>
      <c r="U187" s="79">
        <v>169999.57</v>
      </c>
      <c r="W187" s="76">
        <v>98392</v>
      </c>
      <c r="X187" s="15" t="s">
        <v>10</v>
      </c>
      <c r="Y187" s="79">
        <v>6345.11</v>
      </c>
      <c r="Z187" s="79">
        <v>4591.96</v>
      </c>
      <c r="AA187" s="79">
        <v>14888.08</v>
      </c>
      <c r="AB187" s="79">
        <v>36216.36</v>
      </c>
      <c r="AC187" s="79">
        <v>6364.75</v>
      </c>
      <c r="AD187" s="79">
        <v>4124.75</v>
      </c>
      <c r="AE187" s="79">
        <v>11295.59</v>
      </c>
      <c r="AF187" s="79">
        <v>32353.39</v>
      </c>
      <c r="AG187" s="79">
        <v>5920.84</v>
      </c>
      <c r="AH187" s="79">
        <v>4282.8100000000004</v>
      </c>
      <c r="AI187" s="79">
        <v>11510.33</v>
      </c>
      <c r="AJ187" s="79">
        <v>29083.719999999899</v>
      </c>
      <c r="AV187" s="76" t="s">
        <v>318</v>
      </c>
      <c r="AW187" s="76" t="s">
        <v>352</v>
      </c>
      <c r="AX187" s="33">
        <v>1</v>
      </c>
      <c r="AY187" s="33"/>
      <c r="AZ187" s="33"/>
      <c r="BB187" s="76" t="s">
        <v>318</v>
      </c>
      <c r="BC187" s="76" t="s">
        <v>352</v>
      </c>
      <c r="BD187" s="79">
        <v>731.25</v>
      </c>
      <c r="BE187" s="79"/>
      <c r="BF187" s="79"/>
      <c r="BH187" s="76">
        <v>98406</v>
      </c>
      <c r="BI187" s="76" t="s">
        <v>10</v>
      </c>
      <c r="BJ187" s="79">
        <v>-593.17999999999995</v>
      </c>
      <c r="BK187" s="79">
        <v>-383.15</v>
      </c>
      <c r="BL187" s="79">
        <v>-509.49</v>
      </c>
    </row>
    <row r="188" spans="2:64" x14ac:dyDescent="0.2">
      <c r="B188" s="86">
        <v>98178</v>
      </c>
      <c r="C188" s="38" t="s">
        <v>10</v>
      </c>
      <c r="D188" s="48">
        <v>831</v>
      </c>
      <c r="E188" s="48">
        <v>834</v>
      </c>
      <c r="F188" s="48">
        <v>807</v>
      </c>
      <c r="H188" s="76">
        <v>98178</v>
      </c>
      <c r="I188" s="76" t="s">
        <v>352</v>
      </c>
      <c r="J188" s="79">
        <v>2104.92</v>
      </c>
      <c r="K188" s="79">
        <v>2201.39</v>
      </c>
      <c r="L188" s="79">
        <v>9353.4399999999896</v>
      </c>
      <c r="M188" s="79">
        <v>17296.53</v>
      </c>
      <c r="N188" s="79">
        <v>1924.23</v>
      </c>
      <c r="O188" s="79">
        <v>1994.28</v>
      </c>
      <c r="P188" s="79">
        <v>10576.28</v>
      </c>
      <c r="Q188" s="79">
        <v>19177.68</v>
      </c>
      <c r="R188" s="79">
        <v>1414.95</v>
      </c>
      <c r="S188" s="79">
        <v>1721.51</v>
      </c>
      <c r="T188" s="79">
        <v>11582.92</v>
      </c>
      <c r="U188" s="79">
        <v>16459.82</v>
      </c>
      <c r="W188" s="76">
        <v>98396</v>
      </c>
      <c r="X188" s="15" t="s">
        <v>10</v>
      </c>
      <c r="Y188" s="79">
        <v>2732.18</v>
      </c>
      <c r="Z188" s="79"/>
      <c r="AA188" s="79">
        <v>1626.56</v>
      </c>
      <c r="AB188" s="79">
        <v>4960.83</v>
      </c>
      <c r="AC188" s="79">
        <v>495.82</v>
      </c>
      <c r="AD188" s="79">
        <v>1984.62</v>
      </c>
      <c r="AE188" s="79">
        <v>1128.83</v>
      </c>
      <c r="AF188" s="79">
        <v>5939.88</v>
      </c>
      <c r="AG188" s="79">
        <v>2172.58</v>
      </c>
      <c r="AH188" s="79">
        <v>424.98</v>
      </c>
      <c r="AI188" s="79">
        <v>2168.83</v>
      </c>
      <c r="AJ188" s="79">
        <v>5199.03999999999</v>
      </c>
      <c r="AV188" s="76" t="s">
        <v>318</v>
      </c>
      <c r="AW188" s="76" t="s">
        <v>10</v>
      </c>
      <c r="AX188" s="33">
        <v>1</v>
      </c>
      <c r="AY188" s="33"/>
      <c r="AZ188" s="33">
        <v>1</v>
      </c>
      <c r="BB188" s="76" t="s">
        <v>318</v>
      </c>
      <c r="BC188" s="76" t="s">
        <v>10</v>
      </c>
      <c r="BD188" s="79"/>
      <c r="BE188" s="79"/>
      <c r="BF188" s="79">
        <v>230.18</v>
      </c>
      <c r="BH188" s="76">
        <v>98407</v>
      </c>
      <c r="BI188" s="76" t="s">
        <v>10</v>
      </c>
      <c r="BJ188" s="79">
        <v>-57.86</v>
      </c>
      <c r="BK188" s="79"/>
      <c r="BL188" s="79"/>
    </row>
    <row r="189" spans="2:64" x14ac:dyDescent="0.2">
      <c r="B189" s="59">
        <v>98188</v>
      </c>
      <c r="C189" s="38" t="s">
        <v>352</v>
      </c>
      <c r="D189" s="48">
        <v>336</v>
      </c>
      <c r="E189" s="48">
        <v>254</v>
      </c>
      <c r="F189" s="48">
        <v>262</v>
      </c>
      <c r="H189" s="76">
        <v>98178</v>
      </c>
      <c r="I189" s="76" t="s">
        <v>10</v>
      </c>
      <c r="J189" s="79">
        <v>53065.03</v>
      </c>
      <c r="K189" s="79">
        <v>45690.22</v>
      </c>
      <c r="L189" s="79">
        <v>96925.88</v>
      </c>
      <c r="M189" s="79">
        <v>270397.18</v>
      </c>
      <c r="N189" s="79">
        <v>46374.46</v>
      </c>
      <c r="O189" s="79">
        <v>40836.980000000003</v>
      </c>
      <c r="P189" s="79">
        <v>120829.05</v>
      </c>
      <c r="Q189" s="79">
        <v>274381.28000000003</v>
      </c>
      <c r="R189" s="79">
        <v>41517.919999999998</v>
      </c>
      <c r="S189" s="79">
        <v>32973.14</v>
      </c>
      <c r="T189" s="79">
        <v>129691.819999999</v>
      </c>
      <c r="U189" s="79">
        <v>247539.14</v>
      </c>
      <c r="W189" s="76">
        <v>98402</v>
      </c>
      <c r="X189" s="15" t="s">
        <v>10</v>
      </c>
      <c r="Y189" s="79"/>
      <c r="Z189" s="79"/>
      <c r="AA189" s="79"/>
      <c r="AB189" s="79">
        <v>71.22</v>
      </c>
      <c r="AC189" s="79">
        <v>1.22</v>
      </c>
      <c r="AD189" s="79"/>
      <c r="AE189" s="79"/>
      <c r="AF189" s="79">
        <v>67.05</v>
      </c>
      <c r="AG189" s="79"/>
      <c r="AH189" s="79"/>
      <c r="AI189" s="79"/>
      <c r="AJ189" s="79"/>
      <c r="AV189" s="76" t="s">
        <v>159</v>
      </c>
      <c r="AW189" s="76" t="s">
        <v>352</v>
      </c>
      <c r="AX189" s="33">
        <v>3</v>
      </c>
      <c r="AY189" s="33">
        <v>2</v>
      </c>
      <c r="AZ189" s="33">
        <v>6</v>
      </c>
      <c r="BB189" s="76" t="s">
        <v>159</v>
      </c>
      <c r="BC189" s="76" t="s">
        <v>352</v>
      </c>
      <c r="BD189" s="79">
        <v>923.14</v>
      </c>
      <c r="BE189" s="79">
        <v>406.68</v>
      </c>
      <c r="BF189" s="79">
        <v>2413.96</v>
      </c>
      <c r="BH189" s="76">
        <v>98409</v>
      </c>
      <c r="BI189" s="76" t="s">
        <v>10</v>
      </c>
      <c r="BJ189" s="79"/>
      <c r="BK189" s="79">
        <v>-55.6</v>
      </c>
      <c r="BL189" s="79">
        <v>-209.48</v>
      </c>
    </row>
    <row r="190" spans="2:64" x14ac:dyDescent="0.2">
      <c r="B190" s="86">
        <v>98188</v>
      </c>
      <c r="C190" s="38" t="s">
        <v>10</v>
      </c>
      <c r="D190" s="48">
        <v>2080</v>
      </c>
      <c r="E190" s="48">
        <v>2144</v>
      </c>
      <c r="F190" s="48">
        <v>2077</v>
      </c>
      <c r="H190" s="76">
        <v>98188</v>
      </c>
      <c r="I190" s="76" t="s">
        <v>352</v>
      </c>
      <c r="J190" s="79">
        <v>152087.57999999999</v>
      </c>
      <c r="K190" s="79">
        <v>22721.32</v>
      </c>
      <c r="L190" s="79">
        <v>1369471.32</v>
      </c>
      <c r="M190" s="79">
        <v>1768950.25</v>
      </c>
      <c r="N190" s="79">
        <v>108617.25</v>
      </c>
      <c r="O190" s="79">
        <v>132821.54</v>
      </c>
      <c r="P190" s="79">
        <v>1344251.27</v>
      </c>
      <c r="Q190" s="79">
        <v>1754230.95</v>
      </c>
      <c r="R190" s="79">
        <v>87944.27</v>
      </c>
      <c r="S190" s="79">
        <v>77337.55</v>
      </c>
      <c r="T190" s="79">
        <v>1456970.65</v>
      </c>
      <c r="U190" s="79">
        <v>1815450.27</v>
      </c>
      <c r="W190" s="76">
        <v>98403</v>
      </c>
      <c r="X190" s="15" t="s">
        <v>10</v>
      </c>
      <c r="Y190" s="79">
        <v>1616.9</v>
      </c>
      <c r="Z190" s="79">
        <v>1389.72</v>
      </c>
      <c r="AA190" s="79">
        <v>2803.79</v>
      </c>
      <c r="AB190" s="79">
        <v>7327.2199999999903</v>
      </c>
      <c r="AC190" s="79">
        <v>1452.87</v>
      </c>
      <c r="AD190" s="79">
        <v>1328.41</v>
      </c>
      <c r="AE190" s="79">
        <v>3867.02</v>
      </c>
      <c r="AF190" s="79">
        <v>8044.4699999999903</v>
      </c>
      <c r="AG190" s="79">
        <v>883.07</v>
      </c>
      <c r="AH190" s="79">
        <v>1035.06</v>
      </c>
      <c r="AI190" s="79">
        <v>2051.7600000000002</v>
      </c>
      <c r="AJ190" s="79">
        <v>4757.9399999999996</v>
      </c>
      <c r="AV190" s="76" t="s">
        <v>159</v>
      </c>
      <c r="AW190" s="76" t="s">
        <v>10</v>
      </c>
      <c r="AX190" s="33">
        <v>62</v>
      </c>
      <c r="AY190" s="33">
        <v>44</v>
      </c>
      <c r="AZ190" s="33">
        <v>46</v>
      </c>
      <c r="BB190" s="76" t="s">
        <v>159</v>
      </c>
      <c r="BC190" s="76" t="s">
        <v>10</v>
      </c>
      <c r="BD190" s="79">
        <v>26082.25</v>
      </c>
      <c r="BE190" s="79">
        <v>7835.1</v>
      </c>
      <c r="BF190" s="79">
        <v>17048.669999999998</v>
      </c>
      <c r="BH190" s="76">
        <v>98418</v>
      </c>
      <c r="BI190" s="76" t="s">
        <v>10</v>
      </c>
      <c r="BJ190" s="79">
        <v>-186.12</v>
      </c>
      <c r="BK190" s="79"/>
      <c r="BL190" s="79"/>
    </row>
    <row r="191" spans="2:64" x14ac:dyDescent="0.2">
      <c r="B191" s="59">
        <v>98195</v>
      </c>
      <c r="C191" s="38" t="s">
        <v>352</v>
      </c>
      <c r="D191" s="48"/>
      <c r="E191" s="48"/>
      <c r="F191" s="48">
        <v>1</v>
      </c>
      <c r="H191" s="76">
        <v>98188</v>
      </c>
      <c r="I191" s="76" t="s">
        <v>10</v>
      </c>
      <c r="J191" s="79">
        <v>164877.59</v>
      </c>
      <c r="K191" s="79">
        <v>158626.12</v>
      </c>
      <c r="L191" s="79">
        <v>418284.58999999898</v>
      </c>
      <c r="M191" s="79">
        <v>1032989.55</v>
      </c>
      <c r="N191" s="79">
        <v>171274.12</v>
      </c>
      <c r="O191" s="79">
        <v>127700.15</v>
      </c>
      <c r="P191" s="79">
        <v>510894.429999999</v>
      </c>
      <c r="Q191" s="79">
        <v>1042292.98999999</v>
      </c>
      <c r="R191" s="79">
        <v>139022.01999999999</v>
      </c>
      <c r="S191" s="79">
        <v>132660.65</v>
      </c>
      <c r="T191" s="79">
        <v>566306.47</v>
      </c>
      <c r="U191" s="79">
        <v>1010522.68999999</v>
      </c>
      <c r="W191" s="76">
        <v>98404</v>
      </c>
      <c r="X191" s="15" t="s">
        <v>10</v>
      </c>
      <c r="Y191" s="79">
        <v>9222.39</v>
      </c>
      <c r="Z191" s="79">
        <v>8069.01</v>
      </c>
      <c r="AA191" s="79">
        <v>13654.619999999901</v>
      </c>
      <c r="AB191" s="79">
        <v>40326.04</v>
      </c>
      <c r="AC191" s="79">
        <v>6979.95</v>
      </c>
      <c r="AD191" s="79">
        <v>6670.06</v>
      </c>
      <c r="AE191" s="79">
        <v>15393.38</v>
      </c>
      <c r="AF191" s="79">
        <v>37582.979999999901</v>
      </c>
      <c r="AG191" s="79">
        <v>6568.19</v>
      </c>
      <c r="AH191" s="79">
        <v>5185.17</v>
      </c>
      <c r="AI191" s="79">
        <v>13844.0999999999</v>
      </c>
      <c r="AJ191" s="79">
        <v>31857.809999999899</v>
      </c>
      <c r="AV191" s="76" t="s">
        <v>160</v>
      </c>
      <c r="AW191" s="76" t="s">
        <v>352</v>
      </c>
      <c r="AX191" s="33">
        <v>5</v>
      </c>
      <c r="AY191" s="33">
        <v>5</v>
      </c>
      <c r="AZ191" s="33">
        <v>2</v>
      </c>
      <c r="BB191" s="76" t="s">
        <v>160</v>
      </c>
      <c r="BC191" s="76" t="s">
        <v>352</v>
      </c>
      <c r="BD191" s="79">
        <v>741.36</v>
      </c>
      <c r="BE191" s="79">
        <v>23347.33</v>
      </c>
      <c r="BF191" s="79">
        <v>1971.3</v>
      </c>
      <c r="BH191" s="76">
        <v>98422</v>
      </c>
      <c r="BI191" s="76" t="s">
        <v>10</v>
      </c>
      <c r="BJ191" s="79"/>
      <c r="BK191" s="79"/>
      <c r="BL191" s="79">
        <v>-308.94</v>
      </c>
    </row>
    <row r="192" spans="2:64" x14ac:dyDescent="0.2">
      <c r="B192" s="86">
        <v>98198</v>
      </c>
      <c r="C192" s="38" t="s">
        <v>352</v>
      </c>
      <c r="D192" s="48">
        <v>167</v>
      </c>
      <c r="E192" s="74">
        <v>146</v>
      </c>
      <c r="F192" s="48">
        <v>132</v>
      </c>
      <c r="H192" s="76">
        <v>98195</v>
      </c>
      <c r="I192" s="76" t="s">
        <v>352</v>
      </c>
      <c r="J192" s="79"/>
      <c r="K192" s="79"/>
      <c r="L192" s="79"/>
      <c r="M192" s="79"/>
      <c r="N192" s="79"/>
      <c r="O192" s="79"/>
      <c r="P192" s="79"/>
      <c r="Q192" s="79"/>
      <c r="R192" s="79"/>
      <c r="S192" s="79"/>
      <c r="T192" s="79"/>
      <c r="U192" s="79">
        <v>1564.6</v>
      </c>
      <c r="W192" s="76">
        <v>98405</v>
      </c>
      <c r="X192" s="15" t="s">
        <v>10</v>
      </c>
      <c r="Y192" s="79">
        <v>11365.83</v>
      </c>
      <c r="Z192" s="79">
        <v>8815.99</v>
      </c>
      <c r="AA192" s="79">
        <v>11282.68</v>
      </c>
      <c r="AB192" s="79">
        <v>40322.1</v>
      </c>
      <c r="AC192" s="79">
        <v>7103.87</v>
      </c>
      <c r="AD192" s="79">
        <v>8751.56</v>
      </c>
      <c r="AE192" s="79">
        <v>16472.209999999901</v>
      </c>
      <c r="AF192" s="79">
        <v>38971.0799999999</v>
      </c>
      <c r="AG192" s="79">
        <v>4995.66</v>
      </c>
      <c r="AH192" s="79">
        <v>5617.59</v>
      </c>
      <c r="AI192" s="79">
        <v>21353.39</v>
      </c>
      <c r="AJ192" s="79">
        <v>36599.96</v>
      </c>
      <c r="AV192" s="76" t="s">
        <v>160</v>
      </c>
      <c r="AW192" s="76" t="s">
        <v>10</v>
      </c>
      <c r="AX192" s="33">
        <v>34</v>
      </c>
      <c r="AY192" s="33">
        <v>44</v>
      </c>
      <c r="AZ192" s="33">
        <v>35</v>
      </c>
      <c r="BB192" s="76" t="s">
        <v>160</v>
      </c>
      <c r="BC192" s="76" t="s">
        <v>10</v>
      </c>
      <c r="BD192" s="79">
        <v>9591.92</v>
      </c>
      <c r="BE192" s="79">
        <v>10316.61</v>
      </c>
      <c r="BF192" s="79">
        <v>15224.13</v>
      </c>
      <c r="BH192" s="76">
        <v>98424</v>
      </c>
      <c r="BI192" s="76" t="s">
        <v>352</v>
      </c>
      <c r="BJ192" s="79">
        <v>-200</v>
      </c>
      <c r="BK192" s="79">
        <v>-230.77</v>
      </c>
      <c r="BL192" s="79">
        <v>-100</v>
      </c>
    </row>
    <row r="193" spans="2:64" x14ac:dyDescent="0.2">
      <c r="B193" s="59">
        <v>98198</v>
      </c>
      <c r="C193" s="38" t="s">
        <v>10</v>
      </c>
      <c r="D193" s="48">
        <v>3266</v>
      </c>
      <c r="E193" s="74">
        <v>3292</v>
      </c>
      <c r="F193" s="74">
        <v>3187</v>
      </c>
      <c r="H193" s="76">
        <v>98198</v>
      </c>
      <c r="I193" s="76" t="s">
        <v>352</v>
      </c>
      <c r="J193" s="79">
        <v>62712.87</v>
      </c>
      <c r="K193" s="79">
        <v>11944.44</v>
      </c>
      <c r="L193" s="79">
        <v>63563.7</v>
      </c>
      <c r="M193" s="79">
        <v>324117.03000000003</v>
      </c>
      <c r="N193" s="79">
        <v>17908.61</v>
      </c>
      <c r="O193" s="79">
        <v>12291</v>
      </c>
      <c r="P193" s="79">
        <v>68192.37</v>
      </c>
      <c r="Q193" s="79">
        <v>191100.77</v>
      </c>
      <c r="R193" s="79">
        <v>11944.72</v>
      </c>
      <c r="S193" s="79">
        <v>13405.8</v>
      </c>
      <c r="T193" s="79">
        <v>70650.399999999994</v>
      </c>
      <c r="U193" s="79">
        <v>146810.049999999</v>
      </c>
      <c r="W193" s="76">
        <v>98406</v>
      </c>
      <c r="X193" s="15" t="s">
        <v>10</v>
      </c>
      <c r="Y193" s="79">
        <v>5051.8599999999997</v>
      </c>
      <c r="Z193" s="79">
        <v>5203.5200000000004</v>
      </c>
      <c r="AA193" s="79">
        <v>20155.349999999999</v>
      </c>
      <c r="AB193" s="79">
        <v>35800.93</v>
      </c>
      <c r="AC193" s="79">
        <v>3324.76</v>
      </c>
      <c r="AD193" s="79">
        <v>3817.53</v>
      </c>
      <c r="AE193" s="79">
        <v>23111.919999999998</v>
      </c>
      <c r="AF193" s="79">
        <v>32612.28</v>
      </c>
      <c r="AG193" s="79">
        <v>2050.02</v>
      </c>
      <c r="AH193" s="79">
        <v>3225.34</v>
      </c>
      <c r="AI193" s="79">
        <v>23426.03</v>
      </c>
      <c r="AJ193" s="79">
        <v>31377.33</v>
      </c>
      <c r="AV193" s="76" t="s">
        <v>161</v>
      </c>
      <c r="AW193" s="76" t="s">
        <v>352</v>
      </c>
      <c r="AX193" s="33">
        <v>1</v>
      </c>
      <c r="AY193" s="33">
        <v>1</v>
      </c>
      <c r="AZ193" s="33">
        <v>3</v>
      </c>
      <c r="BB193" s="76" t="s">
        <v>161</v>
      </c>
      <c r="BC193" s="76" t="s">
        <v>352</v>
      </c>
      <c r="BD193" s="79">
        <v>20.72</v>
      </c>
      <c r="BE193" s="79">
        <v>67.31</v>
      </c>
      <c r="BF193" s="79">
        <v>391.47</v>
      </c>
      <c r="BH193" s="76">
        <v>98439</v>
      </c>
      <c r="BI193" s="76" t="s">
        <v>10</v>
      </c>
      <c r="BJ193" s="79">
        <v>-78.260000000000005</v>
      </c>
      <c r="BK193" s="79">
        <v>-25</v>
      </c>
      <c r="BL193" s="79">
        <v>-25</v>
      </c>
    </row>
    <row r="194" spans="2:64" x14ac:dyDescent="0.2">
      <c r="B194" s="86">
        <v>98199</v>
      </c>
      <c r="C194" s="38" t="s">
        <v>352</v>
      </c>
      <c r="D194" s="48">
        <v>26</v>
      </c>
      <c r="E194" s="48">
        <v>35</v>
      </c>
      <c r="F194" s="48">
        <v>34</v>
      </c>
      <c r="H194" s="76">
        <v>98198</v>
      </c>
      <c r="I194" s="76" t="s">
        <v>10</v>
      </c>
      <c r="J194" s="79">
        <v>306392.40000000002</v>
      </c>
      <c r="K194" s="79">
        <v>276224.48</v>
      </c>
      <c r="L194" s="79">
        <v>721645.91</v>
      </c>
      <c r="M194" s="79">
        <v>1787850.58</v>
      </c>
      <c r="N194" s="79">
        <v>335663.52</v>
      </c>
      <c r="O194" s="79">
        <v>232368.22</v>
      </c>
      <c r="P194" s="79">
        <v>871495.84</v>
      </c>
      <c r="Q194" s="79">
        <v>1812814.96999999</v>
      </c>
      <c r="R194" s="79">
        <v>251721.66</v>
      </c>
      <c r="S194" s="79">
        <v>256205.38</v>
      </c>
      <c r="T194" s="79">
        <v>918153.3</v>
      </c>
      <c r="U194" s="79">
        <v>1731989.6499999899</v>
      </c>
      <c r="W194" s="76">
        <v>98407</v>
      </c>
      <c r="X194" s="15" t="s">
        <v>10</v>
      </c>
      <c r="Y194" s="79">
        <v>2627.26</v>
      </c>
      <c r="Z194" s="79">
        <v>2064.84</v>
      </c>
      <c r="AA194" s="79">
        <v>4156.08</v>
      </c>
      <c r="AB194" s="79">
        <v>11571.25</v>
      </c>
      <c r="AC194" s="79">
        <v>1907.63</v>
      </c>
      <c r="AD194" s="79">
        <v>1894.1</v>
      </c>
      <c r="AE194" s="79">
        <v>3944.27</v>
      </c>
      <c r="AF194" s="79">
        <v>9709.0400000000009</v>
      </c>
      <c r="AG194" s="79">
        <v>1730.99</v>
      </c>
      <c r="AH194" s="79">
        <v>1611.22</v>
      </c>
      <c r="AI194" s="79">
        <v>4285.7</v>
      </c>
      <c r="AJ194" s="79">
        <v>9185.75</v>
      </c>
      <c r="AV194" s="76" t="s">
        <v>161</v>
      </c>
      <c r="AW194" s="76" t="s">
        <v>10</v>
      </c>
      <c r="AX194" s="33">
        <v>33</v>
      </c>
      <c r="AY194" s="33">
        <v>34</v>
      </c>
      <c r="AZ194" s="33">
        <v>31</v>
      </c>
      <c r="BB194" s="76" t="s">
        <v>161</v>
      </c>
      <c r="BC194" s="76" t="s">
        <v>10</v>
      </c>
      <c r="BD194" s="79">
        <v>5718.77</v>
      </c>
      <c r="BE194" s="79">
        <v>10468.709999999999</v>
      </c>
      <c r="BF194" s="79">
        <v>13691.86</v>
      </c>
      <c r="BH194" s="76">
        <v>98444</v>
      </c>
      <c r="BI194" s="76" t="s">
        <v>10</v>
      </c>
      <c r="BJ194" s="79">
        <v>-135</v>
      </c>
      <c r="BK194" s="79"/>
      <c r="BL194" s="79"/>
    </row>
    <row r="195" spans="2:64" x14ac:dyDescent="0.2">
      <c r="B195" s="59">
        <v>98199</v>
      </c>
      <c r="C195" s="38" t="s">
        <v>10</v>
      </c>
      <c r="D195" s="48">
        <v>487</v>
      </c>
      <c r="E195" s="48">
        <v>503</v>
      </c>
      <c r="F195" s="48">
        <v>523</v>
      </c>
      <c r="H195" s="76">
        <v>98199</v>
      </c>
      <c r="I195" s="76" t="s">
        <v>352</v>
      </c>
      <c r="J195" s="79">
        <v>5437.05</v>
      </c>
      <c r="K195" s="79">
        <v>3610.07</v>
      </c>
      <c r="L195" s="79">
        <v>4946.96</v>
      </c>
      <c r="M195" s="79">
        <v>24550.749999999902</v>
      </c>
      <c r="N195" s="79">
        <v>6342.52</v>
      </c>
      <c r="O195" s="79">
        <v>1540.6</v>
      </c>
      <c r="P195" s="79">
        <v>5939.41</v>
      </c>
      <c r="Q195" s="79">
        <v>28740.949999999899</v>
      </c>
      <c r="R195" s="79">
        <v>4515.75</v>
      </c>
      <c r="S195" s="79">
        <v>3331.78</v>
      </c>
      <c r="T195" s="79">
        <v>6635.47</v>
      </c>
      <c r="U195" s="79">
        <v>21293.63</v>
      </c>
      <c r="W195" s="76">
        <v>98408</v>
      </c>
      <c r="X195" s="15" t="s">
        <v>10</v>
      </c>
      <c r="Y195" s="79">
        <v>6680.27</v>
      </c>
      <c r="Z195" s="79">
        <v>5213.71</v>
      </c>
      <c r="AA195" s="79">
        <v>9391.1</v>
      </c>
      <c r="AB195" s="79">
        <v>28703.59</v>
      </c>
      <c r="AC195" s="79">
        <v>5704.62</v>
      </c>
      <c r="AD195" s="79">
        <v>5444.7</v>
      </c>
      <c r="AE195" s="79">
        <v>10963.97</v>
      </c>
      <c r="AF195" s="79">
        <v>28659.91</v>
      </c>
      <c r="AG195" s="79">
        <v>4620.43</v>
      </c>
      <c r="AH195" s="79">
        <v>4404.24</v>
      </c>
      <c r="AI195" s="79">
        <v>11897.119999999901</v>
      </c>
      <c r="AJ195" s="79">
        <v>24873.569999999901</v>
      </c>
      <c r="AV195" s="76" t="s">
        <v>162</v>
      </c>
      <c r="AW195" s="76" t="s">
        <v>352</v>
      </c>
      <c r="AX195" s="33">
        <v>1</v>
      </c>
      <c r="AY195" s="33"/>
      <c r="AZ195" s="33"/>
      <c r="BB195" s="76" t="s">
        <v>162</v>
      </c>
      <c r="BC195" s="76" t="s">
        <v>352</v>
      </c>
      <c r="BD195" s="79">
        <v>1247.07</v>
      </c>
      <c r="BE195" s="79"/>
      <c r="BF195" s="79"/>
      <c r="BH195" s="76">
        <v>98445</v>
      </c>
      <c r="BI195" s="76" t="s">
        <v>10</v>
      </c>
      <c r="BJ195" s="79">
        <v>-29.33</v>
      </c>
      <c r="BK195" s="79">
        <v>-100</v>
      </c>
      <c r="BL195" s="79">
        <v>-40.98</v>
      </c>
    </row>
    <row r="196" spans="2:64" x14ac:dyDescent="0.2">
      <c r="B196" s="86">
        <v>98201</v>
      </c>
      <c r="C196" s="38" t="s">
        <v>352</v>
      </c>
      <c r="D196" s="48">
        <v>81</v>
      </c>
      <c r="E196" s="48">
        <v>85</v>
      </c>
      <c r="F196" s="48">
        <v>74</v>
      </c>
      <c r="H196" s="76">
        <v>98199</v>
      </c>
      <c r="I196" s="76" t="s">
        <v>10</v>
      </c>
      <c r="J196" s="79">
        <v>28446.13</v>
      </c>
      <c r="K196" s="79">
        <v>21629.61</v>
      </c>
      <c r="L196" s="79">
        <v>41139.609999999899</v>
      </c>
      <c r="M196" s="79">
        <v>136168.399999999</v>
      </c>
      <c r="N196" s="79">
        <v>24760.47</v>
      </c>
      <c r="O196" s="79">
        <v>18532.02</v>
      </c>
      <c r="P196" s="79">
        <v>42163.099999999897</v>
      </c>
      <c r="Q196" s="79">
        <v>129435.5</v>
      </c>
      <c r="R196" s="79">
        <v>23494.68</v>
      </c>
      <c r="S196" s="79">
        <v>17420.96</v>
      </c>
      <c r="T196" s="79">
        <v>50950.589999999902</v>
      </c>
      <c r="U196" s="79">
        <v>125093.18</v>
      </c>
      <c r="W196" s="76">
        <v>98409</v>
      </c>
      <c r="X196" s="15" t="s">
        <v>10</v>
      </c>
      <c r="Y196" s="79">
        <v>4674.33</v>
      </c>
      <c r="Z196" s="79">
        <v>4668.92</v>
      </c>
      <c r="AA196" s="79">
        <v>4367.53999999999</v>
      </c>
      <c r="AB196" s="79">
        <v>19239.330000000002</v>
      </c>
      <c r="AC196" s="79">
        <v>4161.8</v>
      </c>
      <c r="AD196" s="79">
        <v>3757.27</v>
      </c>
      <c r="AE196" s="79">
        <v>6174.8</v>
      </c>
      <c r="AF196" s="79">
        <v>18829.82</v>
      </c>
      <c r="AG196" s="79">
        <v>3764.18</v>
      </c>
      <c r="AH196" s="79">
        <v>3784.26</v>
      </c>
      <c r="AI196" s="79">
        <v>8877.26</v>
      </c>
      <c r="AJ196" s="79">
        <v>19701.830000000002</v>
      </c>
      <c r="AV196" s="76" t="s">
        <v>162</v>
      </c>
      <c r="AW196" s="76" t="s">
        <v>10</v>
      </c>
      <c r="AX196" s="33">
        <v>9</v>
      </c>
      <c r="AY196" s="33">
        <v>16</v>
      </c>
      <c r="AZ196" s="33">
        <v>15</v>
      </c>
      <c r="BB196" s="76" t="s">
        <v>162</v>
      </c>
      <c r="BC196" s="76" t="s">
        <v>10</v>
      </c>
      <c r="BD196" s="79">
        <v>2430.69</v>
      </c>
      <c r="BE196" s="79">
        <v>7848.54</v>
      </c>
      <c r="BF196" s="79">
        <v>7121.08</v>
      </c>
      <c r="BH196" s="76">
        <v>98446</v>
      </c>
      <c r="BI196" s="76" t="s">
        <v>10</v>
      </c>
      <c r="BJ196" s="79">
        <v>-61.35</v>
      </c>
      <c r="BK196" s="79">
        <v>-30.99</v>
      </c>
      <c r="BL196" s="79"/>
    </row>
    <row r="197" spans="2:64" x14ac:dyDescent="0.2">
      <c r="B197" s="59">
        <v>98201</v>
      </c>
      <c r="C197" s="38" t="s">
        <v>10</v>
      </c>
      <c r="D197" s="48">
        <v>974</v>
      </c>
      <c r="E197" s="48">
        <v>1001</v>
      </c>
      <c r="F197" s="48">
        <v>962</v>
      </c>
      <c r="H197" s="76">
        <v>98201</v>
      </c>
      <c r="I197" s="76" t="s">
        <v>352</v>
      </c>
      <c r="J197" s="79">
        <v>7921.74</v>
      </c>
      <c r="K197" s="79">
        <v>5848.18</v>
      </c>
      <c r="L197" s="79">
        <v>25735.18</v>
      </c>
      <c r="M197" s="79">
        <v>73832.62</v>
      </c>
      <c r="N197" s="79">
        <v>8451.09</v>
      </c>
      <c r="O197" s="79">
        <v>5109.04</v>
      </c>
      <c r="P197" s="79">
        <v>30831.919999999998</v>
      </c>
      <c r="Q197" s="79">
        <v>75466.13</v>
      </c>
      <c r="R197" s="79">
        <v>6643.78</v>
      </c>
      <c r="S197" s="79">
        <v>5406.95</v>
      </c>
      <c r="T197" s="79">
        <v>31333.919999999998</v>
      </c>
      <c r="U197" s="79">
        <v>67455.539999999994</v>
      </c>
      <c r="W197" s="76">
        <v>98418</v>
      </c>
      <c r="X197" s="15" t="s">
        <v>10</v>
      </c>
      <c r="Y197" s="79">
        <v>4197.43</v>
      </c>
      <c r="Z197" s="79">
        <v>4011.61</v>
      </c>
      <c r="AA197" s="79">
        <v>7175.35</v>
      </c>
      <c r="AB197" s="79">
        <v>19761.509999999998</v>
      </c>
      <c r="AC197" s="79">
        <v>3829.06</v>
      </c>
      <c r="AD197" s="79">
        <v>3777.11</v>
      </c>
      <c r="AE197" s="79">
        <v>9861.93</v>
      </c>
      <c r="AF197" s="79">
        <v>21714.78</v>
      </c>
      <c r="AG197" s="79">
        <v>3159.39</v>
      </c>
      <c r="AH197" s="79">
        <v>2867.82</v>
      </c>
      <c r="AI197" s="79">
        <v>10415.48</v>
      </c>
      <c r="AJ197" s="79">
        <v>18772.359999999899</v>
      </c>
      <c r="AV197" s="76" t="s">
        <v>163</v>
      </c>
      <c r="AW197" s="76" t="s">
        <v>10</v>
      </c>
      <c r="AX197" s="33">
        <v>1</v>
      </c>
      <c r="AY197" s="33">
        <v>1</v>
      </c>
      <c r="AZ197" s="33">
        <v>1</v>
      </c>
      <c r="BB197" s="76" t="s">
        <v>163</v>
      </c>
      <c r="BC197" s="76" t="s">
        <v>10</v>
      </c>
      <c r="BD197" s="79">
        <v>0.01</v>
      </c>
      <c r="BE197" s="79">
        <v>107.52</v>
      </c>
      <c r="BF197" s="79">
        <v>5513.23</v>
      </c>
      <c r="BH197" s="76">
        <v>98466</v>
      </c>
      <c r="BI197" s="76" t="s">
        <v>10</v>
      </c>
      <c r="BJ197" s="79"/>
      <c r="BK197" s="79">
        <v>-32.549999999999997</v>
      </c>
      <c r="BL197" s="79"/>
    </row>
    <row r="198" spans="2:64" x14ac:dyDescent="0.2">
      <c r="B198" s="86">
        <v>98203</v>
      </c>
      <c r="C198" s="38" t="s">
        <v>352</v>
      </c>
      <c r="D198" s="48">
        <v>56</v>
      </c>
      <c r="E198" s="48">
        <v>56</v>
      </c>
      <c r="F198" s="48">
        <v>63</v>
      </c>
      <c r="H198" s="76">
        <v>98201</v>
      </c>
      <c r="I198" s="76" t="s">
        <v>10</v>
      </c>
      <c r="J198" s="79">
        <v>54264</v>
      </c>
      <c r="K198" s="79">
        <v>38518.43</v>
      </c>
      <c r="L198" s="79">
        <v>95129.17</v>
      </c>
      <c r="M198" s="79">
        <v>264305.51</v>
      </c>
      <c r="N198" s="79">
        <v>43646.34</v>
      </c>
      <c r="O198" s="79">
        <v>42526.67</v>
      </c>
      <c r="P198" s="79">
        <v>115201.30999999899</v>
      </c>
      <c r="Q198" s="79">
        <v>270010.67</v>
      </c>
      <c r="R198" s="79">
        <v>38612.910000000003</v>
      </c>
      <c r="S198" s="79">
        <v>33642.01</v>
      </c>
      <c r="T198" s="79">
        <v>138881.03</v>
      </c>
      <c r="U198" s="79">
        <v>258418.59</v>
      </c>
      <c r="W198" s="76">
        <v>98421</v>
      </c>
      <c r="X198" s="15" t="s">
        <v>10</v>
      </c>
      <c r="Y198" s="79"/>
      <c r="Z198" s="79"/>
      <c r="AA198" s="79"/>
      <c r="AB198" s="79">
        <v>161.93</v>
      </c>
      <c r="AC198" s="79">
        <v>161.93</v>
      </c>
      <c r="AD198" s="79"/>
      <c r="AE198" s="79"/>
      <c r="AF198" s="79">
        <v>324.8</v>
      </c>
      <c r="AG198" s="79">
        <v>162.87</v>
      </c>
      <c r="AH198" s="79">
        <v>161.93</v>
      </c>
      <c r="AI198" s="79"/>
      <c r="AJ198" s="79">
        <v>430.2</v>
      </c>
      <c r="AV198" s="76" t="s">
        <v>164</v>
      </c>
      <c r="AW198" s="76" t="s">
        <v>352</v>
      </c>
      <c r="AX198" s="33"/>
      <c r="AY198" s="33">
        <v>4</v>
      </c>
      <c r="AZ198" s="33">
        <v>1</v>
      </c>
      <c r="BB198" s="76" t="s">
        <v>164</v>
      </c>
      <c r="BC198" s="76" t="s">
        <v>352</v>
      </c>
      <c r="BD198" s="79"/>
      <c r="BE198" s="79">
        <v>455.78</v>
      </c>
      <c r="BF198" s="79">
        <v>1398.21</v>
      </c>
      <c r="BH198" s="76">
        <v>98467</v>
      </c>
      <c r="BI198" s="76" t="s">
        <v>10</v>
      </c>
      <c r="BJ198" s="79"/>
      <c r="BK198" s="79">
        <v>-193.84</v>
      </c>
      <c r="BL198" s="79"/>
    </row>
    <row r="199" spans="2:64" x14ac:dyDescent="0.2">
      <c r="B199" s="59">
        <v>98203</v>
      </c>
      <c r="C199" s="38" t="s">
        <v>10</v>
      </c>
      <c r="D199" s="48">
        <v>942</v>
      </c>
      <c r="E199" s="48">
        <v>905</v>
      </c>
      <c r="F199" s="48">
        <v>889</v>
      </c>
      <c r="H199" s="76">
        <v>98203</v>
      </c>
      <c r="I199" s="76" t="s">
        <v>352</v>
      </c>
      <c r="J199" s="79">
        <v>5516.19</v>
      </c>
      <c r="K199" s="79">
        <v>4035.4</v>
      </c>
      <c r="L199" s="79">
        <v>17444.57</v>
      </c>
      <c r="M199" s="79">
        <v>82459.08</v>
      </c>
      <c r="N199" s="79">
        <v>16349.71</v>
      </c>
      <c r="O199" s="79">
        <v>3083.48</v>
      </c>
      <c r="P199" s="79">
        <v>19119.849999999999</v>
      </c>
      <c r="Q199" s="79">
        <v>83210.389999999898</v>
      </c>
      <c r="R199" s="79">
        <v>18609.41</v>
      </c>
      <c r="S199" s="79">
        <v>4256.3</v>
      </c>
      <c r="T199" s="79">
        <v>22131.11</v>
      </c>
      <c r="U199" s="79">
        <v>74098.089999999895</v>
      </c>
      <c r="W199" s="76">
        <v>98422</v>
      </c>
      <c r="X199" s="15" t="s">
        <v>10</v>
      </c>
      <c r="Y199" s="79">
        <v>1804.91</v>
      </c>
      <c r="Z199" s="79">
        <v>2061.2800000000002</v>
      </c>
      <c r="AA199" s="79">
        <v>1129.33</v>
      </c>
      <c r="AB199" s="79">
        <v>7592.38</v>
      </c>
      <c r="AC199" s="79">
        <v>2351.19</v>
      </c>
      <c r="AD199" s="79">
        <v>1687.31</v>
      </c>
      <c r="AE199" s="79">
        <v>2730.3599999999901</v>
      </c>
      <c r="AF199" s="79">
        <v>9332.4</v>
      </c>
      <c r="AG199" s="79">
        <v>2094.35</v>
      </c>
      <c r="AH199" s="79">
        <v>2217.04</v>
      </c>
      <c r="AI199" s="79">
        <v>3543.6099999999901</v>
      </c>
      <c r="AJ199" s="79">
        <v>10162.92</v>
      </c>
      <c r="AV199" s="76" t="s">
        <v>164</v>
      </c>
      <c r="AW199" s="76" t="s">
        <v>10</v>
      </c>
      <c r="AX199" s="33">
        <v>18</v>
      </c>
      <c r="AY199" s="33">
        <v>15</v>
      </c>
      <c r="AZ199" s="33">
        <v>18</v>
      </c>
      <c r="BB199" s="76" t="s">
        <v>164</v>
      </c>
      <c r="BC199" s="76" t="s">
        <v>10</v>
      </c>
      <c r="BD199" s="79">
        <v>5941.6</v>
      </c>
      <c r="BE199" s="79">
        <v>4970.82</v>
      </c>
      <c r="BF199" s="79">
        <v>8891.51</v>
      </c>
      <c r="BH199" s="76">
        <v>98498</v>
      </c>
      <c r="BI199" s="76" t="s">
        <v>10</v>
      </c>
      <c r="BJ199" s="79"/>
      <c r="BK199" s="79">
        <v>-180.96</v>
      </c>
      <c r="BL199" s="79">
        <v>-699.74</v>
      </c>
    </row>
    <row r="200" spans="2:64" x14ac:dyDescent="0.2">
      <c r="B200" s="86">
        <v>98204</v>
      </c>
      <c r="C200" s="38" t="s">
        <v>352</v>
      </c>
      <c r="D200" s="48">
        <v>70</v>
      </c>
      <c r="E200" s="48">
        <v>72</v>
      </c>
      <c r="F200" s="48">
        <v>63</v>
      </c>
      <c r="H200" s="76">
        <v>98203</v>
      </c>
      <c r="I200" s="76" t="s">
        <v>10</v>
      </c>
      <c r="J200" s="79">
        <v>55560.46</v>
      </c>
      <c r="K200" s="79">
        <v>37973.83</v>
      </c>
      <c r="L200" s="79">
        <v>98857.35</v>
      </c>
      <c r="M200" s="79">
        <v>286071.58</v>
      </c>
      <c r="N200" s="79">
        <v>48531.44</v>
      </c>
      <c r="O200" s="79">
        <v>33876.879999999997</v>
      </c>
      <c r="P200" s="79">
        <v>113837.83</v>
      </c>
      <c r="Q200" s="79">
        <v>270206.429999999</v>
      </c>
      <c r="R200" s="79">
        <v>40397.64</v>
      </c>
      <c r="S200" s="79">
        <v>32138.22</v>
      </c>
      <c r="T200" s="79">
        <v>121927.73</v>
      </c>
      <c r="U200" s="79">
        <v>247823.18</v>
      </c>
      <c r="W200" s="76">
        <v>98424</v>
      </c>
      <c r="X200" s="15" t="s">
        <v>10</v>
      </c>
      <c r="Y200" s="79">
        <v>2286</v>
      </c>
      <c r="Z200" s="79">
        <v>2099.84</v>
      </c>
      <c r="AA200" s="79">
        <v>6110.35</v>
      </c>
      <c r="AB200" s="79">
        <v>13492.869999999901</v>
      </c>
      <c r="AC200" s="79">
        <v>1695.65</v>
      </c>
      <c r="AD200" s="79">
        <v>1778.82</v>
      </c>
      <c r="AE200" s="79">
        <v>5094.38</v>
      </c>
      <c r="AF200" s="79">
        <v>10431.64</v>
      </c>
      <c r="AG200" s="79">
        <v>1517.07</v>
      </c>
      <c r="AH200" s="79">
        <v>1441.28</v>
      </c>
      <c r="AI200" s="79">
        <v>5420.82</v>
      </c>
      <c r="AJ200" s="79">
        <v>9871.2900000000009</v>
      </c>
      <c r="AV200" s="76" t="s">
        <v>166</v>
      </c>
      <c r="AW200" s="76" t="s">
        <v>352</v>
      </c>
      <c r="AX200" s="33"/>
      <c r="AY200" s="33">
        <v>1</v>
      </c>
      <c r="AZ200" s="33"/>
      <c r="BB200" s="76" t="s">
        <v>166</v>
      </c>
      <c r="BC200" s="76" t="s">
        <v>352</v>
      </c>
      <c r="BD200" s="79"/>
      <c r="BE200" s="79">
        <v>49.16</v>
      </c>
      <c r="BF200" s="79"/>
      <c r="BH200" s="76">
        <v>98499</v>
      </c>
      <c r="BI200" s="76" t="s">
        <v>352</v>
      </c>
      <c r="BJ200" s="79">
        <v>-378.6</v>
      </c>
      <c r="BK200" s="79"/>
      <c r="BL200" s="79"/>
    </row>
    <row r="201" spans="2:64" x14ac:dyDescent="0.2">
      <c r="B201" s="59">
        <v>98204</v>
      </c>
      <c r="C201" s="38" t="s">
        <v>10</v>
      </c>
      <c r="D201" s="48">
        <v>643</v>
      </c>
      <c r="E201" s="48">
        <v>652</v>
      </c>
      <c r="F201" s="48">
        <v>609</v>
      </c>
      <c r="H201" s="76">
        <v>98204</v>
      </c>
      <c r="I201" s="76" t="s">
        <v>352</v>
      </c>
      <c r="J201" s="79">
        <v>5325.13</v>
      </c>
      <c r="K201" s="79">
        <v>4430.34</v>
      </c>
      <c r="L201" s="79">
        <v>29062.12</v>
      </c>
      <c r="M201" s="79">
        <v>63415.089999999902</v>
      </c>
      <c r="N201" s="79">
        <v>6464.78</v>
      </c>
      <c r="O201" s="79">
        <v>4344.59</v>
      </c>
      <c r="P201" s="79">
        <v>28240.57</v>
      </c>
      <c r="Q201" s="79">
        <v>61482.619999999901</v>
      </c>
      <c r="R201" s="79">
        <v>12200.89</v>
      </c>
      <c r="S201" s="79">
        <v>4227.74</v>
      </c>
      <c r="T201" s="79">
        <v>30125.61</v>
      </c>
      <c r="U201" s="79">
        <v>64335.039999999899</v>
      </c>
      <c r="W201" s="76">
        <v>98439</v>
      </c>
      <c r="X201" s="15" t="s">
        <v>10</v>
      </c>
      <c r="Y201" s="79">
        <v>17324.73</v>
      </c>
      <c r="Z201" s="79">
        <v>16765.580000000002</v>
      </c>
      <c r="AA201" s="79">
        <v>27753.19</v>
      </c>
      <c r="AB201" s="79">
        <v>78838.78</v>
      </c>
      <c r="AC201" s="79">
        <v>15049.66</v>
      </c>
      <c r="AD201" s="79">
        <v>15173.09</v>
      </c>
      <c r="AE201" s="79">
        <v>37931.68</v>
      </c>
      <c r="AF201" s="79">
        <v>84210.54</v>
      </c>
      <c r="AG201" s="79">
        <v>13710.32</v>
      </c>
      <c r="AH201" s="79">
        <v>12423.63</v>
      </c>
      <c r="AI201" s="79">
        <v>42920.59</v>
      </c>
      <c r="AJ201" s="79">
        <v>80830.039999999994</v>
      </c>
      <c r="AV201" s="76" t="s">
        <v>166</v>
      </c>
      <c r="AW201" s="76" t="s">
        <v>10</v>
      </c>
      <c r="AX201" s="33">
        <v>3</v>
      </c>
      <c r="AY201" s="33">
        <v>4</v>
      </c>
      <c r="AZ201" s="33">
        <v>5</v>
      </c>
      <c r="BB201" s="76" t="s">
        <v>166</v>
      </c>
      <c r="BC201" s="76" t="s">
        <v>10</v>
      </c>
      <c r="BD201" s="79">
        <v>1067.5999999999999</v>
      </c>
      <c r="BE201" s="79">
        <v>1178.82</v>
      </c>
      <c r="BF201" s="79">
        <v>3765.78</v>
      </c>
      <c r="BH201" s="76">
        <v>98499</v>
      </c>
      <c r="BI201" s="76" t="s">
        <v>10</v>
      </c>
      <c r="BJ201" s="79">
        <v>-25.57</v>
      </c>
      <c r="BK201" s="79">
        <v>-25.57</v>
      </c>
      <c r="BL201" s="79">
        <v>-73.09</v>
      </c>
    </row>
    <row r="202" spans="2:64" x14ac:dyDescent="0.2">
      <c r="B202" s="86">
        <v>98208</v>
      </c>
      <c r="C202" s="38" t="s">
        <v>352</v>
      </c>
      <c r="D202" s="48">
        <v>35</v>
      </c>
      <c r="E202" s="48">
        <v>38</v>
      </c>
      <c r="F202" s="48">
        <v>35</v>
      </c>
      <c r="H202" s="76">
        <v>98204</v>
      </c>
      <c r="I202" s="76" t="s">
        <v>10</v>
      </c>
      <c r="J202" s="79">
        <v>30548.07</v>
      </c>
      <c r="K202" s="79">
        <v>23239.16</v>
      </c>
      <c r="L202" s="79">
        <v>54392.11</v>
      </c>
      <c r="M202" s="79">
        <v>159235.859999999</v>
      </c>
      <c r="N202" s="79">
        <v>31441.040000000001</v>
      </c>
      <c r="O202" s="79">
        <v>22843.39</v>
      </c>
      <c r="P202" s="79">
        <v>65571.3</v>
      </c>
      <c r="Q202" s="79">
        <v>165103.38</v>
      </c>
      <c r="R202" s="79">
        <v>25511</v>
      </c>
      <c r="S202" s="79">
        <v>22668.97</v>
      </c>
      <c r="T202" s="79">
        <v>77158.559999999896</v>
      </c>
      <c r="U202" s="79">
        <v>157826.179999999</v>
      </c>
      <c r="W202" s="76">
        <v>98443</v>
      </c>
      <c r="X202" s="15" t="s">
        <v>10</v>
      </c>
      <c r="Y202" s="79">
        <v>569.03</v>
      </c>
      <c r="Z202" s="79">
        <v>630.94000000000005</v>
      </c>
      <c r="AA202" s="79">
        <v>945.97</v>
      </c>
      <c r="AB202" s="79">
        <v>2590.21</v>
      </c>
      <c r="AC202" s="79">
        <v>397.19</v>
      </c>
      <c r="AD202" s="79">
        <v>478.78</v>
      </c>
      <c r="AE202" s="79">
        <v>1449.86</v>
      </c>
      <c r="AF202" s="79">
        <v>2914.92</v>
      </c>
      <c r="AG202" s="79">
        <v>441.95</v>
      </c>
      <c r="AH202" s="79">
        <v>397.19</v>
      </c>
      <c r="AI202" s="79">
        <v>1728.6399999999901</v>
      </c>
      <c r="AJ202" s="79">
        <v>2955.26</v>
      </c>
      <c r="AV202" s="76" t="s">
        <v>167</v>
      </c>
      <c r="AW202" s="76" t="s">
        <v>352</v>
      </c>
      <c r="AX202" s="33"/>
      <c r="AY202" s="33">
        <v>1</v>
      </c>
      <c r="AZ202" s="33">
        <v>1</v>
      </c>
      <c r="BB202" s="76" t="s">
        <v>167</v>
      </c>
      <c r="BC202" s="76" t="s">
        <v>352</v>
      </c>
      <c r="BD202" s="79"/>
      <c r="BE202" s="79">
        <v>799.11</v>
      </c>
      <c r="BF202" s="79">
        <v>9207.58</v>
      </c>
      <c r="BH202" s="76">
        <v>98501</v>
      </c>
      <c r="BI202" s="76" t="s">
        <v>352</v>
      </c>
      <c r="BJ202" s="79">
        <v>-92.81</v>
      </c>
      <c r="BK202" s="79">
        <v>-10</v>
      </c>
      <c r="BL202" s="79">
        <v>-10</v>
      </c>
    </row>
    <row r="203" spans="2:64" x14ac:dyDescent="0.2">
      <c r="B203" s="59">
        <v>98208</v>
      </c>
      <c r="C203" s="38" t="s">
        <v>10</v>
      </c>
      <c r="D203" s="48">
        <v>1212</v>
      </c>
      <c r="E203" s="48">
        <v>1187</v>
      </c>
      <c r="F203" s="48">
        <v>1122</v>
      </c>
      <c r="H203" s="76">
        <v>98208</v>
      </c>
      <c r="I203" s="76" t="s">
        <v>352</v>
      </c>
      <c r="J203" s="79">
        <v>6020.69</v>
      </c>
      <c r="K203" s="79">
        <v>4710.16</v>
      </c>
      <c r="L203" s="79">
        <v>27311.429999999898</v>
      </c>
      <c r="M203" s="79">
        <v>50616.2</v>
      </c>
      <c r="N203" s="79">
        <v>4120.88</v>
      </c>
      <c r="O203" s="79">
        <v>4257.9799999999996</v>
      </c>
      <c r="P203" s="79">
        <v>26647.759999999998</v>
      </c>
      <c r="Q203" s="79">
        <v>48139.77</v>
      </c>
      <c r="R203" s="79">
        <v>2607.06</v>
      </c>
      <c r="S203" s="79">
        <v>2664.24</v>
      </c>
      <c r="T203" s="79">
        <v>25509.42</v>
      </c>
      <c r="U203" s="79">
        <v>36373.550000000003</v>
      </c>
      <c r="W203" s="76">
        <v>98444</v>
      </c>
      <c r="X203" s="15" t="s">
        <v>10</v>
      </c>
      <c r="Y203" s="79">
        <v>4907.0600000000004</v>
      </c>
      <c r="Z203" s="79">
        <v>3319.59</v>
      </c>
      <c r="AA203" s="79">
        <v>4000.27</v>
      </c>
      <c r="AB203" s="79">
        <v>17524.45</v>
      </c>
      <c r="AC203" s="79">
        <v>3419.07</v>
      </c>
      <c r="AD203" s="79">
        <v>3477.73</v>
      </c>
      <c r="AE203" s="79">
        <v>4278.3899999999903</v>
      </c>
      <c r="AF203" s="79">
        <v>15585.7599999999</v>
      </c>
      <c r="AG203" s="79">
        <v>3249.52</v>
      </c>
      <c r="AH203" s="79">
        <v>2682.14</v>
      </c>
      <c r="AI203" s="79">
        <v>5463.61</v>
      </c>
      <c r="AJ203" s="79">
        <v>15135.879999999899</v>
      </c>
      <c r="AV203" s="76" t="s">
        <v>167</v>
      </c>
      <c r="AW203" s="76" t="s">
        <v>10</v>
      </c>
      <c r="AX203" s="33">
        <v>5</v>
      </c>
      <c r="AY203" s="33">
        <v>6</v>
      </c>
      <c r="AZ203" s="33">
        <v>4</v>
      </c>
      <c r="BB203" s="76" t="s">
        <v>167</v>
      </c>
      <c r="BC203" s="76" t="s">
        <v>10</v>
      </c>
      <c r="BD203" s="79">
        <v>5075.45</v>
      </c>
      <c r="BE203" s="79">
        <v>3726.46</v>
      </c>
      <c r="BF203" s="79">
        <v>2600.0500000000002</v>
      </c>
      <c r="BH203" s="76">
        <v>98501</v>
      </c>
      <c r="BI203" s="76" t="s">
        <v>10</v>
      </c>
      <c r="BJ203" s="79">
        <v>-1374.88</v>
      </c>
      <c r="BK203" s="79">
        <v>-257.08999999999997</v>
      </c>
      <c r="BL203" s="79">
        <v>-670.47</v>
      </c>
    </row>
    <row r="204" spans="2:64" x14ac:dyDescent="0.2">
      <c r="B204" s="86">
        <v>98220</v>
      </c>
      <c r="C204" s="38" t="s">
        <v>352</v>
      </c>
      <c r="D204" s="48">
        <v>6</v>
      </c>
      <c r="E204" s="48">
        <v>9</v>
      </c>
      <c r="F204" s="48">
        <v>8</v>
      </c>
      <c r="H204" s="76">
        <v>98208</v>
      </c>
      <c r="I204" s="76" t="s">
        <v>10</v>
      </c>
      <c r="J204" s="79">
        <v>67391.28</v>
      </c>
      <c r="K204" s="79">
        <v>51303.26</v>
      </c>
      <c r="L204" s="79">
        <v>132903.71999999901</v>
      </c>
      <c r="M204" s="79">
        <v>379705.14</v>
      </c>
      <c r="N204" s="79">
        <v>64145.63</v>
      </c>
      <c r="O204" s="79">
        <v>46013.94</v>
      </c>
      <c r="P204" s="79">
        <v>159425.37</v>
      </c>
      <c r="Q204" s="79">
        <v>370724.34999999899</v>
      </c>
      <c r="R204" s="79">
        <v>52096.5</v>
      </c>
      <c r="S204" s="79">
        <v>44504.81</v>
      </c>
      <c r="T204" s="79">
        <v>172171.93999999901</v>
      </c>
      <c r="U204" s="79">
        <v>345879.00999999902</v>
      </c>
      <c r="W204" s="76">
        <v>98445</v>
      </c>
      <c r="X204" s="15" t="s">
        <v>10</v>
      </c>
      <c r="Y204" s="79">
        <v>9344.1299999999992</v>
      </c>
      <c r="Z204" s="79">
        <v>6672.86</v>
      </c>
      <c r="AA204" s="79">
        <v>9114.17</v>
      </c>
      <c r="AB204" s="79">
        <v>33422.1</v>
      </c>
      <c r="AC204" s="79">
        <v>7124.76</v>
      </c>
      <c r="AD204" s="79">
        <v>6346.1</v>
      </c>
      <c r="AE204" s="79">
        <v>15026.629999999899</v>
      </c>
      <c r="AF204" s="79">
        <v>33607.21</v>
      </c>
      <c r="AG204" s="79">
        <v>4249.62</v>
      </c>
      <c r="AH204" s="79">
        <v>6294.52</v>
      </c>
      <c r="AI204" s="79">
        <v>15699.12</v>
      </c>
      <c r="AJ204" s="79">
        <v>32119.269999999899</v>
      </c>
      <c r="AV204" s="76" t="s">
        <v>168</v>
      </c>
      <c r="AW204" s="76" t="s">
        <v>352</v>
      </c>
      <c r="AX204" s="33"/>
      <c r="AY204" s="33">
        <v>1</v>
      </c>
      <c r="AZ204" s="33"/>
      <c r="BB204" s="76" t="s">
        <v>168</v>
      </c>
      <c r="BC204" s="76" t="s">
        <v>352</v>
      </c>
      <c r="BD204" s="79"/>
      <c r="BE204" s="79">
        <v>1016.95</v>
      </c>
      <c r="BF204" s="79"/>
      <c r="BH204" s="76">
        <v>98502</v>
      </c>
      <c r="BI204" s="76" t="s">
        <v>10</v>
      </c>
      <c r="BJ204" s="79">
        <v>-328.59</v>
      </c>
      <c r="BK204" s="79">
        <v>-253.96</v>
      </c>
      <c r="BL204" s="79">
        <v>-644.16</v>
      </c>
    </row>
    <row r="205" spans="2:64" x14ac:dyDescent="0.2">
      <c r="B205" s="59">
        <v>98220</v>
      </c>
      <c r="C205" s="38" t="s">
        <v>10</v>
      </c>
      <c r="D205" s="48">
        <v>42</v>
      </c>
      <c r="E205" s="48">
        <v>35</v>
      </c>
      <c r="F205" s="48">
        <v>43</v>
      </c>
      <c r="H205" s="76">
        <v>98220</v>
      </c>
      <c r="I205" s="76" t="s">
        <v>352</v>
      </c>
      <c r="J205" s="79">
        <v>5377.29</v>
      </c>
      <c r="K205" s="79">
        <v>6452.1</v>
      </c>
      <c r="L205" s="79">
        <v>38502.78</v>
      </c>
      <c r="M205" s="79">
        <v>58668.77</v>
      </c>
      <c r="N205" s="79">
        <v>6981.37</v>
      </c>
      <c r="O205" s="79">
        <v>5377.29</v>
      </c>
      <c r="P205" s="79">
        <v>44570.04</v>
      </c>
      <c r="Q205" s="79">
        <v>84721.62</v>
      </c>
      <c r="R205" s="79">
        <v>15080.6</v>
      </c>
      <c r="S205" s="79">
        <v>6386.97</v>
      </c>
      <c r="T205" s="79">
        <v>49947.33</v>
      </c>
      <c r="U205" s="79">
        <v>88010.47</v>
      </c>
      <c r="W205" s="76">
        <v>98446</v>
      </c>
      <c r="X205" s="15" t="s">
        <v>10</v>
      </c>
      <c r="Y205" s="79">
        <v>3733.53</v>
      </c>
      <c r="Z205" s="79">
        <v>3185.59</v>
      </c>
      <c r="AA205" s="79">
        <v>3487.8399999999901</v>
      </c>
      <c r="AB205" s="79">
        <v>14864.86</v>
      </c>
      <c r="AC205" s="79">
        <v>3565.1</v>
      </c>
      <c r="AD205" s="79">
        <v>2804.11</v>
      </c>
      <c r="AE205" s="79">
        <v>6397.39</v>
      </c>
      <c r="AF205" s="79">
        <v>16722.03</v>
      </c>
      <c r="AG205" s="79">
        <v>3372.77</v>
      </c>
      <c r="AH205" s="79">
        <v>2760.82</v>
      </c>
      <c r="AI205" s="79">
        <v>6914.57</v>
      </c>
      <c r="AJ205" s="79">
        <v>16784.5</v>
      </c>
      <c r="AV205" s="76" t="s">
        <v>169</v>
      </c>
      <c r="AW205" s="76" t="s">
        <v>10</v>
      </c>
      <c r="AX205" s="33">
        <v>5</v>
      </c>
      <c r="AY205" s="33">
        <v>4</v>
      </c>
      <c r="AZ205" s="33">
        <v>3</v>
      </c>
      <c r="BB205" s="76" t="s">
        <v>169</v>
      </c>
      <c r="BC205" s="76" t="s">
        <v>10</v>
      </c>
      <c r="BD205" s="79">
        <v>641.11</v>
      </c>
      <c r="BE205" s="79">
        <v>402.41</v>
      </c>
      <c r="BF205" s="79">
        <v>266.83999999999997</v>
      </c>
      <c r="BH205" s="76">
        <v>98503</v>
      </c>
      <c r="BI205" s="76" t="s">
        <v>352</v>
      </c>
      <c r="BJ205" s="79">
        <v>-206.22</v>
      </c>
      <c r="BK205" s="79"/>
      <c r="BL205" s="79"/>
    </row>
    <row r="206" spans="2:64" x14ac:dyDescent="0.2">
      <c r="B206" s="86">
        <v>98221</v>
      </c>
      <c r="C206" s="38" t="s">
        <v>352</v>
      </c>
      <c r="D206" s="48">
        <v>301</v>
      </c>
      <c r="E206" s="48">
        <v>294</v>
      </c>
      <c r="F206" s="48">
        <v>271</v>
      </c>
      <c r="H206" s="76">
        <v>98220</v>
      </c>
      <c r="I206" s="76" t="s">
        <v>10</v>
      </c>
      <c r="J206" s="79">
        <v>3483.92</v>
      </c>
      <c r="K206" s="79">
        <v>4787.24</v>
      </c>
      <c r="L206" s="79">
        <v>6463.58</v>
      </c>
      <c r="M206" s="79">
        <v>26843.69</v>
      </c>
      <c r="N206" s="79">
        <v>4636.92</v>
      </c>
      <c r="O206" s="79">
        <v>2224.65</v>
      </c>
      <c r="P206" s="79">
        <v>9522.19</v>
      </c>
      <c r="Q206" s="79">
        <v>22116.059999999899</v>
      </c>
      <c r="R206" s="79">
        <v>2809.48</v>
      </c>
      <c r="S206" s="79">
        <v>3793.57</v>
      </c>
      <c r="T206" s="79">
        <v>9619.07</v>
      </c>
      <c r="U206" s="79">
        <v>23680.769999999899</v>
      </c>
      <c r="W206" s="76">
        <v>98465</v>
      </c>
      <c r="X206" s="15" t="s">
        <v>10</v>
      </c>
      <c r="Y206" s="79">
        <v>1048.9100000000001</v>
      </c>
      <c r="Z206" s="79">
        <v>752.5</v>
      </c>
      <c r="AA206" s="79">
        <v>299.39999999999998</v>
      </c>
      <c r="AB206" s="79">
        <v>3000.22</v>
      </c>
      <c r="AC206" s="79">
        <v>212.72</v>
      </c>
      <c r="AD206" s="79">
        <v>955.87</v>
      </c>
      <c r="AE206" s="79">
        <v>922.76</v>
      </c>
      <c r="AF206" s="79">
        <v>2554.94</v>
      </c>
      <c r="AG206" s="79">
        <v>463.59</v>
      </c>
      <c r="AH206" s="79">
        <v>212.72</v>
      </c>
      <c r="AI206" s="79">
        <v>1793.46999999999</v>
      </c>
      <c r="AJ206" s="79">
        <v>3179.22999999999</v>
      </c>
      <c r="AV206" s="76" t="s">
        <v>170</v>
      </c>
      <c r="AW206" s="76" t="s">
        <v>352</v>
      </c>
      <c r="AX206" s="33">
        <v>1</v>
      </c>
      <c r="AY206" s="33"/>
      <c r="AZ206" s="33">
        <v>2</v>
      </c>
      <c r="BB206" s="76" t="s">
        <v>170</v>
      </c>
      <c r="BC206" s="76" t="s">
        <v>352</v>
      </c>
      <c r="BD206" s="79">
        <v>3660.03</v>
      </c>
      <c r="BE206" s="79"/>
      <c r="BF206" s="79">
        <v>491.87</v>
      </c>
      <c r="BH206" s="76">
        <v>98503</v>
      </c>
      <c r="BI206" s="76" t="s">
        <v>10</v>
      </c>
      <c r="BJ206" s="79">
        <v>-245.8</v>
      </c>
      <c r="BK206" s="79">
        <v>-224.81</v>
      </c>
      <c r="BL206" s="79">
        <v>-698.4</v>
      </c>
    </row>
    <row r="207" spans="2:64" x14ac:dyDescent="0.2">
      <c r="B207" s="59">
        <v>98221</v>
      </c>
      <c r="C207" s="38" t="s">
        <v>10</v>
      </c>
      <c r="D207" s="48">
        <v>1631</v>
      </c>
      <c r="E207" s="48">
        <v>1401</v>
      </c>
      <c r="F207" s="48">
        <v>1484</v>
      </c>
      <c r="H207" s="76">
        <v>98221</v>
      </c>
      <c r="I207" s="76" t="s">
        <v>352</v>
      </c>
      <c r="J207" s="79">
        <v>16944.98</v>
      </c>
      <c r="K207" s="79">
        <v>10699.35</v>
      </c>
      <c r="L207" s="79">
        <v>201080.62999999899</v>
      </c>
      <c r="M207" s="79">
        <v>510560.679999999</v>
      </c>
      <c r="N207" s="79">
        <v>41118.28</v>
      </c>
      <c r="O207" s="79">
        <v>10685.48</v>
      </c>
      <c r="P207" s="79">
        <v>190342.209999999</v>
      </c>
      <c r="Q207" s="79">
        <v>513950.96</v>
      </c>
      <c r="R207" s="79">
        <v>20041.189999999999</v>
      </c>
      <c r="S207" s="79">
        <v>21738.94</v>
      </c>
      <c r="T207" s="79">
        <v>186945.46</v>
      </c>
      <c r="U207" s="79">
        <v>440787.55999999901</v>
      </c>
      <c r="W207" s="76">
        <v>98466</v>
      </c>
      <c r="X207" s="15" t="s">
        <v>10</v>
      </c>
      <c r="Y207" s="79">
        <v>1641.04</v>
      </c>
      <c r="Z207" s="79">
        <v>1806.78</v>
      </c>
      <c r="AA207" s="79">
        <v>4290.38</v>
      </c>
      <c r="AB207" s="79">
        <v>11102.56</v>
      </c>
      <c r="AC207" s="79">
        <v>2916.5</v>
      </c>
      <c r="AD207" s="79">
        <v>1621.43</v>
      </c>
      <c r="AE207" s="79">
        <v>5654.16</v>
      </c>
      <c r="AF207" s="79">
        <v>12656.19</v>
      </c>
      <c r="AG207" s="79">
        <v>1792.22</v>
      </c>
      <c r="AH207" s="79">
        <v>2551.23</v>
      </c>
      <c r="AI207" s="79">
        <v>6627.07</v>
      </c>
      <c r="AJ207" s="79">
        <v>12322.64</v>
      </c>
      <c r="AV207" s="76" t="s">
        <v>170</v>
      </c>
      <c r="AW207" s="76" t="s">
        <v>10</v>
      </c>
      <c r="AX207" s="33">
        <v>1</v>
      </c>
      <c r="AY207" s="33">
        <v>1</v>
      </c>
      <c r="AZ207" s="33">
        <v>2</v>
      </c>
      <c r="BB207" s="76" t="s">
        <v>170</v>
      </c>
      <c r="BC207" s="76" t="s">
        <v>10</v>
      </c>
      <c r="BD207" s="79">
        <v>591.04999999999995</v>
      </c>
      <c r="BE207" s="79">
        <v>491.05</v>
      </c>
      <c r="BF207" s="79">
        <v>1177.7</v>
      </c>
      <c r="BH207" s="76">
        <v>98506</v>
      </c>
      <c r="BI207" s="76" t="s">
        <v>10</v>
      </c>
      <c r="BJ207" s="79">
        <v>-926.77</v>
      </c>
      <c r="BK207" s="79">
        <v>-335.75</v>
      </c>
      <c r="BL207" s="79">
        <v>-468.46</v>
      </c>
    </row>
    <row r="208" spans="2:64" x14ac:dyDescent="0.2">
      <c r="B208" s="86">
        <v>98223</v>
      </c>
      <c r="C208" s="38" t="s">
        <v>352</v>
      </c>
      <c r="D208" s="48">
        <v>10</v>
      </c>
      <c r="E208" s="48">
        <v>17</v>
      </c>
      <c r="F208" s="48">
        <v>20</v>
      </c>
      <c r="H208" s="76">
        <v>98221</v>
      </c>
      <c r="I208" s="76" t="s">
        <v>10</v>
      </c>
      <c r="J208" s="79">
        <v>76179.31</v>
      </c>
      <c r="K208" s="79">
        <v>47445.65</v>
      </c>
      <c r="L208" s="79">
        <v>137533.28999999899</v>
      </c>
      <c r="M208" s="79">
        <v>444288.15999999898</v>
      </c>
      <c r="N208" s="79">
        <v>68209.789999999994</v>
      </c>
      <c r="O208" s="79">
        <v>44362.77</v>
      </c>
      <c r="P208" s="79">
        <v>167099.109999999</v>
      </c>
      <c r="Q208" s="79">
        <v>394431.47999999899</v>
      </c>
      <c r="R208" s="79">
        <v>45916.11</v>
      </c>
      <c r="S208" s="79">
        <v>45219.61</v>
      </c>
      <c r="T208" s="79">
        <v>183794.46999999901</v>
      </c>
      <c r="U208" s="79">
        <v>399925.58999999898</v>
      </c>
      <c r="W208" s="76">
        <v>98467</v>
      </c>
      <c r="X208" s="15" t="s">
        <v>10</v>
      </c>
      <c r="Y208" s="79">
        <v>882.56</v>
      </c>
      <c r="Z208" s="79">
        <v>1087.52</v>
      </c>
      <c r="AA208" s="79">
        <v>307.14999999999998</v>
      </c>
      <c r="AB208" s="79">
        <v>3071.84</v>
      </c>
      <c r="AC208" s="79">
        <v>442.52</v>
      </c>
      <c r="AD208" s="79">
        <v>441.34</v>
      </c>
      <c r="AE208" s="79">
        <v>556.94000000000005</v>
      </c>
      <c r="AF208" s="79">
        <v>2381.87</v>
      </c>
      <c r="AG208" s="79">
        <v>433.14</v>
      </c>
      <c r="AH208" s="79">
        <v>194.7</v>
      </c>
      <c r="AI208" s="79">
        <v>583.38</v>
      </c>
      <c r="AJ208" s="79">
        <v>1703.0699999999899</v>
      </c>
      <c r="AV208" s="76" t="s">
        <v>171</v>
      </c>
      <c r="AW208" s="76" t="s">
        <v>10</v>
      </c>
      <c r="AX208" s="33">
        <v>2</v>
      </c>
      <c r="AY208" s="33">
        <v>4</v>
      </c>
      <c r="AZ208" s="33"/>
      <c r="BB208" s="76" t="s">
        <v>171</v>
      </c>
      <c r="BC208" s="76" t="s">
        <v>10</v>
      </c>
      <c r="BD208" s="79">
        <v>25.35</v>
      </c>
      <c r="BE208" s="79">
        <v>14403.75</v>
      </c>
      <c r="BF208" s="79"/>
      <c r="BH208" s="76">
        <v>98512</v>
      </c>
      <c r="BI208" s="76" t="s">
        <v>10</v>
      </c>
      <c r="BJ208" s="79">
        <v>-371.14</v>
      </c>
      <c r="BK208" s="79">
        <v>-74.989999999999995</v>
      </c>
      <c r="BL208" s="79">
        <v>-141.08000000000001</v>
      </c>
    </row>
    <row r="209" spans="2:64" x14ac:dyDescent="0.2">
      <c r="B209" s="59">
        <v>98223</v>
      </c>
      <c r="C209" s="38" t="s">
        <v>10</v>
      </c>
      <c r="D209" s="48">
        <v>68</v>
      </c>
      <c r="E209" s="48">
        <v>71</v>
      </c>
      <c r="F209" s="48">
        <v>61</v>
      </c>
      <c r="H209" s="76">
        <v>98223</v>
      </c>
      <c r="I209" s="76" t="s">
        <v>352</v>
      </c>
      <c r="J209" s="79">
        <v>547.63</v>
      </c>
      <c r="K209" s="79">
        <v>1395.7</v>
      </c>
      <c r="L209" s="79">
        <v>1548.35</v>
      </c>
      <c r="M209" s="79">
        <v>5230.45</v>
      </c>
      <c r="N209" s="79">
        <v>836.36</v>
      </c>
      <c r="O209" s="79">
        <v>323.60000000000002</v>
      </c>
      <c r="P209" s="79">
        <v>2705.68</v>
      </c>
      <c r="Q209" s="79">
        <v>27648.45</v>
      </c>
      <c r="R209" s="79">
        <v>1024.74</v>
      </c>
      <c r="S209" s="79">
        <v>344.86</v>
      </c>
      <c r="T209" s="79">
        <v>2245.86</v>
      </c>
      <c r="U209" s="79">
        <v>7654.6799999999903</v>
      </c>
      <c r="W209" s="76">
        <v>98498</v>
      </c>
      <c r="X209" s="15" t="s">
        <v>10</v>
      </c>
      <c r="Y209" s="79">
        <v>35628.75</v>
      </c>
      <c r="Z209" s="79">
        <v>32281.46</v>
      </c>
      <c r="AA209" s="79">
        <v>59754.09</v>
      </c>
      <c r="AB209" s="79">
        <v>169440.15</v>
      </c>
      <c r="AC209" s="79">
        <v>35198.269999999997</v>
      </c>
      <c r="AD209" s="79">
        <v>29476.16</v>
      </c>
      <c r="AE209" s="79">
        <v>76784.59</v>
      </c>
      <c r="AF209" s="79">
        <v>179786</v>
      </c>
      <c r="AG209" s="79">
        <v>29060.52</v>
      </c>
      <c r="AH209" s="79">
        <v>28100.2</v>
      </c>
      <c r="AI209" s="79">
        <v>81447.67</v>
      </c>
      <c r="AJ209" s="79">
        <v>168346.09</v>
      </c>
      <c r="AV209" s="76" t="s">
        <v>172</v>
      </c>
      <c r="AW209" s="76" t="s">
        <v>352</v>
      </c>
      <c r="AX209" s="33"/>
      <c r="AY209" s="33"/>
      <c r="AZ209" s="33">
        <v>1</v>
      </c>
      <c r="BB209" s="76" t="s">
        <v>172</v>
      </c>
      <c r="BC209" s="76" t="s">
        <v>352</v>
      </c>
      <c r="BD209" s="79"/>
      <c r="BE209" s="79"/>
      <c r="BF209" s="79">
        <v>557.11</v>
      </c>
      <c r="BH209" s="76">
        <v>98513</v>
      </c>
      <c r="BI209" s="76" t="s">
        <v>10</v>
      </c>
      <c r="BJ209" s="79">
        <v>-311.2</v>
      </c>
      <c r="BK209" s="79">
        <v>-692.02</v>
      </c>
      <c r="BL209" s="79">
        <v>-250</v>
      </c>
    </row>
    <row r="210" spans="2:64" x14ac:dyDescent="0.2">
      <c r="B210" s="86">
        <v>98224</v>
      </c>
      <c r="C210" s="38" t="s">
        <v>352</v>
      </c>
      <c r="D210" s="48">
        <v>1</v>
      </c>
      <c r="E210" s="48">
        <v>5</v>
      </c>
      <c r="F210" s="48">
        <v>3</v>
      </c>
      <c r="H210" s="76">
        <v>98223</v>
      </c>
      <c r="I210" s="76" t="s">
        <v>10</v>
      </c>
      <c r="J210" s="79">
        <v>2787.46</v>
      </c>
      <c r="K210" s="79">
        <v>2586.0100000000002</v>
      </c>
      <c r="L210" s="79">
        <v>3114.41</v>
      </c>
      <c r="M210" s="79">
        <v>15812.47</v>
      </c>
      <c r="N210" s="79">
        <v>2557.48</v>
      </c>
      <c r="O210" s="79">
        <v>2243.8000000000002</v>
      </c>
      <c r="P210" s="79">
        <v>4411.08</v>
      </c>
      <c r="Q210" s="79">
        <v>14353.2499999999</v>
      </c>
      <c r="R210" s="79">
        <v>2891.97</v>
      </c>
      <c r="S210" s="79">
        <v>1887.73</v>
      </c>
      <c r="T210" s="79">
        <v>5133.6000000000004</v>
      </c>
      <c r="U210" s="79">
        <v>12663.0999999999</v>
      </c>
      <c r="W210" s="76">
        <v>98499</v>
      </c>
      <c r="X210" s="15" t="s">
        <v>10</v>
      </c>
      <c r="Y210" s="79">
        <v>7198.52</v>
      </c>
      <c r="Z210" s="79">
        <v>7080.17</v>
      </c>
      <c r="AA210" s="79">
        <v>9086.83</v>
      </c>
      <c r="AB210" s="79">
        <v>31966.38</v>
      </c>
      <c r="AC210" s="79">
        <v>7442.35</v>
      </c>
      <c r="AD210" s="79">
        <v>6068.39</v>
      </c>
      <c r="AE210" s="79">
        <v>13850.06</v>
      </c>
      <c r="AF210" s="79">
        <v>34523.71</v>
      </c>
      <c r="AG210" s="79">
        <v>5482.19</v>
      </c>
      <c r="AH210" s="79">
        <v>5538.06</v>
      </c>
      <c r="AI210" s="79">
        <v>13295.1799999999</v>
      </c>
      <c r="AJ210" s="79">
        <v>29515.629999999899</v>
      </c>
      <c r="AV210" s="76" t="s">
        <v>172</v>
      </c>
      <c r="AW210" s="76" t="s">
        <v>10</v>
      </c>
      <c r="AX210" s="33">
        <v>5</v>
      </c>
      <c r="AY210" s="33">
        <v>6</v>
      </c>
      <c r="AZ210" s="33">
        <v>8</v>
      </c>
      <c r="BB210" s="76" t="s">
        <v>172</v>
      </c>
      <c r="BC210" s="76" t="s">
        <v>10</v>
      </c>
      <c r="BD210" s="79">
        <v>2141.44</v>
      </c>
      <c r="BE210" s="79">
        <v>3075.83</v>
      </c>
      <c r="BF210" s="79">
        <v>2169.36</v>
      </c>
      <c r="BH210" s="76">
        <v>98516</v>
      </c>
      <c r="BI210" s="76" t="s">
        <v>352</v>
      </c>
      <c r="BJ210" s="79"/>
      <c r="BK210" s="79">
        <v>-5759.53</v>
      </c>
      <c r="BL210" s="79"/>
    </row>
    <row r="211" spans="2:64" x14ac:dyDescent="0.2">
      <c r="B211" s="59">
        <v>98224</v>
      </c>
      <c r="C211" s="38" t="s">
        <v>10</v>
      </c>
      <c r="D211" s="48">
        <v>41</v>
      </c>
      <c r="E211" s="48">
        <v>39</v>
      </c>
      <c r="F211" s="48">
        <v>33</v>
      </c>
      <c r="H211" s="76">
        <v>98224</v>
      </c>
      <c r="I211" s="76" t="s">
        <v>352</v>
      </c>
      <c r="J211" s="79">
        <v>142.53</v>
      </c>
      <c r="K211" s="79"/>
      <c r="L211" s="79">
        <v>138.06</v>
      </c>
      <c r="M211" s="79">
        <v>280.58999999999997</v>
      </c>
      <c r="N211" s="79"/>
      <c r="O211" s="79">
        <v>142.53</v>
      </c>
      <c r="P211" s="79">
        <v>138.06</v>
      </c>
      <c r="Q211" s="79">
        <v>744.52</v>
      </c>
      <c r="R211" s="79">
        <v>214.76</v>
      </c>
      <c r="S211" s="79"/>
      <c r="T211" s="79">
        <v>280.58999999999997</v>
      </c>
      <c r="U211" s="79">
        <v>575.13</v>
      </c>
      <c r="W211" s="76">
        <v>98501</v>
      </c>
      <c r="X211" s="15" t="s">
        <v>10</v>
      </c>
      <c r="Y211" s="79">
        <v>61782.21</v>
      </c>
      <c r="Z211" s="79">
        <v>53456.41</v>
      </c>
      <c r="AA211" s="79">
        <v>95004.249999999898</v>
      </c>
      <c r="AB211" s="79">
        <v>281973.45</v>
      </c>
      <c r="AC211" s="79">
        <v>53255.51</v>
      </c>
      <c r="AD211" s="79">
        <v>48209.83</v>
      </c>
      <c r="AE211" s="79">
        <v>118101.889999999</v>
      </c>
      <c r="AF211" s="79">
        <v>281204.13</v>
      </c>
      <c r="AG211" s="79">
        <v>47006.41</v>
      </c>
      <c r="AH211" s="79">
        <v>44332.81</v>
      </c>
      <c r="AI211" s="79">
        <v>131539.149999999</v>
      </c>
      <c r="AJ211" s="79">
        <v>270211.08999999898</v>
      </c>
      <c r="AV211" s="76" t="s">
        <v>173</v>
      </c>
      <c r="AW211" s="76" t="s">
        <v>352</v>
      </c>
      <c r="AX211" s="33">
        <v>4</v>
      </c>
      <c r="AY211" s="33">
        <v>1</v>
      </c>
      <c r="AZ211" s="33"/>
      <c r="BB211" s="76" t="s">
        <v>173</v>
      </c>
      <c r="BC211" s="76" t="s">
        <v>352</v>
      </c>
      <c r="BD211" s="79">
        <v>1303.56</v>
      </c>
      <c r="BE211" s="79">
        <v>227.93</v>
      </c>
      <c r="BF211" s="79"/>
      <c r="BH211" s="76">
        <v>98516</v>
      </c>
      <c r="BI211" s="76" t="s">
        <v>10</v>
      </c>
      <c r="BJ211" s="79">
        <v>-373.88</v>
      </c>
      <c r="BK211" s="79">
        <v>-432.95</v>
      </c>
      <c r="BL211" s="79">
        <v>-345.75</v>
      </c>
    </row>
    <row r="212" spans="2:64" x14ac:dyDescent="0.2">
      <c r="B212" s="86">
        <v>98225</v>
      </c>
      <c r="C212" s="38" t="s">
        <v>352</v>
      </c>
      <c r="D212" s="48">
        <v>213</v>
      </c>
      <c r="E212" s="48">
        <v>209</v>
      </c>
      <c r="F212" s="48">
        <v>173</v>
      </c>
      <c r="H212" s="76">
        <v>98224</v>
      </c>
      <c r="I212" s="76" t="s">
        <v>10</v>
      </c>
      <c r="J212" s="79">
        <v>6496.92</v>
      </c>
      <c r="K212" s="79">
        <v>2443.38</v>
      </c>
      <c r="L212" s="79">
        <v>14013.109999999901</v>
      </c>
      <c r="M212" s="79">
        <v>29294.65</v>
      </c>
      <c r="N212" s="79">
        <v>3117.57</v>
      </c>
      <c r="O212" s="79">
        <v>5084.05</v>
      </c>
      <c r="P212" s="79">
        <v>15657.8499999999</v>
      </c>
      <c r="Q212" s="79">
        <v>31606.629999999899</v>
      </c>
      <c r="R212" s="79">
        <v>5975.59</v>
      </c>
      <c r="S212" s="79">
        <v>1975.65</v>
      </c>
      <c r="T212" s="79">
        <v>18765.3</v>
      </c>
      <c r="U212" s="79">
        <v>28689.48</v>
      </c>
      <c r="W212" s="76">
        <v>98502</v>
      </c>
      <c r="X212" s="15" t="s">
        <v>10</v>
      </c>
      <c r="Y212" s="79">
        <v>72856.78</v>
      </c>
      <c r="Z212" s="79">
        <v>60620.69</v>
      </c>
      <c r="AA212" s="79">
        <v>100981.32</v>
      </c>
      <c r="AB212" s="79">
        <v>307979.21999999997</v>
      </c>
      <c r="AC212" s="79">
        <v>55385.74</v>
      </c>
      <c r="AD212" s="79">
        <v>59556.78</v>
      </c>
      <c r="AE212" s="79">
        <v>131780.6</v>
      </c>
      <c r="AF212" s="79">
        <v>319695.51</v>
      </c>
      <c r="AG212" s="79">
        <v>56387.9</v>
      </c>
      <c r="AH212" s="79">
        <v>43763.87</v>
      </c>
      <c r="AI212" s="79">
        <v>142654.78</v>
      </c>
      <c r="AJ212" s="79">
        <v>293403.56</v>
      </c>
      <c r="AV212" s="76" t="s">
        <v>173</v>
      </c>
      <c r="AW212" s="76" t="s">
        <v>10</v>
      </c>
      <c r="AX212" s="33">
        <v>17</v>
      </c>
      <c r="AY212" s="33">
        <v>14</v>
      </c>
      <c r="AZ212" s="33">
        <v>17</v>
      </c>
      <c r="BB212" s="76" t="s">
        <v>173</v>
      </c>
      <c r="BC212" s="76" t="s">
        <v>10</v>
      </c>
      <c r="BD212" s="79">
        <v>5849.11</v>
      </c>
      <c r="BE212" s="79">
        <v>6657.15</v>
      </c>
      <c r="BF212" s="79">
        <v>13521.43</v>
      </c>
      <c r="BH212" s="76">
        <v>98531</v>
      </c>
      <c r="BI212" s="76" t="s">
        <v>352</v>
      </c>
      <c r="BJ212" s="79">
        <v>-50.31</v>
      </c>
      <c r="BK212" s="79">
        <v>-50.31</v>
      </c>
      <c r="BL212" s="79">
        <v>-50.31</v>
      </c>
    </row>
    <row r="213" spans="2:64" x14ac:dyDescent="0.2">
      <c r="B213" s="59">
        <v>98225</v>
      </c>
      <c r="C213" s="38" t="s">
        <v>10</v>
      </c>
      <c r="D213" s="48">
        <v>2523</v>
      </c>
      <c r="E213" s="48">
        <v>2608</v>
      </c>
      <c r="F213" s="48">
        <v>2563</v>
      </c>
      <c r="H213" s="76">
        <v>98225</v>
      </c>
      <c r="I213" s="76" t="s">
        <v>352</v>
      </c>
      <c r="J213" s="79">
        <v>30621.360000000001</v>
      </c>
      <c r="K213" s="79">
        <v>20901.89</v>
      </c>
      <c r="L213" s="79">
        <v>141630.5</v>
      </c>
      <c r="M213" s="79">
        <v>287809.3</v>
      </c>
      <c r="N213" s="79">
        <v>12233.46</v>
      </c>
      <c r="O213" s="79">
        <v>49511.38</v>
      </c>
      <c r="P213" s="79">
        <v>144408.4</v>
      </c>
      <c r="Q213" s="79">
        <v>277231.52</v>
      </c>
      <c r="R213" s="79">
        <v>14924.68</v>
      </c>
      <c r="S213" s="79">
        <v>8184.06</v>
      </c>
      <c r="T213" s="79">
        <v>152415.10999999999</v>
      </c>
      <c r="U213" s="79">
        <v>205060.91</v>
      </c>
      <c r="W213" s="76">
        <v>98503</v>
      </c>
      <c r="X213" s="15" t="s">
        <v>10</v>
      </c>
      <c r="Y213" s="79">
        <v>77597.09</v>
      </c>
      <c r="Z213" s="79">
        <v>64052.2</v>
      </c>
      <c r="AA213" s="79">
        <v>119271.87</v>
      </c>
      <c r="AB213" s="79">
        <v>353953.89</v>
      </c>
      <c r="AC213" s="79">
        <v>65679.740000000005</v>
      </c>
      <c r="AD213" s="79">
        <v>59390.05</v>
      </c>
      <c r="AE213" s="79">
        <v>146994.87</v>
      </c>
      <c r="AF213" s="79">
        <v>350190.64</v>
      </c>
      <c r="AG213" s="79">
        <v>55350.43</v>
      </c>
      <c r="AH213" s="79">
        <v>51060.14</v>
      </c>
      <c r="AI213" s="79">
        <v>159414.47999999899</v>
      </c>
      <c r="AJ213" s="79">
        <v>326610.56999999902</v>
      </c>
      <c r="AV213" s="76" t="s">
        <v>174</v>
      </c>
      <c r="AW213" s="76" t="s">
        <v>352</v>
      </c>
      <c r="AX213" s="33">
        <v>1</v>
      </c>
      <c r="AY213" s="33"/>
      <c r="AZ213" s="33">
        <v>1</v>
      </c>
      <c r="BB213" s="76" t="s">
        <v>174</v>
      </c>
      <c r="BC213" s="76" t="s">
        <v>352</v>
      </c>
      <c r="BD213" s="79">
        <v>74.41</v>
      </c>
      <c r="BE213" s="79"/>
      <c r="BF213" s="79">
        <v>551.42999999999995</v>
      </c>
      <c r="BH213" s="76">
        <v>98531</v>
      </c>
      <c r="BI213" s="76" t="s">
        <v>10</v>
      </c>
      <c r="BJ213" s="79">
        <v>-168.44</v>
      </c>
      <c r="BK213" s="79"/>
      <c r="BL213" s="79">
        <v>-344.49</v>
      </c>
    </row>
    <row r="214" spans="2:64" x14ac:dyDescent="0.2">
      <c r="B214" s="86">
        <v>98226</v>
      </c>
      <c r="C214" s="38" t="s">
        <v>352</v>
      </c>
      <c r="D214" s="48">
        <v>489</v>
      </c>
      <c r="E214" s="48">
        <v>349</v>
      </c>
      <c r="F214" s="48">
        <v>303</v>
      </c>
      <c r="H214" s="76">
        <v>98225</v>
      </c>
      <c r="I214" s="76" t="s">
        <v>10</v>
      </c>
      <c r="J214" s="79">
        <v>154748.9</v>
      </c>
      <c r="K214" s="79">
        <v>132089.38</v>
      </c>
      <c r="L214" s="79">
        <v>290786.95999999897</v>
      </c>
      <c r="M214" s="79">
        <v>808269.82999999903</v>
      </c>
      <c r="N214" s="79">
        <v>89116.34</v>
      </c>
      <c r="O214" s="79">
        <v>181659.13</v>
      </c>
      <c r="P214" s="79">
        <v>366219.109999999</v>
      </c>
      <c r="Q214" s="79">
        <v>837491.63000000198</v>
      </c>
      <c r="R214" s="79">
        <v>135301.10999999999</v>
      </c>
      <c r="S214" s="79">
        <v>66854.259999999995</v>
      </c>
      <c r="T214" s="79">
        <v>457187.95999999897</v>
      </c>
      <c r="U214" s="79">
        <v>836699.799999999</v>
      </c>
      <c r="W214" s="76">
        <v>98506</v>
      </c>
      <c r="X214" s="15" t="s">
        <v>10</v>
      </c>
      <c r="Y214" s="79">
        <v>27376.87</v>
      </c>
      <c r="Z214" s="79">
        <v>25172.44</v>
      </c>
      <c r="AA214" s="79">
        <v>48169.8</v>
      </c>
      <c r="AB214" s="79">
        <v>133098.46</v>
      </c>
      <c r="AC214" s="79">
        <v>24230.83</v>
      </c>
      <c r="AD214" s="79">
        <v>19791.82</v>
      </c>
      <c r="AE214" s="79">
        <v>56482.59</v>
      </c>
      <c r="AF214" s="79">
        <v>129722.11</v>
      </c>
      <c r="AG214" s="79">
        <v>21717.79</v>
      </c>
      <c r="AH214" s="79">
        <v>17830.66</v>
      </c>
      <c r="AI214" s="79">
        <v>61224.63</v>
      </c>
      <c r="AJ214" s="79">
        <v>125965.74</v>
      </c>
      <c r="AV214" s="76" t="s">
        <v>174</v>
      </c>
      <c r="AW214" s="76" t="s">
        <v>10</v>
      </c>
      <c r="AX214" s="33">
        <v>4</v>
      </c>
      <c r="AY214" s="33">
        <v>1</v>
      </c>
      <c r="AZ214" s="33">
        <v>1</v>
      </c>
      <c r="BB214" s="76" t="s">
        <v>174</v>
      </c>
      <c r="BC214" s="76" t="s">
        <v>10</v>
      </c>
      <c r="BD214" s="79">
        <v>741.91</v>
      </c>
      <c r="BE214" s="79"/>
      <c r="BF214" s="79">
        <v>2.61</v>
      </c>
      <c r="BH214" s="76">
        <v>98532</v>
      </c>
      <c r="BI214" s="76" t="s">
        <v>10</v>
      </c>
      <c r="BJ214" s="79"/>
      <c r="BK214" s="79">
        <v>-135.81</v>
      </c>
      <c r="BL214" s="79"/>
    </row>
    <row r="215" spans="2:64" x14ac:dyDescent="0.2">
      <c r="B215" s="59">
        <v>98226</v>
      </c>
      <c r="C215" s="38" t="s">
        <v>10</v>
      </c>
      <c r="D215" s="48">
        <v>3230</v>
      </c>
      <c r="E215" s="48">
        <v>2870</v>
      </c>
      <c r="F215" s="48">
        <v>2918</v>
      </c>
      <c r="H215" s="76">
        <v>98226</v>
      </c>
      <c r="I215" s="76" t="s">
        <v>352</v>
      </c>
      <c r="J215" s="79">
        <v>92169.96</v>
      </c>
      <c r="K215" s="79">
        <v>60319.23</v>
      </c>
      <c r="L215" s="79">
        <v>711673.87</v>
      </c>
      <c r="M215" s="79">
        <v>1112179.8599999901</v>
      </c>
      <c r="N215" s="79">
        <v>91379.94</v>
      </c>
      <c r="O215" s="79">
        <v>80961.53</v>
      </c>
      <c r="P215" s="79">
        <v>718477.17</v>
      </c>
      <c r="Q215" s="79">
        <v>1056021.1699999899</v>
      </c>
      <c r="R215" s="79">
        <v>71770.14</v>
      </c>
      <c r="S215" s="79">
        <v>55446.66</v>
      </c>
      <c r="T215" s="79">
        <v>757426.26</v>
      </c>
      <c r="U215" s="79">
        <v>1055433.9099999999</v>
      </c>
      <c r="W215" s="76">
        <v>98512</v>
      </c>
      <c r="X215" s="15" t="s">
        <v>10</v>
      </c>
      <c r="Y215" s="79">
        <v>50161.05</v>
      </c>
      <c r="Z215" s="79">
        <v>46729.43</v>
      </c>
      <c r="AA215" s="79">
        <v>72875.6899999999</v>
      </c>
      <c r="AB215" s="79">
        <v>231728.29</v>
      </c>
      <c r="AC215" s="79">
        <v>48871.54</v>
      </c>
      <c r="AD215" s="79">
        <v>41786.839999999997</v>
      </c>
      <c r="AE215" s="79">
        <v>102277.03</v>
      </c>
      <c r="AF215" s="79">
        <v>243198.76</v>
      </c>
      <c r="AG215" s="79">
        <v>40944.49</v>
      </c>
      <c r="AH215" s="79">
        <v>40715.11</v>
      </c>
      <c r="AI215" s="79">
        <v>112141.57</v>
      </c>
      <c r="AJ215" s="79">
        <v>237836.19</v>
      </c>
      <c r="AV215" s="76" t="s">
        <v>319</v>
      </c>
      <c r="AW215" s="76" t="s">
        <v>10</v>
      </c>
      <c r="AX215" s="33"/>
      <c r="AY215" s="33"/>
      <c r="AZ215" s="33">
        <v>2</v>
      </c>
      <c r="BB215" s="76" t="s">
        <v>319</v>
      </c>
      <c r="BC215" s="76" t="s">
        <v>10</v>
      </c>
      <c r="BD215" s="79"/>
      <c r="BE215" s="79"/>
      <c r="BF215" s="79">
        <v>124.71</v>
      </c>
      <c r="BH215" s="76">
        <v>98576</v>
      </c>
      <c r="BI215" s="76" t="s">
        <v>352</v>
      </c>
      <c r="BJ215" s="79">
        <v>-1836.79</v>
      </c>
      <c r="BK215" s="79"/>
      <c r="BL215" s="79"/>
    </row>
    <row r="216" spans="2:64" x14ac:dyDescent="0.2">
      <c r="B216" s="86">
        <v>98229</v>
      </c>
      <c r="C216" s="38" t="s">
        <v>352</v>
      </c>
      <c r="D216" s="48">
        <v>82</v>
      </c>
      <c r="E216" s="48">
        <v>72</v>
      </c>
      <c r="F216" s="48">
        <v>69</v>
      </c>
      <c r="H216" s="76">
        <v>98226</v>
      </c>
      <c r="I216" s="76" t="s">
        <v>10</v>
      </c>
      <c r="J216" s="79">
        <v>263646.51</v>
      </c>
      <c r="K216" s="79">
        <v>198275.99</v>
      </c>
      <c r="L216" s="79">
        <v>518882.45999999897</v>
      </c>
      <c r="M216" s="79">
        <v>1410825.9499999899</v>
      </c>
      <c r="N216" s="79">
        <v>264121.44</v>
      </c>
      <c r="O216" s="79">
        <v>172953.97</v>
      </c>
      <c r="P216" s="79">
        <v>652530.18999999994</v>
      </c>
      <c r="Q216" s="79">
        <v>1344210.20999999</v>
      </c>
      <c r="R216" s="79">
        <v>156535.12</v>
      </c>
      <c r="S216" s="79">
        <v>195068</v>
      </c>
      <c r="T216" s="79">
        <v>700446.299999999</v>
      </c>
      <c r="U216" s="79">
        <v>1350982.9499999899</v>
      </c>
      <c r="W216" s="76">
        <v>98513</v>
      </c>
      <c r="X216" s="15" t="s">
        <v>10</v>
      </c>
      <c r="Y216" s="79">
        <v>49878.8</v>
      </c>
      <c r="Z216" s="79">
        <v>38832.75</v>
      </c>
      <c r="AA216" s="79">
        <v>82031.839999999997</v>
      </c>
      <c r="AB216" s="79">
        <v>224599.399999999</v>
      </c>
      <c r="AC216" s="79">
        <v>38158</v>
      </c>
      <c r="AD216" s="79">
        <v>35666.46</v>
      </c>
      <c r="AE216" s="79">
        <v>100667.569999999</v>
      </c>
      <c r="AF216" s="79">
        <v>224557.24999999901</v>
      </c>
      <c r="AG216" s="79">
        <v>35529.01</v>
      </c>
      <c r="AH216" s="79">
        <v>27193.3</v>
      </c>
      <c r="AI216" s="79">
        <v>100566.27999999899</v>
      </c>
      <c r="AJ216" s="79">
        <v>200440.05999999901</v>
      </c>
      <c r="AV216" s="76" t="s">
        <v>320</v>
      </c>
      <c r="AW216" s="76" t="s">
        <v>352</v>
      </c>
      <c r="AX216" s="33"/>
      <c r="AY216" s="33"/>
      <c r="AZ216" s="33">
        <v>1</v>
      </c>
      <c r="BB216" s="76" t="s">
        <v>320</v>
      </c>
      <c r="BC216" s="76" t="s">
        <v>352</v>
      </c>
      <c r="BD216" s="79"/>
      <c r="BE216" s="79"/>
      <c r="BF216" s="79">
        <v>277.19</v>
      </c>
      <c r="BH216" s="76">
        <v>98576</v>
      </c>
      <c r="BI216" s="76" t="s">
        <v>10</v>
      </c>
      <c r="BJ216" s="79">
        <v>-185.09</v>
      </c>
      <c r="BK216" s="79"/>
      <c r="BL216" s="79"/>
    </row>
    <row r="217" spans="2:64" x14ac:dyDescent="0.2">
      <c r="B217" s="59">
        <v>98229</v>
      </c>
      <c r="C217" s="38" t="s">
        <v>10</v>
      </c>
      <c r="D217" s="48">
        <v>1478</v>
      </c>
      <c r="E217" s="48">
        <v>1538</v>
      </c>
      <c r="F217" s="48">
        <v>1509</v>
      </c>
      <c r="H217" s="76">
        <v>98229</v>
      </c>
      <c r="I217" s="76" t="s">
        <v>352</v>
      </c>
      <c r="J217" s="79">
        <v>3581.03</v>
      </c>
      <c r="K217" s="79">
        <v>2970.28</v>
      </c>
      <c r="L217" s="79">
        <v>29738.109999999899</v>
      </c>
      <c r="M217" s="79">
        <v>43469.31</v>
      </c>
      <c r="N217" s="79">
        <v>3135.05</v>
      </c>
      <c r="O217" s="79">
        <v>3883.24</v>
      </c>
      <c r="P217" s="79">
        <v>31739.35</v>
      </c>
      <c r="Q217" s="79">
        <v>44217.459999999897</v>
      </c>
      <c r="R217" s="79">
        <v>4521.5</v>
      </c>
      <c r="S217" s="79">
        <v>2117.36</v>
      </c>
      <c r="T217" s="79">
        <v>30277.57</v>
      </c>
      <c r="U217" s="79">
        <v>78991.69</v>
      </c>
      <c r="W217" s="76">
        <v>98516</v>
      </c>
      <c r="X217" s="15" t="s">
        <v>10</v>
      </c>
      <c r="Y217" s="79">
        <v>37817.94</v>
      </c>
      <c r="Z217" s="79">
        <v>33171.839999999997</v>
      </c>
      <c r="AA217" s="79">
        <v>63668.8299999999</v>
      </c>
      <c r="AB217" s="79">
        <v>179100.06</v>
      </c>
      <c r="AC217" s="79">
        <v>34679.39</v>
      </c>
      <c r="AD217" s="79">
        <v>29488.62</v>
      </c>
      <c r="AE217" s="79">
        <v>82388.7</v>
      </c>
      <c r="AF217" s="79">
        <v>181903.18</v>
      </c>
      <c r="AG217" s="79">
        <v>26406.99</v>
      </c>
      <c r="AH217" s="79">
        <v>28381.9</v>
      </c>
      <c r="AI217" s="79">
        <v>79203.19</v>
      </c>
      <c r="AJ217" s="79">
        <v>161900.15999999901</v>
      </c>
      <c r="AV217" s="76" t="s">
        <v>320</v>
      </c>
      <c r="AW217" s="76" t="s">
        <v>10</v>
      </c>
      <c r="AX217" s="33">
        <v>1</v>
      </c>
      <c r="AY217" s="33"/>
      <c r="AZ217" s="33"/>
      <c r="BB217" s="76" t="s">
        <v>320</v>
      </c>
      <c r="BC217" s="76" t="s">
        <v>10</v>
      </c>
      <c r="BD217" s="79"/>
      <c r="BE217" s="79"/>
      <c r="BF217" s="79"/>
      <c r="BH217" s="76">
        <v>98579</v>
      </c>
      <c r="BI217" s="76" t="s">
        <v>10</v>
      </c>
      <c r="BJ217" s="79">
        <v>-205.54</v>
      </c>
      <c r="BK217" s="79">
        <v>-220</v>
      </c>
      <c r="BL217" s="79">
        <v>-718.63</v>
      </c>
    </row>
    <row r="218" spans="2:64" x14ac:dyDescent="0.2">
      <c r="B218" s="86">
        <v>98230</v>
      </c>
      <c r="C218" s="38" t="s">
        <v>352</v>
      </c>
      <c r="D218" s="48">
        <v>95</v>
      </c>
      <c r="E218" s="48">
        <v>102</v>
      </c>
      <c r="F218" s="48">
        <v>108</v>
      </c>
      <c r="H218" s="76">
        <v>98229</v>
      </c>
      <c r="I218" s="76" t="s">
        <v>10</v>
      </c>
      <c r="J218" s="79">
        <v>121568.57</v>
      </c>
      <c r="K218" s="79">
        <v>101452.97</v>
      </c>
      <c r="L218" s="79">
        <v>241216.63</v>
      </c>
      <c r="M218" s="79">
        <v>643300.88999999897</v>
      </c>
      <c r="N218" s="79">
        <v>88977.39</v>
      </c>
      <c r="O218" s="79">
        <v>124080.64</v>
      </c>
      <c r="P218" s="79">
        <v>296351.17</v>
      </c>
      <c r="Q218" s="79">
        <v>672512.88999999897</v>
      </c>
      <c r="R218" s="79">
        <v>109363.24</v>
      </c>
      <c r="S218" s="79">
        <v>65681.36</v>
      </c>
      <c r="T218" s="79">
        <v>343030.02</v>
      </c>
      <c r="U218" s="79">
        <v>650666.52999999898</v>
      </c>
      <c r="W218" s="76">
        <v>98530</v>
      </c>
      <c r="X218" s="15" t="s">
        <v>10</v>
      </c>
      <c r="Y218" s="79">
        <v>3467.12</v>
      </c>
      <c r="Z218" s="79">
        <v>729.23</v>
      </c>
      <c r="AA218" s="79">
        <v>3465.91</v>
      </c>
      <c r="AB218" s="79">
        <v>7662.26</v>
      </c>
      <c r="AC218" s="79"/>
      <c r="AD218" s="79">
        <v>2297.4699999999998</v>
      </c>
      <c r="AE218" s="79">
        <v>4195.1399999999903</v>
      </c>
      <c r="AF218" s="79">
        <v>11502.52</v>
      </c>
      <c r="AG218" s="79">
        <v>3462.81</v>
      </c>
      <c r="AH218" s="79"/>
      <c r="AI218" s="79">
        <v>4816.08</v>
      </c>
      <c r="AJ218" s="79">
        <v>8278.89</v>
      </c>
      <c r="AV218" s="76" t="s">
        <v>175</v>
      </c>
      <c r="AW218" s="76" t="s">
        <v>10</v>
      </c>
      <c r="AX218" s="33">
        <v>1</v>
      </c>
      <c r="AY218" s="33">
        <v>1</v>
      </c>
      <c r="AZ218" s="33">
        <v>1</v>
      </c>
      <c r="BB218" s="76" t="s">
        <v>175</v>
      </c>
      <c r="BC218" s="76" t="s">
        <v>10</v>
      </c>
      <c r="BD218" s="79"/>
      <c r="BE218" s="79">
        <v>20.99</v>
      </c>
      <c r="BF218" s="79">
        <v>1099.02</v>
      </c>
      <c r="BH218" s="76">
        <v>98580</v>
      </c>
      <c r="BI218" s="76" t="s">
        <v>10</v>
      </c>
      <c r="BJ218" s="79">
        <v>-2000</v>
      </c>
      <c r="BK218" s="79">
        <v>-1388.22</v>
      </c>
      <c r="BL218" s="79"/>
    </row>
    <row r="219" spans="2:64" x14ac:dyDescent="0.2">
      <c r="B219" s="59">
        <v>98230</v>
      </c>
      <c r="C219" s="38" t="s">
        <v>10</v>
      </c>
      <c r="D219" s="48">
        <v>1227</v>
      </c>
      <c r="E219" s="48">
        <v>1227</v>
      </c>
      <c r="F219" s="48">
        <v>1193</v>
      </c>
      <c r="H219" s="76">
        <v>98230</v>
      </c>
      <c r="I219" s="76" t="s">
        <v>352</v>
      </c>
      <c r="J219" s="79">
        <v>122102.02</v>
      </c>
      <c r="K219" s="79">
        <v>16182.47</v>
      </c>
      <c r="L219" s="79">
        <v>1028569.47</v>
      </c>
      <c r="M219" s="79">
        <v>1230343.8600000001</v>
      </c>
      <c r="N219" s="79">
        <v>54360.41</v>
      </c>
      <c r="O219" s="79">
        <v>120450.01</v>
      </c>
      <c r="P219" s="79">
        <v>995093.32</v>
      </c>
      <c r="Q219" s="79">
        <v>1252925.8199999901</v>
      </c>
      <c r="R219" s="79">
        <v>58301.68</v>
      </c>
      <c r="S219" s="79">
        <v>53183.11</v>
      </c>
      <c r="T219" s="79">
        <v>1054332.6099999901</v>
      </c>
      <c r="U219" s="79">
        <v>1223317.53</v>
      </c>
      <c r="W219" s="76">
        <v>98531</v>
      </c>
      <c r="X219" s="15" t="s">
        <v>10</v>
      </c>
      <c r="Y219" s="79">
        <v>8070.45</v>
      </c>
      <c r="Z219" s="79">
        <v>6033.4</v>
      </c>
      <c r="AA219" s="79">
        <v>14158.98</v>
      </c>
      <c r="AB219" s="79">
        <v>37814.53</v>
      </c>
      <c r="AC219" s="79">
        <v>6126.25</v>
      </c>
      <c r="AD219" s="79">
        <v>5799.21</v>
      </c>
      <c r="AE219" s="79">
        <v>16658.490000000002</v>
      </c>
      <c r="AF219" s="79">
        <v>36816.76</v>
      </c>
      <c r="AG219" s="79">
        <v>6544.64</v>
      </c>
      <c r="AH219" s="79">
        <v>4382.8599999999997</v>
      </c>
      <c r="AI219" s="79">
        <v>19996.89</v>
      </c>
      <c r="AJ219" s="79">
        <v>37089.82</v>
      </c>
      <c r="AV219" s="76" t="s">
        <v>176</v>
      </c>
      <c r="AW219" s="76" t="s">
        <v>10</v>
      </c>
      <c r="AX219" s="33">
        <v>2</v>
      </c>
      <c r="AY219" s="33">
        <v>4</v>
      </c>
      <c r="AZ219" s="33">
        <v>1</v>
      </c>
      <c r="BB219" s="76" t="s">
        <v>176</v>
      </c>
      <c r="BC219" s="76" t="s">
        <v>10</v>
      </c>
      <c r="BD219" s="79">
        <v>3849.64</v>
      </c>
      <c r="BE219" s="79">
        <v>1032.23</v>
      </c>
      <c r="BF219" s="79">
        <v>2502.21</v>
      </c>
      <c r="BH219" s="76">
        <v>98589</v>
      </c>
      <c r="BI219" s="76" t="s">
        <v>10</v>
      </c>
      <c r="BJ219" s="79"/>
      <c r="BK219" s="79">
        <v>-520.37</v>
      </c>
      <c r="BL219" s="79">
        <v>-157.72999999999999</v>
      </c>
    </row>
    <row r="220" spans="2:64" x14ac:dyDescent="0.2">
      <c r="B220" s="86">
        <v>98232</v>
      </c>
      <c r="C220" s="38" t="s">
        <v>352</v>
      </c>
      <c r="D220" s="48">
        <v>28</v>
      </c>
      <c r="E220" s="48">
        <v>31</v>
      </c>
      <c r="F220" s="48">
        <v>27</v>
      </c>
      <c r="H220" s="76">
        <v>98230</v>
      </c>
      <c r="I220" s="76" t="s">
        <v>10</v>
      </c>
      <c r="J220" s="79">
        <v>77925.03</v>
      </c>
      <c r="K220" s="79">
        <v>61624.62</v>
      </c>
      <c r="L220" s="79">
        <v>191844.33999999901</v>
      </c>
      <c r="M220" s="79">
        <v>477308.799999999</v>
      </c>
      <c r="N220" s="79">
        <v>71732.929999999993</v>
      </c>
      <c r="O220" s="79">
        <v>57234.16</v>
      </c>
      <c r="P220" s="79">
        <v>207858.679999999</v>
      </c>
      <c r="Q220" s="79">
        <v>460222.18</v>
      </c>
      <c r="R220" s="79">
        <v>58814.71</v>
      </c>
      <c r="S220" s="79">
        <v>52265.46</v>
      </c>
      <c r="T220" s="79">
        <v>213469.71999999901</v>
      </c>
      <c r="U220" s="79">
        <v>434373.51</v>
      </c>
      <c r="W220" s="76">
        <v>98532</v>
      </c>
      <c r="X220" s="15" t="s">
        <v>10</v>
      </c>
      <c r="Y220" s="79">
        <v>1322.53</v>
      </c>
      <c r="Z220" s="79">
        <v>1406.11</v>
      </c>
      <c r="AA220" s="79">
        <v>2572.27</v>
      </c>
      <c r="AB220" s="79">
        <v>6586.26</v>
      </c>
      <c r="AC220" s="79">
        <v>972.92</v>
      </c>
      <c r="AD220" s="79">
        <v>948.41</v>
      </c>
      <c r="AE220" s="79">
        <v>3425.7</v>
      </c>
      <c r="AF220" s="79">
        <v>6174.45999999999</v>
      </c>
      <c r="AG220" s="79">
        <v>684.89</v>
      </c>
      <c r="AH220" s="79">
        <v>765.47</v>
      </c>
      <c r="AI220" s="79">
        <v>4200.29</v>
      </c>
      <c r="AJ220" s="79">
        <v>7475.46</v>
      </c>
      <c r="AV220" s="76" t="s">
        <v>177</v>
      </c>
      <c r="AW220" s="76" t="s">
        <v>352</v>
      </c>
      <c r="AX220" s="33"/>
      <c r="AY220" s="33"/>
      <c r="AZ220" s="33">
        <v>1</v>
      </c>
      <c r="BB220" s="76" t="s">
        <v>177</v>
      </c>
      <c r="BC220" s="76" t="s">
        <v>352</v>
      </c>
      <c r="BD220" s="79"/>
      <c r="BE220" s="79"/>
      <c r="BF220" s="79">
        <v>10.54</v>
      </c>
      <c r="BH220" s="76">
        <v>98597</v>
      </c>
      <c r="BI220" s="76" t="s">
        <v>352</v>
      </c>
      <c r="BJ220" s="79"/>
      <c r="BK220" s="79">
        <v>-266.67</v>
      </c>
      <c r="BL220" s="79"/>
    </row>
    <row r="221" spans="2:64" x14ac:dyDescent="0.2">
      <c r="B221" s="59">
        <v>98232</v>
      </c>
      <c r="C221" s="38" t="s">
        <v>10</v>
      </c>
      <c r="D221" s="48">
        <v>160</v>
      </c>
      <c r="E221" s="48">
        <v>156</v>
      </c>
      <c r="F221" s="48">
        <v>165</v>
      </c>
      <c r="H221" s="76">
        <v>98232</v>
      </c>
      <c r="I221" s="76" t="s">
        <v>352</v>
      </c>
      <c r="J221" s="79">
        <v>2024.95</v>
      </c>
      <c r="K221" s="79">
        <v>1901.19</v>
      </c>
      <c r="L221" s="79">
        <v>3859.95999999999</v>
      </c>
      <c r="M221" s="79">
        <v>18920.060000000001</v>
      </c>
      <c r="N221" s="79">
        <v>6205.33</v>
      </c>
      <c r="O221" s="79">
        <v>1760.53</v>
      </c>
      <c r="P221" s="79">
        <v>4086.8199999999902</v>
      </c>
      <c r="Q221" s="79">
        <v>15890.54</v>
      </c>
      <c r="R221" s="79">
        <v>2299.1999999999998</v>
      </c>
      <c r="S221" s="79">
        <v>908.8</v>
      </c>
      <c r="T221" s="79">
        <v>4899.87</v>
      </c>
      <c r="U221" s="79">
        <v>10157.459999999999</v>
      </c>
      <c r="W221" s="76">
        <v>98558</v>
      </c>
      <c r="X221" s="15" t="s">
        <v>10</v>
      </c>
      <c r="Y221" s="79">
        <v>280.56</v>
      </c>
      <c r="Z221" s="79">
        <v>194.6</v>
      </c>
      <c r="AA221" s="79">
        <v>243.13</v>
      </c>
      <c r="AB221" s="79">
        <v>718.29</v>
      </c>
      <c r="AC221" s="79"/>
      <c r="AD221" s="79"/>
      <c r="AE221" s="79"/>
      <c r="AF221" s="79"/>
      <c r="AG221" s="79"/>
      <c r="AH221" s="79"/>
      <c r="AI221" s="79"/>
      <c r="AJ221" s="79"/>
      <c r="AV221" s="76" t="s">
        <v>177</v>
      </c>
      <c r="AW221" s="76" t="s">
        <v>10</v>
      </c>
      <c r="AX221" s="33">
        <v>3</v>
      </c>
      <c r="AY221" s="33"/>
      <c r="AZ221" s="33">
        <v>1</v>
      </c>
      <c r="BB221" s="76" t="s">
        <v>177</v>
      </c>
      <c r="BC221" s="76" t="s">
        <v>10</v>
      </c>
      <c r="BD221" s="79">
        <v>1566.12</v>
      </c>
      <c r="BE221" s="79"/>
      <c r="BF221" s="79">
        <v>6450.74</v>
      </c>
      <c r="BH221" s="76">
        <v>98597</v>
      </c>
      <c r="BI221" s="76" t="s">
        <v>10</v>
      </c>
      <c r="BJ221" s="79">
        <v>-1848.15</v>
      </c>
      <c r="BK221" s="79">
        <v>-49.44</v>
      </c>
      <c r="BL221" s="79"/>
    </row>
    <row r="222" spans="2:64" x14ac:dyDescent="0.2">
      <c r="B222" s="86">
        <v>98233</v>
      </c>
      <c r="C222" s="38" t="s">
        <v>352</v>
      </c>
      <c r="D222" s="48">
        <v>83</v>
      </c>
      <c r="E222" s="48">
        <v>100</v>
      </c>
      <c r="F222" s="48">
        <v>91</v>
      </c>
      <c r="H222" s="76">
        <v>98232</v>
      </c>
      <c r="I222" s="76" t="s">
        <v>10</v>
      </c>
      <c r="J222" s="79">
        <v>22070.67</v>
      </c>
      <c r="K222" s="79">
        <v>14153.69</v>
      </c>
      <c r="L222" s="79">
        <v>34115.199999999997</v>
      </c>
      <c r="M222" s="79">
        <v>106168.659999999</v>
      </c>
      <c r="N222" s="79">
        <v>15932.41</v>
      </c>
      <c r="O222" s="79">
        <v>21385.37</v>
      </c>
      <c r="P222" s="79">
        <v>42293.17</v>
      </c>
      <c r="Q222" s="79">
        <v>106137.95</v>
      </c>
      <c r="R222" s="79">
        <v>18546.37</v>
      </c>
      <c r="S222" s="79">
        <v>8991.74</v>
      </c>
      <c r="T222" s="79">
        <v>49746.799999999901</v>
      </c>
      <c r="U222" s="79">
        <v>101946.33</v>
      </c>
      <c r="W222" s="76">
        <v>98576</v>
      </c>
      <c r="X222" s="15" t="s">
        <v>10</v>
      </c>
      <c r="Y222" s="79">
        <v>11363.91</v>
      </c>
      <c r="Z222" s="79">
        <v>9926.34</v>
      </c>
      <c r="AA222" s="79">
        <v>31169.4199999999</v>
      </c>
      <c r="AB222" s="79">
        <v>68105.5</v>
      </c>
      <c r="AC222" s="79">
        <v>11713.93</v>
      </c>
      <c r="AD222" s="79">
        <v>9761.89</v>
      </c>
      <c r="AE222" s="79">
        <v>39743.099999999897</v>
      </c>
      <c r="AF222" s="79">
        <v>71737.7</v>
      </c>
      <c r="AG222" s="79">
        <v>7599.6</v>
      </c>
      <c r="AH222" s="79">
        <v>10295.49</v>
      </c>
      <c r="AI222" s="79">
        <v>42447.85</v>
      </c>
      <c r="AJ222" s="79">
        <v>70007.91</v>
      </c>
      <c r="AV222" s="76" t="s">
        <v>321</v>
      </c>
      <c r="AW222" s="76" t="s">
        <v>352</v>
      </c>
      <c r="AX222" s="33">
        <v>1</v>
      </c>
      <c r="AY222" s="33">
        <v>1</v>
      </c>
      <c r="AZ222" s="33"/>
      <c r="BB222" s="76" t="s">
        <v>321</v>
      </c>
      <c r="BC222" s="76" t="s">
        <v>352</v>
      </c>
      <c r="BD222" s="79">
        <v>48.47</v>
      </c>
      <c r="BE222" s="79">
        <v>2151.83</v>
      </c>
      <c r="BF222" s="79"/>
      <c r="BH222" s="76">
        <v>98922</v>
      </c>
      <c r="BI222" s="76" t="s">
        <v>352</v>
      </c>
      <c r="BJ222" s="79"/>
      <c r="BK222" s="79">
        <v>-105.55</v>
      </c>
      <c r="BL222" s="79"/>
    </row>
    <row r="223" spans="2:64" x14ac:dyDescent="0.2">
      <c r="B223" s="59">
        <v>98233</v>
      </c>
      <c r="C223" s="38" t="s">
        <v>10</v>
      </c>
      <c r="D223" s="48">
        <v>946</v>
      </c>
      <c r="E223" s="48">
        <v>1015</v>
      </c>
      <c r="F223" s="48">
        <v>1004</v>
      </c>
      <c r="H223" s="76">
        <v>98233</v>
      </c>
      <c r="I223" s="76" t="s">
        <v>352</v>
      </c>
      <c r="J223" s="79">
        <v>16570.59</v>
      </c>
      <c r="K223" s="79">
        <v>17156.669999999998</v>
      </c>
      <c r="L223" s="79">
        <v>128249.85</v>
      </c>
      <c r="M223" s="79">
        <v>211483.02</v>
      </c>
      <c r="N223" s="79">
        <v>6132.32</v>
      </c>
      <c r="O223" s="79">
        <v>23830.07</v>
      </c>
      <c r="P223" s="79">
        <v>139945.09</v>
      </c>
      <c r="Q223" s="79">
        <v>197123.66</v>
      </c>
      <c r="R223" s="79">
        <v>17744.669999999998</v>
      </c>
      <c r="S223" s="79">
        <v>4934</v>
      </c>
      <c r="T223" s="79">
        <v>162247.91</v>
      </c>
      <c r="U223" s="79">
        <v>209764.76</v>
      </c>
      <c r="W223" s="76">
        <v>98579</v>
      </c>
      <c r="X223" s="15" t="s">
        <v>10</v>
      </c>
      <c r="Y223" s="79">
        <v>24907.45</v>
      </c>
      <c r="Z223" s="79">
        <v>26933.05</v>
      </c>
      <c r="AA223" s="79">
        <v>64231.11</v>
      </c>
      <c r="AB223" s="79">
        <v>147060.87999999899</v>
      </c>
      <c r="AC223" s="79">
        <v>22063.74</v>
      </c>
      <c r="AD223" s="79">
        <v>19947.43</v>
      </c>
      <c r="AE223" s="79">
        <v>75606.649999999994</v>
      </c>
      <c r="AF223" s="79">
        <v>143271.21</v>
      </c>
      <c r="AG223" s="79">
        <v>20190.509999999998</v>
      </c>
      <c r="AH223" s="79">
        <v>18874.740000000002</v>
      </c>
      <c r="AI223" s="79">
        <v>86969.099999999904</v>
      </c>
      <c r="AJ223" s="79">
        <v>152228.03</v>
      </c>
      <c r="AV223" s="76" t="s">
        <v>321</v>
      </c>
      <c r="AW223" s="76" t="s">
        <v>10</v>
      </c>
      <c r="AX223" s="33">
        <v>23</v>
      </c>
      <c r="AY223" s="33">
        <v>14</v>
      </c>
      <c r="AZ223" s="33">
        <v>10</v>
      </c>
      <c r="BB223" s="76" t="s">
        <v>321</v>
      </c>
      <c r="BC223" s="76" t="s">
        <v>10</v>
      </c>
      <c r="BD223" s="79">
        <v>5450.79</v>
      </c>
      <c r="BE223" s="79">
        <v>9461.48</v>
      </c>
      <c r="BF223" s="79">
        <v>2635.9</v>
      </c>
      <c r="BH223" s="76">
        <v>98922</v>
      </c>
      <c r="BI223" s="76" t="s">
        <v>10</v>
      </c>
      <c r="BJ223" s="79">
        <v>-1.18</v>
      </c>
      <c r="BK223" s="79">
        <v>-251.55</v>
      </c>
      <c r="BL223" s="79">
        <v>-174.23</v>
      </c>
    </row>
    <row r="224" spans="2:64" x14ac:dyDescent="0.2">
      <c r="B224" s="86">
        <v>98235</v>
      </c>
      <c r="C224" s="38" t="s">
        <v>352</v>
      </c>
      <c r="D224" s="48">
        <v>4</v>
      </c>
      <c r="E224" s="48">
        <v>7</v>
      </c>
      <c r="F224" s="48">
        <v>3</v>
      </c>
      <c r="H224" s="76">
        <v>98233</v>
      </c>
      <c r="I224" s="76" t="s">
        <v>10</v>
      </c>
      <c r="J224" s="79">
        <v>63739.81</v>
      </c>
      <c r="K224" s="79">
        <v>52527.85</v>
      </c>
      <c r="L224" s="79">
        <v>116958.81</v>
      </c>
      <c r="M224" s="79">
        <v>341098.97</v>
      </c>
      <c r="N224" s="79">
        <v>21828.15</v>
      </c>
      <c r="O224" s="79">
        <v>97308.12</v>
      </c>
      <c r="P224" s="79">
        <v>148511.37</v>
      </c>
      <c r="Q224" s="79">
        <v>361216.90999999898</v>
      </c>
      <c r="R224" s="79">
        <v>62106.23</v>
      </c>
      <c r="S224" s="79">
        <v>14582.48</v>
      </c>
      <c r="T224" s="79">
        <v>202379.25</v>
      </c>
      <c r="U224" s="79">
        <v>362704.78999999899</v>
      </c>
      <c r="W224" s="76">
        <v>98580</v>
      </c>
      <c r="X224" s="15" t="s">
        <v>10</v>
      </c>
      <c r="Y224" s="79">
        <v>10066.84</v>
      </c>
      <c r="Z224" s="79">
        <v>6833.92</v>
      </c>
      <c r="AA224" s="79">
        <v>27904.99</v>
      </c>
      <c r="AB224" s="79">
        <v>58245.07</v>
      </c>
      <c r="AC224" s="79">
        <v>4999.92</v>
      </c>
      <c r="AD224" s="79">
        <v>12424.93</v>
      </c>
      <c r="AE224" s="79">
        <v>31094.82</v>
      </c>
      <c r="AF224" s="79">
        <v>57570.0099999999</v>
      </c>
      <c r="AG224" s="79">
        <v>7783.93</v>
      </c>
      <c r="AH224" s="79">
        <v>3777.06</v>
      </c>
      <c r="AI224" s="79">
        <v>41190.480000000003</v>
      </c>
      <c r="AJ224" s="79">
        <v>62337.9</v>
      </c>
      <c r="AV224" s="76" t="s">
        <v>178</v>
      </c>
      <c r="AW224" s="76" t="s">
        <v>352</v>
      </c>
      <c r="AX224" s="33">
        <v>3</v>
      </c>
      <c r="AY224" s="33"/>
      <c r="AZ224" s="33">
        <v>1</v>
      </c>
      <c r="BB224" s="76" t="s">
        <v>178</v>
      </c>
      <c r="BC224" s="76" t="s">
        <v>352</v>
      </c>
      <c r="BD224" s="79">
        <v>1464.11</v>
      </c>
      <c r="BE224" s="79"/>
      <c r="BF224" s="79">
        <v>847.33</v>
      </c>
      <c r="BH224" s="76">
        <v>98926</v>
      </c>
      <c r="BI224" s="76" t="s">
        <v>10</v>
      </c>
      <c r="BJ224" s="79">
        <v>-473.43</v>
      </c>
      <c r="BK224" s="79">
        <v>-200</v>
      </c>
      <c r="BL224" s="79"/>
    </row>
    <row r="225" spans="2:64" x14ac:dyDescent="0.2">
      <c r="B225" s="59">
        <v>98235</v>
      </c>
      <c r="C225" s="38" t="s">
        <v>10</v>
      </c>
      <c r="D225" s="48">
        <v>22</v>
      </c>
      <c r="E225" s="48">
        <v>22</v>
      </c>
      <c r="F225" s="48">
        <v>18</v>
      </c>
      <c r="H225" s="76">
        <v>98235</v>
      </c>
      <c r="I225" s="76" t="s">
        <v>352</v>
      </c>
      <c r="J225" s="79">
        <v>249.99</v>
      </c>
      <c r="K225" s="79">
        <v>405.97</v>
      </c>
      <c r="L225" s="79">
        <v>1310.27</v>
      </c>
      <c r="M225" s="79">
        <v>2296.58</v>
      </c>
      <c r="N225" s="79">
        <v>330.33</v>
      </c>
      <c r="O225" s="79">
        <v>14.26</v>
      </c>
      <c r="P225" s="79">
        <v>1466.24</v>
      </c>
      <c r="Q225" s="79">
        <v>2059.46</v>
      </c>
      <c r="R225" s="79">
        <v>28.71</v>
      </c>
      <c r="S225" s="79">
        <v>330.33</v>
      </c>
      <c r="T225" s="79">
        <v>1480.5</v>
      </c>
      <c r="U225" s="79">
        <v>2032.6</v>
      </c>
      <c r="W225" s="76">
        <v>98589</v>
      </c>
      <c r="X225" s="15" t="s">
        <v>10</v>
      </c>
      <c r="Y225" s="79">
        <v>14431.19</v>
      </c>
      <c r="Z225" s="79">
        <v>17142.38</v>
      </c>
      <c r="AA225" s="79">
        <v>26925.89</v>
      </c>
      <c r="AB225" s="79">
        <v>85804.83</v>
      </c>
      <c r="AC225" s="79">
        <v>21154.1</v>
      </c>
      <c r="AD225" s="79">
        <v>11745.09</v>
      </c>
      <c r="AE225" s="79">
        <v>32884.799999999901</v>
      </c>
      <c r="AF225" s="79">
        <v>83718.249999999898</v>
      </c>
      <c r="AG225" s="79">
        <v>13122.46</v>
      </c>
      <c r="AH225" s="79">
        <v>17511.39</v>
      </c>
      <c r="AI225" s="79">
        <v>33438.75</v>
      </c>
      <c r="AJ225" s="79">
        <v>86346.879999999903</v>
      </c>
      <c r="AV225" s="76" t="s">
        <v>178</v>
      </c>
      <c r="AW225" s="76" t="s">
        <v>10</v>
      </c>
      <c r="AX225" s="33">
        <v>5</v>
      </c>
      <c r="AY225" s="33">
        <v>2</v>
      </c>
      <c r="AZ225" s="33">
        <v>3</v>
      </c>
      <c r="BB225" s="76" t="s">
        <v>178</v>
      </c>
      <c r="BC225" s="76" t="s">
        <v>10</v>
      </c>
      <c r="BD225" s="79">
        <v>415.3</v>
      </c>
      <c r="BE225" s="79">
        <v>1494.1</v>
      </c>
      <c r="BF225" s="79">
        <v>4269.42</v>
      </c>
      <c r="BH225" s="76">
        <v>98940</v>
      </c>
      <c r="BI225" s="76" t="s">
        <v>10</v>
      </c>
      <c r="BJ225" s="79"/>
      <c r="BK225" s="79">
        <v>-439.47</v>
      </c>
      <c r="BL225" s="79"/>
    </row>
    <row r="226" spans="2:64" x14ac:dyDescent="0.2">
      <c r="B226" s="86">
        <v>98236</v>
      </c>
      <c r="C226" s="38" t="s">
        <v>352</v>
      </c>
      <c r="D226" s="48">
        <v>57</v>
      </c>
      <c r="E226" s="48">
        <v>61</v>
      </c>
      <c r="F226" s="48">
        <v>60</v>
      </c>
      <c r="H226" s="76">
        <v>98235</v>
      </c>
      <c r="I226" s="76" t="s">
        <v>10</v>
      </c>
      <c r="J226" s="79">
        <v>4373.25</v>
      </c>
      <c r="K226" s="79">
        <v>678.43</v>
      </c>
      <c r="L226" s="79">
        <v>7444.75</v>
      </c>
      <c r="M226" s="79">
        <v>14342.21</v>
      </c>
      <c r="N226" s="79">
        <v>1168.68</v>
      </c>
      <c r="O226" s="79">
        <v>4065.27</v>
      </c>
      <c r="P226" s="79">
        <v>7174.03</v>
      </c>
      <c r="Q226" s="79">
        <v>16902.759999999998</v>
      </c>
      <c r="R226" s="79">
        <v>3331.66</v>
      </c>
      <c r="S226" s="79">
        <v>1168.18</v>
      </c>
      <c r="T226" s="79">
        <v>9429.51</v>
      </c>
      <c r="U226" s="79">
        <v>15028.0199999999</v>
      </c>
      <c r="W226" s="76">
        <v>98591</v>
      </c>
      <c r="X226" s="15" t="s">
        <v>10</v>
      </c>
      <c r="Y226" s="79">
        <v>104.71</v>
      </c>
      <c r="Z226" s="79"/>
      <c r="AA226" s="79"/>
      <c r="AB226" s="79">
        <v>239.21</v>
      </c>
      <c r="AC226" s="79">
        <v>134.5</v>
      </c>
      <c r="AD226" s="79">
        <v>104.71</v>
      </c>
      <c r="AE226" s="79"/>
      <c r="AF226" s="79">
        <v>339.96</v>
      </c>
      <c r="AG226" s="79">
        <v>100.75</v>
      </c>
      <c r="AH226" s="79">
        <v>134.5</v>
      </c>
      <c r="AI226" s="79">
        <v>104.71</v>
      </c>
      <c r="AJ226" s="79">
        <v>437.55</v>
      </c>
      <c r="AV226" s="76" t="s">
        <v>179</v>
      </c>
      <c r="AW226" s="76" t="s">
        <v>10</v>
      </c>
      <c r="AX226" s="33">
        <v>1</v>
      </c>
      <c r="AY226" s="33">
        <v>1</v>
      </c>
      <c r="AZ226" s="33"/>
      <c r="BB226" s="76" t="s">
        <v>179</v>
      </c>
      <c r="BC226" s="76" t="s">
        <v>10</v>
      </c>
      <c r="BD226" s="79">
        <v>469.55</v>
      </c>
      <c r="BE226" s="79">
        <v>369.55</v>
      </c>
      <c r="BF226" s="79"/>
      <c r="BH226" s="76"/>
      <c r="BI226" s="76" t="s">
        <v>352</v>
      </c>
      <c r="BJ226" s="79"/>
      <c r="BK226" s="79">
        <v>-24.64</v>
      </c>
      <c r="BL226" s="79"/>
    </row>
    <row r="227" spans="2:64" ht="16" thickBot="1" x14ac:dyDescent="0.25">
      <c r="B227" s="59">
        <v>98236</v>
      </c>
      <c r="C227" s="38" t="s">
        <v>10</v>
      </c>
      <c r="D227" s="48">
        <v>351</v>
      </c>
      <c r="E227" s="48">
        <v>340</v>
      </c>
      <c r="F227" s="48">
        <v>339</v>
      </c>
      <c r="H227" s="76">
        <v>98236</v>
      </c>
      <c r="I227" s="76" t="s">
        <v>352</v>
      </c>
      <c r="J227" s="79">
        <v>2223.9899999999998</v>
      </c>
      <c r="K227" s="79">
        <v>2177.98</v>
      </c>
      <c r="L227" s="79">
        <v>9968.56</v>
      </c>
      <c r="M227" s="79">
        <v>27809.49</v>
      </c>
      <c r="N227" s="79">
        <v>2893.78</v>
      </c>
      <c r="O227" s="79">
        <v>1795.17</v>
      </c>
      <c r="P227" s="79">
        <v>11505.17</v>
      </c>
      <c r="Q227" s="79">
        <v>27084.03</v>
      </c>
      <c r="R227" s="79">
        <v>1689.42</v>
      </c>
      <c r="S227" s="79">
        <v>1170.04</v>
      </c>
      <c r="T227" s="79">
        <v>12355.61</v>
      </c>
      <c r="U227" s="79">
        <v>24702.779999999901</v>
      </c>
      <c r="W227" s="76">
        <v>98596</v>
      </c>
      <c r="X227" s="15" t="s">
        <v>10</v>
      </c>
      <c r="Y227" s="79">
        <v>78.13</v>
      </c>
      <c r="Z227" s="79">
        <v>100.84</v>
      </c>
      <c r="AA227" s="79"/>
      <c r="AB227" s="79">
        <v>320.02</v>
      </c>
      <c r="AC227" s="79">
        <v>88.91</v>
      </c>
      <c r="AD227" s="79">
        <v>78.13</v>
      </c>
      <c r="AE227" s="79">
        <v>100.84</v>
      </c>
      <c r="AF227" s="79">
        <v>328.12</v>
      </c>
      <c r="AG227" s="79">
        <v>60.24</v>
      </c>
      <c r="AH227" s="79">
        <v>72.88</v>
      </c>
      <c r="AI227" s="79"/>
      <c r="AJ227" s="79">
        <v>252.64999999999901</v>
      </c>
      <c r="AV227" s="76" t="s">
        <v>180</v>
      </c>
      <c r="AW227" s="76" t="s">
        <v>10</v>
      </c>
      <c r="AX227" s="33">
        <v>1</v>
      </c>
      <c r="AY227" s="33"/>
      <c r="AZ227" s="33">
        <v>1</v>
      </c>
      <c r="BB227" s="76" t="s">
        <v>180</v>
      </c>
      <c r="BC227" s="76" t="s">
        <v>10</v>
      </c>
      <c r="BD227" s="79">
        <v>913.36</v>
      </c>
      <c r="BE227" s="79"/>
      <c r="BF227" s="79">
        <v>1148.51</v>
      </c>
      <c r="BH227" s="77"/>
      <c r="BI227" s="77" t="s">
        <v>10</v>
      </c>
      <c r="BJ227" s="80">
        <v>-6.44</v>
      </c>
      <c r="BK227" s="80"/>
      <c r="BL227" s="80"/>
    </row>
    <row r="228" spans="2:64" ht="16" thickBot="1" x14ac:dyDescent="0.25">
      <c r="B228" s="86">
        <v>98237</v>
      </c>
      <c r="C228" s="38" t="s">
        <v>352</v>
      </c>
      <c r="D228" s="48">
        <v>28</v>
      </c>
      <c r="E228" s="48">
        <v>50</v>
      </c>
      <c r="F228" s="48">
        <v>39</v>
      </c>
      <c r="H228" s="76">
        <v>98236</v>
      </c>
      <c r="I228" s="76" t="s">
        <v>10</v>
      </c>
      <c r="J228" s="79">
        <v>33589.24</v>
      </c>
      <c r="K228" s="79">
        <v>31469.57</v>
      </c>
      <c r="L228" s="79">
        <v>100063.16</v>
      </c>
      <c r="M228" s="79">
        <v>221407.81999999899</v>
      </c>
      <c r="N228" s="79">
        <v>28874.51</v>
      </c>
      <c r="O228" s="79">
        <v>24131.85</v>
      </c>
      <c r="P228" s="79">
        <v>115894.80999999899</v>
      </c>
      <c r="Q228" s="79">
        <v>209759.35999999999</v>
      </c>
      <c r="R228" s="79">
        <v>26704.84</v>
      </c>
      <c r="S228" s="79">
        <v>22832.98</v>
      </c>
      <c r="T228" s="79">
        <v>124175.37</v>
      </c>
      <c r="U228" s="79">
        <v>211164.709999999</v>
      </c>
      <c r="W228" s="76">
        <v>98597</v>
      </c>
      <c r="X228" s="15" t="s">
        <v>10</v>
      </c>
      <c r="Y228" s="79">
        <v>66643.070000000007</v>
      </c>
      <c r="Z228" s="79">
        <v>42349.63</v>
      </c>
      <c r="AA228" s="79">
        <v>165080.74</v>
      </c>
      <c r="AB228" s="79">
        <v>343864.95</v>
      </c>
      <c r="AC228" s="79">
        <v>50813.61</v>
      </c>
      <c r="AD228" s="79">
        <v>54450.47</v>
      </c>
      <c r="AE228" s="79">
        <v>169832</v>
      </c>
      <c r="AF228" s="79">
        <v>337057.59</v>
      </c>
      <c r="AG228" s="79">
        <v>46682.99</v>
      </c>
      <c r="AH228" s="79">
        <v>40889.68</v>
      </c>
      <c r="AI228" s="79">
        <v>185542.29</v>
      </c>
      <c r="AJ228" s="79">
        <v>316347.69</v>
      </c>
      <c r="AV228" s="76" t="s">
        <v>181</v>
      </c>
      <c r="AW228" s="76" t="s">
        <v>352</v>
      </c>
      <c r="AX228" s="33"/>
      <c r="AY228" s="33"/>
      <c r="AZ228" s="33">
        <v>1</v>
      </c>
      <c r="BB228" s="76" t="s">
        <v>181</v>
      </c>
      <c r="BC228" s="76" t="s">
        <v>352</v>
      </c>
      <c r="BD228" s="79"/>
      <c r="BE228" s="79"/>
      <c r="BF228" s="79">
        <v>28.25</v>
      </c>
      <c r="BH228" s="173"/>
      <c r="BI228" s="174"/>
      <c r="BJ228" s="175">
        <f>SUMIF($BI$16:$BI$227,$BI$16,BJ16:BJ227)</f>
        <v>-63803.409999999982</v>
      </c>
      <c r="BK228" s="175">
        <f t="shared" ref="BK228:BL228" si="0">SUMIF($BI$16:$BI$227,$BI$16,BK16:BK227)</f>
        <v>-45282.159999999996</v>
      </c>
      <c r="BL228" s="175">
        <f t="shared" si="0"/>
        <v>-51092.350000000006</v>
      </c>
    </row>
    <row r="229" spans="2:64" x14ac:dyDescent="0.2">
      <c r="B229" s="59">
        <v>98237</v>
      </c>
      <c r="C229" s="38" t="s">
        <v>10</v>
      </c>
      <c r="D229" s="48">
        <v>413</v>
      </c>
      <c r="E229" s="48">
        <v>490</v>
      </c>
      <c r="F229" s="48">
        <v>466</v>
      </c>
      <c r="H229" s="76">
        <v>98237</v>
      </c>
      <c r="I229" s="76" t="s">
        <v>352</v>
      </c>
      <c r="J229" s="79">
        <v>5236.54</v>
      </c>
      <c r="K229" s="79">
        <v>4820.62</v>
      </c>
      <c r="L229" s="79">
        <v>25967.199999999899</v>
      </c>
      <c r="M229" s="79">
        <v>40913.589999999997</v>
      </c>
      <c r="N229" s="79">
        <v>4411.2</v>
      </c>
      <c r="O229" s="79">
        <v>3751.25</v>
      </c>
      <c r="P229" s="79">
        <v>30195.78</v>
      </c>
      <c r="Q229" s="79">
        <v>65581.95</v>
      </c>
      <c r="R229" s="79">
        <v>8457.4</v>
      </c>
      <c r="S229" s="79">
        <v>3886.54</v>
      </c>
      <c r="T229" s="79">
        <v>23864.429999999898</v>
      </c>
      <c r="U229" s="79">
        <v>45882.28</v>
      </c>
      <c r="W229" s="76">
        <v>98922</v>
      </c>
      <c r="X229" s="15" t="s">
        <v>10</v>
      </c>
      <c r="Y229" s="79">
        <v>13657.57</v>
      </c>
      <c r="Z229" s="79">
        <v>15383.27</v>
      </c>
      <c r="AA229" s="79">
        <v>34074.31</v>
      </c>
      <c r="AB229" s="79">
        <v>83298.399999999994</v>
      </c>
      <c r="AC229" s="79">
        <v>13866.56</v>
      </c>
      <c r="AD229" s="79">
        <v>9506.86</v>
      </c>
      <c r="AE229" s="79">
        <v>42522.409999999902</v>
      </c>
      <c r="AF229" s="79">
        <v>78810.099999999904</v>
      </c>
      <c r="AG229" s="79">
        <v>10244.65</v>
      </c>
      <c r="AH229" s="79">
        <v>11416.9</v>
      </c>
      <c r="AI229" s="79">
        <v>35857.1</v>
      </c>
      <c r="AJ229" s="79">
        <v>73440.2</v>
      </c>
      <c r="AV229" s="76" t="s">
        <v>181</v>
      </c>
      <c r="AW229" s="76" t="s">
        <v>10</v>
      </c>
      <c r="AX229" s="33">
        <v>14</v>
      </c>
      <c r="AY229" s="33">
        <v>15</v>
      </c>
      <c r="AZ229" s="33">
        <v>11</v>
      </c>
      <c r="BB229" s="76" t="s">
        <v>181</v>
      </c>
      <c r="BC229" s="76" t="s">
        <v>10</v>
      </c>
      <c r="BD229" s="79">
        <v>4391.12</v>
      </c>
      <c r="BE229" s="79">
        <v>11516.73</v>
      </c>
      <c r="BF229" s="79">
        <v>4867.12</v>
      </c>
      <c r="BH229" s="41"/>
      <c r="BI229" s="41"/>
      <c r="BJ229" s="66"/>
      <c r="BK229" s="65"/>
      <c r="BL229" s="65"/>
    </row>
    <row r="230" spans="2:64" x14ac:dyDescent="0.2">
      <c r="B230" s="86">
        <v>98238</v>
      </c>
      <c r="C230" s="38" t="s">
        <v>352</v>
      </c>
      <c r="D230" s="48">
        <v>6</v>
      </c>
      <c r="E230" s="48">
        <v>2</v>
      </c>
      <c r="F230" s="48">
        <v>2</v>
      </c>
      <c r="H230" s="76">
        <v>98237</v>
      </c>
      <c r="I230" s="76" t="s">
        <v>10</v>
      </c>
      <c r="J230" s="79">
        <v>81346.02</v>
      </c>
      <c r="K230" s="79">
        <v>39632.61</v>
      </c>
      <c r="L230" s="79">
        <v>152626.87999999899</v>
      </c>
      <c r="M230" s="79">
        <v>345134.13</v>
      </c>
      <c r="N230" s="79">
        <v>56435.57</v>
      </c>
      <c r="O230" s="79">
        <v>69902.720000000001</v>
      </c>
      <c r="P230" s="79">
        <v>173940.32</v>
      </c>
      <c r="Q230" s="79">
        <v>399778.02999999898</v>
      </c>
      <c r="R230" s="79">
        <v>70151.399999999994</v>
      </c>
      <c r="S230" s="79">
        <v>43425.79</v>
      </c>
      <c r="T230" s="79">
        <v>209215.47</v>
      </c>
      <c r="U230" s="79">
        <v>385059.32999999903</v>
      </c>
      <c r="W230" s="76">
        <v>98925</v>
      </c>
      <c r="X230" s="15" t="s">
        <v>10</v>
      </c>
      <c r="Y230" s="79">
        <v>1365.54</v>
      </c>
      <c r="Z230" s="79">
        <v>396.1</v>
      </c>
      <c r="AA230" s="79">
        <v>290</v>
      </c>
      <c r="AB230" s="79">
        <v>4250.57</v>
      </c>
      <c r="AC230" s="79">
        <v>1437.6</v>
      </c>
      <c r="AD230" s="79">
        <v>1410.75</v>
      </c>
      <c r="AE230" s="79">
        <v>636.1</v>
      </c>
      <c r="AF230" s="79">
        <v>6363.65</v>
      </c>
      <c r="AG230" s="79">
        <v>1565.12</v>
      </c>
      <c r="AH230" s="79">
        <v>711.67</v>
      </c>
      <c r="AI230" s="79">
        <v>776.47</v>
      </c>
      <c r="AJ230" s="79">
        <v>4744.1000000000004</v>
      </c>
      <c r="AV230" s="76" t="s">
        <v>182</v>
      </c>
      <c r="AW230" s="76" t="s">
        <v>352</v>
      </c>
      <c r="AX230" s="33">
        <v>1</v>
      </c>
      <c r="AY230" s="33"/>
      <c r="AZ230" s="33"/>
      <c r="BB230" s="76" t="s">
        <v>182</v>
      </c>
      <c r="BC230" s="76" t="s">
        <v>352</v>
      </c>
      <c r="BD230" s="79">
        <v>56.41</v>
      </c>
      <c r="BE230" s="79"/>
      <c r="BF230" s="79"/>
      <c r="BH230" s="41"/>
      <c r="BI230" s="41"/>
      <c r="BJ230" s="65"/>
      <c r="BK230" s="66"/>
      <c r="BL230" s="66"/>
    </row>
    <row r="231" spans="2:64" x14ac:dyDescent="0.2">
      <c r="B231" s="59">
        <v>98238</v>
      </c>
      <c r="C231" s="38" t="s">
        <v>10</v>
      </c>
      <c r="D231" s="48">
        <v>3</v>
      </c>
      <c r="E231" s="48">
        <v>1</v>
      </c>
      <c r="F231" s="48">
        <v>5</v>
      </c>
      <c r="H231" s="76">
        <v>98238</v>
      </c>
      <c r="I231" s="76" t="s">
        <v>352</v>
      </c>
      <c r="J231" s="79">
        <v>338.26</v>
      </c>
      <c r="K231" s="79">
        <v>505.88</v>
      </c>
      <c r="L231" s="79">
        <v>447.67</v>
      </c>
      <c r="M231" s="79">
        <v>2160.75</v>
      </c>
      <c r="N231" s="79">
        <v>0.67</v>
      </c>
      <c r="O231" s="79"/>
      <c r="P231" s="79"/>
      <c r="Q231" s="79">
        <v>1159.6899999999901</v>
      </c>
      <c r="R231" s="79"/>
      <c r="S231" s="79"/>
      <c r="T231" s="79"/>
      <c r="U231" s="79">
        <v>209.26</v>
      </c>
      <c r="W231" s="76">
        <v>98926</v>
      </c>
      <c r="X231" s="15" t="s">
        <v>10</v>
      </c>
      <c r="Y231" s="79">
        <v>9049.16</v>
      </c>
      <c r="Z231" s="79">
        <v>4830.79</v>
      </c>
      <c r="AA231" s="79">
        <v>15350.74</v>
      </c>
      <c r="AB231" s="79">
        <v>40089.229999999901</v>
      </c>
      <c r="AC231" s="79">
        <v>10319.11</v>
      </c>
      <c r="AD231" s="79">
        <v>8459.01</v>
      </c>
      <c r="AE231" s="79">
        <v>18853.84</v>
      </c>
      <c r="AF231" s="79">
        <v>46444.56</v>
      </c>
      <c r="AG231" s="79">
        <v>6208.06</v>
      </c>
      <c r="AH231" s="79">
        <v>7002.03</v>
      </c>
      <c r="AI231" s="79">
        <v>20812.189999999999</v>
      </c>
      <c r="AJ231" s="79">
        <v>41562</v>
      </c>
      <c r="AV231" s="76" t="s">
        <v>182</v>
      </c>
      <c r="AW231" s="76" t="s">
        <v>10</v>
      </c>
      <c r="AX231" s="33">
        <v>4</v>
      </c>
      <c r="AY231" s="33">
        <v>8</v>
      </c>
      <c r="AZ231" s="33">
        <v>9</v>
      </c>
      <c r="BB231" s="76" t="s">
        <v>182</v>
      </c>
      <c r="BC231" s="76" t="s">
        <v>10</v>
      </c>
      <c r="BD231" s="79">
        <v>2264.86</v>
      </c>
      <c r="BE231" s="79">
        <v>8014.23</v>
      </c>
      <c r="BF231" s="79">
        <v>4655.93</v>
      </c>
      <c r="BH231" s="41"/>
      <c r="BI231" s="41"/>
      <c r="BJ231" s="66"/>
      <c r="BK231" s="66"/>
      <c r="BL231" s="66"/>
    </row>
    <row r="232" spans="2:64" x14ac:dyDescent="0.2">
      <c r="B232" s="86">
        <v>98239</v>
      </c>
      <c r="C232" s="38" t="s">
        <v>352</v>
      </c>
      <c r="D232" s="48">
        <v>69</v>
      </c>
      <c r="E232" s="48">
        <v>46</v>
      </c>
      <c r="F232" s="48">
        <v>47</v>
      </c>
      <c r="H232" s="76">
        <v>98238</v>
      </c>
      <c r="I232" s="76" t="s">
        <v>10</v>
      </c>
      <c r="J232" s="79"/>
      <c r="K232" s="79"/>
      <c r="L232" s="79"/>
      <c r="M232" s="79">
        <v>742.25</v>
      </c>
      <c r="N232" s="79">
        <v>123.21</v>
      </c>
      <c r="O232" s="79"/>
      <c r="P232" s="79"/>
      <c r="Q232" s="79">
        <v>123.21</v>
      </c>
      <c r="R232" s="79"/>
      <c r="S232" s="79">
        <v>123.21</v>
      </c>
      <c r="T232" s="79"/>
      <c r="U232" s="79">
        <v>806.08</v>
      </c>
      <c r="W232" s="76">
        <v>98934</v>
      </c>
      <c r="X232" s="15" t="s">
        <v>10</v>
      </c>
      <c r="Y232" s="79">
        <v>4764.3</v>
      </c>
      <c r="Z232" s="79">
        <v>4546.67</v>
      </c>
      <c r="AA232" s="79">
        <v>3242.49</v>
      </c>
      <c r="AB232" s="79">
        <v>16302.38</v>
      </c>
      <c r="AC232" s="79">
        <v>2390.16</v>
      </c>
      <c r="AD232" s="79">
        <v>2717.25</v>
      </c>
      <c r="AE232" s="79">
        <v>4342.24</v>
      </c>
      <c r="AF232" s="79">
        <v>13073.0899999999</v>
      </c>
      <c r="AG232" s="79">
        <v>2354.19</v>
      </c>
      <c r="AH232" s="79">
        <v>1784.89</v>
      </c>
      <c r="AI232" s="79">
        <v>4967.5999999999904</v>
      </c>
      <c r="AJ232" s="79">
        <v>11307.22</v>
      </c>
      <c r="AV232" s="76" t="s">
        <v>183</v>
      </c>
      <c r="AW232" s="76" t="s">
        <v>10</v>
      </c>
      <c r="AX232" s="33"/>
      <c r="AY232" s="33">
        <v>1</v>
      </c>
      <c r="AZ232" s="33">
        <v>3</v>
      </c>
      <c r="BB232" s="76" t="s">
        <v>183</v>
      </c>
      <c r="BC232" s="76" t="s">
        <v>10</v>
      </c>
      <c r="BD232" s="79"/>
      <c r="BE232" s="79">
        <v>24.15</v>
      </c>
      <c r="BF232" s="79">
        <v>1135.99</v>
      </c>
      <c r="BH232" s="40"/>
      <c r="BI232" s="41"/>
      <c r="BJ232" s="65"/>
      <c r="BK232" s="65"/>
      <c r="BL232" s="65"/>
    </row>
    <row r="233" spans="2:64" x14ac:dyDescent="0.2">
      <c r="B233" s="59">
        <v>98239</v>
      </c>
      <c r="C233" s="38" t="s">
        <v>10</v>
      </c>
      <c r="D233" s="48">
        <v>437</v>
      </c>
      <c r="E233" s="48">
        <v>334</v>
      </c>
      <c r="F233" s="48">
        <v>331</v>
      </c>
      <c r="H233" s="76">
        <v>98239</v>
      </c>
      <c r="I233" s="76" t="s">
        <v>352</v>
      </c>
      <c r="J233" s="79">
        <v>4871.82</v>
      </c>
      <c r="K233" s="79">
        <v>3864.87</v>
      </c>
      <c r="L233" s="79">
        <v>12699.359999999901</v>
      </c>
      <c r="M233" s="79">
        <v>35740.22</v>
      </c>
      <c r="N233" s="79">
        <v>3252.2</v>
      </c>
      <c r="O233" s="79">
        <v>6340.69</v>
      </c>
      <c r="P233" s="79">
        <v>16199.61</v>
      </c>
      <c r="Q233" s="79">
        <v>33363.629999999997</v>
      </c>
      <c r="R233" s="79">
        <v>4317.3</v>
      </c>
      <c r="S233" s="79">
        <v>886.54</v>
      </c>
      <c r="T233" s="79">
        <v>17629.150000000001</v>
      </c>
      <c r="U233" s="79">
        <v>33852.51</v>
      </c>
      <c r="W233" s="76">
        <v>98940</v>
      </c>
      <c r="X233" s="15" t="s">
        <v>10</v>
      </c>
      <c r="Y233" s="79">
        <v>3752.05</v>
      </c>
      <c r="Z233" s="79">
        <v>1013.43</v>
      </c>
      <c r="AA233" s="79">
        <v>1057.24</v>
      </c>
      <c r="AB233" s="79">
        <v>7772.83</v>
      </c>
      <c r="AC233" s="79">
        <v>1457.84</v>
      </c>
      <c r="AD233" s="79">
        <v>1957.46</v>
      </c>
      <c r="AE233" s="79">
        <v>2620.16</v>
      </c>
      <c r="AF233" s="79">
        <v>6121.91</v>
      </c>
      <c r="AG233" s="79"/>
      <c r="AH233" s="79">
        <v>1086.3800000000001</v>
      </c>
      <c r="AI233" s="79">
        <v>3438.91</v>
      </c>
      <c r="AJ233" s="79">
        <v>6281.72</v>
      </c>
      <c r="AV233" s="76" t="s">
        <v>322</v>
      </c>
      <c r="AW233" s="76" t="s">
        <v>352</v>
      </c>
      <c r="AX233" s="33">
        <v>1</v>
      </c>
      <c r="AY233" s="33">
        <v>1</v>
      </c>
      <c r="AZ233" s="33">
        <v>1</v>
      </c>
      <c r="BB233" s="76" t="s">
        <v>322</v>
      </c>
      <c r="BC233" s="76" t="s">
        <v>352</v>
      </c>
      <c r="BD233" s="79">
        <v>517.38</v>
      </c>
      <c r="BE233" s="79">
        <v>108.32</v>
      </c>
      <c r="BF233" s="79">
        <v>1059.42</v>
      </c>
      <c r="BH233" s="43"/>
      <c r="BI233" s="41"/>
      <c r="BJ233" s="66"/>
      <c r="BK233" s="66"/>
      <c r="BL233" s="66"/>
    </row>
    <row r="234" spans="2:64" x14ac:dyDescent="0.2">
      <c r="B234" s="86">
        <v>98240</v>
      </c>
      <c r="C234" s="38" t="s">
        <v>352</v>
      </c>
      <c r="D234" s="48">
        <v>38</v>
      </c>
      <c r="E234" s="48">
        <v>23</v>
      </c>
      <c r="F234" s="48">
        <v>33</v>
      </c>
      <c r="H234" s="76">
        <v>98239</v>
      </c>
      <c r="I234" s="76" t="s">
        <v>10</v>
      </c>
      <c r="J234" s="79">
        <v>45050.73</v>
      </c>
      <c r="K234" s="79">
        <v>26376.3</v>
      </c>
      <c r="L234" s="79">
        <v>69204.399999999994</v>
      </c>
      <c r="M234" s="79">
        <v>211564.23</v>
      </c>
      <c r="N234" s="79">
        <v>24694.39</v>
      </c>
      <c r="O234" s="79">
        <v>40708.15</v>
      </c>
      <c r="P234" s="79">
        <v>88596.53</v>
      </c>
      <c r="Q234" s="79">
        <v>193302.24</v>
      </c>
      <c r="R234" s="79">
        <v>24857.8</v>
      </c>
      <c r="S234" s="79">
        <v>18699.75</v>
      </c>
      <c r="T234" s="79">
        <v>112685.56</v>
      </c>
      <c r="U234" s="79">
        <v>194862.55</v>
      </c>
      <c r="W234" s="76">
        <v>98941</v>
      </c>
      <c r="X234" s="15" t="s">
        <v>10</v>
      </c>
      <c r="Y234" s="79">
        <v>5455</v>
      </c>
      <c r="Z234" s="79">
        <v>2249.23</v>
      </c>
      <c r="AA234" s="79">
        <v>3648.87</v>
      </c>
      <c r="AB234" s="79">
        <v>14634.93</v>
      </c>
      <c r="AC234" s="79">
        <v>2026.34</v>
      </c>
      <c r="AD234" s="79">
        <v>2441.98</v>
      </c>
      <c r="AE234" s="79">
        <v>7297.09</v>
      </c>
      <c r="AF234" s="79">
        <v>11921.539999999901</v>
      </c>
      <c r="AG234" s="79">
        <v>113.79</v>
      </c>
      <c r="AH234" s="79">
        <v>1779.93</v>
      </c>
      <c r="AI234" s="79">
        <v>8321.2199999999993</v>
      </c>
      <c r="AJ234" s="79">
        <v>12452.59</v>
      </c>
      <c r="AV234" s="76" t="s">
        <v>322</v>
      </c>
      <c r="AW234" s="76" t="s">
        <v>10</v>
      </c>
      <c r="AX234" s="33">
        <v>12</v>
      </c>
      <c r="AY234" s="33">
        <v>12</v>
      </c>
      <c r="AZ234" s="33">
        <v>19</v>
      </c>
      <c r="BB234" s="76" t="s">
        <v>322</v>
      </c>
      <c r="BC234" s="76" t="s">
        <v>10</v>
      </c>
      <c r="BD234" s="79">
        <v>4664.3500000000004</v>
      </c>
      <c r="BE234" s="79">
        <v>2935.92</v>
      </c>
      <c r="BF234" s="79">
        <v>4593.45</v>
      </c>
      <c r="BH234" s="41"/>
      <c r="BI234" s="41"/>
      <c r="BJ234" s="66"/>
      <c r="BK234" s="66"/>
      <c r="BL234" s="66"/>
    </row>
    <row r="235" spans="2:64" x14ac:dyDescent="0.2">
      <c r="B235" s="59">
        <v>98240</v>
      </c>
      <c r="C235" s="38" t="s">
        <v>10</v>
      </c>
      <c r="D235" s="48">
        <v>222</v>
      </c>
      <c r="E235" s="48">
        <v>238</v>
      </c>
      <c r="F235" s="48">
        <v>239</v>
      </c>
      <c r="H235" s="76">
        <v>98240</v>
      </c>
      <c r="I235" s="76" t="s">
        <v>352</v>
      </c>
      <c r="J235" s="79">
        <v>997.92</v>
      </c>
      <c r="K235" s="79">
        <v>715.82</v>
      </c>
      <c r="L235" s="79">
        <v>7814.69</v>
      </c>
      <c r="M235" s="79">
        <v>25179.67</v>
      </c>
      <c r="N235" s="79">
        <v>1833.48</v>
      </c>
      <c r="O235" s="79">
        <v>978.98</v>
      </c>
      <c r="P235" s="79">
        <v>7682.59</v>
      </c>
      <c r="Q235" s="79">
        <v>11965.21</v>
      </c>
      <c r="R235" s="79">
        <v>1023.14</v>
      </c>
      <c r="S235" s="79">
        <v>1421.16</v>
      </c>
      <c r="T235" s="79">
        <v>8337.67</v>
      </c>
      <c r="U235" s="79">
        <v>28783.74</v>
      </c>
      <c r="W235" s="76">
        <v>98943</v>
      </c>
      <c r="X235" s="15" t="s">
        <v>10</v>
      </c>
      <c r="Y235" s="79">
        <v>1779.6</v>
      </c>
      <c r="Z235" s="79">
        <v>1277.51</v>
      </c>
      <c r="AA235" s="79">
        <v>3962.91</v>
      </c>
      <c r="AB235" s="79">
        <v>9267.5799999999908</v>
      </c>
      <c r="AC235" s="79">
        <v>2217.56</v>
      </c>
      <c r="AD235" s="79">
        <v>1629.6</v>
      </c>
      <c r="AE235" s="79">
        <v>4755.8100000000004</v>
      </c>
      <c r="AF235" s="79">
        <v>12090.5799999999</v>
      </c>
      <c r="AG235" s="79">
        <v>2499.69</v>
      </c>
      <c r="AH235" s="79">
        <v>1957.97</v>
      </c>
      <c r="AI235" s="79">
        <v>4468.8899999999903</v>
      </c>
      <c r="AJ235" s="79">
        <v>10926.98</v>
      </c>
      <c r="AV235" s="76" t="s">
        <v>323</v>
      </c>
      <c r="AW235" s="76" t="s">
        <v>10</v>
      </c>
      <c r="AX235" s="33">
        <v>6</v>
      </c>
      <c r="AY235" s="33">
        <v>6</v>
      </c>
      <c r="AZ235" s="33">
        <v>2</v>
      </c>
      <c r="BB235" s="76" t="s">
        <v>323</v>
      </c>
      <c r="BC235" s="76" t="s">
        <v>10</v>
      </c>
      <c r="BD235" s="79">
        <v>2435.33</v>
      </c>
      <c r="BE235" s="79">
        <v>939.33</v>
      </c>
      <c r="BF235" s="79">
        <v>918.31</v>
      </c>
      <c r="BH235" s="41"/>
      <c r="BI235" s="41"/>
      <c r="BJ235" s="66"/>
      <c r="BK235" s="66"/>
      <c r="BL235" s="66"/>
    </row>
    <row r="236" spans="2:64" x14ac:dyDescent="0.2">
      <c r="B236" s="86">
        <v>98244</v>
      </c>
      <c r="C236" s="38" t="s">
        <v>352</v>
      </c>
      <c r="D236" s="48">
        <v>37</v>
      </c>
      <c r="E236" s="48">
        <v>35</v>
      </c>
      <c r="F236" s="48">
        <v>36</v>
      </c>
      <c r="H236" s="76">
        <v>98240</v>
      </c>
      <c r="I236" s="76" t="s">
        <v>10</v>
      </c>
      <c r="J236" s="79">
        <v>19864.62</v>
      </c>
      <c r="K236" s="79">
        <v>14874.04</v>
      </c>
      <c r="L236" s="79">
        <v>50030.06</v>
      </c>
      <c r="M236" s="79">
        <v>120479.349999999</v>
      </c>
      <c r="N236" s="79">
        <v>15016.74</v>
      </c>
      <c r="O236" s="79">
        <v>12776.73</v>
      </c>
      <c r="P236" s="79">
        <v>54268.4</v>
      </c>
      <c r="Q236" s="79">
        <v>113971.39</v>
      </c>
      <c r="R236" s="79">
        <v>16412.419999999998</v>
      </c>
      <c r="S236" s="79">
        <v>11522.53</v>
      </c>
      <c r="T236" s="79">
        <v>57635.47</v>
      </c>
      <c r="U236" s="79">
        <v>114635.05999999899</v>
      </c>
      <c r="W236" s="76">
        <v>98946</v>
      </c>
      <c r="X236" s="15" t="s">
        <v>10</v>
      </c>
      <c r="Y236" s="79"/>
      <c r="Z236" s="79"/>
      <c r="AA236" s="79"/>
      <c r="AB236" s="79">
        <v>938.55</v>
      </c>
      <c r="AC236" s="79">
        <v>413.26</v>
      </c>
      <c r="AD236" s="79"/>
      <c r="AE236" s="79"/>
      <c r="AF236" s="79">
        <v>1310.03</v>
      </c>
      <c r="AG236" s="79">
        <v>683.91</v>
      </c>
      <c r="AH236" s="79">
        <v>413.26</v>
      </c>
      <c r="AI236" s="79"/>
      <c r="AJ236" s="79">
        <v>1767.33</v>
      </c>
      <c r="AV236" s="76" t="s">
        <v>184</v>
      </c>
      <c r="AW236" s="76" t="s">
        <v>352</v>
      </c>
      <c r="AX236" s="33"/>
      <c r="AY236" s="33">
        <v>1</v>
      </c>
      <c r="AZ236" s="33">
        <v>2</v>
      </c>
      <c r="BB236" s="76" t="s">
        <v>184</v>
      </c>
      <c r="BC236" s="76" t="s">
        <v>352</v>
      </c>
      <c r="BD236" s="79"/>
      <c r="BE236" s="79">
        <v>915.97</v>
      </c>
      <c r="BF236" s="79"/>
      <c r="BH236" s="41"/>
      <c r="BI236" s="41"/>
      <c r="BJ236" s="66"/>
      <c r="BK236" s="66"/>
      <c r="BL236" s="65"/>
    </row>
    <row r="237" spans="2:64" ht="16" thickBot="1" x14ac:dyDescent="0.25">
      <c r="B237" s="59">
        <v>98244</v>
      </c>
      <c r="C237" s="38" t="s">
        <v>10</v>
      </c>
      <c r="D237" s="48">
        <v>258</v>
      </c>
      <c r="E237" s="48">
        <v>290</v>
      </c>
      <c r="F237" s="48">
        <v>264</v>
      </c>
      <c r="H237" s="76">
        <v>98244</v>
      </c>
      <c r="I237" s="76" t="s">
        <v>352</v>
      </c>
      <c r="J237" s="79">
        <v>8865.66</v>
      </c>
      <c r="K237" s="79">
        <v>4539.1499999999996</v>
      </c>
      <c r="L237" s="79">
        <v>8272.41</v>
      </c>
      <c r="M237" s="79">
        <v>26133.979999999901</v>
      </c>
      <c r="N237" s="79">
        <v>1367.29</v>
      </c>
      <c r="O237" s="79">
        <v>7369.94</v>
      </c>
      <c r="P237" s="79">
        <v>10856.35</v>
      </c>
      <c r="Q237" s="79">
        <v>26963.639999999901</v>
      </c>
      <c r="R237" s="79">
        <v>5624.9</v>
      </c>
      <c r="S237" s="79">
        <v>935.08</v>
      </c>
      <c r="T237" s="79">
        <v>15216.89</v>
      </c>
      <c r="U237" s="79">
        <v>24699.199999999899</v>
      </c>
      <c r="W237" s="77"/>
      <c r="X237" s="17" t="s">
        <v>10</v>
      </c>
      <c r="Y237" s="80">
        <v>12.36</v>
      </c>
      <c r="Z237" s="80"/>
      <c r="AA237" s="80"/>
      <c r="AB237" s="80">
        <v>261.02999999999997</v>
      </c>
      <c r="AC237" s="80">
        <v>248.67</v>
      </c>
      <c r="AD237" s="80">
        <v>12.36</v>
      </c>
      <c r="AE237" s="80"/>
      <c r="AF237" s="80">
        <v>497.44</v>
      </c>
      <c r="AG237" s="80">
        <v>15.44</v>
      </c>
      <c r="AH237" s="80"/>
      <c r="AI237" s="80"/>
      <c r="AJ237" s="80">
        <v>212.16</v>
      </c>
      <c r="AV237" s="76" t="s">
        <v>184</v>
      </c>
      <c r="AW237" s="76" t="s">
        <v>10</v>
      </c>
      <c r="AX237" s="33">
        <v>7</v>
      </c>
      <c r="AY237" s="33">
        <v>5</v>
      </c>
      <c r="AZ237" s="33">
        <v>3</v>
      </c>
      <c r="BB237" s="76" t="s">
        <v>184</v>
      </c>
      <c r="BC237" s="76" t="s">
        <v>10</v>
      </c>
      <c r="BD237" s="79">
        <v>1862.63</v>
      </c>
      <c r="BE237" s="79">
        <v>1084.07</v>
      </c>
      <c r="BF237" s="79">
        <v>188.14</v>
      </c>
      <c r="BH237" s="41"/>
      <c r="BI237" s="41"/>
      <c r="BJ237" s="65"/>
      <c r="BK237" s="65"/>
      <c r="BL237" s="66"/>
    </row>
    <row r="238" spans="2:64" ht="16" thickBot="1" x14ac:dyDescent="0.25">
      <c r="B238" s="86">
        <v>98247</v>
      </c>
      <c r="C238" s="38" t="s">
        <v>352</v>
      </c>
      <c r="D238" s="48">
        <v>78</v>
      </c>
      <c r="E238" s="48">
        <v>82</v>
      </c>
      <c r="F238" s="48">
        <v>80</v>
      </c>
      <c r="H238" s="76">
        <v>98244</v>
      </c>
      <c r="I238" s="76" t="s">
        <v>10</v>
      </c>
      <c r="J238" s="79">
        <v>32035.74</v>
      </c>
      <c r="K238" s="79">
        <v>22378.59</v>
      </c>
      <c r="L238" s="79">
        <v>77206.37</v>
      </c>
      <c r="M238" s="79">
        <v>178075.44</v>
      </c>
      <c r="N238" s="79">
        <v>30067.41</v>
      </c>
      <c r="O238" s="79">
        <v>19304</v>
      </c>
      <c r="P238" s="79">
        <v>76753.509999999995</v>
      </c>
      <c r="Q238" s="79">
        <v>180019.27</v>
      </c>
      <c r="R238" s="79">
        <v>32320.720000000001</v>
      </c>
      <c r="S238" s="79">
        <v>19686.34</v>
      </c>
      <c r="T238" s="79">
        <v>81654.8</v>
      </c>
      <c r="U238" s="79">
        <v>166348.09</v>
      </c>
      <c r="W238" s="158"/>
      <c r="X238" s="159"/>
      <c r="Y238" s="169">
        <f>SUM(Y17:Y237)</f>
        <v>3494906.3499999987</v>
      </c>
      <c r="Z238" s="169">
        <f t="shared" ref="Z238:AJ238" si="1">SUM(Z17:Z237)</f>
        <v>2966654.3799999976</v>
      </c>
      <c r="AA238" s="169">
        <f t="shared" si="1"/>
        <v>5547383.4799999949</v>
      </c>
      <c r="AB238" s="169">
        <f t="shared" si="1"/>
        <v>16147707.259999985</v>
      </c>
      <c r="AC238" s="169">
        <f t="shared" si="1"/>
        <v>3110558.5700000008</v>
      </c>
      <c r="AD238" s="169">
        <f t="shared" si="1"/>
        <v>2781373.9199999995</v>
      </c>
      <c r="AE238" s="169">
        <f t="shared" si="1"/>
        <v>7079919.3999999873</v>
      </c>
      <c r="AF238" s="169">
        <f t="shared" si="1"/>
        <v>16200744.039999966</v>
      </c>
      <c r="AG238" s="169">
        <f t="shared" si="1"/>
        <v>2490674.370000001</v>
      </c>
      <c r="AH238" s="169">
        <f t="shared" si="1"/>
        <v>2503631.4899999998</v>
      </c>
      <c r="AI238" s="169">
        <f t="shared" si="1"/>
        <v>7758604.2799999919</v>
      </c>
      <c r="AJ238" s="169">
        <f t="shared" si="1"/>
        <v>15495846.829999987</v>
      </c>
      <c r="AV238" s="76" t="s">
        <v>185</v>
      </c>
      <c r="AW238" s="76" t="s">
        <v>352</v>
      </c>
      <c r="AX238" s="33">
        <v>1</v>
      </c>
      <c r="AY238" s="33">
        <v>3</v>
      </c>
      <c r="AZ238" s="33">
        <v>3</v>
      </c>
      <c r="BB238" s="76" t="s">
        <v>185</v>
      </c>
      <c r="BC238" s="76" t="s">
        <v>352</v>
      </c>
      <c r="BD238" s="79">
        <v>201.99</v>
      </c>
      <c r="BE238" s="79">
        <v>6160.72</v>
      </c>
      <c r="BF238" s="79">
        <v>1191.44</v>
      </c>
      <c r="BH238" s="41"/>
      <c r="BI238" s="41"/>
      <c r="BJ238" s="66"/>
      <c r="BK238" s="65"/>
      <c r="BL238" s="65"/>
    </row>
    <row r="239" spans="2:64" x14ac:dyDescent="0.2">
      <c r="B239" s="59">
        <v>98247</v>
      </c>
      <c r="C239" s="38" t="s">
        <v>10</v>
      </c>
      <c r="D239" s="48">
        <v>567</v>
      </c>
      <c r="E239" s="48">
        <v>543</v>
      </c>
      <c r="F239" s="48">
        <v>512</v>
      </c>
      <c r="H239" s="76">
        <v>98247</v>
      </c>
      <c r="I239" s="76" t="s">
        <v>352</v>
      </c>
      <c r="J239" s="79">
        <v>4075.22</v>
      </c>
      <c r="K239" s="79">
        <v>1737.18</v>
      </c>
      <c r="L239" s="79">
        <v>22697.429999999898</v>
      </c>
      <c r="M239" s="79">
        <v>62584.49</v>
      </c>
      <c r="N239" s="79">
        <v>16824.14</v>
      </c>
      <c r="O239" s="79">
        <v>1963.14</v>
      </c>
      <c r="P239" s="79">
        <v>21538.18</v>
      </c>
      <c r="Q239" s="79">
        <v>76543.039999999994</v>
      </c>
      <c r="R239" s="79">
        <v>2742.31</v>
      </c>
      <c r="S239" s="79">
        <v>14303.84</v>
      </c>
      <c r="T239" s="79">
        <v>21134.94</v>
      </c>
      <c r="U239" s="79">
        <v>75032.61</v>
      </c>
      <c r="AV239" s="76" t="s">
        <v>185</v>
      </c>
      <c r="AW239" s="76" t="s">
        <v>10</v>
      </c>
      <c r="AX239" s="33">
        <v>25</v>
      </c>
      <c r="AY239" s="33">
        <v>19</v>
      </c>
      <c r="AZ239" s="33">
        <v>13</v>
      </c>
      <c r="BB239" s="76" t="s">
        <v>185</v>
      </c>
      <c r="BC239" s="76" t="s">
        <v>10</v>
      </c>
      <c r="BD239" s="79">
        <v>6919.19</v>
      </c>
      <c r="BE239" s="79">
        <v>8888.91</v>
      </c>
      <c r="BF239" s="79">
        <v>1134.47</v>
      </c>
    </row>
    <row r="240" spans="2:64" x14ac:dyDescent="0.2">
      <c r="B240" s="86">
        <v>98248</v>
      </c>
      <c r="C240" s="38" t="s">
        <v>352</v>
      </c>
      <c r="D240" s="48">
        <v>391</v>
      </c>
      <c r="E240" s="48">
        <v>282</v>
      </c>
      <c r="F240" s="48">
        <v>268</v>
      </c>
      <c r="H240" s="76">
        <v>98247</v>
      </c>
      <c r="I240" s="76" t="s">
        <v>10</v>
      </c>
      <c r="J240" s="79">
        <v>58542.61</v>
      </c>
      <c r="K240" s="79">
        <v>39396.53</v>
      </c>
      <c r="L240" s="79">
        <v>132484.37</v>
      </c>
      <c r="M240" s="79">
        <v>309462.72999999899</v>
      </c>
      <c r="N240" s="79">
        <v>42945.55</v>
      </c>
      <c r="O240" s="79">
        <v>39688</v>
      </c>
      <c r="P240" s="79">
        <v>147556.889999999</v>
      </c>
      <c r="Q240" s="79">
        <v>297888.429999999</v>
      </c>
      <c r="R240" s="79">
        <v>41481.14</v>
      </c>
      <c r="S240" s="79">
        <v>30846.83</v>
      </c>
      <c r="T240" s="79">
        <v>163047.17000000001</v>
      </c>
      <c r="U240" s="79">
        <v>285256.57999999903</v>
      </c>
      <c r="AV240" s="76" t="s">
        <v>186</v>
      </c>
      <c r="AW240" s="76" t="s">
        <v>10</v>
      </c>
      <c r="AX240" s="33">
        <v>5</v>
      </c>
      <c r="AY240" s="33">
        <v>7</v>
      </c>
      <c r="AZ240" s="33">
        <v>11</v>
      </c>
      <c r="BB240" s="76" t="s">
        <v>186</v>
      </c>
      <c r="BC240" s="76" t="s">
        <v>10</v>
      </c>
      <c r="BD240" s="79">
        <v>1273.6400000000001</v>
      </c>
      <c r="BE240" s="79">
        <v>3060.22</v>
      </c>
      <c r="BF240" s="79">
        <v>2885.23</v>
      </c>
    </row>
    <row r="241" spans="2:58" x14ac:dyDescent="0.2">
      <c r="B241" s="59">
        <v>98248</v>
      </c>
      <c r="C241" s="38" t="s">
        <v>10</v>
      </c>
      <c r="D241" s="48">
        <v>2124</v>
      </c>
      <c r="E241" s="48">
        <v>1911</v>
      </c>
      <c r="F241" s="48">
        <v>1878</v>
      </c>
      <c r="H241" s="76">
        <v>98248</v>
      </c>
      <c r="I241" s="76" t="s">
        <v>352</v>
      </c>
      <c r="J241" s="79">
        <v>40323.65</v>
      </c>
      <c r="K241" s="79">
        <v>34636.29</v>
      </c>
      <c r="L241" s="79">
        <v>247754.05</v>
      </c>
      <c r="M241" s="79">
        <v>561628.48</v>
      </c>
      <c r="N241" s="79">
        <v>38405.620000000003</v>
      </c>
      <c r="O241" s="79">
        <v>22825.69</v>
      </c>
      <c r="P241" s="79">
        <v>281377</v>
      </c>
      <c r="Q241" s="79">
        <v>395317.83999999898</v>
      </c>
      <c r="R241" s="79">
        <v>17568.2</v>
      </c>
      <c r="S241" s="79">
        <v>22355.54</v>
      </c>
      <c r="T241" s="79">
        <v>286538.74</v>
      </c>
      <c r="U241" s="79">
        <v>451838.61999999901</v>
      </c>
      <c r="AV241" s="76" t="s">
        <v>324</v>
      </c>
      <c r="AW241" s="76" t="s">
        <v>352</v>
      </c>
      <c r="AX241" s="33"/>
      <c r="AY241" s="33">
        <v>1</v>
      </c>
      <c r="AZ241" s="33"/>
      <c r="BB241" s="76" t="s">
        <v>324</v>
      </c>
      <c r="BC241" s="76" t="s">
        <v>352</v>
      </c>
      <c r="BD241" s="79"/>
      <c r="BE241" s="79">
        <v>420.41</v>
      </c>
      <c r="BF241" s="79"/>
    </row>
    <row r="242" spans="2:58" x14ac:dyDescent="0.2">
      <c r="B242" s="86">
        <v>98249</v>
      </c>
      <c r="C242" s="38" t="s">
        <v>352</v>
      </c>
      <c r="D242" s="48">
        <v>45</v>
      </c>
      <c r="E242" s="48">
        <v>36</v>
      </c>
      <c r="F242" s="48">
        <v>43</v>
      </c>
      <c r="H242" s="76">
        <v>98248</v>
      </c>
      <c r="I242" s="76" t="s">
        <v>10</v>
      </c>
      <c r="J242" s="79">
        <v>177638.66</v>
      </c>
      <c r="K242" s="79">
        <v>151498.47</v>
      </c>
      <c r="L242" s="79">
        <v>469692.68</v>
      </c>
      <c r="M242" s="79">
        <v>1117808.8799999999</v>
      </c>
      <c r="N242" s="79">
        <v>191047.48</v>
      </c>
      <c r="O242" s="79">
        <v>112988.65</v>
      </c>
      <c r="P242" s="79">
        <v>587848.80000000005</v>
      </c>
      <c r="Q242" s="79">
        <v>1088245.6499999999</v>
      </c>
      <c r="R242" s="79">
        <v>103565.24</v>
      </c>
      <c r="S242" s="79">
        <v>150257.96</v>
      </c>
      <c r="T242" s="79">
        <v>611572.07999999996</v>
      </c>
      <c r="U242" s="79">
        <v>1061160.83</v>
      </c>
      <c r="AV242" s="76" t="s">
        <v>324</v>
      </c>
      <c r="AW242" s="76" t="s">
        <v>10</v>
      </c>
      <c r="AX242" s="33">
        <v>4</v>
      </c>
      <c r="AY242" s="33">
        <v>2</v>
      </c>
      <c r="AZ242" s="33">
        <v>3</v>
      </c>
      <c r="BB242" s="76" t="s">
        <v>324</v>
      </c>
      <c r="BC242" s="76" t="s">
        <v>10</v>
      </c>
      <c r="BD242" s="79">
        <v>5389.96</v>
      </c>
      <c r="BE242" s="79">
        <v>1309.8399999999999</v>
      </c>
      <c r="BF242" s="79">
        <v>1319.96</v>
      </c>
    </row>
    <row r="243" spans="2:58" x14ac:dyDescent="0.2">
      <c r="B243" s="59">
        <v>98249</v>
      </c>
      <c r="C243" s="38" t="s">
        <v>10</v>
      </c>
      <c r="D243" s="48">
        <v>239</v>
      </c>
      <c r="E243" s="48">
        <v>258</v>
      </c>
      <c r="F243" s="48">
        <v>237</v>
      </c>
      <c r="H243" s="76">
        <v>98249</v>
      </c>
      <c r="I243" s="76" t="s">
        <v>352</v>
      </c>
      <c r="J243" s="79">
        <v>1691.2</v>
      </c>
      <c r="K243" s="79">
        <v>734.12</v>
      </c>
      <c r="L243" s="79">
        <v>6035.56</v>
      </c>
      <c r="M243" s="79">
        <v>34874.159999999902</v>
      </c>
      <c r="N243" s="79">
        <v>1551</v>
      </c>
      <c r="O243" s="79">
        <v>1211.83</v>
      </c>
      <c r="P243" s="79">
        <v>5817.11</v>
      </c>
      <c r="Q243" s="79">
        <v>12959.1699999999</v>
      </c>
      <c r="R243" s="79">
        <v>1742.62</v>
      </c>
      <c r="S243" s="79">
        <v>541.66999999999996</v>
      </c>
      <c r="T243" s="79">
        <v>5972.39</v>
      </c>
      <c r="U243" s="79">
        <v>24169.37</v>
      </c>
      <c r="AV243" s="76" t="s">
        <v>187</v>
      </c>
      <c r="AW243" s="76" t="s">
        <v>352</v>
      </c>
      <c r="AX243" s="33">
        <v>1</v>
      </c>
      <c r="AY243" s="33"/>
      <c r="AZ243" s="33"/>
      <c r="BB243" s="76" t="s">
        <v>187</v>
      </c>
      <c r="BC243" s="76" t="s">
        <v>352</v>
      </c>
      <c r="BD243" s="79">
        <v>80.95</v>
      </c>
      <c r="BE243" s="79"/>
      <c r="BF243" s="79"/>
    </row>
    <row r="244" spans="2:58" x14ac:dyDescent="0.2">
      <c r="B244" s="86">
        <v>98251</v>
      </c>
      <c r="C244" s="38" t="s">
        <v>352</v>
      </c>
      <c r="D244" s="48">
        <v>8</v>
      </c>
      <c r="E244" s="48">
        <v>3</v>
      </c>
      <c r="F244" s="48">
        <v>3</v>
      </c>
      <c r="H244" s="76">
        <v>98249</v>
      </c>
      <c r="I244" s="76" t="s">
        <v>10</v>
      </c>
      <c r="J244" s="79">
        <v>20060.18</v>
      </c>
      <c r="K244" s="79">
        <v>19812.75</v>
      </c>
      <c r="L244" s="79">
        <v>38376.35</v>
      </c>
      <c r="M244" s="79">
        <v>119304.72</v>
      </c>
      <c r="N244" s="79">
        <v>24431.25</v>
      </c>
      <c r="O244" s="79">
        <v>15013.55</v>
      </c>
      <c r="P244" s="79">
        <v>47966.25</v>
      </c>
      <c r="Q244" s="79">
        <v>122825.26</v>
      </c>
      <c r="R244" s="79">
        <v>20051.61</v>
      </c>
      <c r="S244" s="79">
        <v>18315.09</v>
      </c>
      <c r="T244" s="79">
        <v>55791.62</v>
      </c>
      <c r="U244" s="79">
        <v>119085.829999999</v>
      </c>
      <c r="AV244" s="76" t="s">
        <v>187</v>
      </c>
      <c r="AW244" s="76" t="s">
        <v>10</v>
      </c>
      <c r="AX244" s="33"/>
      <c r="AY244" s="33">
        <v>1</v>
      </c>
      <c r="AZ244" s="33">
        <v>1</v>
      </c>
      <c r="BB244" s="76" t="s">
        <v>187</v>
      </c>
      <c r="BC244" s="76" t="s">
        <v>10</v>
      </c>
      <c r="BD244" s="79"/>
      <c r="BE244" s="79">
        <v>357.75</v>
      </c>
      <c r="BF244" s="79">
        <v>12.77</v>
      </c>
    </row>
    <row r="245" spans="2:58" x14ac:dyDescent="0.2">
      <c r="B245" s="59">
        <v>98251</v>
      </c>
      <c r="C245" s="38" t="s">
        <v>10</v>
      </c>
      <c r="D245" s="48">
        <v>132</v>
      </c>
      <c r="E245" s="48">
        <v>54</v>
      </c>
      <c r="F245" s="48">
        <v>59</v>
      </c>
      <c r="H245" s="76">
        <v>98251</v>
      </c>
      <c r="I245" s="76" t="s">
        <v>352</v>
      </c>
      <c r="J245" s="79">
        <v>431.57</v>
      </c>
      <c r="K245" s="79">
        <v>106.64</v>
      </c>
      <c r="L245" s="79"/>
      <c r="M245" s="79">
        <v>4928.55</v>
      </c>
      <c r="N245" s="79">
        <v>211.76</v>
      </c>
      <c r="O245" s="79">
        <v>213.92</v>
      </c>
      <c r="P245" s="79">
        <v>324.29000000000002</v>
      </c>
      <c r="Q245" s="79">
        <v>749.97</v>
      </c>
      <c r="R245" s="79"/>
      <c r="S245" s="79">
        <v>209.33</v>
      </c>
      <c r="T245" s="79">
        <v>538.21</v>
      </c>
      <c r="U245" s="79">
        <v>1134.27</v>
      </c>
      <c r="AV245" s="76" t="s">
        <v>188</v>
      </c>
      <c r="AW245" s="76" t="s">
        <v>352</v>
      </c>
      <c r="AX245" s="33">
        <v>4</v>
      </c>
      <c r="AY245" s="33">
        <v>2</v>
      </c>
      <c r="AZ245" s="33">
        <v>4</v>
      </c>
      <c r="BB245" s="76" t="s">
        <v>188</v>
      </c>
      <c r="BC245" s="76" t="s">
        <v>352</v>
      </c>
      <c r="BD245" s="79">
        <v>591.19000000000005</v>
      </c>
      <c r="BE245" s="79">
        <v>3632.67</v>
      </c>
      <c r="BF245" s="79">
        <v>428.89</v>
      </c>
    </row>
    <row r="246" spans="2:58" x14ac:dyDescent="0.2">
      <c r="B246" s="86">
        <v>98252</v>
      </c>
      <c r="C246" s="38" t="s">
        <v>352</v>
      </c>
      <c r="D246" s="48">
        <v>13</v>
      </c>
      <c r="E246" s="74">
        <v>11</v>
      </c>
      <c r="F246" s="48">
        <v>18</v>
      </c>
      <c r="H246" s="76">
        <v>98251</v>
      </c>
      <c r="I246" s="76" t="s">
        <v>10</v>
      </c>
      <c r="J246" s="79">
        <v>9750.9500000000007</v>
      </c>
      <c r="K246" s="79">
        <v>3344.45</v>
      </c>
      <c r="L246" s="79">
        <v>4913.32</v>
      </c>
      <c r="M246" s="79">
        <v>28773.14</v>
      </c>
      <c r="N246" s="79">
        <v>4056.9</v>
      </c>
      <c r="O246" s="79">
        <v>4227.1400000000003</v>
      </c>
      <c r="P246" s="79">
        <v>8153.3199999999897</v>
      </c>
      <c r="Q246" s="79">
        <v>16654.7399999999</v>
      </c>
      <c r="R246" s="79">
        <v>217.38</v>
      </c>
      <c r="S246" s="79">
        <v>3060.32</v>
      </c>
      <c r="T246" s="79">
        <v>10086.370000000001</v>
      </c>
      <c r="U246" s="79">
        <v>17723.5</v>
      </c>
      <c r="AV246" s="76" t="s">
        <v>188</v>
      </c>
      <c r="AW246" s="76" t="s">
        <v>10</v>
      </c>
      <c r="AX246" s="33">
        <v>46</v>
      </c>
      <c r="AY246" s="33">
        <v>40</v>
      </c>
      <c r="AZ246" s="33">
        <v>42</v>
      </c>
      <c r="BB246" s="76" t="s">
        <v>188</v>
      </c>
      <c r="BC246" s="76" t="s">
        <v>10</v>
      </c>
      <c r="BD246" s="79">
        <v>18246.61</v>
      </c>
      <c r="BE246" s="79">
        <v>27018.32</v>
      </c>
      <c r="BF246" s="79">
        <v>14776.08</v>
      </c>
    </row>
    <row r="247" spans="2:58" x14ac:dyDescent="0.2">
      <c r="B247" s="59">
        <v>98252</v>
      </c>
      <c r="C247" s="38" t="s">
        <v>10</v>
      </c>
      <c r="D247" s="48">
        <v>260</v>
      </c>
      <c r="E247" s="48">
        <v>262</v>
      </c>
      <c r="F247" s="48">
        <v>269</v>
      </c>
      <c r="H247" s="76">
        <v>98252</v>
      </c>
      <c r="I247" s="76" t="s">
        <v>352</v>
      </c>
      <c r="J247" s="79">
        <v>1610.79</v>
      </c>
      <c r="K247" s="79">
        <v>1380.77</v>
      </c>
      <c r="L247" s="79">
        <v>2216.46</v>
      </c>
      <c r="M247" s="79">
        <v>8961.2999999999993</v>
      </c>
      <c r="N247" s="79">
        <v>1097.07</v>
      </c>
      <c r="O247" s="79">
        <v>1120.27</v>
      </c>
      <c r="P247" s="79">
        <v>3009.76</v>
      </c>
      <c r="Q247" s="79">
        <v>9024.39</v>
      </c>
      <c r="R247" s="79">
        <v>1073.93</v>
      </c>
      <c r="S247" s="79">
        <v>725.58</v>
      </c>
      <c r="T247" s="79">
        <v>2592.06</v>
      </c>
      <c r="U247" s="79">
        <v>14615.86</v>
      </c>
      <c r="AV247" s="76" t="s">
        <v>190</v>
      </c>
      <c r="AW247" s="76" t="s">
        <v>10</v>
      </c>
      <c r="AX247" s="33">
        <v>3</v>
      </c>
      <c r="AY247" s="33">
        <v>3</v>
      </c>
      <c r="AZ247" s="33"/>
      <c r="BB247" s="76" t="s">
        <v>190</v>
      </c>
      <c r="BC247" s="76" t="s">
        <v>10</v>
      </c>
      <c r="BD247" s="79">
        <v>271.33999999999997</v>
      </c>
      <c r="BE247" s="79">
        <v>1713.57</v>
      </c>
      <c r="BF247" s="79"/>
    </row>
    <row r="248" spans="2:58" x14ac:dyDescent="0.2">
      <c r="B248" s="86">
        <v>98253</v>
      </c>
      <c r="C248" s="38" t="s">
        <v>352</v>
      </c>
      <c r="D248" s="48">
        <v>10</v>
      </c>
      <c r="E248" s="48">
        <v>14</v>
      </c>
      <c r="F248" s="48">
        <v>12</v>
      </c>
      <c r="H248" s="76">
        <v>98252</v>
      </c>
      <c r="I248" s="76" t="s">
        <v>10</v>
      </c>
      <c r="J248" s="79">
        <v>13014.47</v>
      </c>
      <c r="K248" s="79">
        <v>9133.64</v>
      </c>
      <c r="L248" s="79">
        <v>32314.49</v>
      </c>
      <c r="M248" s="79">
        <v>79113.239999999903</v>
      </c>
      <c r="N248" s="79">
        <v>12388.36</v>
      </c>
      <c r="O248" s="79">
        <v>9850.7099999999991</v>
      </c>
      <c r="P248" s="79">
        <v>37777.74</v>
      </c>
      <c r="Q248" s="79">
        <v>79264.409999999902</v>
      </c>
      <c r="R248" s="79">
        <v>10935.94</v>
      </c>
      <c r="S248" s="79">
        <v>9012.9699999999993</v>
      </c>
      <c r="T248" s="79">
        <v>40678.559999999998</v>
      </c>
      <c r="U248" s="79">
        <v>75837.979999999894</v>
      </c>
      <c r="AV248" s="76" t="s">
        <v>191</v>
      </c>
      <c r="AW248" s="76" t="s">
        <v>352</v>
      </c>
      <c r="AX248" s="33">
        <v>1</v>
      </c>
      <c r="AY248" s="33">
        <v>1</v>
      </c>
      <c r="AZ248" s="33"/>
      <c r="BB248" s="76" t="s">
        <v>191</v>
      </c>
      <c r="BC248" s="76" t="s">
        <v>352</v>
      </c>
      <c r="BD248" s="79">
        <v>770.33</v>
      </c>
      <c r="BE248" s="79">
        <v>815.16</v>
      </c>
      <c r="BF248" s="79"/>
    </row>
    <row r="249" spans="2:58" x14ac:dyDescent="0.2">
      <c r="B249" s="59">
        <v>98253</v>
      </c>
      <c r="C249" s="38" t="s">
        <v>10</v>
      </c>
      <c r="D249" s="48">
        <v>82</v>
      </c>
      <c r="E249" s="48">
        <v>84</v>
      </c>
      <c r="F249" s="48">
        <v>84</v>
      </c>
      <c r="H249" s="76">
        <v>98253</v>
      </c>
      <c r="I249" s="76" t="s">
        <v>352</v>
      </c>
      <c r="J249" s="79">
        <v>185.18</v>
      </c>
      <c r="K249" s="79">
        <v>164.8</v>
      </c>
      <c r="L249" s="79">
        <v>927.52</v>
      </c>
      <c r="M249" s="79">
        <v>3204.75</v>
      </c>
      <c r="N249" s="79">
        <v>587.54</v>
      </c>
      <c r="O249" s="79">
        <v>174.97</v>
      </c>
      <c r="P249" s="79">
        <v>1089.44</v>
      </c>
      <c r="Q249" s="79">
        <v>2451.6</v>
      </c>
      <c r="R249" s="79">
        <v>80.94</v>
      </c>
      <c r="S249" s="79">
        <v>187.34</v>
      </c>
      <c r="T249" s="79">
        <v>1241.4099999999901</v>
      </c>
      <c r="U249" s="79">
        <v>2243.98</v>
      </c>
      <c r="AV249" s="76" t="s">
        <v>191</v>
      </c>
      <c r="AW249" s="76" t="s">
        <v>10</v>
      </c>
      <c r="AX249" s="33">
        <v>1</v>
      </c>
      <c r="AY249" s="33"/>
      <c r="AZ249" s="33"/>
      <c r="BB249" s="76" t="s">
        <v>191</v>
      </c>
      <c r="BC249" s="76" t="s">
        <v>10</v>
      </c>
      <c r="BD249" s="79">
        <v>899</v>
      </c>
      <c r="BE249" s="79"/>
      <c r="BF249" s="79"/>
    </row>
    <row r="250" spans="2:58" x14ac:dyDescent="0.2">
      <c r="B250" s="86">
        <v>98255</v>
      </c>
      <c r="C250" s="38" t="s">
        <v>352</v>
      </c>
      <c r="D250" s="48">
        <v>7</v>
      </c>
      <c r="E250" s="48">
        <v>9</v>
      </c>
      <c r="F250" s="48">
        <v>7</v>
      </c>
      <c r="H250" s="76">
        <v>98253</v>
      </c>
      <c r="I250" s="76" t="s">
        <v>10</v>
      </c>
      <c r="J250" s="79">
        <v>4735.3599999999997</v>
      </c>
      <c r="K250" s="79">
        <v>7550.42</v>
      </c>
      <c r="L250" s="79">
        <v>9611.57</v>
      </c>
      <c r="M250" s="79">
        <v>38157.370000000003</v>
      </c>
      <c r="N250" s="79">
        <v>10393.27</v>
      </c>
      <c r="O250" s="79">
        <v>3460.86</v>
      </c>
      <c r="P250" s="79">
        <v>12003.57</v>
      </c>
      <c r="Q250" s="79">
        <v>36248.199999999903</v>
      </c>
      <c r="R250" s="79">
        <v>5397.83</v>
      </c>
      <c r="S250" s="79">
        <v>8687.93</v>
      </c>
      <c r="T250" s="79">
        <v>12306.43</v>
      </c>
      <c r="U250" s="79">
        <v>39174.67</v>
      </c>
      <c r="AV250" s="76" t="s">
        <v>192</v>
      </c>
      <c r="AW250" s="76" t="s">
        <v>352</v>
      </c>
      <c r="AX250" s="33">
        <v>3</v>
      </c>
      <c r="AY250" s="33"/>
      <c r="AZ250" s="33"/>
      <c r="BB250" s="76" t="s">
        <v>192</v>
      </c>
      <c r="BC250" s="76" t="s">
        <v>352</v>
      </c>
      <c r="BD250" s="79">
        <v>3717.06</v>
      </c>
      <c r="BE250" s="79"/>
      <c r="BF250" s="79"/>
    </row>
    <row r="251" spans="2:58" x14ac:dyDescent="0.2">
      <c r="B251" s="59">
        <v>98255</v>
      </c>
      <c r="C251" s="38" t="s">
        <v>10</v>
      </c>
      <c r="D251" s="48">
        <v>42</v>
      </c>
      <c r="E251" s="48">
        <v>54</v>
      </c>
      <c r="F251" s="48">
        <v>43</v>
      </c>
      <c r="H251" s="76">
        <v>98255</v>
      </c>
      <c r="I251" s="76" t="s">
        <v>352</v>
      </c>
      <c r="J251" s="79">
        <v>1790.22</v>
      </c>
      <c r="K251" s="79"/>
      <c r="L251" s="79">
        <v>913.2</v>
      </c>
      <c r="M251" s="79">
        <v>3603.6799999999898</v>
      </c>
      <c r="N251" s="79">
        <v>437.71</v>
      </c>
      <c r="O251" s="79">
        <v>1443.62</v>
      </c>
      <c r="P251" s="79">
        <v>913.2</v>
      </c>
      <c r="Q251" s="79">
        <v>4856.8999999999996</v>
      </c>
      <c r="R251" s="79">
        <v>1070.06</v>
      </c>
      <c r="S251" s="79"/>
      <c r="T251" s="79">
        <v>1493.23</v>
      </c>
      <c r="U251" s="79">
        <v>2757.95</v>
      </c>
      <c r="AV251" s="76" t="s">
        <v>192</v>
      </c>
      <c r="AW251" s="76" t="s">
        <v>10</v>
      </c>
      <c r="AX251" s="33">
        <v>24</v>
      </c>
      <c r="AY251" s="33">
        <v>22</v>
      </c>
      <c r="AZ251" s="33">
        <v>19</v>
      </c>
      <c r="BB251" s="76" t="s">
        <v>192</v>
      </c>
      <c r="BC251" s="76" t="s">
        <v>10</v>
      </c>
      <c r="BD251" s="79">
        <v>14228.54</v>
      </c>
      <c r="BE251" s="79">
        <v>6825.51</v>
      </c>
      <c r="BF251" s="79">
        <v>10980.67</v>
      </c>
    </row>
    <row r="252" spans="2:58" x14ac:dyDescent="0.2">
      <c r="B252" s="86">
        <v>98257</v>
      </c>
      <c r="C252" s="38" t="s">
        <v>352</v>
      </c>
      <c r="D252" s="48">
        <v>67</v>
      </c>
      <c r="E252" s="48">
        <v>98</v>
      </c>
      <c r="F252" s="48">
        <v>84</v>
      </c>
      <c r="H252" s="76">
        <v>98255</v>
      </c>
      <c r="I252" s="76" t="s">
        <v>10</v>
      </c>
      <c r="J252" s="79">
        <v>11376.24</v>
      </c>
      <c r="K252" s="79">
        <v>23.88</v>
      </c>
      <c r="L252" s="79">
        <v>9652.49</v>
      </c>
      <c r="M252" s="79">
        <v>22629.609999999899</v>
      </c>
      <c r="N252" s="79">
        <v>74.66</v>
      </c>
      <c r="O252" s="79">
        <v>9733.41</v>
      </c>
      <c r="P252" s="79">
        <v>8814.76</v>
      </c>
      <c r="Q252" s="79">
        <v>33025.089999999997</v>
      </c>
      <c r="R252" s="79">
        <v>11581.23</v>
      </c>
      <c r="S252" s="79">
        <v>23.88</v>
      </c>
      <c r="T252" s="79">
        <v>13495.14</v>
      </c>
      <c r="U252" s="79">
        <v>26359.319999999901</v>
      </c>
      <c r="AV252" s="76" t="s">
        <v>193</v>
      </c>
      <c r="AW252" s="76" t="s">
        <v>10</v>
      </c>
      <c r="AX252" s="33"/>
      <c r="AY252" s="33"/>
      <c r="AZ252" s="33">
        <v>1</v>
      </c>
      <c r="BB252" s="76" t="s">
        <v>193</v>
      </c>
      <c r="BC252" s="76" t="s">
        <v>10</v>
      </c>
      <c r="BD252" s="79"/>
      <c r="BE252" s="79"/>
      <c r="BF252" s="79">
        <v>187.64</v>
      </c>
    </row>
    <row r="253" spans="2:58" x14ac:dyDescent="0.2">
      <c r="B253" s="59">
        <v>98257</v>
      </c>
      <c r="C253" s="38" t="s">
        <v>10</v>
      </c>
      <c r="D253" s="48">
        <v>353</v>
      </c>
      <c r="E253" s="48">
        <v>372</v>
      </c>
      <c r="F253" s="48">
        <v>350</v>
      </c>
      <c r="H253" s="76">
        <v>98257</v>
      </c>
      <c r="I253" s="76" t="s">
        <v>352</v>
      </c>
      <c r="J253" s="79">
        <v>5012.6499999999996</v>
      </c>
      <c r="K253" s="79">
        <v>1165.3399999999999</v>
      </c>
      <c r="L253" s="79">
        <v>8711.94</v>
      </c>
      <c r="M253" s="79">
        <v>41210.35</v>
      </c>
      <c r="N253" s="79">
        <v>2109.62</v>
      </c>
      <c r="O253" s="79">
        <v>1710.73</v>
      </c>
      <c r="P253" s="79">
        <v>8665.1200000000008</v>
      </c>
      <c r="Q253" s="79">
        <v>47519.21</v>
      </c>
      <c r="R253" s="79">
        <v>9875.8700000000008</v>
      </c>
      <c r="S253" s="79">
        <v>1569.54</v>
      </c>
      <c r="T253" s="79">
        <v>5552.08</v>
      </c>
      <c r="U253" s="79">
        <v>42765.56</v>
      </c>
      <c r="AV253" s="76" t="s">
        <v>325</v>
      </c>
      <c r="AW253" s="76" t="s">
        <v>352</v>
      </c>
      <c r="AX253" s="33">
        <v>1</v>
      </c>
      <c r="AY253" s="33"/>
      <c r="AZ253" s="33"/>
      <c r="BB253" s="76" t="s">
        <v>325</v>
      </c>
      <c r="BC253" s="76" t="s">
        <v>352</v>
      </c>
      <c r="BD253" s="79">
        <v>5676.31</v>
      </c>
      <c r="BE253" s="79"/>
      <c r="BF253" s="79"/>
    </row>
    <row r="254" spans="2:58" x14ac:dyDescent="0.2">
      <c r="B254" s="86">
        <v>98258</v>
      </c>
      <c r="C254" s="38" t="s">
        <v>352</v>
      </c>
      <c r="D254" s="48">
        <v>42</v>
      </c>
      <c r="E254" s="48">
        <v>35</v>
      </c>
      <c r="F254" s="48">
        <v>27</v>
      </c>
      <c r="H254" s="76">
        <v>98257</v>
      </c>
      <c r="I254" s="76" t="s">
        <v>10</v>
      </c>
      <c r="J254" s="79">
        <v>31891.38</v>
      </c>
      <c r="K254" s="79">
        <v>21478.22</v>
      </c>
      <c r="L254" s="79">
        <v>66868.3</v>
      </c>
      <c r="M254" s="79">
        <v>171755.90999999901</v>
      </c>
      <c r="N254" s="79">
        <v>27843.56</v>
      </c>
      <c r="O254" s="79">
        <v>22744.69</v>
      </c>
      <c r="P254" s="79">
        <v>76724.84</v>
      </c>
      <c r="Q254" s="79">
        <v>179138.299999999</v>
      </c>
      <c r="R254" s="79">
        <v>29272.58</v>
      </c>
      <c r="S254" s="79">
        <v>21137.5</v>
      </c>
      <c r="T254" s="79">
        <v>79004.61</v>
      </c>
      <c r="U254" s="79">
        <v>163798.31999999899</v>
      </c>
      <c r="AV254" s="76" t="s">
        <v>325</v>
      </c>
      <c r="AW254" s="76" t="s">
        <v>10</v>
      </c>
      <c r="AX254" s="33">
        <v>3</v>
      </c>
      <c r="AY254" s="33">
        <v>2</v>
      </c>
      <c r="AZ254" s="33">
        <v>3</v>
      </c>
      <c r="BB254" s="76" t="s">
        <v>325</v>
      </c>
      <c r="BC254" s="76" t="s">
        <v>10</v>
      </c>
      <c r="BD254" s="79">
        <v>482.42</v>
      </c>
      <c r="BE254" s="79">
        <v>1152</v>
      </c>
      <c r="BF254" s="79">
        <v>498.82</v>
      </c>
    </row>
    <row r="255" spans="2:58" x14ac:dyDescent="0.2">
      <c r="B255" s="59">
        <v>98258</v>
      </c>
      <c r="C255" s="38" t="s">
        <v>10</v>
      </c>
      <c r="D255" s="48">
        <v>1813</v>
      </c>
      <c r="E255" s="48">
        <v>1817</v>
      </c>
      <c r="F255" s="48">
        <v>1847</v>
      </c>
      <c r="H255" s="76">
        <v>98258</v>
      </c>
      <c r="I255" s="76" t="s">
        <v>352</v>
      </c>
      <c r="J255" s="79">
        <v>713.71</v>
      </c>
      <c r="K255" s="79">
        <v>812.87</v>
      </c>
      <c r="L255" s="79">
        <v>4791.6899999999996</v>
      </c>
      <c r="M255" s="79">
        <v>40469.099999999897</v>
      </c>
      <c r="N255" s="79">
        <v>535.15</v>
      </c>
      <c r="O255" s="79">
        <v>319.98</v>
      </c>
      <c r="P255" s="79">
        <v>2950.39</v>
      </c>
      <c r="Q255" s="79">
        <v>12865.33</v>
      </c>
      <c r="R255" s="79">
        <v>617.54</v>
      </c>
      <c r="S255" s="79">
        <v>395.69</v>
      </c>
      <c r="T255" s="79">
        <v>3270.37</v>
      </c>
      <c r="U255" s="79">
        <v>8246.68</v>
      </c>
      <c r="AV255" s="76" t="s">
        <v>326</v>
      </c>
      <c r="AW255" s="76" t="s">
        <v>10</v>
      </c>
      <c r="AX255" s="33"/>
      <c r="AY255" s="33">
        <v>1</v>
      </c>
      <c r="AZ255" s="33">
        <v>2</v>
      </c>
      <c r="BB255" s="76" t="s">
        <v>326</v>
      </c>
      <c r="BC255" s="76" t="s">
        <v>10</v>
      </c>
      <c r="BD255" s="79"/>
      <c r="BE255" s="79">
        <v>306</v>
      </c>
      <c r="BF255" s="79">
        <v>215.06</v>
      </c>
    </row>
    <row r="256" spans="2:58" x14ac:dyDescent="0.2">
      <c r="B256" s="86">
        <v>98260</v>
      </c>
      <c r="C256" s="38" t="s">
        <v>352</v>
      </c>
      <c r="D256" s="48">
        <v>86</v>
      </c>
      <c r="E256" s="48">
        <v>75</v>
      </c>
      <c r="F256" s="48">
        <v>68</v>
      </c>
      <c r="H256" s="76">
        <v>98258</v>
      </c>
      <c r="I256" s="76" t="s">
        <v>10</v>
      </c>
      <c r="J256" s="79">
        <v>86097.52</v>
      </c>
      <c r="K256" s="79">
        <v>57837.42</v>
      </c>
      <c r="L256" s="79">
        <v>176426.109999999</v>
      </c>
      <c r="M256" s="79">
        <v>481480.43</v>
      </c>
      <c r="N256" s="79">
        <v>74663.44</v>
      </c>
      <c r="O256" s="79">
        <v>59186.07</v>
      </c>
      <c r="P256" s="79">
        <v>185337.09999999899</v>
      </c>
      <c r="Q256" s="79">
        <v>484252.05999999901</v>
      </c>
      <c r="R256" s="79">
        <v>74891.460000000006</v>
      </c>
      <c r="S256" s="79">
        <v>52876.78</v>
      </c>
      <c r="T256" s="79">
        <v>203082.96999999901</v>
      </c>
      <c r="U256" s="79">
        <v>441360.97</v>
      </c>
      <c r="AV256" s="76" t="s">
        <v>195</v>
      </c>
      <c r="AW256" s="76" t="s">
        <v>352</v>
      </c>
      <c r="AX256" s="33"/>
      <c r="AY256" s="33">
        <v>1</v>
      </c>
      <c r="AZ256" s="33">
        <v>1</v>
      </c>
      <c r="BB256" s="76" t="s">
        <v>195</v>
      </c>
      <c r="BC256" s="76" t="s">
        <v>352</v>
      </c>
      <c r="BD256" s="79"/>
      <c r="BE256" s="79">
        <v>201.73</v>
      </c>
      <c r="BF256" s="79"/>
    </row>
    <row r="257" spans="2:58" x14ac:dyDescent="0.2">
      <c r="B257" s="59">
        <v>98260</v>
      </c>
      <c r="C257" s="38" t="s">
        <v>10</v>
      </c>
      <c r="D257" s="48">
        <v>319</v>
      </c>
      <c r="E257" s="48">
        <v>325</v>
      </c>
      <c r="F257" s="48">
        <v>331</v>
      </c>
      <c r="H257" s="76">
        <v>98260</v>
      </c>
      <c r="I257" s="76" t="s">
        <v>352</v>
      </c>
      <c r="J257" s="79">
        <v>4973.5</v>
      </c>
      <c r="K257" s="79">
        <v>1112.8399999999999</v>
      </c>
      <c r="L257" s="79">
        <v>25269.759999999998</v>
      </c>
      <c r="M257" s="79">
        <v>100443.42</v>
      </c>
      <c r="N257" s="79">
        <v>1639.36</v>
      </c>
      <c r="O257" s="79">
        <v>4534.93</v>
      </c>
      <c r="P257" s="79">
        <v>25772.01</v>
      </c>
      <c r="Q257" s="79">
        <v>51882.27</v>
      </c>
      <c r="R257" s="79">
        <v>4611.6000000000004</v>
      </c>
      <c r="S257" s="79">
        <v>1095.99</v>
      </c>
      <c r="T257" s="79">
        <v>28815.53</v>
      </c>
      <c r="U257" s="79">
        <v>45756.03</v>
      </c>
      <c r="AV257" s="76" t="s">
        <v>327</v>
      </c>
      <c r="AW257" s="76" t="s">
        <v>10</v>
      </c>
      <c r="AX257" s="33">
        <v>2</v>
      </c>
      <c r="AY257" s="33">
        <v>2</v>
      </c>
      <c r="AZ257" s="33">
        <v>5</v>
      </c>
      <c r="BB257" s="76" t="s">
        <v>327</v>
      </c>
      <c r="BC257" s="76" t="s">
        <v>10</v>
      </c>
      <c r="BD257" s="79">
        <v>170.17</v>
      </c>
      <c r="BE257" s="79">
        <v>139.38999999999999</v>
      </c>
      <c r="BF257" s="79">
        <v>3581.62</v>
      </c>
    </row>
    <row r="258" spans="2:58" x14ac:dyDescent="0.2">
      <c r="B258" s="86">
        <v>98262</v>
      </c>
      <c r="C258" s="38" t="s">
        <v>352</v>
      </c>
      <c r="D258" s="48">
        <v>21</v>
      </c>
      <c r="E258" s="48">
        <v>4</v>
      </c>
      <c r="F258" s="48">
        <v>9</v>
      </c>
      <c r="H258" s="76">
        <v>98260</v>
      </c>
      <c r="I258" s="76" t="s">
        <v>10</v>
      </c>
      <c r="J258" s="79">
        <v>24963.46</v>
      </c>
      <c r="K258" s="79">
        <v>18283.400000000001</v>
      </c>
      <c r="L258" s="79">
        <v>55540.359999999899</v>
      </c>
      <c r="M258" s="79">
        <v>158470.239999999</v>
      </c>
      <c r="N258" s="79">
        <v>29550.48</v>
      </c>
      <c r="O258" s="79">
        <v>18758.310000000001</v>
      </c>
      <c r="P258" s="79">
        <v>65249.22</v>
      </c>
      <c r="Q258" s="79">
        <v>163043.98000000001</v>
      </c>
      <c r="R258" s="79">
        <v>26496.58</v>
      </c>
      <c r="S258" s="79">
        <v>20116.04</v>
      </c>
      <c r="T258" s="79">
        <v>73065.75</v>
      </c>
      <c r="U258" s="79">
        <v>171615.93999999901</v>
      </c>
      <c r="AV258" s="76" t="s">
        <v>196</v>
      </c>
      <c r="AW258" s="76" t="s">
        <v>352</v>
      </c>
      <c r="AX258" s="33">
        <v>5</v>
      </c>
      <c r="AY258" s="33">
        <v>1</v>
      </c>
      <c r="AZ258" s="33">
        <v>2</v>
      </c>
      <c r="BB258" s="76" t="s">
        <v>196</v>
      </c>
      <c r="BC258" s="76" t="s">
        <v>352</v>
      </c>
      <c r="BD258" s="79">
        <v>1529.07</v>
      </c>
      <c r="BE258" s="79">
        <v>509.87</v>
      </c>
      <c r="BF258" s="79">
        <v>311.2</v>
      </c>
    </row>
    <row r="259" spans="2:58" x14ac:dyDescent="0.2">
      <c r="B259" s="59">
        <v>98262</v>
      </c>
      <c r="C259" s="38" t="s">
        <v>10</v>
      </c>
      <c r="D259" s="48">
        <v>130</v>
      </c>
      <c r="E259" s="48">
        <v>54</v>
      </c>
      <c r="F259" s="48">
        <v>55</v>
      </c>
      <c r="H259" s="76">
        <v>98262</v>
      </c>
      <c r="I259" s="76" t="s">
        <v>352</v>
      </c>
      <c r="J259" s="79">
        <v>886.01</v>
      </c>
      <c r="K259" s="79">
        <v>27.2</v>
      </c>
      <c r="L259" s="79">
        <v>192.17</v>
      </c>
      <c r="M259" s="79">
        <v>3057.68</v>
      </c>
      <c r="N259" s="79">
        <v>122.76</v>
      </c>
      <c r="O259" s="79">
        <v>138.44999999999999</v>
      </c>
      <c r="P259" s="79">
        <v>446.52</v>
      </c>
      <c r="Q259" s="79">
        <v>1249.28</v>
      </c>
      <c r="R259" s="79"/>
      <c r="S259" s="79">
        <v>122.76</v>
      </c>
      <c r="T259" s="79">
        <v>584.97</v>
      </c>
      <c r="U259" s="79">
        <v>1548.86</v>
      </c>
      <c r="AV259" s="76" t="s">
        <v>196</v>
      </c>
      <c r="AW259" s="76" t="s">
        <v>10</v>
      </c>
      <c r="AX259" s="33">
        <v>37</v>
      </c>
      <c r="AY259" s="33">
        <v>36</v>
      </c>
      <c r="AZ259" s="33">
        <v>45</v>
      </c>
      <c r="BB259" s="76" t="s">
        <v>196</v>
      </c>
      <c r="BC259" s="76" t="s">
        <v>10</v>
      </c>
      <c r="BD259" s="79">
        <v>18999.419999999998</v>
      </c>
      <c r="BE259" s="79">
        <v>15626.78</v>
      </c>
      <c r="BF259" s="79">
        <v>10174.4</v>
      </c>
    </row>
    <row r="260" spans="2:58" x14ac:dyDescent="0.2">
      <c r="B260" s="86">
        <v>98263</v>
      </c>
      <c r="C260" s="38" t="s">
        <v>352</v>
      </c>
      <c r="D260" s="48">
        <v>2</v>
      </c>
      <c r="E260" s="48">
        <v>1</v>
      </c>
      <c r="F260" s="48">
        <v>6</v>
      </c>
      <c r="H260" s="76">
        <v>98262</v>
      </c>
      <c r="I260" s="76" t="s">
        <v>10</v>
      </c>
      <c r="J260" s="79">
        <v>7735.8</v>
      </c>
      <c r="K260" s="79">
        <v>3753.39</v>
      </c>
      <c r="L260" s="79">
        <v>8643.53999999999</v>
      </c>
      <c r="M260" s="79">
        <v>32796.1</v>
      </c>
      <c r="N260" s="79">
        <v>4391.22</v>
      </c>
      <c r="O260" s="79">
        <v>3709.05</v>
      </c>
      <c r="P260" s="79">
        <v>13694.3999999999</v>
      </c>
      <c r="Q260" s="79">
        <v>23181.18</v>
      </c>
      <c r="R260" s="79">
        <v>1324.2</v>
      </c>
      <c r="S260" s="79">
        <v>3518.27</v>
      </c>
      <c r="T260" s="79">
        <v>15802.0899999999</v>
      </c>
      <c r="U260" s="79">
        <v>25920.81</v>
      </c>
      <c r="AV260" s="76" t="s">
        <v>197</v>
      </c>
      <c r="AW260" s="76" t="s">
        <v>352</v>
      </c>
      <c r="AX260" s="33"/>
      <c r="AY260" s="33">
        <v>2</v>
      </c>
      <c r="AZ260" s="33">
        <v>1</v>
      </c>
      <c r="BB260" s="76" t="s">
        <v>197</v>
      </c>
      <c r="BC260" s="76" t="s">
        <v>352</v>
      </c>
      <c r="BD260" s="79"/>
      <c r="BE260" s="79">
        <v>229.4</v>
      </c>
      <c r="BF260" s="79"/>
    </row>
    <row r="261" spans="2:58" x14ac:dyDescent="0.2">
      <c r="B261" s="59">
        <v>98263</v>
      </c>
      <c r="C261" s="38" t="s">
        <v>10</v>
      </c>
      <c r="D261" s="48">
        <v>22</v>
      </c>
      <c r="E261" s="48">
        <v>33</v>
      </c>
      <c r="F261" s="48">
        <v>24</v>
      </c>
      <c r="H261" s="76">
        <v>98263</v>
      </c>
      <c r="I261" s="76" t="s">
        <v>352</v>
      </c>
      <c r="J261" s="79">
        <v>106.28</v>
      </c>
      <c r="K261" s="79"/>
      <c r="L261" s="79"/>
      <c r="M261" s="79">
        <v>106.28</v>
      </c>
      <c r="N261" s="79"/>
      <c r="O261" s="79"/>
      <c r="P261" s="79"/>
      <c r="Q261" s="79">
        <v>50.05</v>
      </c>
      <c r="R261" s="79"/>
      <c r="S261" s="79"/>
      <c r="T261" s="79"/>
      <c r="U261" s="79">
        <v>728.58</v>
      </c>
      <c r="AV261" s="76" t="s">
        <v>197</v>
      </c>
      <c r="AW261" s="76" t="s">
        <v>10</v>
      </c>
      <c r="AX261" s="33">
        <v>17</v>
      </c>
      <c r="AY261" s="33">
        <v>21</v>
      </c>
      <c r="AZ261" s="33">
        <v>16</v>
      </c>
      <c r="BB261" s="76" t="s">
        <v>197</v>
      </c>
      <c r="BC261" s="76" t="s">
        <v>10</v>
      </c>
      <c r="BD261" s="79">
        <v>5061.93</v>
      </c>
      <c r="BE261" s="79">
        <v>13402.4</v>
      </c>
      <c r="BF261" s="79">
        <v>7072.18</v>
      </c>
    </row>
    <row r="262" spans="2:58" x14ac:dyDescent="0.2">
      <c r="B262" s="86">
        <v>98264</v>
      </c>
      <c r="C262" s="38" t="s">
        <v>352</v>
      </c>
      <c r="D262" s="48">
        <v>196</v>
      </c>
      <c r="E262" s="48">
        <v>161</v>
      </c>
      <c r="F262" s="74">
        <v>193</v>
      </c>
      <c r="H262" s="76">
        <v>98263</v>
      </c>
      <c r="I262" s="76" t="s">
        <v>10</v>
      </c>
      <c r="J262" s="79">
        <v>7076.84</v>
      </c>
      <c r="K262" s="79">
        <v>1804.39</v>
      </c>
      <c r="L262" s="79">
        <v>13812.5</v>
      </c>
      <c r="M262" s="79">
        <v>24499.19</v>
      </c>
      <c r="N262" s="79">
        <v>1668.4</v>
      </c>
      <c r="O262" s="79">
        <v>5240.34</v>
      </c>
      <c r="P262" s="79">
        <v>13737.01</v>
      </c>
      <c r="Q262" s="79">
        <v>31717.39</v>
      </c>
      <c r="R262" s="79">
        <v>8406.76</v>
      </c>
      <c r="S262" s="79">
        <v>1266.95</v>
      </c>
      <c r="T262" s="79">
        <v>17188.93</v>
      </c>
      <c r="U262" s="79">
        <v>28257.77</v>
      </c>
      <c r="AV262" s="76" t="s">
        <v>198</v>
      </c>
      <c r="AW262" s="76" t="s">
        <v>352</v>
      </c>
      <c r="AX262" s="33">
        <v>4</v>
      </c>
      <c r="AY262" s="33">
        <v>4</v>
      </c>
      <c r="AZ262" s="33"/>
      <c r="BB262" s="76" t="s">
        <v>198</v>
      </c>
      <c r="BC262" s="76" t="s">
        <v>352</v>
      </c>
      <c r="BD262" s="79">
        <v>1918.02</v>
      </c>
      <c r="BE262" s="79">
        <v>5119.6899999999996</v>
      </c>
      <c r="BF262" s="79"/>
    </row>
    <row r="263" spans="2:58" x14ac:dyDescent="0.2">
      <c r="B263" s="59">
        <v>98264</v>
      </c>
      <c r="C263" s="38" t="s">
        <v>10</v>
      </c>
      <c r="D263" s="48">
        <v>1320</v>
      </c>
      <c r="E263" s="48">
        <v>1278</v>
      </c>
      <c r="F263" s="48">
        <v>1269</v>
      </c>
      <c r="H263" s="76">
        <v>98264</v>
      </c>
      <c r="I263" s="76" t="s">
        <v>352</v>
      </c>
      <c r="J263" s="79">
        <v>14209.43</v>
      </c>
      <c r="K263" s="79">
        <v>4503.2</v>
      </c>
      <c r="L263" s="79">
        <v>28673.200000000001</v>
      </c>
      <c r="M263" s="79">
        <v>107237.139999999</v>
      </c>
      <c r="N263" s="79">
        <v>7434.15</v>
      </c>
      <c r="O263" s="79">
        <v>8833.07</v>
      </c>
      <c r="P263" s="79">
        <v>29004.39</v>
      </c>
      <c r="Q263" s="79">
        <v>80496.789999999994</v>
      </c>
      <c r="R263" s="79">
        <v>11169.88</v>
      </c>
      <c r="S263" s="79">
        <v>4443.17</v>
      </c>
      <c r="T263" s="79">
        <v>36623.410000000003</v>
      </c>
      <c r="U263" s="79">
        <v>87828.13</v>
      </c>
      <c r="AV263" s="76" t="s">
        <v>198</v>
      </c>
      <c r="AW263" s="76" t="s">
        <v>10</v>
      </c>
      <c r="AX263" s="33">
        <v>61</v>
      </c>
      <c r="AY263" s="33">
        <v>59</v>
      </c>
      <c r="AZ263" s="33">
        <v>42</v>
      </c>
      <c r="BB263" s="76" t="s">
        <v>198</v>
      </c>
      <c r="BC263" s="76" t="s">
        <v>10</v>
      </c>
      <c r="BD263" s="79">
        <v>17271.47</v>
      </c>
      <c r="BE263" s="79">
        <v>30594.05</v>
      </c>
      <c r="BF263" s="79">
        <v>23828.27</v>
      </c>
    </row>
    <row r="264" spans="2:58" x14ac:dyDescent="0.2">
      <c r="B264" s="86">
        <v>98266</v>
      </c>
      <c r="C264" s="38" t="s">
        <v>352</v>
      </c>
      <c r="D264" s="48">
        <v>32</v>
      </c>
      <c r="E264" s="48">
        <v>33</v>
      </c>
      <c r="F264" s="48">
        <v>32</v>
      </c>
      <c r="H264" s="76">
        <v>98264</v>
      </c>
      <c r="I264" s="76" t="s">
        <v>10</v>
      </c>
      <c r="J264" s="79">
        <v>75464.25</v>
      </c>
      <c r="K264" s="79">
        <v>49762.34</v>
      </c>
      <c r="L264" s="79">
        <v>216585.69</v>
      </c>
      <c r="M264" s="79">
        <v>475660.95999999897</v>
      </c>
      <c r="N264" s="79">
        <v>66651.41</v>
      </c>
      <c r="O264" s="79">
        <v>56826.43</v>
      </c>
      <c r="P264" s="79">
        <v>225531.43999999901</v>
      </c>
      <c r="Q264" s="79">
        <v>473236.77</v>
      </c>
      <c r="R264" s="79">
        <v>66173.820000000007</v>
      </c>
      <c r="S264" s="79">
        <v>48981.99</v>
      </c>
      <c r="T264" s="79">
        <v>245174.90999999901</v>
      </c>
      <c r="U264" s="79">
        <v>459627.52000000002</v>
      </c>
      <c r="AV264" s="76" t="s">
        <v>200</v>
      </c>
      <c r="AW264" s="76" t="s">
        <v>352</v>
      </c>
      <c r="AX264" s="33">
        <v>3</v>
      </c>
      <c r="AY264" s="33">
        <v>2</v>
      </c>
      <c r="AZ264" s="33">
        <v>1</v>
      </c>
      <c r="BB264" s="76" t="s">
        <v>200</v>
      </c>
      <c r="BC264" s="76" t="s">
        <v>352</v>
      </c>
      <c r="BD264" s="79">
        <v>1556.28</v>
      </c>
      <c r="BE264" s="79">
        <v>74.75</v>
      </c>
      <c r="BF264" s="79">
        <v>10.9</v>
      </c>
    </row>
    <row r="265" spans="2:58" x14ac:dyDescent="0.2">
      <c r="B265" s="59">
        <v>98266</v>
      </c>
      <c r="C265" s="38" t="s">
        <v>10</v>
      </c>
      <c r="D265" s="48">
        <v>462</v>
      </c>
      <c r="E265" s="48">
        <v>452</v>
      </c>
      <c r="F265" s="48">
        <v>451</v>
      </c>
      <c r="H265" s="76">
        <v>98266</v>
      </c>
      <c r="I265" s="76" t="s">
        <v>352</v>
      </c>
      <c r="J265" s="79">
        <v>392.89</v>
      </c>
      <c r="K265" s="79">
        <v>279.52999999999997</v>
      </c>
      <c r="L265" s="79">
        <v>659.99</v>
      </c>
      <c r="M265" s="79">
        <v>4641.74</v>
      </c>
      <c r="N265" s="79">
        <v>341.23</v>
      </c>
      <c r="O265" s="79">
        <v>131.76</v>
      </c>
      <c r="P265" s="79">
        <v>807.67</v>
      </c>
      <c r="Q265" s="79">
        <v>3779.27</v>
      </c>
      <c r="R265" s="79">
        <v>2301.17</v>
      </c>
      <c r="S265" s="79">
        <v>176.14</v>
      </c>
      <c r="T265" s="79">
        <v>929.21</v>
      </c>
      <c r="U265" s="79">
        <v>6096.1399999999903</v>
      </c>
      <c r="AV265" s="76" t="s">
        <v>200</v>
      </c>
      <c r="AW265" s="76" t="s">
        <v>10</v>
      </c>
      <c r="AX265" s="33">
        <v>8</v>
      </c>
      <c r="AY265" s="33">
        <v>9</v>
      </c>
      <c r="AZ265" s="33">
        <v>15</v>
      </c>
      <c r="BB265" s="76" t="s">
        <v>200</v>
      </c>
      <c r="BC265" s="76" t="s">
        <v>10</v>
      </c>
      <c r="BD265" s="79">
        <v>7828.7</v>
      </c>
      <c r="BE265" s="79">
        <v>4538.75</v>
      </c>
      <c r="BF265" s="79">
        <v>9711.1</v>
      </c>
    </row>
    <row r="266" spans="2:58" x14ac:dyDescent="0.2">
      <c r="B266" s="86">
        <v>98267</v>
      </c>
      <c r="C266" s="38" t="s">
        <v>352</v>
      </c>
      <c r="D266" s="48">
        <v>2</v>
      </c>
      <c r="E266" s="48">
        <v>2</v>
      </c>
      <c r="F266" s="48">
        <v>3</v>
      </c>
      <c r="H266" s="76">
        <v>98266</v>
      </c>
      <c r="I266" s="76" t="s">
        <v>10</v>
      </c>
      <c r="J266" s="79">
        <v>54485.120000000003</v>
      </c>
      <c r="K266" s="79">
        <v>52391.68</v>
      </c>
      <c r="L266" s="79">
        <v>115710.33</v>
      </c>
      <c r="M266" s="79">
        <v>297643.59000000003</v>
      </c>
      <c r="N266" s="79">
        <v>53098.13</v>
      </c>
      <c r="O266" s="79">
        <v>42529.61</v>
      </c>
      <c r="P266" s="79">
        <v>142933.83999999901</v>
      </c>
      <c r="Q266" s="79">
        <v>302459.19</v>
      </c>
      <c r="R266" s="79">
        <v>43671.53</v>
      </c>
      <c r="S266" s="79">
        <v>40771.919999999998</v>
      </c>
      <c r="T266" s="79">
        <v>157907.40999999901</v>
      </c>
      <c r="U266" s="79">
        <v>298651.88999999902</v>
      </c>
      <c r="AV266" s="76" t="s">
        <v>202</v>
      </c>
      <c r="AW266" s="76" t="s">
        <v>10</v>
      </c>
      <c r="AX266" s="33">
        <v>1</v>
      </c>
      <c r="AY266" s="33">
        <v>1</v>
      </c>
      <c r="AZ266" s="33"/>
      <c r="BB266" s="76" t="s">
        <v>202</v>
      </c>
      <c r="BC266" s="76" t="s">
        <v>10</v>
      </c>
      <c r="BD266" s="79"/>
      <c r="BE266" s="79">
        <v>332.42</v>
      </c>
      <c r="BF266" s="79"/>
    </row>
    <row r="267" spans="2:58" x14ac:dyDescent="0.2">
      <c r="B267" s="59">
        <v>98267</v>
      </c>
      <c r="C267" s="38" t="s">
        <v>10</v>
      </c>
      <c r="D267" s="48">
        <v>44</v>
      </c>
      <c r="E267" s="48">
        <v>37</v>
      </c>
      <c r="F267" s="48">
        <v>42</v>
      </c>
      <c r="H267" s="76">
        <v>98267</v>
      </c>
      <c r="I267" s="76" t="s">
        <v>352</v>
      </c>
      <c r="J267" s="79">
        <v>41.74</v>
      </c>
      <c r="K267" s="79"/>
      <c r="L267" s="79">
        <v>16</v>
      </c>
      <c r="M267" s="79">
        <v>134</v>
      </c>
      <c r="N267" s="79">
        <v>76.260000000000005</v>
      </c>
      <c r="O267" s="79">
        <v>41.74</v>
      </c>
      <c r="P267" s="79">
        <v>16</v>
      </c>
      <c r="Q267" s="79">
        <v>200.33</v>
      </c>
      <c r="R267" s="79"/>
      <c r="S267" s="79"/>
      <c r="T267" s="79">
        <v>16</v>
      </c>
      <c r="U267" s="79">
        <v>138</v>
      </c>
      <c r="AV267" s="76" t="s">
        <v>203</v>
      </c>
      <c r="AW267" s="76" t="s">
        <v>352</v>
      </c>
      <c r="AX267" s="33"/>
      <c r="AY267" s="33">
        <v>2</v>
      </c>
      <c r="AZ267" s="33"/>
      <c r="BB267" s="76" t="s">
        <v>203</v>
      </c>
      <c r="BC267" s="76" t="s">
        <v>352</v>
      </c>
      <c r="BD267" s="79"/>
      <c r="BE267" s="79">
        <v>173.72</v>
      </c>
      <c r="BF267" s="79"/>
    </row>
    <row r="268" spans="2:58" x14ac:dyDescent="0.2">
      <c r="B268" s="86">
        <v>98270</v>
      </c>
      <c r="C268" s="38" t="s">
        <v>352</v>
      </c>
      <c r="D268" s="48">
        <v>82</v>
      </c>
      <c r="E268" s="48">
        <v>84</v>
      </c>
      <c r="F268" s="48">
        <v>76</v>
      </c>
      <c r="H268" s="76">
        <v>98267</v>
      </c>
      <c r="I268" s="76" t="s">
        <v>10</v>
      </c>
      <c r="J268" s="79">
        <v>402.99</v>
      </c>
      <c r="K268" s="79">
        <v>10565.37</v>
      </c>
      <c r="L268" s="79">
        <v>17538.009999999998</v>
      </c>
      <c r="M268" s="79">
        <v>39819.019999999997</v>
      </c>
      <c r="N268" s="79">
        <v>9467.69</v>
      </c>
      <c r="O268" s="79">
        <v>378.14</v>
      </c>
      <c r="P268" s="79">
        <v>26895.85</v>
      </c>
      <c r="Q268" s="79">
        <v>37199.789999999899</v>
      </c>
      <c r="R268" s="79"/>
      <c r="S268" s="79">
        <v>7845.48</v>
      </c>
      <c r="T268" s="79">
        <v>22996.3</v>
      </c>
      <c r="U268" s="79">
        <v>42064.179999999898</v>
      </c>
      <c r="AV268" s="76" t="s">
        <v>203</v>
      </c>
      <c r="AW268" s="76" t="s">
        <v>10</v>
      </c>
      <c r="AX268" s="33">
        <v>13</v>
      </c>
      <c r="AY268" s="33">
        <v>13</v>
      </c>
      <c r="AZ268" s="33">
        <v>8</v>
      </c>
      <c r="BB268" s="76" t="s">
        <v>203</v>
      </c>
      <c r="BC268" s="76" t="s">
        <v>10</v>
      </c>
      <c r="BD268" s="79">
        <v>2233.61</v>
      </c>
      <c r="BE268" s="79">
        <v>5746.62</v>
      </c>
      <c r="BF268" s="79">
        <v>3411.22</v>
      </c>
    </row>
    <row r="269" spans="2:58" x14ac:dyDescent="0.2">
      <c r="B269" s="59">
        <v>98270</v>
      </c>
      <c r="C269" s="38" t="s">
        <v>10</v>
      </c>
      <c r="D269" s="48">
        <v>2204</v>
      </c>
      <c r="E269" s="48">
        <v>2173</v>
      </c>
      <c r="F269" s="48">
        <v>2125</v>
      </c>
      <c r="H269" s="76">
        <v>98270</v>
      </c>
      <c r="I269" s="76" t="s">
        <v>352</v>
      </c>
      <c r="J269" s="79">
        <v>6713.76</v>
      </c>
      <c r="K269" s="79">
        <v>6114.54</v>
      </c>
      <c r="L269" s="79">
        <v>32370.28</v>
      </c>
      <c r="M269" s="79">
        <v>63193.55</v>
      </c>
      <c r="N269" s="79">
        <v>4993.3900000000003</v>
      </c>
      <c r="O269" s="79">
        <v>4667.4399999999996</v>
      </c>
      <c r="P269" s="79">
        <v>37042.019999999997</v>
      </c>
      <c r="Q269" s="79">
        <v>64020.72</v>
      </c>
      <c r="R269" s="79">
        <v>6078.79</v>
      </c>
      <c r="S269" s="79">
        <v>3802</v>
      </c>
      <c r="T269" s="79">
        <v>37402.76</v>
      </c>
      <c r="U269" s="79">
        <v>58057.06</v>
      </c>
      <c r="AV269" s="76" t="s">
        <v>205</v>
      </c>
      <c r="AW269" s="76" t="s">
        <v>10</v>
      </c>
      <c r="AX269" s="33">
        <v>1</v>
      </c>
      <c r="AY269" s="33"/>
      <c r="AZ269" s="33"/>
      <c r="BB269" s="76" t="s">
        <v>205</v>
      </c>
      <c r="BC269" s="76" t="s">
        <v>10</v>
      </c>
      <c r="BD269" s="79">
        <v>495.21</v>
      </c>
      <c r="BE269" s="79"/>
      <c r="BF269" s="79"/>
    </row>
    <row r="270" spans="2:58" x14ac:dyDescent="0.2">
      <c r="B270" s="86">
        <v>98271</v>
      </c>
      <c r="C270" s="38" t="s">
        <v>352</v>
      </c>
      <c r="D270" s="48">
        <v>60</v>
      </c>
      <c r="E270" s="48">
        <v>45</v>
      </c>
      <c r="F270" s="48">
        <v>61</v>
      </c>
      <c r="H270" s="76">
        <v>98270</v>
      </c>
      <c r="I270" s="76" t="s">
        <v>10</v>
      </c>
      <c r="J270" s="79">
        <v>112506.52</v>
      </c>
      <c r="K270" s="79">
        <v>79718.399999999994</v>
      </c>
      <c r="L270" s="79">
        <v>194056.69999999899</v>
      </c>
      <c r="M270" s="79">
        <v>591413.77999999898</v>
      </c>
      <c r="N270" s="79">
        <v>102058.98</v>
      </c>
      <c r="O270" s="79">
        <v>79083.67</v>
      </c>
      <c r="P270" s="79">
        <v>227336.989999999</v>
      </c>
      <c r="Q270" s="79">
        <v>568199.29</v>
      </c>
      <c r="R270" s="79">
        <v>84291.73</v>
      </c>
      <c r="S270" s="79">
        <v>72689.149999999994</v>
      </c>
      <c r="T270" s="79">
        <v>254830.48</v>
      </c>
      <c r="U270" s="79">
        <v>531915.47</v>
      </c>
      <c r="AV270" s="76" t="s">
        <v>206</v>
      </c>
      <c r="AW270" s="76" t="s">
        <v>10</v>
      </c>
      <c r="AX270" s="33">
        <v>1</v>
      </c>
      <c r="AY270" s="33"/>
      <c r="AZ270" s="33">
        <v>4</v>
      </c>
      <c r="BB270" s="76" t="s">
        <v>206</v>
      </c>
      <c r="BC270" s="76" t="s">
        <v>10</v>
      </c>
      <c r="BD270" s="79">
        <v>1323.33</v>
      </c>
      <c r="BE270" s="79"/>
      <c r="BF270" s="79">
        <v>547.78</v>
      </c>
    </row>
    <row r="271" spans="2:58" x14ac:dyDescent="0.2">
      <c r="B271" s="59">
        <v>98271</v>
      </c>
      <c r="C271" s="38" t="s">
        <v>10</v>
      </c>
      <c r="D271" s="48">
        <v>536</v>
      </c>
      <c r="E271" s="48">
        <v>537</v>
      </c>
      <c r="F271" s="48">
        <v>506</v>
      </c>
      <c r="H271" s="76">
        <v>98271</v>
      </c>
      <c r="I271" s="76" t="s">
        <v>352</v>
      </c>
      <c r="J271" s="79">
        <v>1453.99</v>
      </c>
      <c r="K271" s="79">
        <v>993.16</v>
      </c>
      <c r="L271" s="79">
        <v>8278.7799999999897</v>
      </c>
      <c r="M271" s="79">
        <v>36796.76</v>
      </c>
      <c r="N271" s="79">
        <v>1413.5</v>
      </c>
      <c r="O271" s="79">
        <v>899.56</v>
      </c>
      <c r="P271" s="79">
        <v>8463.57</v>
      </c>
      <c r="Q271" s="79">
        <v>27604.519999999899</v>
      </c>
      <c r="R271" s="79">
        <v>1953.88</v>
      </c>
      <c r="S271" s="79">
        <v>903.74</v>
      </c>
      <c r="T271" s="79">
        <v>9175.75</v>
      </c>
      <c r="U271" s="79">
        <v>36500.44</v>
      </c>
      <c r="AV271" s="76" t="s">
        <v>328</v>
      </c>
      <c r="AW271" s="76" t="s">
        <v>352</v>
      </c>
      <c r="AX271" s="33">
        <v>1</v>
      </c>
      <c r="AY271" s="33">
        <v>1</v>
      </c>
      <c r="AZ271" s="33">
        <v>1</v>
      </c>
      <c r="BB271" s="76" t="s">
        <v>328</v>
      </c>
      <c r="BC271" s="76" t="s">
        <v>352</v>
      </c>
      <c r="BD271" s="79">
        <v>928.46</v>
      </c>
      <c r="BE271" s="79">
        <v>1252.1199999999999</v>
      </c>
      <c r="BF271" s="79">
        <v>0.96</v>
      </c>
    </row>
    <row r="272" spans="2:58" x14ac:dyDescent="0.2">
      <c r="B272" s="86">
        <v>98272</v>
      </c>
      <c r="C272" s="38" t="s">
        <v>352</v>
      </c>
      <c r="D272" s="48">
        <v>118</v>
      </c>
      <c r="E272" s="48">
        <v>123</v>
      </c>
      <c r="F272" s="48">
        <v>111</v>
      </c>
      <c r="H272" s="76">
        <v>98271</v>
      </c>
      <c r="I272" s="76" t="s">
        <v>10</v>
      </c>
      <c r="J272" s="79">
        <v>26888.38</v>
      </c>
      <c r="K272" s="79">
        <v>19420.23</v>
      </c>
      <c r="L272" s="79">
        <v>64194.989999999903</v>
      </c>
      <c r="M272" s="79">
        <v>161103.45000000001</v>
      </c>
      <c r="N272" s="79">
        <v>26061.1</v>
      </c>
      <c r="O272" s="79">
        <v>20299.87</v>
      </c>
      <c r="P272" s="79">
        <v>70999.539999999994</v>
      </c>
      <c r="Q272" s="79">
        <v>161482.829999999</v>
      </c>
      <c r="R272" s="79">
        <v>20021.28</v>
      </c>
      <c r="S272" s="79">
        <v>18429.27</v>
      </c>
      <c r="T272" s="79">
        <v>73529.83</v>
      </c>
      <c r="U272" s="79">
        <v>142076.70000000001</v>
      </c>
      <c r="AV272" s="76" t="s">
        <v>328</v>
      </c>
      <c r="AW272" s="76" t="s">
        <v>10</v>
      </c>
      <c r="AX272" s="33">
        <v>5</v>
      </c>
      <c r="AY272" s="33">
        <v>3</v>
      </c>
      <c r="AZ272" s="33">
        <v>4</v>
      </c>
      <c r="BB272" s="76" t="s">
        <v>328</v>
      </c>
      <c r="BC272" s="76" t="s">
        <v>10</v>
      </c>
      <c r="BD272" s="79">
        <v>1118.71</v>
      </c>
      <c r="BE272" s="79">
        <v>402.81</v>
      </c>
      <c r="BF272" s="79">
        <v>2663.24</v>
      </c>
    </row>
    <row r="273" spans="2:58" x14ac:dyDescent="0.2">
      <c r="B273" s="59">
        <v>98272</v>
      </c>
      <c r="C273" s="38" t="s">
        <v>10</v>
      </c>
      <c r="D273" s="48">
        <v>856</v>
      </c>
      <c r="E273" s="48">
        <v>824</v>
      </c>
      <c r="F273" s="48">
        <v>798</v>
      </c>
      <c r="H273" s="76">
        <v>98272</v>
      </c>
      <c r="I273" s="76" t="s">
        <v>352</v>
      </c>
      <c r="J273" s="79">
        <v>4223.21</v>
      </c>
      <c r="K273" s="79">
        <v>2493.44</v>
      </c>
      <c r="L273" s="79">
        <v>7727.98</v>
      </c>
      <c r="M273" s="79">
        <v>163729.35</v>
      </c>
      <c r="N273" s="79">
        <v>3100.77</v>
      </c>
      <c r="O273" s="79">
        <v>2426.65</v>
      </c>
      <c r="P273" s="79">
        <v>8911.2000000000007</v>
      </c>
      <c r="Q273" s="79">
        <v>64647.18</v>
      </c>
      <c r="R273" s="79">
        <v>5809.68</v>
      </c>
      <c r="S273" s="79">
        <v>1485.46</v>
      </c>
      <c r="T273" s="79">
        <v>9468.8700000000008</v>
      </c>
      <c r="U273" s="79">
        <v>42646.66</v>
      </c>
      <c r="AV273" s="76" t="s">
        <v>207</v>
      </c>
      <c r="AW273" s="76" t="s">
        <v>352</v>
      </c>
      <c r="AX273" s="33">
        <v>2</v>
      </c>
      <c r="AY273" s="33"/>
      <c r="AZ273" s="33">
        <v>1</v>
      </c>
      <c r="BB273" s="76" t="s">
        <v>207</v>
      </c>
      <c r="BC273" s="76" t="s">
        <v>352</v>
      </c>
      <c r="BD273" s="79">
        <v>217.05</v>
      </c>
      <c r="BE273" s="79"/>
      <c r="BF273" s="79">
        <v>2403.73</v>
      </c>
    </row>
    <row r="274" spans="2:58" x14ac:dyDescent="0.2">
      <c r="B274" s="86">
        <v>98273</v>
      </c>
      <c r="C274" s="38" t="s">
        <v>352</v>
      </c>
      <c r="D274" s="48">
        <v>247</v>
      </c>
      <c r="E274" s="48">
        <v>358</v>
      </c>
      <c r="F274" s="48">
        <v>237</v>
      </c>
      <c r="H274" s="76">
        <v>98272</v>
      </c>
      <c r="I274" s="76" t="s">
        <v>10</v>
      </c>
      <c r="J274" s="79">
        <v>31910.51</v>
      </c>
      <c r="K274" s="79">
        <v>21301.73</v>
      </c>
      <c r="L274" s="79">
        <v>58705.54</v>
      </c>
      <c r="M274" s="79">
        <v>204768.05999999901</v>
      </c>
      <c r="N274" s="79">
        <v>38748.980000000003</v>
      </c>
      <c r="O274" s="79">
        <v>22905.08</v>
      </c>
      <c r="P274" s="79">
        <v>66449.4399999999</v>
      </c>
      <c r="Q274" s="79">
        <v>189151.58999999901</v>
      </c>
      <c r="R274" s="79">
        <v>23885.33</v>
      </c>
      <c r="S274" s="79">
        <v>23613.759999999998</v>
      </c>
      <c r="T274" s="79">
        <v>77895.58</v>
      </c>
      <c r="U274" s="79">
        <v>170258.43</v>
      </c>
      <c r="AV274" s="76" t="s">
        <v>207</v>
      </c>
      <c r="AW274" s="76" t="s">
        <v>10</v>
      </c>
      <c r="AX274" s="33">
        <v>13</v>
      </c>
      <c r="AY274" s="33">
        <v>15</v>
      </c>
      <c r="AZ274" s="33">
        <v>17</v>
      </c>
      <c r="BB274" s="76" t="s">
        <v>207</v>
      </c>
      <c r="BC274" s="76" t="s">
        <v>10</v>
      </c>
      <c r="BD274" s="79">
        <v>4966.17</v>
      </c>
      <c r="BE274" s="79">
        <v>10432.76</v>
      </c>
      <c r="BF274" s="79">
        <v>6627.35</v>
      </c>
    </row>
    <row r="275" spans="2:58" x14ac:dyDescent="0.2">
      <c r="B275" s="59">
        <v>98273</v>
      </c>
      <c r="C275" s="38" t="s">
        <v>10</v>
      </c>
      <c r="D275" s="48">
        <v>1894</v>
      </c>
      <c r="E275" s="48">
        <v>1867</v>
      </c>
      <c r="F275" s="48">
        <v>1865</v>
      </c>
      <c r="H275" s="76">
        <v>98273</v>
      </c>
      <c r="I275" s="76" t="s">
        <v>352</v>
      </c>
      <c r="J275" s="79">
        <v>57389.75</v>
      </c>
      <c r="K275" s="79">
        <v>10833.87</v>
      </c>
      <c r="L275" s="79">
        <v>89499.909999999902</v>
      </c>
      <c r="M275" s="79">
        <v>294480.59999999998</v>
      </c>
      <c r="N275" s="79">
        <v>52962.78</v>
      </c>
      <c r="O275" s="79">
        <v>13237.37</v>
      </c>
      <c r="P275" s="79">
        <v>93479.9</v>
      </c>
      <c r="Q275" s="79">
        <v>336075.29</v>
      </c>
      <c r="R275" s="79">
        <v>64185.4</v>
      </c>
      <c r="S275" s="79">
        <v>47619.07</v>
      </c>
      <c r="T275" s="79">
        <v>102950.52</v>
      </c>
      <c r="U275" s="79">
        <v>332376.109999999</v>
      </c>
      <c r="AV275" s="76" t="s">
        <v>208</v>
      </c>
      <c r="AW275" s="76" t="s">
        <v>352</v>
      </c>
      <c r="AX275" s="33">
        <v>1</v>
      </c>
      <c r="AY275" s="33">
        <v>4</v>
      </c>
      <c r="AZ275" s="33">
        <v>1</v>
      </c>
      <c r="BB275" s="76" t="s">
        <v>208</v>
      </c>
      <c r="BC275" s="76" t="s">
        <v>352</v>
      </c>
      <c r="BD275" s="79">
        <v>2199.3200000000002</v>
      </c>
      <c r="BE275" s="79">
        <v>1102.51</v>
      </c>
      <c r="BF275" s="79"/>
    </row>
    <row r="276" spans="2:58" x14ac:dyDescent="0.2">
      <c r="B276" s="86">
        <v>98274</v>
      </c>
      <c r="C276" s="38" t="s">
        <v>352</v>
      </c>
      <c r="D276" s="48">
        <v>74</v>
      </c>
      <c r="E276" s="48">
        <v>98</v>
      </c>
      <c r="F276" s="48">
        <v>64</v>
      </c>
      <c r="H276" s="76">
        <v>98273</v>
      </c>
      <c r="I276" s="76" t="s">
        <v>10</v>
      </c>
      <c r="J276" s="79">
        <v>130021.42</v>
      </c>
      <c r="K276" s="79">
        <v>90112.89</v>
      </c>
      <c r="L276" s="79">
        <v>204551.84999999899</v>
      </c>
      <c r="M276" s="79">
        <v>659809.02</v>
      </c>
      <c r="N276" s="79">
        <v>108186.92</v>
      </c>
      <c r="O276" s="79">
        <v>116664.83</v>
      </c>
      <c r="P276" s="79">
        <v>236961.03999999899</v>
      </c>
      <c r="Q276" s="79">
        <v>653185.60999999905</v>
      </c>
      <c r="R276" s="79">
        <v>106801.56</v>
      </c>
      <c r="S276" s="79">
        <v>73762.17</v>
      </c>
      <c r="T276" s="79">
        <v>285792.56</v>
      </c>
      <c r="U276" s="79">
        <v>635876.55999999901</v>
      </c>
      <c r="AV276" s="76" t="s">
        <v>208</v>
      </c>
      <c r="AW276" s="76" t="s">
        <v>10</v>
      </c>
      <c r="AX276" s="33">
        <v>6</v>
      </c>
      <c r="AY276" s="33">
        <v>11</v>
      </c>
      <c r="AZ276" s="33">
        <v>12</v>
      </c>
      <c r="BB276" s="76" t="s">
        <v>208</v>
      </c>
      <c r="BC276" s="76" t="s">
        <v>10</v>
      </c>
      <c r="BD276" s="79">
        <v>1550.48</v>
      </c>
      <c r="BE276" s="79">
        <v>12914.89</v>
      </c>
      <c r="BF276" s="79">
        <v>6076.42</v>
      </c>
    </row>
    <row r="277" spans="2:58" x14ac:dyDescent="0.2">
      <c r="B277" s="59">
        <v>98274</v>
      </c>
      <c r="C277" s="38" t="s">
        <v>10</v>
      </c>
      <c r="D277" s="48">
        <v>1049</v>
      </c>
      <c r="E277" s="48">
        <v>1045</v>
      </c>
      <c r="F277" s="48">
        <v>1001</v>
      </c>
      <c r="H277" s="76">
        <v>98274</v>
      </c>
      <c r="I277" s="76" t="s">
        <v>352</v>
      </c>
      <c r="J277" s="79">
        <v>13479.76</v>
      </c>
      <c r="K277" s="79">
        <v>11536.75</v>
      </c>
      <c r="L277" s="79">
        <v>222237.57</v>
      </c>
      <c r="M277" s="79">
        <v>284951.19</v>
      </c>
      <c r="N277" s="79">
        <v>7029.54</v>
      </c>
      <c r="O277" s="79">
        <v>12681.61</v>
      </c>
      <c r="P277" s="79">
        <v>232947.14</v>
      </c>
      <c r="Q277" s="79">
        <v>290924.34999999998</v>
      </c>
      <c r="R277" s="79">
        <v>20609.22</v>
      </c>
      <c r="S277" s="79">
        <v>6312.49</v>
      </c>
      <c r="T277" s="79">
        <v>243281.24</v>
      </c>
      <c r="U277" s="79">
        <v>293452.08999999898</v>
      </c>
      <c r="AV277" s="76" t="s">
        <v>209</v>
      </c>
      <c r="AW277" s="76" t="s">
        <v>10</v>
      </c>
      <c r="AX277" s="33"/>
      <c r="AY277" s="33">
        <v>1</v>
      </c>
      <c r="AZ277" s="33"/>
      <c r="BB277" s="76" t="s">
        <v>209</v>
      </c>
      <c r="BC277" s="76" t="s">
        <v>10</v>
      </c>
      <c r="BD277" s="79"/>
      <c r="BE277" s="79">
        <v>166.35</v>
      </c>
      <c r="BF277" s="79"/>
    </row>
    <row r="278" spans="2:58" x14ac:dyDescent="0.2">
      <c r="B278" s="86">
        <v>98275</v>
      </c>
      <c r="C278" s="38" t="s">
        <v>352</v>
      </c>
      <c r="D278" s="48">
        <v>46</v>
      </c>
      <c r="E278" s="48">
        <v>44</v>
      </c>
      <c r="F278" s="48">
        <v>36</v>
      </c>
      <c r="H278" s="76">
        <v>98274</v>
      </c>
      <c r="I278" s="76" t="s">
        <v>10</v>
      </c>
      <c r="J278" s="79">
        <v>72133.279999999999</v>
      </c>
      <c r="K278" s="79">
        <v>50882.94</v>
      </c>
      <c r="L278" s="79">
        <v>154700.44</v>
      </c>
      <c r="M278" s="79">
        <v>435669.56999999902</v>
      </c>
      <c r="N278" s="79">
        <v>86074.82</v>
      </c>
      <c r="O278" s="79">
        <v>50177.35</v>
      </c>
      <c r="P278" s="79">
        <v>175172.429999999</v>
      </c>
      <c r="Q278" s="79">
        <v>443147.61</v>
      </c>
      <c r="R278" s="79">
        <v>65075.9</v>
      </c>
      <c r="S278" s="79">
        <v>52181.74</v>
      </c>
      <c r="T278" s="79">
        <v>181062.99999999901</v>
      </c>
      <c r="U278" s="79">
        <v>407694.41</v>
      </c>
      <c r="AV278" s="76" t="s">
        <v>210</v>
      </c>
      <c r="AW278" s="76" t="s">
        <v>10</v>
      </c>
      <c r="AX278" s="33"/>
      <c r="AY278" s="33">
        <v>1</v>
      </c>
      <c r="AZ278" s="33">
        <v>1</v>
      </c>
      <c r="BB278" s="76" t="s">
        <v>210</v>
      </c>
      <c r="BC278" s="76" t="s">
        <v>10</v>
      </c>
      <c r="BD278" s="79"/>
      <c r="BE278" s="79">
        <v>1057.46</v>
      </c>
      <c r="BF278" s="79">
        <v>816.18</v>
      </c>
    </row>
    <row r="279" spans="2:58" x14ac:dyDescent="0.2">
      <c r="B279" s="59">
        <v>98275</v>
      </c>
      <c r="C279" s="38" t="s">
        <v>10</v>
      </c>
      <c r="D279" s="48">
        <v>364</v>
      </c>
      <c r="E279" s="48">
        <v>385</v>
      </c>
      <c r="F279" s="48">
        <v>328</v>
      </c>
      <c r="H279" s="76">
        <v>98275</v>
      </c>
      <c r="I279" s="76" t="s">
        <v>352</v>
      </c>
      <c r="J279" s="79">
        <v>11320.15</v>
      </c>
      <c r="K279" s="79">
        <v>9993.51</v>
      </c>
      <c r="L279" s="79">
        <v>49705.91</v>
      </c>
      <c r="M279" s="79">
        <v>92356.29</v>
      </c>
      <c r="N279" s="79">
        <v>9496.8799999999992</v>
      </c>
      <c r="O279" s="79">
        <v>10341.08</v>
      </c>
      <c r="P279" s="79">
        <v>58304.229999999901</v>
      </c>
      <c r="Q279" s="79">
        <v>101749.42</v>
      </c>
      <c r="R279" s="79">
        <v>6492.5</v>
      </c>
      <c r="S279" s="79">
        <v>5003</v>
      </c>
      <c r="T279" s="79">
        <v>60159.53</v>
      </c>
      <c r="U279" s="79">
        <v>80194.75</v>
      </c>
      <c r="AV279" s="76" t="s">
        <v>212</v>
      </c>
      <c r="AW279" s="76" t="s">
        <v>10</v>
      </c>
      <c r="AX279" s="33"/>
      <c r="AY279" s="33">
        <v>1</v>
      </c>
      <c r="AZ279" s="33"/>
      <c r="BB279" s="76" t="s">
        <v>212</v>
      </c>
      <c r="BC279" s="76" t="s">
        <v>10</v>
      </c>
      <c r="BD279" s="79"/>
      <c r="BE279" s="79">
        <v>28.37</v>
      </c>
      <c r="BF279" s="79"/>
    </row>
    <row r="280" spans="2:58" x14ac:dyDescent="0.2">
      <c r="B280" s="86">
        <v>98276</v>
      </c>
      <c r="C280" s="38" t="s">
        <v>352</v>
      </c>
      <c r="D280" s="48">
        <v>8</v>
      </c>
      <c r="E280" s="48">
        <v>7</v>
      </c>
      <c r="F280" s="48">
        <v>5</v>
      </c>
      <c r="H280" s="76">
        <v>98275</v>
      </c>
      <c r="I280" s="76" t="s">
        <v>10</v>
      </c>
      <c r="J280" s="79">
        <v>21302.47</v>
      </c>
      <c r="K280" s="79">
        <v>15115.67</v>
      </c>
      <c r="L280" s="79">
        <v>34005.539999999899</v>
      </c>
      <c r="M280" s="79">
        <v>112931.84</v>
      </c>
      <c r="N280" s="79">
        <v>17497.39</v>
      </c>
      <c r="O280" s="79">
        <v>13473.15</v>
      </c>
      <c r="P280" s="79">
        <v>39470.269999999997</v>
      </c>
      <c r="Q280" s="79">
        <v>112665.4</v>
      </c>
      <c r="R280" s="79">
        <v>17325.41</v>
      </c>
      <c r="S280" s="79">
        <v>11772.22</v>
      </c>
      <c r="T280" s="79">
        <v>43364.129999999903</v>
      </c>
      <c r="U280" s="79">
        <v>97199.9399999999</v>
      </c>
      <c r="AV280" s="76" t="s">
        <v>213</v>
      </c>
      <c r="AW280" s="76" t="s">
        <v>352</v>
      </c>
      <c r="AX280" s="33">
        <v>1</v>
      </c>
      <c r="AY280" s="33">
        <v>1</v>
      </c>
      <c r="AZ280" s="33">
        <v>1</v>
      </c>
      <c r="BB280" s="76" t="s">
        <v>213</v>
      </c>
      <c r="BC280" s="76" t="s">
        <v>352</v>
      </c>
      <c r="BD280" s="79">
        <v>13695.9</v>
      </c>
      <c r="BE280" s="79">
        <v>12695.9</v>
      </c>
      <c r="BF280" s="79">
        <v>11695.9</v>
      </c>
    </row>
    <row r="281" spans="2:58" x14ac:dyDescent="0.2">
      <c r="B281" s="59">
        <v>98276</v>
      </c>
      <c r="C281" s="38" t="s">
        <v>10</v>
      </c>
      <c r="D281" s="48">
        <v>83</v>
      </c>
      <c r="E281" s="48">
        <v>85</v>
      </c>
      <c r="F281" s="48">
        <v>78</v>
      </c>
      <c r="H281" s="76">
        <v>98276</v>
      </c>
      <c r="I281" s="76" t="s">
        <v>352</v>
      </c>
      <c r="J281" s="79">
        <v>2920.16</v>
      </c>
      <c r="K281" s="79">
        <v>497.37</v>
      </c>
      <c r="L281" s="79">
        <v>2588.5299999999902</v>
      </c>
      <c r="M281" s="79">
        <v>7324.8</v>
      </c>
      <c r="N281" s="79">
        <v>658.37</v>
      </c>
      <c r="O281" s="79">
        <v>656.73</v>
      </c>
      <c r="P281" s="79">
        <v>3085.8999999999901</v>
      </c>
      <c r="Q281" s="79">
        <v>5604.45</v>
      </c>
      <c r="R281" s="79">
        <v>529.65</v>
      </c>
      <c r="S281" s="79">
        <v>596.42999999999995</v>
      </c>
      <c r="T281" s="79">
        <v>3192.63</v>
      </c>
      <c r="U281" s="79">
        <v>4786.07</v>
      </c>
      <c r="AV281" s="76" t="s">
        <v>213</v>
      </c>
      <c r="AW281" s="76" t="s">
        <v>10</v>
      </c>
      <c r="AX281" s="33">
        <v>1</v>
      </c>
      <c r="AY281" s="33">
        <v>5</v>
      </c>
      <c r="AZ281" s="33">
        <v>7</v>
      </c>
      <c r="BB281" s="76" t="s">
        <v>213</v>
      </c>
      <c r="BC281" s="76" t="s">
        <v>10</v>
      </c>
      <c r="BD281" s="79">
        <v>59.08</v>
      </c>
      <c r="BE281" s="79">
        <v>2970.11</v>
      </c>
      <c r="BF281" s="79">
        <v>7284.44</v>
      </c>
    </row>
    <row r="282" spans="2:58" x14ac:dyDescent="0.2">
      <c r="B282" s="86">
        <v>98277</v>
      </c>
      <c r="C282" s="38" t="s">
        <v>352</v>
      </c>
      <c r="D282" s="48">
        <v>310</v>
      </c>
      <c r="E282" s="48">
        <v>328</v>
      </c>
      <c r="F282" s="48">
        <v>371</v>
      </c>
      <c r="H282" s="76">
        <v>98276</v>
      </c>
      <c r="I282" s="76" t="s">
        <v>10</v>
      </c>
      <c r="J282" s="79">
        <v>4831.54</v>
      </c>
      <c r="K282" s="79">
        <v>3109.37</v>
      </c>
      <c r="L282" s="79">
        <v>4133.24</v>
      </c>
      <c r="M282" s="79">
        <v>20872.599999999999</v>
      </c>
      <c r="N282" s="79">
        <v>4514.16</v>
      </c>
      <c r="O282" s="79">
        <v>3385.84</v>
      </c>
      <c r="P282" s="79">
        <v>5866.96</v>
      </c>
      <c r="Q282" s="79">
        <v>20405.879999999899</v>
      </c>
      <c r="R282" s="79">
        <v>3421.04</v>
      </c>
      <c r="S282" s="79">
        <v>2558.8200000000002</v>
      </c>
      <c r="T282" s="79">
        <v>6716.9</v>
      </c>
      <c r="U282" s="79">
        <v>18286.07</v>
      </c>
      <c r="AV282" s="76" t="s">
        <v>216</v>
      </c>
      <c r="AW282" s="76" t="s">
        <v>10</v>
      </c>
      <c r="AX282" s="33">
        <v>3</v>
      </c>
      <c r="AY282" s="33">
        <v>3</v>
      </c>
      <c r="AZ282" s="33">
        <v>2</v>
      </c>
      <c r="BB282" s="76" t="s">
        <v>216</v>
      </c>
      <c r="BC282" s="76" t="s">
        <v>10</v>
      </c>
      <c r="BD282" s="79">
        <v>1527.91</v>
      </c>
      <c r="BE282" s="79">
        <v>115.2</v>
      </c>
      <c r="BF282" s="79">
        <v>65.22</v>
      </c>
    </row>
    <row r="283" spans="2:58" x14ac:dyDescent="0.2">
      <c r="B283" s="59">
        <v>98277</v>
      </c>
      <c r="C283" s="38" t="s">
        <v>10</v>
      </c>
      <c r="D283" s="48">
        <v>2957</v>
      </c>
      <c r="E283" s="48">
        <v>2925</v>
      </c>
      <c r="F283" s="48">
        <v>2959</v>
      </c>
      <c r="H283" s="76">
        <v>98277</v>
      </c>
      <c r="I283" s="76" t="s">
        <v>352</v>
      </c>
      <c r="J283" s="79">
        <v>49614.720000000001</v>
      </c>
      <c r="K283" s="79">
        <v>38473.760000000002</v>
      </c>
      <c r="L283" s="79">
        <v>283476.01999999897</v>
      </c>
      <c r="M283" s="79">
        <v>446016.21</v>
      </c>
      <c r="N283" s="79">
        <v>51086.31</v>
      </c>
      <c r="O283" s="79">
        <v>45910.84</v>
      </c>
      <c r="P283" s="79">
        <v>293754.46000000002</v>
      </c>
      <c r="Q283" s="79">
        <v>466593.68999999901</v>
      </c>
      <c r="R283" s="79">
        <v>25266.34</v>
      </c>
      <c r="S283" s="79">
        <v>33350.29</v>
      </c>
      <c r="T283" s="79">
        <v>314076.45</v>
      </c>
      <c r="U283" s="79">
        <v>486562.38</v>
      </c>
      <c r="AV283" s="76" t="s">
        <v>217</v>
      </c>
      <c r="AW283" s="76" t="s">
        <v>10</v>
      </c>
      <c r="AX283" s="33">
        <v>5</v>
      </c>
      <c r="AY283" s="33">
        <v>5</v>
      </c>
      <c r="AZ283" s="33">
        <v>5</v>
      </c>
      <c r="BB283" s="76" t="s">
        <v>217</v>
      </c>
      <c r="BC283" s="76" t="s">
        <v>10</v>
      </c>
      <c r="BD283" s="79">
        <v>15854.41</v>
      </c>
      <c r="BE283" s="79">
        <v>4173.16</v>
      </c>
      <c r="BF283" s="79">
        <v>2112.88</v>
      </c>
    </row>
    <row r="284" spans="2:58" x14ac:dyDescent="0.2">
      <c r="B284" s="86">
        <v>98278</v>
      </c>
      <c r="C284" s="38" t="s">
        <v>352</v>
      </c>
      <c r="D284" s="48">
        <v>1</v>
      </c>
      <c r="E284" s="48">
        <v>1</v>
      </c>
      <c r="F284" s="48">
        <v>1</v>
      </c>
      <c r="H284" s="76">
        <v>98277</v>
      </c>
      <c r="I284" s="76" t="s">
        <v>10</v>
      </c>
      <c r="J284" s="79">
        <v>211176.45</v>
      </c>
      <c r="K284" s="79">
        <v>146446.51999999999</v>
      </c>
      <c r="L284" s="79">
        <v>519784.69</v>
      </c>
      <c r="M284" s="79">
        <v>1260917.98</v>
      </c>
      <c r="N284" s="79">
        <v>206003.64</v>
      </c>
      <c r="O284" s="79">
        <v>154696.9</v>
      </c>
      <c r="P284" s="79">
        <v>573506.1</v>
      </c>
      <c r="Q284" s="79">
        <v>1269372.75</v>
      </c>
      <c r="R284" s="79">
        <v>177112.52</v>
      </c>
      <c r="S284" s="79">
        <v>151214.89000000001</v>
      </c>
      <c r="T284" s="79">
        <v>631240.03999999899</v>
      </c>
      <c r="U284" s="79">
        <v>1239381.1599999999</v>
      </c>
      <c r="AV284" s="76" t="s">
        <v>218</v>
      </c>
      <c r="AW284" s="76" t="s">
        <v>352</v>
      </c>
      <c r="AX284" s="33"/>
      <c r="AY284" s="33">
        <v>2</v>
      </c>
      <c r="AZ284" s="33"/>
      <c r="BB284" s="76" t="s">
        <v>218</v>
      </c>
      <c r="BC284" s="76" t="s">
        <v>352</v>
      </c>
      <c r="BD284" s="79"/>
      <c r="BE284" s="79">
        <v>603.35</v>
      </c>
      <c r="BF284" s="79"/>
    </row>
    <row r="285" spans="2:58" x14ac:dyDescent="0.2">
      <c r="B285" s="59">
        <v>98281</v>
      </c>
      <c r="C285" s="38" t="s">
        <v>352</v>
      </c>
      <c r="D285" s="48">
        <v>42</v>
      </c>
      <c r="E285" s="48">
        <v>17</v>
      </c>
      <c r="F285" s="48">
        <v>15</v>
      </c>
      <c r="H285" s="76">
        <v>98278</v>
      </c>
      <c r="I285" s="76" t="s">
        <v>352</v>
      </c>
      <c r="J285" s="79"/>
      <c r="K285" s="79"/>
      <c r="L285" s="79"/>
      <c r="M285" s="79">
        <v>2641.38</v>
      </c>
      <c r="N285" s="79"/>
      <c r="O285" s="79"/>
      <c r="P285" s="79"/>
      <c r="Q285" s="79">
        <v>1972.29</v>
      </c>
      <c r="R285" s="79">
        <v>1972.29</v>
      </c>
      <c r="S285" s="79"/>
      <c r="T285" s="79"/>
      <c r="U285" s="79">
        <v>1972.29</v>
      </c>
      <c r="AV285" s="76" t="s">
        <v>218</v>
      </c>
      <c r="AW285" s="76" t="s">
        <v>10</v>
      </c>
      <c r="AX285" s="33">
        <v>10</v>
      </c>
      <c r="AY285" s="33">
        <v>14</v>
      </c>
      <c r="AZ285" s="33">
        <v>8</v>
      </c>
      <c r="BB285" s="76" t="s">
        <v>218</v>
      </c>
      <c r="BC285" s="76" t="s">
        <v>10</v>
      </c>
      <c r="BD285" s="79">
        <v>8022.29</v>
      </c>
      <c r="BE285" s="79">
        <v>18476.12</v>
      </c>
      <c r="BF285" s="79">
        <v>4066.19</v>
      </c>
    </row>
    <row r="286" spans="2:58" x14ac:dyDescent="0.2">
      <c r="B286" s="86">
        <v>98281</v>
      </c>
      <c r="C286" s="38" t="s">
        <v>10</v>
      </c>
      <c r="D286" s="48">
        <v>530</v>
      </c>
      <c r="E286" s="74">
        <v>228</v>
      </c>
      <c r="F286" s="74">
        <v>206</v>
      </c>
      <c r="H286" s="76">
        <v>98281</v>
      </c>
      <c r="I286" s="76" t="s">
        <v>352</v>
      </c>
      <c r="J286" s="79">
        <v>2258.12</v>
      </c>
      <c r="K286" s="79">
        <v>1075.1300000000001</v>
      </c>
      <c r="L286" s="79">
        <v>7694.08</v>
      </c>
      <c r="M286" s="79">
        <v>15161.5099999999</v>
      </c>
      <c r="N286" s="79">
        <v>1052.5899999999999</v>
      </c>
      <c r="O286" s="79">
        <v>985.41</v>
      </c>
      <c r="P286" s="79">
        <v>9477.0799999999908</v>
      </c>
      <c r="Q286" s="79">
        <v>11531.4799999999</v>
      </c>
      <c r="R286" s="79">
        <v>16.399999999999999</v>
      </c>
      <c r="S286" s="79">
        <v>852.84</v>
      </c>
      <c r="T286" s="79">
        <v>10221.4299999999</v>
      </c>
      <c r="U286" s="79">
        <v>12998.799999999899</v>
      </c>
      <c r="AV286" s="76" t="s">
        <v>220</v>
      </c>
      <c r="AW286" s="76" t="s">
        <v>352</v>
      </c>
      <c r="AX286" s="33">
        <v>1</v>
      </c>
      <c r="AY286" s="33">
        <v>1</v>
      </c>
      <c r="AZ286" s="33">
        <v>3</v>
      </c>
      <c r="BB286" s="76" t="s">
        <v>220</v>
      </c>
      <c r="BC286" s="76" t="s">
        <v>352</v>
      </c>
      <c r="BD286" s="79">
        <v>93.19</v>
      </c>
      <c r="BE286" s="79">
        <v>15.31</v>
      </c>
      <c r="BF286" s="79">
        <v>1686.92</v>
      </c>
    </row>
    <row r="287" spans="2:58" x14ac:dyDescent="0.2">
      <c r="B287" s="86">
        <v>98283</v>
      </c>
      <c r="C287" s="38" t="s">
        <v>352</v>
      </c>
      <c r="D287" s="48">
        <v>26</v>
      </c>
      <c r="E287" s="48">
        <v>16</v>
      </c>
      <c r="F287" s="48">
        <v>15</v>
      </c>
      <c r="H287" s="76">
        <v>98281</v>
      </c>
      <c r="I287" s="76" t="s">
        <v>10</v>
      </c>
      <c r="J287" s="79">
        <v>29306.81</v>
      </c>
      <c r="K287" s="79">
        <v>10307.27</v>
      </c>
      <c r="L287" s="79">
        <v>8455.86</v>
      </c>
      <c r="M287" s="79">
        <v>88521.35</v>
      </c>
      <c r="N287" s="79">
        <v>14545.57</v>
      </c>
      <c r="O287" s="79">
        <v>9484.74</v>
      </c>
      <c r="P287" s="79">
        <v>19232.7599999999</v>
      </c>
      <c r="Q287" s="79">
        <v>44018.909999999902</v>
      </c>
      <c r="R287" s="79">
        <v>364.35</v>
      </c>
      <c r="S287" s="79">
        <v>8777.32</v>
      </c>
      <c r="T287" s="79">
        <v>22208.28</v>
      </c>
      <c r="U287" s="79">
        <v>43579.92</v>
      </c>
      <c r="AV287" s="76" t="s">
        <v>220</v>
      </c>
      <c r="AW287" s="76" t="s">
        <v>10</v>
      </c>
      <c r="AX287" s="33">
        <v>48</v>
      </c>
      <c r="AY287" s="33">
        <v>43</v>
      </c>
      <c r="AZ287" s="33">
        <v>34</v>
      </c>
      <c r="BB287" s="76" t="s">
        <v>220</v>
      </c>
      <c r="BC287" s="76" t="s">
        <v>10</v>
      </c>
      <c r="BD287" s="79">
        <v>22002.62</v>
      </c>
      <c r="BE287" s="79">
        <v>18823.88</v>
      </c>
      <c r="BF287" s="79">
        <v>22605.93</v>
      </c>
    </row>
    <row r="288" spans="2:58" x14ac:dyDescent="0.2">
      <c r="B288" s="59">
        <v>98283</v>
      </c>
      <c r="C288" s="38" t="s">
        <v>10</v>
      </c>
      <c r="D288" s="48">
        <v>52</v>
      </c>
      <c r="E288" s="48">
        <v>49</v>
      </c>
      <c r="F288" s="48">
        <v>53</v>
      </c>
      <c r="H288" s="76">
        <v>98283</v>
      </c>
      <c r="I288" s="76" t="s">
        <v>352</v>
      </c>
      <c r="J288" s="79">
        <v>588.22</v>
      </c>
      <c r="K288" s="79">
        <v>10978.74</v>
      </c>
      <c r="L288" s="79">
        <v>20216.599999999999</v>
      </c>
      <c r="M288" s="79">
        <v>37875.21</v>
      </c>
      <c r="N288" s="79">
        <v>5038.09</v>
      </c>
      <c r="O288" s="79">
        <v>16.32</v>
      </c>
      <c r="P288" s="79">
        <v>15859.039999999901</v>
      </c>
      <c r="Q288" s="79">
        <v>21052.01</v>
      </c>
      <c r="R288" s="79">
        <v>138.56</v>
      </c>
      <c r="S288" s="79">
        <v>4176.43</v>
      </c>
      <c r="T288" s="79">
        <v>8805.2099999999991</v>
      </c>
      <c r="U288" s="79">
        <v>18923.8299999999</v>
      </c>
      <c r="AV288" s="76" t="s">
        <v>221</v>
      </c>
      <c r="AW288" s="76" t="s">
        <v>352</v>
      </c>
      <c r="AX288" s="33">
        <v>5</v>
      </c>
      <c r="AY288" s="33">
        <v>11</v>
      </c>
      <c r="AZ288" s="33"/>
      <c r="BB288" s="76" t="s">
        <v>221</v>
      </c>
      <c r="BC288" s="76" t="s">
        <v>352</v>
      </c>
      <c r="BD288" s="79">
        <v>11532.99</v>
      </c>
      <c r="BE288" s="79">
        <v>5713.65</v>
      </c>
      <c r="BF288" s="79"/>
    </row>
    <row r="289" spans="2:58" x14ac:dyDescent="0.2">
      <c r="B289" s="86">
        <v>98284</v>
      </c>
      <c r="C289" s="38" t="s">
        <v>352</v>
      </c>
      <c r="D289" s="48">
        <v>107</v>
      </c>
      <c r="E289" s="48">
        <v>111</v>
      </c>
      <c r="F289" s="48">
        <v>100</v>
      </c>
      <c r="H289" s="76">
        <v>98283</v>
      </c>
      <c r="I289" s="76" t="s">
        <v>10</v>
      </c>
      <c r="J289" s="79">
        <v>3000.27</v>
      </c>
      <c r="K289" s="79">
        <v>7550.74</v>
      </c>
      <c r="L289" s="79">
        <v>13992.039999999901</v>
      </c>
      <c r="M289" s="79">
        <v>38433.9399999999</v>
      </c>
      <c r="N289" s="79">
        <v>6923.53</v>
      </c>
      <c r="O289" s="79">
        <v>2841</v>
      </c>
      <c r="P289" s="79">
        <v>17816.229999999901</v>
      </c>
      <c r="Q289" s="79">
        <v>31988.719999999899</v>
      </c>
      <c r="R289" s="79">
        <v>1436.93</v>
      </c>
      <c r="S289" s="79">
        <v>5258.57</v>
      </c>
      <c r="T289" s="79">
        <v>19768.400000000001</v>
      </c>
      <c r="U289" s="79">
        <v>36868.7599999999</v>
      </c>
      <c r="AV289" s="76" t="s">
        <v>221</v>
      </c>
      <c r="AW289" s="76" t="s">
        <v>10</v>
      </c>
      <c r="AX289" s="33">
        <v>23</v>
      </c>
      <c r="AY289" s="33">
        <v>26</v>
      </c>
      <c r="AZ289" s="33">
        <v>16</v>
      </c>
      <c r="BB289" s="76" t="s">
        <v>221</v>
      </c>
      <c r="BC289" s="76" t="s">
        <v>10</v>
      </c>
      <c r="BD289" s="79">
        <v>14676.94</v>
      </c>
      <c r="BE289" s="79">
        <v>31430.93</v>
      </c>
      <c r="BF289" s="79">
        <v>15310.87</v>
      </c>
    </row>
    <row r="290" spans="2:58" x14ac:dyDescent="0.2">
      <c r="B290" s="59">
        <v>98284</v>
      </c>
      <c r="C290" s="38" t="s">
        <v>10</v>
      </c>
      <c r="D290" s="48">
        <v>1581</v>
      </c>
      <c r="E290" s="48">
        <v>1637</v>
      </c>
      <c r="F290" s="48">
        <v>1578</v>
      </c>
      <c r="H290" s="76">
        <v>98284</v>
      </c>
      <c r="I290" s="76" t="s">
        <v>352</v>
      </c>
      <c r="J290" s="79">
        <v>24155.38</v>
      </c>
      <c r="K290" s="79">
        <v>22034.3</v>
      </c>
      <c r="L290" s="79">
        <v>149816.79999999999</v>
      </c>
      <c r="M290" s="79">
        <v>239853.68</v>
      </c>
      <c r="N290" s="79">
        <v>35337.82</v>
      </c>
      <c r="O290" s="79">
        <v>22870.52</v>
      </c>
      <c r="P290" s="79">
        <v>168534.89</v>
      </c>
      <c r="Q290" s="79">
        <v>277538.40999999898</v>
      </c>
      <c r="R290" s="79">
        <v>30632.25</v>
      </c>
      <c r="S290" s="79">
        <v>31298.15</v>
      </c>
      <c r="T290" s="79">
        <v>187313.33999999901</v>
      </c>
      <c r="U290" s="79">
        <v>279022.89</v>
      </c>
      <c r="AV290" s="76" t="s">
        <v>222</v>
      </c>
      <c r="AW290" s="76" t="s">
        <v>352</v>
      </c>
      <c r="AX290" s="33">
        <v>5</v>
      </c>
      <c r="AY290" s="33">
        <v>5</v>
      </c>
      <c r="AZ290" s="33">
        <v>3</v>
      </c>
      <c r="BB290" s="76" t="s">
        <v>222</v>
      </c>
      <c r="BC290" s="76" t="s">
        <v>352</v>
      </c>
      <c r="BD290" s="79">
        <v>209.9</v>
      </c>
      <c r="BE290" s="79">
        <v>1895.01</v>
      </c>
      <c r="BF290" s="79">
        <v>3613.78</v>
      </c>
    </row>
    <row r="291" spans="2:58" x14ac:dyDescent="0.2">
      <c r="B291" s="86">
        <v>98288</v>
      </c>
      <c r="C291" s="38" t="s">
        <v>352</v>
      </c>
      <c r="D291" s="48">
        <v>7</v>
      </c>
      <c r="E291" s="48">
        <v>7</v>
      </c>
      <c r="F291" s="48">
        <v>8</v>
      </c>
      <c r="H291" s="76">
        <v>98284</v>
      </c>
      <c r="I291" s="76" t="s">
        <v>10</v>
      </c>
      <c r="J291" s="79">
        <v>157154.01999999999</v>
      </c>
      <c r="K291" s="79">
        <v>117301.02</v>
      </c>
      <c r="L291" s="79">
        <v>350250.68</v>
      </c>
      <c r="M291" s="79">
        <v>877378.91999999899</v>
      </c>
      <c r="N291" s="79">
        <v>158394.31</v>
      </c>
      <c r="O291" s="79">
        <v>115593.48</v>
      </c>
      <c r="P291" s="79">
        <v>403945.78</v>
      </c>
      <c r="Q291" s="79">
        <v>907846.20999999903</v>
      </c>
      <c r="R291" s="79">
        <v>140926.07999999999</v>
      </c>
      <c r="S291" s="79">
        <v>118831.03</v>
      </c>
      <c r="T291" s="79">
        <v>442617.17</v>
      </c>
      <c r="U291" s="79">
        <v>885793.15</v>
      </c>
      <c r="AV291" s="76" t="s">
        <v>222</v>
      </c>
      <c r="AW291" s="76" t="s">
        <v>10</v>
      </c>
      <c r="AX291" s="33">
        <v>21</v>
      </c>
      <c r="AY291" s="33">
        <v>13</v>
      </c>
      <c r="AZ291" s="33">
        <v>13</v>
      </c>
      <c r="BB291" s="76" t="s">
        <v>222</v>
      </c>
      <c r="BC291" s="76" t="s">
        <v>10</v>
      </c>
      <c r="BD291" s="79">
        <v>16381.93</v>
      </c>
      <c r="BE291" s="79">
        <v>3212.38</v>
      </c>
      <c r="BF291" s="79">
        <v>6205.09</v>
      </c>
    </row>
    <row r="292" spans="2:58" x14ac:dyDescent="0.2">
      <c r="B292" s="59">
        <v>98288</v>
      </c>
      <c r="C292" s="38" t="s">
        <v>10</v>
      </c>
      <c r="D292" s="48">
        <v>34</v>
      </c>
      <c r="E292" s="48">
        <v>31</v>
      </c>
      <c r="F292" s="48">
        <v>34</v>
      </c>
      <c r="H292" s="76">
        <v>98288</v>
      </c>
      <c r="I292" s="76" t="s">
        <v>352</v>
      </c>
      <c r="J292" s="79">
        <v>909.79</v>
      </c>
      <c r="K292" s="79">
        <v>875.81</v>
      </c>
      <c r="L292" s="79">
        <v>309.94</v>
      </c>
      <c r="M292" s="79">
        <v>2667.0299999999902</v>
      </c>
      <c r="N292" s="79">
        <v>509.55</v>
      </c>
      <c r="O292" s="79">
        <v>35.409999999999997</v>
      </c>
      <c r="P292" s="79">
        <v>1185.75</v>
      </c>
      <c r="Q292" s="79">
        <v>5321.1199999999899</v>
      </c>
      <c r="R292" s="79">
        <v>3243.18</v>
      </c>
      <c r="S292" s="79">
        <v>50.68</v>
      </c>
      <c r="T292" s="79">
        <v>410.73</v>
      </c>
      <c r="U292" s="79">
        <v>7508.72</v>
      </c>
      <c r="AV292" s="76" t="s">
        <v>223</v>
      </c>
      <c r="AW292" s="76" t="s">
        <v>352</v>
      </c>
      <c r="AX292" s="33">
        <v>2</v>
      </c>
      <c r="AY292" s="33">
        <v>3</v>
      </c>
      <c r="AZ292" s="33">
        <v>3</v>
      </c>
      <c r="BB292" s="76" t="s">
        <v>223</v>
      </c>
      <c r="BC292" s="76" t="s">
        <v>352</v>
      </c>
      <c r="BD292" s="79">
        <v>779.77</v>
      </c>
      <c r="BE292" s="79">
        <v>1905.49</v>
      </c>
      <c r="BF292" s="79">
        <v>2179.56</v>
      </c>
    </row>
    <row r="293" spans="2:58" x14ac:dyDescent="0.2">
      <c r="B293" s="86">
        <v>98290</v>
      </c>
      <c r="C293" s="38" t="s">
        <v>352</v>
      </c>
      <c r="D293" s="48">
        <v>62</v>
      </c>
      <c r="E293" s="48">
        <v>89</v>
      </c>
      <c r="F293" s="48">
        <v>62</v>
      </c>
      <c r="H293" s="76">
        <v>98288</v>
      </c>
      <c r="I293" s="76" t="s">
        <v>10</v>
      </c>
      <c r="J293" s="79">
        <v>3204.21</v>
      </c>
      <c r="K293" s="79">
        <v>2076.89</v>
      </c>
      <c r="L293" s="79">
        <v>8380.58</v>
      </c>
      <c r="M293" s="79">
        <v>22056.019999999899</v>
      </c>
      <c r="N293" s="79">
        <v>4469.03</v>
      </c>
      <c r="O293" s="79">
        <v>2231.5700000000002</v>
      </c>
      <c r="P293" s="79">
        <v>9074.18</v>
      </c>
      <c r="Q293" s="79">
        <v>21141.839999999898</v>
      </c>
      <c r="R293" s="79">
        <v>2849.85</v>
      </c>
      <c r="S293" s="79">
        <v>3505.95</v>
      </c>
      <c r="T293" s="79">
        <v>10048.61</v>
      </c>
      <c r="U293" s="79">
        <v>20534.7399999999</v>
      </c>
      <c r="AV293" s="76" t="s">
        <v>223</v>
      </c>
      <c r="AW293" s="76" t="s">
        <v>10</v>
      </c>
      <c r="AX293" s="33">
        <v>27</v>
      </c>
      <c r="AY293" s="33">
        <v>26</v>
      </c>
      <c r="AZ293" s="33">
        <v>27</v>
      </c>
      <c r="BB293" s="76" t="s">
        <v>223</v>
      </c>
      <c r="BC293" s="76" t="s">
        <v>10</v>
      </c>
      <c r="BD293" s="79">
        <v>7586.35</v>
      </c>
      <c r="BE293" s="79">
        <v>9936.99</v>
      </c>
      <c r="BF293" s="79">
        <v>36738.94</v>
      </c>
    </row>
    <row r="294" spans="2:58" x14ac:dyDescent="0.2">
      <c r="B294" s="59">
        <v>98290</v>
      </c>
      <c r="C294" s="38" t="s">
        <v>10</v>
      </c>
      <c r="D294" s="48">
        <v>496</v>
      </c>
      <c r="E294" s="48">
        <v>500</v>
      </c>
      <c r="F294" s="48">
        <v>505</v>
      </c>
      <c r="H294" s="76">
        <v>98290</v>
      </c>
      <c r="I294" s="76" t="s">
        <v>352</v>
      </c>
      <c r="J294" s="79">
        <v>13330.33</v>
      </c>
      <c r="K294" s="79">
        <v>7403.56</v>
      </c>
      <c r="L294" s="79">
        <v>3911.95999999999</v>
      </c>
      <c r="M294" s="79">
        <v>61835.28</v>
      </c>
      <c r="N294" s="79">
        <v>18221.16</v>
      </c>
      <c r="O294" s="79">
        <v>1995.59</v>
      </c>
      <c r="P294" s="79">
        <v>7196.15</v>
      </c>
      <c r="Q294" s="79">
        <v>51632.77</v>
      </c>
      <c r="R294" s="79">
        <v>8270.56</v>
      </c>
      <c r="S294" s="79">
        <v>13049.4</v>
      </c>
      <c r="T294" s="79">
        <v>4338.49</v>
      </c>
      <c r="U294" s="79">
        <v>38872.29</v>
      </c>
      <c r="AV294" s="76" t="s">
        <v>224</v>
      </c>
      <c r="AW294" s="76" t="s">
        <v>352</v>
      </c>
      <c r="AX294" s="33">
        <v>2</v>
      </c>
      <c r="AY294" s="33">
        <v>3</v>
      </c>
      <c r="AZ294" s="33">
        <v>1</v>
      </c>
      <c r="BB294" s="76" t="s">
        <v>224</v>
      </c>
      <c r="BC294" s="76" t="s">
        <v>352</v>
      </c>
      <c r="BD294" s="79">
        <v>430.08</v>
      </c>
      <c r="BE294" s="79">
        <v>881.03</v>
      </c>
      <c r="BF294" s="79"/>
    </row>
    <row r="295" spans="2:58" x14ac:dyDescent="0.2">
      <c r="B295" s="86">
        <v>98292</v>
      </c>
      <c r="C295" s="38" t="s">
        <v>352</v>
      </c>
      <c r="D295" s="48">
        <v>4</v>
      </c>
      <c r="E295" s="48">
        <v>3</v>
      </c>
      <c r="F295" s="48">
        <v>3</v>
      </c>
      <c r="H295" s="76">
        <v>98290</v>
      </c>
      <c r="I295" s="76" t="s">
        <v>10</v>
      </c>
      <c r="J295" s="79">
        <v>24157.21</v>
      </c>
      <c r="K295" s="79">
        <v>15442.7</v>
      </c>
      <c r="L295" s="79">
        <v>49742.45</v>
      </c>
      <c r="M295" s="79">
        <v>136993.34999999899</v>
      </c>
      <c r="N295" s="79">
        <v>20727.77</v>
      </c>
      <c r="O295" s="79">
        <v>17975.59</v>
      </c>
      <c r="P295" s="79">
        <v>54710.66</v>
      </c>
      <c r="Q295" s="79">
        <v>132799.59999999899</v>
      </c>
      <c r="R295" s="79">
        <v>16233.08</v>
      </c>
      <c r="S295" s="79">
        <v>14291.14</v>
      </c>
      <c r="T295" s="79">
        <v>61575.45</v>
      </c>
      <c r="U295" s="79">
        <v>121634.01</v>
      </c>
      <c r="AV295" s="76" t="s">
        <v>224</v>
      </c>
      <c r="AW295" s="76" t="s">
        <v>10</v>
      </c>
      <c r="AX295" s="33">
        <v>44</v>
      </c>
      <c r="AY295" s="33">
        <v>43</v>
      </c>
      <c r="AZ295" s="33">
        <v>48</v>
      </c>
      <c r="BB295" s="76" t="s">
        <v>224</v>
      </c>
      <c r="BC295" s="76" t="s">
        <v>10</v>
      </c>
      <c r="BD295" s="79">
        <v>24311.34</v>
      </c>
      <c r="BE295" s="79">
        <v>21433.52</v>
      </c>
      <c r="BF295" s="79">
        <v>24014.41</v>
      </c>
    </row>
    <row r="296" spans="2:58" x14ac:dyDescent="0.2">
      <c r="B296" s="59">
        <v>98292</v>
      </c>
      <c r="C296" s="38" t="s">
        <v>10</v>
      </c>
      <c r="D296" s="48">
        <v>64</v>
      </c>
      <c r="E296" s="48">
        <v>56</v>
      </c>
      <c r="F296" s="48">
        <v>56</v>
      </c>
      <c r="H296" s="76">
        <v>98292</v>
      </c>
      <c r="I296" s="76" t="s">
        <v>352</v>
      </c>
      <c r="J296" s="79">
        <v>14.69</v>
      </c>
      <c r="K296" s="79">
        <v>316.66000000000003</v>
      </c>
      <c r="L296" s="79">
        <v>980.36</v>
      </c>
      <c r="M296" s="79">
        <v>1901.56</v>
      </c>
      <c r="N296" s="79">
        <v>375.68</v>
      </c>
      <c r="O296" s="79">
        <v>14.69</v>
      </c>
      <c r="P296" s="79">
        <v>1297.02</v>
      </c>
      <c r="Q296" s="79">
        <v>1702.07</v>
      </c>
      <c r="R296" s="79">
        <v>14.68</v>
      </c>
      <c r="S296" s="79">
        <v>375.68</v>
      </c>
      <c r="T296" s="79">
        <v>1311.71</v>
      </c>
      <c r="U296" s="79">
        <v>2008.83</v>
      </c>
      <c r="AV296" s="76" t="s">
        <v>225</v>
      </c>
      <c r="AW296" s="76" t="s">
        <v>352</v>
      </c>
      <c r="AX296" s="33">
        <v>1</v>
      </c>
      <c r="AY296" s="33"/>
      <c r="AZ296" s="33"/>
      <c r="BB296" s="76" t="s">
        <v>225</v>
      </c>
      <c r="BC296" s="76" t="s">
        <v>352</v>
      </c>
      <c r="BD296" s="79">
        <v>1342.3</v>
      </c>
      <c r="BE296" s="79"/>
      <c r="BF296" s="79"/>
    </row>
    <row r="297" spans="2:58" x14ac:dyDescent="0.2">
      <c r="B297" s="86">
        <v>98294</v>
      </c>
      <c r="C297" s="38" t="s">
        <v>352</v>
      </c>
      <c r="D297" s="48">
        <v>16</v>
      </c>
      <c r="E297" s="48">
        <v>5</v>
      </c>
      <c r="F297" s="48">
        <v>4</v>
      </c>
      <c r="H297" s="76">
        <v>98292</v>
      </c>
      <c r="I297" s="76" t="s">
        <v>10</v>
      </c>
      <c r="J297" s="79">
        <v>3244.42</v>
      </c>
      <c r="K297" s="79">
        <v>2360.92</v>
      </c>
      <c r="L297" s="79">
        <v>11208.95</v>
      </c>
      <c r="M297" s="79">
        <v>26996.55</v>
      </c>
      <c r="N297" s="79">
        <v>4319.12</v>
      </c>
      <c r="O297" s="79">
        <v>1470.15</v>
      </c>
      <c r="P297" s="79">
        <v>12191.44</v>
      </c>
      <c r="Q297" s="79">
        <v>23833.31</v>
      </c>
      <c r="R297" s="79">
        <v>2314.7800000000002</v>
      </c>
      <c r="S297" s="79">
        <v>1818.11</v>
      </c>
      <c r="T297" s="79">
        <v>12758.44</v>
      </c>
      <c r="U297" s="79">
        <v>22634.01</v>
      </c>
      <c r="AV297" s="76" t="s">
        <v>225</v>
      </c>
      <c r="AW297" s="76" t="s">
        <v>10</v>
      </c>
      <c r="AX297" s="33">
        <v>29</v>
      </c>
      <c r="AY297" s="33">
        <v>39</v>
      </c>
      <c r="AZ297" s="33">
        <v>39</v>
      </c>
      <c r="BB297" s="76" t="s">
        <v>225</v>
      </c>
      <c r="BC297" s="76" t="s">
        <v>10</v>
      </c>
      <c r="BD297" s="79">
        <v>11046.77</v>
      </c>
      <c r="BE297" s="79">
        <v>24065.15</v>
      </c>
      <c r="BF297" s="79">
        <v>13416.37</v>
      </c>
    </row>
    <row r="298" spans="2:58" x14ac:dyDescent="0.2">
      <c r="B298" s="59">
        <v>98294</v>
      </c>
      <c r="C298" s="38" t="s">
        <v>10</v>
      </c>
      <c r="D298" s="48">
        <v>341</v>
      </c>
      <c r="E298" s="48">
        <v>243</v>
      </c>
      <c r="F298" s="48">
        <v>247</v>
      </c>
      <c r="H298" s="76">
        <v>98294</v>
      </c>
      <c r="I298" s="76" t="s">
        <v>352</v>
      </c>
      <c r="J298" s="79">
        <v>648.65</v>
      </c>
      <c r="K298" s="79"/>
      <c r="L298" s="79">
        <v>227.08</v>
      </c>
      <c r="M298" s="79">
        <v>5880.3799999999901</v>
      </c>
      <c r="N298" s="79">
        <v>328.28</v>
      </c>
      <c r="O298" s="79">
        <v>397.83</v>
      </c>
      <c r="P298" s="79">
        <v>4.38</v>
      </c>
      <c r="Q298" s="79">
        <v>1512.35</v>
      </c>
      <c r="R298" s="79">
        <v>132.66999999999999</v>
      </c>
      <c r="S298" s="79"/>
      <c r="T298" s="79"/>
      <c r="U298" s="79">
        <v>1268.8499999999999</v>
      </c>
      <c r="AV298" s="76" t="s">
        <v>226</v>
      </c>
      <c r="AW298" s="76" t="s">
        <v>352</v>
      </c>
      <c r="AX298" s="33">
        <v>1</v>
      </c>
      <c r="AY298" s="33">
        <v>2</v>
      </c>
      <c r="AZ298" s="33">
        <v>1</v>
      </c>
      <c r="BB298" s="76" t="s">
        <v>226</v>
      </c>
      <c r="BC298" s="76" t="s">
        <v>352</v>
      </c>
      <c r="BD298" s="79">
        <v>137.93</v>
      </c>
      <c r="BE298" s="79">
        <v>135.56</v>
      </c>
      <c r="BF298" s="79">
        <v>1751.4</v>
      </c>
    </row>
    <row r="299" spans="2:58" x14ac:dyDescent="0.2">
      <c r="B299" s="86">
        <v>98295</v>
      </c>
      <c r="C299" s="38" t="s">
        <v>352</v>
      </c>
      <c r="D299" s="48">
        <v>16</v>
      </c>
      <c r="E299" s="48">
        <v>10</v>
      </c>
      <c r="F299" s="48">
        <v>9</v>
      </c>
      <c r="H299" s="76">
        <v>98294</v>
      </c>
      <c r="I299" s="76" t="s">
        <v>10</v>
      </c>
      <c r="J299" s="79">
        <v>19812.509999999998</v>
      </c>
      <c r="K299" s="79">
        <v>10133.959999999999</v>
      </c>
      <c r="L299" s="79">
        <v>32485.529999999901</v>
      </c>
      <c r="M299" s="79">
        <v>88400.34</v>
      </c>
      <c r="N299" s="79">
        <v>14015.71</v>
      </c>
      <c r="O299" s="79">
        <v>11075.31</v>
      </c>
      <c r="P299" s="79">
        <v>43382.879999999997</v>
      </c>
      <c r="Q299" s="79">
        <v>78268.269999999902</v>
      </c>
      <c r="R299" s="79">
        <v>5348.57</v>
      </c>
      <c r="S299" s="79">
        <v>10443.469999999999</v>
      </c>
      <c r="T299" s="79">
        <v>48530.099999999897</v>
      </c>
      <c r="U299" s="79">
        <v>77462.350000000006</v>
      </c>
      <c r="AV299" s="76" t="s">
        <v>226</v>
      </c>
      <c r="AW299" s="76" t="s">
        <v>10</v>
      </c>
      <c r="AX299" s="33">
        <v>36</v>
      </c>
      <c r="AY299" s="33">
        <v>40</v>
      </c>
      <c r="AZ299" s="33">
        <v>47</v>
      </c>
      <c r="BB299" s="76" t="s">
        <v>226</v>
      </c>
      <c r="BC299" s="76" t="s">
        <v>10</v>
      </c>
      <c r="BD299" s="79">
        <v>46414.21</v>
      </c>
      <c r="BE299" s="79">
        <v>35498.959999999999</v>
      </c>
      <c r="BF299" s="79">
        <v>26123.96</v>
      </c>
    </row>
    <row r="300" spans="2:58" x14ac:dyDescent="0.2">
      <c r="B300" s="59">
        <v>98295</v>
      </c>
      <c r="C300" s="38" t="s">
        <v>10</v>
      </c>
      <c r="D300" s="48">
        <v>73</v>
      </c>
      <c r="E300" s="48">
        <v>86</v>
      </c>
      <c r="F300" s="48">
        <v>80</v>
      </c>
      <c r="H300" s="76">
        <v>98295</v>
      </c>
      <c r="I300" s="76" t="s">
        <v>352</v>
      </c>
      <c r="J300" s="79">
        <v>45706.98</v>
      </c>
      <c r="K300" s="79"/>
      <c r="L300" s="79">
        <v>266395.53000000003</v>
      </c>
      <c r="M300" s="79">
        <v>337221.85</v>
      </c>
      <c r="N300" s="79">
        <v>24531.83</v>
      </c>
      <c r="O300" s="79">
        <v>44703.15</v>
      </c>
      <c r="P300" s="79">
        <v>244743.88</v>
      </c>
      <c r="Q300" s="79">
        <v>336655.97</v>
      </c>
      <c r="R300" s="79">
        <v>22522.68</v>
      </c>
      <c r="S300" s="79">
        <v>23651.63</v>
      </c>
      <c r="T300" s="79">
        <v>267538.43</v>
      </c>
      <c r="U300" s="79">
        <v>335892.68</v>
      </c>
      <c r="AV300" s="76" t="s">
        <v>227</v>
      </c>
      <c r="AW300" s="76" t="s">
        <v>10</v>
      </c>
      <c r="AX300" s="33">
        <v>13</v>
      </c>
      <c r="AY300" s="33">
        <v>20</v>
      </c>
      <c r="AZ300" s="33">
        <v>22</v>
      </c>
      <c r="BB300" s="76" t="s">
        <v>227</v>
      </c>
      <c r="BC300" s="76" t="s">
        <v>10</v>
      </c>
      <c r="BD300" s="79">
        <v>6354.95</v>
      </c>
      <c r="BE300" s="79">
        <v>19562.37</v>
      </c>
      <c r="BF300" s="79">
        <v>12997.32</v>
      </c>
    </row>
    <row r="301" spans="2:58" x14ac:dyDescent="0.2">
      <c r="B301" s="86">
        <v>98296</v>
      </c>
      <c r="C301" s="38" t="s">
        <v>352</v>
      </c>
      <c r="D301" s="48">
        <v>7</v>
      </c>
      <c r="E301" s="48">
        <v>6</v>
      </c>
      <c r="F301" s="48">
        <v>6</v>
      </c>
      <c r="H301" s="76">
        <v>98295</v>
      </c>
      <c r="I301" s="76" t="s">
        <v>10</v>
      </c>
      <c r="J301" s="79">
        <v>6121.52</v>
      </c>
      <c r="K301" s="79">
        <v>5194.3500000000004</v>
      </c>
      <c r="L301" s="79">
        <v>10824.36</v>
      </c>
      <c r="M301" s="79">
        <v>43067.79</v>
      </c>
      <c r="N301" s="79">
        <v>14583.76</v>
      </c>
      <c r="O301" s="79">
        <v>4418.09</v>
      </c>
      <c r="P301" s="79">
        <v>14046.62</v>
      </c>
      <c r="Q301" s="79">
        <v>44951.809999999903</v>
      </c>
      <c r="R301" s="79">
        <v>5393.13</v>
      </c>
      <c r="S301" s="79">
        <v>6910.07</v>
      </c>
      <c r="T301" s="79">
        <v>14950.3</v>
      </c>
      <c r="U301" s="79">
        <v>39138.739999999903</v>
      </c>
      <c r="AV301" s="76" t="s">
        <v>228</v>
      </c>
      <c r="AW301" s="76" t="s">
        <v>352</v>
      </c>
      <c r="AX301" s="33">
        <v>1</v>
      </c>
      <c r="AY301" s="33"/>
      <c r="AZ301" s="33">
        <v>1</v>
      </c>
      <c r="BB301" s="76" t="s">
        <v>228</v>
      </c>
      <c r="BC301" s="76" t="s">
        <v>352</v>
      </c>
      <c r="BD301" s="79">
        <v>40.29</v>
      </c>
      <c r="BE301" s="79"/>
      <c r="BF301" s="79">
        <v>1505.94</v>
      </c>
    </row>
    <row r="302" spans="2:58" x14ac:dyDescent="0.2">
      <c r="B302" s="59">
        <v>98296</v>
      </c>
      <c r="C302" s="38" t="s">
        <v>10</v>
      </c>
      <c r="D302" s="48">
        <v>399</v>
      </c>
      <c r="E302" s="48">
        <v>427</v>
      </c>
      <c r="F302" s="48">
        <v>393</v>
      </c>
      <c r="H302" s="76">
        <v>98296</v>
      </c>
      <c r="I302" s="76" t="s">
        <v>352</v>
      </c>
      <c r="J302" s="79">
        <v>386.18</v>
      </c>
      <c r="K302" s="79">
        <v>342.16</v>
      </c>
      <c r="L302" s="79">
        <v>180.85</v>
      </c>
      <c r="M302" s="79">
        <v>6029.3</v>
      </c>
      <c r="N302" s="79">
        <v>93.52</v>
      </c>
      <c r="O302" s="79">
        <v>402.72</v>
      </c>
      <c r="P302" s="79"/>
      <c r="Q302" s="79">
        <v>4453.8999999999996</v>
      </c>
      <c r="R302" s="79">
        <v>206.07</v>
      </c>
      <c r="S302" s="79">
        <v>93.52</v>
      </c>
      <c r="T302" s="79">
        <v>402.72</v>
      </c>
      <c r="U302" s="79">
        <v>4237.6000000000004</v>
      </c>
      <c r="AV302" s="76" t="s">
        <v>228</v>
      </c>
      <c r="AW302" s="76" t="s">
        <v>10</v>
      </c>
      <c r="AX302" s="33">
        <v>4</v>
      </c>
      <c r="AY302" s="33">
        <v>4</v>
      </c>
      <c r="AZ302" s="33">
        <v>3</v>
      </c>
      <c r="BB302" s="76" t="s">
        <v>228</v>
      </c>
      <c r="BC302" s="76" t="s">
        <v>10</v>
      </c>
      <c r="BD302" s="79">
        <v>11082.08</v>
      </c>
      <c r="BE302" s="79">
        <v>4395.01</v>
      </c>
      <c r="BF302" s="79">
        <v>6966.5</v>
      </c>
    </row>
    <row r="303" spans="2:58" x14ac:dyDescent="0.2">
      <c r="B303" s="86">
        <v>98310</v>
      </c>
      <c r="C303" s="38" t="s">
        <v>352</v>
      </c>
      <c r="D303" s="48">
        <v>146</v>
      </c>
      <c r="E303" s="48">
        <v>123</v>
      </c>
      <c r="F303" s="48">
        <v>142</v>
      </c>
      <c r="H303" s="76">
        <v>98296</v>
      </c>
      <c r="I303" s="76" t="s">
        <v>10</v>
      </c>
      <c r="J303" s="79">
        <v>23943.31</v>
      </c>
      <c r="K303" s="79">
        <v>19511.04</v>
      </c>
      <c r="L303" s="79">
        <v>39159.24</v>
      </c>
      <c r="M303" s="79">
        <v>137421.38</v>
      </c>
      <c r="N303" s="79">
        <v>25979.14</v>
      </c>
      <c r="O303" s="79">
        <v>18030.46</v>
      </c>
      <c r="P303" s="79">
        <v>45344.169999999896</v>
      </c>
      <c r="Q303" s="79">
        <v>129566.46</v>
      </c>
      <c r="R303" s="79">
        <v>20500.669999999998</v>
      </c>
      <c r="S303" s="79">
        <v>14510.54</v>
      </c>
      <c r="T303" s="79">
        <v>50528.82</v>
      </c>
      <c r="U303" s="79">
        <v>115543.819999999</v>
      </c>
      <c r="AV303" s="76" t="s">
        <v>229</v>
      </c>
      <c r="AW303" s="76" t="s">
        <v>352</v>
      </c>
      <c r="AX303" s="33">
        <v>1</v>
      </c>
      <c r="AY303" s="33">
        <v>3</v>
      </c>
      <c r="AZ303" s="33">
        <v>1</v>
      </c>
      <c r="BB303" s="76" t="s">
        <v>229</v>
      </c>
      <c r="BC303" s="76" t="s">
        <v>352</v>
      </c>
      <c r="BD303" s="79"/>
      <c r="BE303" s="79">
        <v>11554.55</v>
      </c>
      <c r="BF303" s="79"/>
    </row>
    <row r="304" spans="2:58" x14ac:dyDescent="0.2">
      <c r="B304" s="59">
        <v>98310</v>
      </c>
      <c r="C304" s="38" t="s">
        <v>10</v>
      </c>
      <c r="D304" s="48">
        <v>2166</v>
      </c>
      <c r="E304" s="48">
        <v>2127</v>
      </c>
      <c r="F304" s="48">
        <v>2144</v>
      </c>
      <c r="H304" s="76">
        <v>98310</v>
      </c>
      <c r="I304" s="76" t="s">
        <v>352</v>
      </c>
      <c r="J304" s="79">
        <v>9444.76</v>
      </c>
      <c r="K304" s="79">
        <v>7761.53</v>
      </c>
      <c r="L304" s="79">
        <v>37743.019999999997</v>
      </c>
      <c r="M304" s="79">
        <v>78530.78</v>
      </c>
      <c r="N304" s="79">
        <v>9201.2800000000007</v>
      </c>
      <c r="O304" s="79">
        <v>7757.39</v>
      </c>
      <c r="P304" s="79">
        <v>44303.56</v>
      </c>
      <c r="Q304" s="79">
        <v>82532.6899999999</v>
      </c>
      <c r="R304" s="79">
        <v>9079.2199999999993</v>
      </c>
      <c r="S304" s="79">
        <v>6388.2</v>
      </c>
      <c r="T304" s="79">
        <v>48154.71</v>
      </c>
      <c r="U304" s="79">
        <v>102062.179999999</v>
      </c>
      <c r="AV304" s="76" t="s">
        <v>229</v>
      </c>
      <c r="AW304" s="76" t="s">
        <v>10</v>
      </c>
      <c r="AX304" s="33">
        <v>23</v>
      </c>
      <c r="AY304" s="33">
        <v>29</v>
      </c>
      <c r="AZ304" s="33">
        <v>30</v>
      </c>
      <c r="BB304" s="76" t="s">
        <v>229</v>
      </c>
      <c r="BC304" s="76" t="s">
        <v>10</v>
      </c>
      <c r="BD304" s="79">
        <v>7633.16</v>
      </c>
      <c r="BE304" s="79">
        <v>10203.6</v>
      </c>
      <c r="BF304" s="79">
        <v>13559.25</v>
      </c>
    </row>
    <row r="305" spans="2:58" x14ac:dyDescent="0.2">
      <c r="B305" s="86">
        <v>98311</v>
      </c>
      <c r="C305" s="38" t="s">
        <v>352</v>
      </c>
      <c r="D305" s="48">
        <v>150</v>
      </c>
      <c r="E305" s="48">
        <v>130</v>
      </c>
      <c r="F305" s="48">
        <v>118</v>
      </c>
      <c r="H305" s="76">
        <v>98310</v>
      </c>
      <c r="I305" s="76" t="s">
        <v>10</v>
      </c>
      <c r="J305" s="79">
        <v>145949.10999999999</v>
      </c>
      <c r="K305" s="79">
        <v>118997.77</v>
      </c>
      <c r="L305" s="79">
        <v>367347.53</v>
      </c>
      <c r="M305" s="79">
        <v>868470.799999999</v>
      </c>
      <c r="N305" s="79">
        <v>135467.74</v>
      </c>
      <c r="O305" s="79">
        <v>111204.85</v>
      </c>
      <c r="P305" s="79">
        <v>413963.24</v>
      </c>
      <c r="Q305" s="79">
        <v>866111.49999999802</v>
      </c>
      <c r="R305" s="79">
        <v>131231.69</v>
      </c>
      <c r="S305" s="79">
        <v>110271.45</v>
      </c>
      <c r="T305" s="79">
        <v>443886.06</v>
      </c>
      <c r="U305" s="79">
        <v>850912.30999999901</v>
      </c>
      <c r="AV305" s="76" t="s">
        <v>231</v>
      </c>
      <c r="AW305" s="76" t="s">
        <v>352</v>
      </c>
      <c r="AX305" s="33"/>
      <c r="AY305" s="33">
        <v>1</v>
      </c>
      <c r="AZ305" s="33"/>
      <c r="BB305" s="76" t="s">
        <v>231</v>
      </c>
      <c r="BC305" s="76" t="s">
        <v>352</v>
      </c>
      <c r="BD305" s="79"/>
      <c r="BE305" s="79">
        <v>72.430000000000007</v>
      </c>
      <c r="BF305" s="79"/>
    </row>
    <row r="306" spans="2:58" x14ac:dyDescent="0.2">
      <c r="B306" s="59">
        <v>98311</v>
      </c>
      <c r="C306" s="38" t="s">
        <v>10</v>
      </c>
      <c r="D306" s="48">
        <v>1818</v>
      </c>
      <c r="E306" s="48">
        <v>1851</v>
      </c>
      <c r="F306" s="48">
        <v>1796</v>
      </c>
      <c r="H306" s="76">
        <v>98311</v>
      </c>
      <c r="I306" s="76" t="s">
        <v>352</v>
      </c>
      <c r="J306" s="79">
        <v>5656.4</v>
      </c>
      <c r="K306" s="79">
        <v>1919.9</v>
      </c>
      <c r="L306" s="79">
        <v>13705.45</v>
      </c>
      <c r="M306" s="79">
        <v>120243.789999999</v>
      </c>
      <c r="N306" s="79">
        <v>4259.75</v>
      </c>
      <c r="O306" s="79">
        <v>2953.43</v>
      </c>
      <c r="P306" s="79">
        <v>14770.7699999999</v>
      </c>
      <c r="Q306" s="79">
        <v>109230.7</v>
      </c>
      <c r="R306" s="79">
        <v>4770.24</v>
      </c>
      <c r="S306" s="79">
        <v>2244.25</v>
      </c>
      <c r="T306" s="79">
        <v>15940.2299999999</v>
      </c>
      <c r="U306" s="79">
        <v>99935.88</v>
      </c>
      <c r="AV306" s="76" t="s">
        <v>231</v>
      </c>
      <c r="AW306" s="76" t="s">
        <v>10</v>
      </c>
      <c r="AX306" s="33">
        <v>26</v>
      </c>
      <c r="AY306" s="33">
        <v>20</v>
      </c>
      <c r="AZ306" s="33">
        <v>27</v>
      </c>
      <c r="BB306" s="76" t="s">
        <v>231</v>
      </c>
      <c r="BC306" s="76" t="s">
        <v>10</v>
      </c>
      <c r="BD306" s="79">
        <v>9721.01</v>
      </c>
      <c r="BE306" s="79">
        <v>7943.74</v>
      </c>
      <c r="BF306" s="79">
        <v>11164.82</v>
      </c>
    </row>
    <row r="307" spans="2:58" x14ac:dyDescent="0.2">
      <c r="B307" s="86">
        <v>98312</v>
      </c>
      <c r="C307" s="38" t="s">
        <v>352</v>
      </c>
      <c r="D307" s="48">
        <v>263</v>
      </c>
      <c r="E307" s="48">
        <v>235</v>
      </c>
      <c r="F307" s="48">
        <v>263</v>
      </c>
      <c r="H307" s="76">
        <v>98311</v>
      </c>
      <c r="I307" s="76" t="s">
        <v>10</v>
      </c>
      <c r="J307" s="79">
        <v>137693.53</v>
      </c>
      <c r="K307" s="79">
        <v>108956.28</v>
      </c>
      <c r="L307" s="79">
        <v>377725.5</v>
      </c>
      <c r="M307" s="79">
        <v>850389.83</v>
      </c>
      <c r="N307" s="79">
        <v>133853.10999999999</v>
      </c>
      <c r="O307" s="79">
        <v>107047.72</v>
      </c>
      <c r="P307" s="79">
        <v>431440.49</v>
      </c>
      <c r="Q307" s="79">
        <v>885229.03999999899</v>
      </c>
      <c r="R307" s="79">
        <v>125278.85</v>
      </c>
      <c r="S307" s="79">
        <v>101918.81</v>
      </c>
      <c r="T307" s="79">
        <v>447584.8</v>
      </c>
      <c r="U307" s="79">
        <v>840113.88</v>
      </c>
      <c r="AV307" s="76" t="s">
        <v>232</v>
      </c>
      <c r="AW307" s="76" t="s">
        <v>10</v>
      </c>
      <c r="AX307" s="33"/>
      <c r="AY307" s="33">
        <v>2</v>
      </c>
      <c r="AZ307" s="33">
        <v>1</v>
      </c>
      <c r="BB307" s="76" t="s">
        <v>232</v>
      </c>
      <c r="BC307" s="76" t="s">
        <v>10</v>
      </c>
      <c r="BD307" s="79"/>
      <c r="BE307" s="79">
        <v>874.12</v>
      </c>
      <c r="BF307" s="79">
        <v>438.11</v>
      </c>
    </row>
    <row r="308" spans="2:58" x14ac:dyDescent="0.2">
      <c r="B308" s="59">
        <v>98312</v>
      </c>
      <c r="C308" s="38" t="s">
        <v>10</v>
      </c>
      <c r="D308" s="48">
        <v>2874</v>
      </c>
      <c r="E308" s="48">
        <v>2817</v>
      </c>
      <c r="F308" s="48">
        <v>2861</v>
      </c>
      <c r="H308" s="76">
        <v>98312</v>
      </c>
      <c r="I308" s="76" t="s">
        <v>352</v>
      </c>
      <c r="J308" s="79">
        <v>48464.24</v>
      </c>
      <c r="K308" s="79">
        <v>34709.81</v>
      </c>
      <c r="L308" s="79">
        <v>157716.37</v>
      </c>
      <c r="M308" s="79">
        <v>426424.68</v>
      </c>
      <c r="N308" s="79">
        <v>35777.620000000003</v>
      </c>
      <c r="O308" s="79">
        <v>33581.89</v>
      </c>
      <c r="P308" s="79">
        <v>169107.86999999901</v>
      </c>
      <c r="Q308" s="79">
        <v>412662.45</v>
      </c>
      <c r="R308" s="79">
        <v>38656.79</v>
      </c>
      <c r="S308" s="79">
        <v>25080.14</v>
      </c>
      <c r="T308" s="79">
        <v>179124.17</v>
      </c>
      <c r="U308" s="79">
        <v>314000.06999999902</v>
      </c>
      <c r="AV308" s="76" t="s">
        <v>233</v>
      </c>
      <c r="AW308" s="76" t="s">
        <v>352</v>
      </c>
      <c r="AX308" s="33">
        <v>2</v>
      </c>
      <c r="AY308" s="33">
        <v>1</v>
      </c>
      <c r="AZ308" s="33">
        <v>2</v>
      </c>
      <c r="BB308" s="76" t="s">
        <v>233</v>
      </c>
      <c r="BC308" s="76" t="s">
        <v>352</v>
      </c>
      <c r="BD308" s="79">
        <v>11918.17</v>
      </c>
      <c r="BE308" s="79"/>
      <c r="BF308" s="79">
        <v>1831.3999999999999</v>
      </c>
    </row>
    <row r="309" spans="2:58" x14ac:dyDescent="0.2">
      <c r="B309" s="86">
        <v>98314</v>
      </c>
      <c r="C309" s="38" t="s">
        <v>352</v>
      </c>
      <c r="D309" s="48">
        <v>1</v>
      </c>
      <c r="E309" s="48">
        <v>1</v>
      </c>
      <c r="F309" s="48">
        <v>1</v>
      </c>
      <c r="H309" s="76">
        <v>98312</v>
      </c>
      <c r="I309" s="76" t="s">
        <v>10</v>
      </c>
      <c r="J309" s="79">
        <v>229834.96</v>
      </c>
      <c r="K309" s="79">
        <v>196364.97</v>
      </c>
      <c r="L309" s="79">
        <v>695254.86</v>
      </c>
      <c r="M309" s="79">
        <v>1508002.78999999</v>
      </c>
      <c r="N309" s="79">
        <v>237059.56</v>
      </c>
      <c r="O309" s="79">
        <v>173960.11</v>
      </c>
      <c r="P309" s="79">
        <v>783890.74</v>
      </c>
      <c r="Q309" s="79">
        <v>1515994.99999999</v>
      </c>
      <c r="R309" s="79">
        <v>209082.47</v>
      </c>
      <c r="S309" s="79">
        <v>180579.77</v>
      </c>
      <c r="T309" s="79">
        <v>854608.34999999905</v>
      </c>
      <c r="U309" s="79">
        <v>1544576.89</v>
      </c>
      <c r="AV309" s="76" t="s">
        <v>233</v>
      </c>
      <c r="AW309" s="76" t="s">
        <v>10</v>
      </c>
      <c r="AX309" s="33">
        <v>16</v>
      </c>
      <c r="AY309" s="33">
        <v>18</v>
      </c>
      <c r="AZ309" s="33">
        <v>22</v>
      </c>
      <c r="BB309" s="76" t="s">
        <v>233</v>
      </c>
      <c r="BC309" s="76" t="s">
        <v>10</v>
      </c>
      <c r="BD309" s="79">
        <v>2881.23</v>
      </c>
      <c r="BE309" s="79">
        <v>8802.51</v>
      </c>
      <c r="BF309" s="79">
        <v>9599.66</v>
      </c>
    </row>
    <row r="310" spans="2:58" x14ac:dyDescent="0.2">
      <c r="B310" s="59">
        <v>98321</v>
      </c>
      <c r="C310" s="38" t="s">
        <v>352</v>
      </c>
      <c r="D310" s="48">
        <v>111</v>
      </c>
      <c r="E310" s="48">
        <v>133</v>
      </c>
      <c r="F310" s="48">
        <v>98</v>
      </c>
      <c r="H310" s="76">
        <v>98314</v>
      </c>
      <c r="I310" s="76" t="s">
        <v>352</v>
      </c>
      <c r="J310" s="79">
        <v>786.11</v>
      </c>
      <c r="K310" s="79">
        <v>923.56</v>
      </c>
      <c r="L310" s="79">
        <v>2077.4299999999998</v>
      </c>
      <c r="M310" s="79">
        <v>4502.1000000000004</v>
      </c>
      <c r="N310" s="79">
        <v>715</v>
      </c>
      <c r="O310" s="79">
        <v>786.11</v>
      </c>
      <c r="P310" s="79">
        <v>2375.2399999999998</v>
      </c>
      <c r="Q310" s="79">
        <v>4502.1000000000004</v>
      </c>
      <c r="R310" s="79">
        <v>625.75</v>
      </c>
      <c r="S310" s="79">
        <v>715</v>
      </c>
      <c r="T310" s="79">
        <v>2681.17</v>
      </c>
      <c r="U310" s="79">
        <v>4502.1000000000004</v>
      </c>
      <c r="AV310" s="76" t="s">
        <v>234</v>
      </c>
      <c r="AW310" s="76" t="s">
        <v>352</v>
      </c>
      <c r="AX310" s="33">
        <v>1</v>
      </c>
      <c r="AY310" s="33">
        <v>4</v>
      </c>
      <c r="AZ310" s="33">
        <v>3</v>
      </c>
      <c r="BB310" s="76" t="s">
        <v>234</v>
      </c>
      <c r="BC310" s="76" t="s">
        <v>352</v>
      </c>
      <c r="BD310" s="79">
        <v>12334.69</v>
      </c>
      <c r="BE310" s="79">
        <v>18269.690000000002</v>
      </c>
      <c r="BF310" s="79">
        <v>10185.34</v>
      </c>
    </row>
    <row r="311" spans="2:58" x14ac:dyDescent="0.2">
      <c r="B311" s="86">
        <v>98321</v>
      </c>
      <c r="C311" s="38" t="s">
        <v>10</v>
      </c>
      <c r="D311" s="48">
        <v>913</v>
      </c>
      <c r="E311" s="48">
        <v>919</v>
      </c>
      <c r="F311" s="48">
        <v>862</v>
      </c>
      <c r="H311" s="76">
        <v>98321</v>
      </c>
      <c r="I311" s="76" t="s">
        <v>352</v>
      </c>
      <c r="J311" s="79">
        <v>13462.73</v>
      </c>
      <c r="K311" s="79">
        <v>7477.99</v>
      </c>
      <c r="L311" s="79">
        <v>44188.6</v>
      </c>
      <c r="M311" s="79">
        <v>81132.4399999999</v>
      </c>
      <c r="N311" s="79">
        <v>8125.44</v>
      </c>
      <c r="O311" s="79">
        <v>7741.39</v>
      </c>
      <c r="P311" s="79">
        <v>46456</v>
      </c>
      <c r="Q311" s="79">
        <v>94677.62</v>
      </c>
      <c r="R311" s="79">
        <v>10128.370000000001</v>
      </c>
      <c r="S311" s="79">
        <v>5747.5</v>
      </c>
      <c r="T311" s="79">
        <v>46332.12</v>
      </c>
      <c r="U311" s="79">
        <v>73300.7</v>
      </c>
      <c r="AV311" s="76" t="s">
        <v>234</v>
      </c>
      <c r="AW311" s="76" t="s">
        <v>10</v>
      </c>
      <c r="AX311" s="33">
        <v>31</v>
      </c>
      <c r="AY311" s="33">
        <v>34</v>
      </c>
      <c r="AZ311" s="33">
        <v>32</v>
      </c>
      <c r="BB311" s="76" t="s">
        <v>234</v>
      </c>
      <c r="BC311" s="76" t="s">
        <v>10</v>
      </c>
      <c r="BD311" s="79">
        <v>24420.59</v>
      </c>
      <c r="BE311" s="79">
        <v>15455.68</v>
      </c>
      <c r="BF311" s="79">
        <v>26981.43</v>
      </c>
    </row>
    <row r="312" spans="2:58" x14ac:dyDescent="0.2">
      <c r="B312" s="86">
        <v>98322</v>
      </c>
      <c r="C312" s="38" t="s">
        <v>352</v>
      </c>
      <c r="D312" s="48">
        <v>1</v>
      </c>
      <c r="E312" s="48"/>
      <c r="F312" s="48"/>
      <c r="H312" s="76">
        <v>98321</v>
      </c>
      <c r="I312" s="76" t="s">
        <v>10</v>
      </c>
      <c r="J312" s="79">
        <v>117593.67</v>
      </c>
      <c r="K312" s="79">
        <v>80807.13</v>
      </c>
      <c r="L312" s="79">
        <v>241718.71</v>
      </c>
      <c r="M312" s="79">
        <v>607279.63999999897</v>
      </c>
      <c r="N312" s="79">
        <v>92741.31</v>
      </c>
      <c r="O312" s="79">
        <v>78375.69</v>
      </c>
      <c r="P312" s="79">
        <v>281818.11</v>
      </c>
      <c r="Q312" s="79">
        <v>618252.15999999898</v>
      </c>
      <c r="R312" s="79">
        <v>94100.15</v>
      </c>
      <c r="S312" s="79">
        <v>65693.16</v>
      </c>
      <c r="T312" s="79">
        <v>309972.98</v>
      </c>
      <c r="U312" s="79">
        <v>600403.27999999898</v>
      </c>
      <c r="AV312" s="76" t="s">
        <v>235</v>
      </c>
      <c r="AW312" s="76" t="s">
        <v>10</v>
      </c>
      <c r="AX312" s="33">
        <v>2</v>
      </c>
      <c r="AY312" s="33">
        <v>4</v>
      </c>
      <c r="AZ312" s="33">
        <v>5</v>
      </c>
      <c r="BB312" s="76" t="s">
        <v>235</v>
      </c>
      <c r="BC312" s="76" t="s">
        <v>10</v>
      </c>
      <c r="BD312" s="79">
        <v>771.86</v>
      </c>
      <c r="BE312" s="79">
        <v>894.05</v>
      </c>
      <c r="BF312" s="79">
        <v>4135.58</v>
      </c>
    </row>
    <row r="313" spans="2:58" x14ac:dyDescent="0.2">
      <c r="B313" s="59">
        <v>98323</v>
      </c>
      <c r="C313" s="38" t="s">
        <v>352</v>
      </c>
      <c r="D313" s="48">
        <v>9</v>
      </c>
      <c r="E313" s="48">
        <v>7</v>
      </c>
      <c r="F313" s="48">
        <v>8</v>
      </c>
      <c r="H313" s="76">
        <v>98322</v>
      </c>
      <c r="I313" s="76" t="s">
        <v>352</v>
      </c>
      <c r="J313" s="79"/>
      <c r="K313" s="79"/>
      <c r="L313" s="79"/>
      <c r="M313" s="79">
        <v>16.399999999999999</v>
      </c>
      <c r="N313" s="79"/>
      <c r="O313" s="79"/>
      <c r="P313" s="79"/>
      <c r="Q313" s="79"/>
      <c r="R313" s="79"/>
      <c r="S313" s="79"/>
      <c r="T313" s="79"/>
      <c r="U313" s="79"/>
      <c r="AV313" s="76" t="s">
        <v>237</v>
      </c>
      <c r="AW313" s="76" t="s">
        <v>352</v>
      </c>
      <c r="AX313" s="33">
        <v>1</v>
      </c>
      <c r="AY313" s="33"/>
      <c r="AZ313" s="33"/>
      <c r="BB313" s="76" t="s">
        <v>237</v>
      </c>
      <c r="BC313" s="76" t="s">
        <v>352</v>
      </c>
      <c r="BD313" s="79">
        <v>753.11</v>
      </c>
      <c r="BE313" s="79"/>
      <c r="BF313" s="79"/>
    </row>
    <row r="314" spans="2:58" x14ac:dyDescent="0.2">
      <c r="B314" s="86">
        <v>98323</v>
      </c>
      <c r="C314" s="38" t="s">
        <v>10</v>
      </c>
      <c r="D314" s="74">
        <v>67</v>
      </c>
      <c r="E314" s="48">
        <v>47</v>
      </c>
      <c r="F314" s="74">
        <v>74</v>
      </c>
      <c r="H314" s="76">
        <v>98323</v>
      </c>
      <c r="I314" s="76" t="s">
        <v>352</v>
      </c>
      <c r="J314" s="79">
        <v>498.73</v>
      </c>
      <c r="K314" s="79">
        <v>797.6</v>
      </c>
      <c r="L314" s="79">
        <v>2458.5500000000002</v>
      </c>
      <c r="M314" s="79">
        <v>5653.16</v>
      </c>
      <c r="N314" s="79">
        <v>730.5</v>
      </c>
      <c r="O314" s="79">
        <v>498.73</v>
      </c>
      <c r="P314" s="79">
        <v>3256.15</v>
      </c>
      <c r="Q314" s="79">
        <v>5684.2999999999902</v>
      </c>
      <c r="R314" s="79">
        <v>1155.44</v>
      </c>
      <c r="S314" s="79">
        <v>364.2</v>
      </c>
      <c r="T314" s="79">
        <v>3574.88</v>
      </c>
      <c r="U314" s="79">
        <v>7548.85</v>
      </c>
      <c r="AV314" s="76" t="s">
        <v>237</v>
      </c>
      <c r="AW314" s="76" t="s">
        <v>10</v>
      </c>
      <c r="AX314" s="33">
        <v>1</v>
      </c>
      <c r="AY314" s="33">
        <v>2</v>
      </c>
      <c r="AZ314" s="33">
        <v>1</v>
      </c>
      <c r="BB314" s="76" t="s">
        <v>237</v>
      </c>
      <c r="BC314" s="76" t="s">
        <v>10</v>
      </c>
      <c r="BD314" s="79">
        <v>206.18</v>
      </c>
      <c r="BE314" s="79">
        <v>1932.76</v>
      </c>
      <c r="BF314" s="79">
        <v>1445.58</v>
      </c>
    </row>
    <row r="315" spans="2:58" x14ac:dyDescent="0.2">
      <c r="B315" s="86">
        <v>98327</v>
      </c>
      <c r="C315" s="38" t="s">
        <v>352</v>
      </c>
      <c r="D315" s="48">
        <v>50</v>
      </c>
      <c r="E315" s="48">
        <v>53</v>
      </c>
      <c r="F315" s="48">
        <v>42</v>
      </c>
      <c r="H315" s="76">
        <v>98323</v>
      </c>
      <c r="I315" s="76" t="s">
        <v>10</v>
      </c>
      <c r="J315" s="79">
        <v>369.78</v>
      </c>
      <c r="K315" s="79">
        <v>9145.07</v>
      </c>
      <c r="L315" s="79">
        <v>11502.3</v>
      </c>
      <c r="M315" s="79">
        <v>43874.889999999898</v>
      </c>
      <c r="N315" s="79">
        <v>14450.6</v>
      </c>
      <c r="O315" s="79"/>
      <c r="P315" s="79">
        <v>17264.28</v>
      </c>
      <c r="Q315" s="79">
        <v>33752.879999999997</v>
      </c>
      <c r="R315" s="79">
        <v>589.19000000000005</v>
      </c>
      <c r="S315" s="79">
        <v>8624.6299999999992</v>
      </c>
      <c r="T315" s="79">
        <v>13269.0899999999</v>
      </c>
      <c r="U315" s="79">
        <v>43480.6</v>
      </c>
      <c r="AV315" s="76" t="s">
        <v>329</v>
      </c>
      <c r="AW315" s="76" t="s">
        <v>352</v>
      </c>
      <c r="AX315" s="33">
        <v>1</v>
      </c>
      <c r="AY315" s="33"/>
      <c r="AZ315" s="33">
        <v>1</v>
      </c>
      <c r="BB315" s="76" t="s">
        <v>329</v>
      </c>
      <c r="BC315" s="76" t="s">
        <v>352</v>
      </c>
      <c r="BD315" s="79"/>
      <c r="BE315" s="79"/>
      <c r="BF315" s="79"/>
    </row>
    <row r="316" spans="2:58" x14ac:dyDescent="0.2">
      <c r="B316" s="59">
        <v>98327</v>
      </c>
      <c r="C316" s="38" t="s">
        <v>10</v>
      </c>
      <c r="D316" s="48">
        <v>497</v>
      </c>
      <c r="E316" s="48">
        <v>453</v>
      </c>
      <c r="F316" s="48">
        <v>482</v>
      </c>
      <c r="H316" s="76">
        <v>98327</v>
      </c>
      <c r="I316" s="76" t="s">
        <v>352</v>
      </c>
      <c r="J316" s="79">
        <v>28452.799999999999</v>
      </c>
      <c r="K316" s="79">
        <v>1133.6400000000001</v>
      </c>
      <c r="L316" s="79">
        <v>222320.97999999899</v>
      </c>
      <c r="M316" s="79">
        <v>362910.38</v>
      </c>
      <c r="N316" s="79">
        <v>15349.99</v>
      </c>
      <c r="O316" s="79">
        <v>27181.71</v>
      </c>
      <c r="P316" s="79">
        <v>223269.81999999899</v>
      </c>
      <c r="Q316" s="79">
        <v>302043.65999999997</v>
      </c>
      <c r="R316" s="79">
        <v>15751.34</v>
      </c>
      <c r="S316" s="79">
        <v>14490.1</v>
      </c>
      <c r="T316" s="79">
        <v>249839.08</v>
      </c>
      <c r="U316" s="79">
        <v>318593.49</v>
      </c>
      <c r="AV316" s="76" t="s">
        <v>329</v>
      </c>
      <c r="AW316" s="76" t="s">
        <v>10</v>
      </c>
      <c r="AX316" s="33">
        <v>1</v>
      </c>
      <c r="AY316" s="33"/>
      <c r="AZ316" s="33">
        <v>1</v>
      </c>
      <c r="BB316" s="76" t="s">
        <v>329</v>
      </c>
      <c r="BC316" s="76" t="s">
        <v>10</v>
      </c>
      <c r="BD316" s="79">
        <v>21.38</v>
      </c>
      <c r="BE316" s="79"/>
      <c r="BF316" s="79">
        <v>15.43</v>
      </c>
    </row>
    <row r="317" spans="2:58" x14ac:dyDescent="0.2">
      <c r="B317" s="86">
        <v>98328</v>
      </c>
      <c r="C317" s="38" t="s">
        <v>352</v>
      </c>
      <c r="D317" s="48">
        <v>7</v>
      </c>
      <c r="E317" s="48">
        <v>3</v>
      </c>
      <c r="F317" s="48">
        <v>3</v>
      </c>
      <c r="H317" s="76">
        <v>98327</v>
      </c>
      <c r="I317" s="76" t="s">
        <v>10</v>
      </c>
      <c r="J317" s="79">
        <v>37974.36</v>
      </c>
      <c r="K317" s="79">
        <v>27488.91</v>
      </c>
      <c r="L317" s="79">
        <v>58965.01</v>
      </c>
      <c r="M317" s="79">
        <v>197865.82</v>
      </c>
      <c r="N317" s="79">
        <v>36821.370000000003</v>
      </c>
      <c r="O317" s="79">
        <v>25894.34</v>
      </c>
      <c r="P317" s="79">
        <v>67429.209999999905</v>
      </c>
      <c r="Q317" s="79">
        <v>190588.6</v>
      </c>
      <c r="R317" s="79">
        <v>29374.23</v>
      </c>
      <c r="S317" s="79">
        <v>24819.51</v>
      </c>
      <c r="T317" s="79">
        <v>76446.229999999894</v>
      </c>
      <c r="U317" s="79">
        <v>184632.47</v>
      </c>
      <c r="AV317" s="76" t="s">
        <v>330</v>
      </c>
      <c r="AW317" s="76" t="s">
        <v>10</v>
      </c>
      <c r="AX317" s="33">
        <v>6</v>
      </c>
      <c r="AY317" s="33">
        <v>2</v>
      </c>
      <c r="AZ317" s="33">
        <v>5</v>
      </c>
      <c r="BB317" s="76" t="s">
        <v>330</v>
      </c>
      <c r="BC317" s="76" t="s">
        <v>10</v>
      </c>
      <c r="BD317" s="79">
        <v>825.39</v>
      </c>
      <c r="BE317" s="79">
        <v>1006.49</v>
      </c>
      <c r="BF317" s="79">
        <v>755.28</v>
      </c>
    </row>
    <row r="318" spans="2:58" x14ac:dyDescent="0.2">
      <c r="B318" s="59">
        <v>98328</v>
      </c>
      <c r="C318" s="38" t="s">
        <v>10</v>
      </c>
      <c r="D318" s="48">
        <v>59</v>
      </c>
      <c r="E318" s="48">
        <v>29</v>
      </c>
      <c r="F318" s="48">
        <v>35</v>
      </c>
      <c r="H318" s="76">
        <v>98328</v>
      </c>
      <c r="I318" s="76" t="s">
        <v>352</v>
      </c>
      <c r="J318" s="79">
        <v>613.5</v>
      </c>
      <c r="K318" s="79"/>
      <c r="L318" s="79">
        <v>464.73</v>
      </c>
      <c r="M318" s="79">
        <v>2755.67</v>
      </c>
      <c r="N318" s="79">
        <v>302.92</v>
      </c>
      <c r="O318" s="79"/>
      <c r="P318" s="79">
        <v>304.45</v>
      </c>
      <c r="Q318" s="79">
        <v>909.06999999999903</v>
      </c>
      <c r="R318" s="79">
        <v>35.4</v>
      </c>
      <c r="S318" s="79">
        <v>302.92</v>
      </c>
      <c r="T318" s="79">
        <v>304.45</v>
      </c>
      <c r="U318" s="79">
        <v>710.98</v>
      </c>
      <c r="AV318" s="76" t="s">
        <v>331</v>
      </c>
      <c r="AW318" s="76" t="s">
        <v>10</v>
      </c>
      <c r="AX318" s="33">
        <v>10</v>
      </c>
      <c r="AY318" s="33">
        <v>9</v>
      </c>
      <c r="AZ318" s="33">
        <v>10</v>
      </c>
      <c r="BB318" s="76" t="s">
        <v>331</v>
      </c>
      <c r="BC318" s="76" t="s">
        <v>10</v>
      </c>
      <c r="BD318" s="79">
        <v>3752.45</v>
      </c>
      <c r="BE318" s="79">
        <v>2596.87</v>
      </c>
      <c r="BF318" s="79">
        <v>4170.04</v>
      </c>
    </row>
    <row r="319" spans="2:58" x14ac:dyDescent="0.2">
      <c r="B319" s="86">
        <v>98329</v>
      </c>
      <c r="C319" s="38" t="s">
        <v>10</v>
      </c>
      <c r="D319" s="48">
        <v>5</v>
      </c>
      <c r="E319" s="48">
        <v>6</v>
      </c>
      <c r="F319" s="48">
        <v>5</v>
      </c>
      <c r="H319" s="76">
        <v>98328</v>
      </c>
      <c r="I319" s="76" t="s">
        <v>10</v>
      </c>
      <c r="J319" s="79">
        <v>11578.42</v>
      </c>
      <c r="K319" s="79">
        <v>4001.29</v>
      </c>
      <c r="L319" s="79">
        <v>4420.9799999999996</v>
      </c>
      <c r="M319" s="79">
        <v>32913.68</v>
      </c>
      <c r="N319" s="79">
        <v>3874.39</v>
      </c>
      <c r="O319" s="79">
        <v>6018.73</v>
      </c>
      <c r="P319" s="79">
        <v>9463.84</v>
      </c>
      <c r="Q319" s="79">
        <v>20282.929999999898</v>
      </c>
      <c r="R319" s="79">
        <v>565.63</v>
      </c>
      <c r="S319" s="79">
        <v>3273.86</v>
      </c>
      <c r="T319" s="79">
        <v>12394.11</v>
      </c>
      <c r="U319" s="79">
        <v>23010.36</v>
      </c>
      <c r="AV319" s="76" t="s">
        <v>332</v>
      </c>
      <c r="AW319" s="76" t="s">
        <v>10</v>
      </c>
      <c r="AX319" s="33">
        <v>12</v>
      </c>
      <c r="AY319" s="33">
        <v>11</v>
      </c>
      <c r="AZ319" s="33">
        <v>10</v>
      </c>
      <c r="BB319" s="76" t="s">
        <v>332</v>
      </c>
      <c r="BC319" s="76" t="s">
        <v>10</v>
      </c>
      <c r="BD319" s="79">
        <v>3514.61</v>
      </c>
      <c r="BE319" s="79">
        <v>4556.13</v>
      </c>
      <c r="BF319" s="79">
        <v>5628.5</v>
      </c>
    </row>
    <row r="320" spans="2:58" x14ac:dyDescent="0.2">
      <c r="B320" s="59">
        <v>98332</v>
      </c>
      <c r="C320" s="38" t="s">
        <v>352</v>
      </c>
      <c r="D320" s="48">
        <v>6</v>
      </c>
      <c r="E320" s="48">
        <v>6</v>
      </c>
      <c r="F320" s="48">
        <v>5</v>
      </c>
      <c r="H320" s="76">
        <v>98329</v>
      </c>
      <c r="I320" s="76" t="s">
        <v>10</v>
      </c>
      <c r="J320" s="79">
        <v>587.25</v>
      </c>
      <c r="K320" s="79">
        <v>200</v>
      </c>
      <c r="L320" s="79"/>
      <c r="M320" s="79">
        <v>1636.09</v>
      </c>
      <c r="N320" s="79">
        <v>848.84</v>
      </c>
      <c r="O320" s="79">
        <v>134.41</v>
      </c>
      <c r="P320" s="79">
        <v>200</v>
      </c>
      <c r="Q320" s="79">
        <v>6824.95999999999</v>
      </c>
      <c r="R320" s="79">
        <v>5291.26</v>
      </c>
      <c r="S320" s="79">
        <v>639.41999999999996</v>
      </c>
      <c r="T320" s="79">
        <v>150.91</v>
      </c>
      <c r="U320" s="79">
        <v>7154.4299999999903</v>
      </c>
      <c r="AV320" s="76" t="s">
        <v>333</v>
      </c>
      <c r="AW320" s="76" t="s">
        <v>10</v>
      </c>
      <c r="AX320" s="33">
        <v>12</v>
      </c>
      <c r="AY320" s="33">
        <v>8</v>
      </c>
      <c r="AZ320" s="33">
        <v>10</v>
      </c>
      <c r="BB320" s="76" t="s">
        <v>333</v>
      </c>
      <c r="BC320" s="76" t="s">
        <v>10</v>
      </c>
      <c r="BD320" s="79">
        <v>4234.2700000000004</v>
      </c>
      <c r="BE320" s="79">
        <v>1825.13</v>
      </c>
      <c r="BF320" s="79">
        <v>1565.51</v>
      </c>
    </row>
    <row r="321" spans="2:58" x14ac:dyDescent="0.2">
      <c r="B321" s="86">
        <v>98332</v>
      </c>
      <c r="C321" s="38" t="s">
        <v>10</v>
      </c>
      <c r="D321" s="48">
        <v>266</v>
      </c>
      <c r="E321" s="48">
        <v>282</v>
      </c>
      <c r="F321" s="48">
        <v>283</v>
      </c>
      <c r="H321" s="76">
        <v>98332</v>
      </c>
      <c r="I321" s="76" t="s">
        <v>352</v>
      </c>
      <c r="J321" s="79">
        <v>67.41</v>
      </c>
      <c r="K321" s="79"/>
      <c r="L321" s="79"/>
      <c r="M321" s="79">
        <v>1252.0899999999999</v>
      </c>
      <c r="N321" s="79">
        <v>181.3</v>
      </c>
      <c r="O321" s="79">
        <v>21.01</v>
      </c>
      <c r="P321" s="79"/>
      <c r="Q321" s="79">
        <v>550.12</v>
      </c>
      <c r="R321" s="79">
        <v>78.25</v>
      </c>
      <c r="S321" s="79"/>
      <c r="T321" s="79"/>
      <c r="U321" s="79">
        <v>932.47</v>
      </c>
      <c r="AV321" s="76" t="s">
        <v>334</v>
      </c>
      <c r="AW321" s="76" t="s">
        <v>352</v>
      </c>
      <c r="AX321" s="33"/>
      <c r="AY321" s="33"/>
      <c r="AZ321" s="33">
        <v>1</v>
      </c>
      <c r="BB321" s="76" t="s">
        <v>334</v>
      </c>
      <c r="BC321" s="76" t="s">
        <v>352</v>
      </c>
      <c r="BD321" s="79"/>
      <c r="BE321" s="79"/>
      <c r="BF321" s="79">
        <v>155.01</v>
      </c>
    </row>
    <row r="322" spans="2:58" x14ac:dyDescent="0.2">
      <c r="B322" s="86">
        <v>98335</v>
      </c>
      <c r="C322" s="38" t="s">
        <v>352</v>
      </c>
      <c r="D322" s="48">
        <v>25</v>
      </c>
      <c r="E322" s="48">
        <v>25</v>
      </c>
      <c r="F322" s="48">
        <v>20</v>
      </c>
      <c r="H322" s="76">
        <v>98332</v>
      </c>
      <c r="I322" s="76" t="s">
        <v>10</v>
      </c>
      <c r="J322" s="79">
        <v>24254.32</v>
      </c>
      <c r="K322" s="79">
        <v>16674.830000000002</v>
      </c>
      <c r="L322" s="79">
        <v>30587.9399999999</v>
      </c>
      <c r="M322" s="79">
        <v>106346.73</v>
      </c>
      <c r="N322" s="79">
        <v>20069.93</v>
      </c>
      <c r="O322" s="79">
        <v>19845.16</v>
      </c>
      <c r="P322" s="79">
        <v>40015.06</v>
      </c>
      <c r="Q322" s="79">
        <v>110182.159999999</v>
      </c>
      <c r="R322" s="79">
        <v>17790.45</v>
      </c>
      <c r="S322" s="79">
        <v>14930.25</v>
      </c>
      <c r="T322" s="79">
        <v>47150.539999999899</v>
      </c>
      <c r="U322" s="79">
        <v>105407.67</v>
      </c>
      <c r="AV322" s="76" t="s">
        <v>334</v>
      </c>
      <c r="AW322" s="76" t="s">
        <v>10</v>
      </c>
      <c r="AX322" s="33">
        <v>5</v>
      </c>
      <c r="AY322" s="33">
        <v>1</v>
      </c>
      <c r="AZ322" s="33">
        <v>5</v>
      </c>
      <c r="BB322" s="76" t="s">
        <v>334</v>
      </c>
      <c r="BC322" s="76" t="s">
        <v>10</v>
      </c>
      <c r="BD322" s="79">
        <v>844.73</v>
      </c>
      <c r="BE322" s="79">
        <v>283.31</v>
      </c>
      <c r="BF322" s="79">
        <v>1979.74</v>
      </c>
    </row>
    <row r="323" spans="2:58" x14ac:dyDescent="0.2">
      <c r="B323" s="59">
        <v>98335</v>
      </c>
      <c r="C323" s="38" t="s">
        <v>10</v>
      </c>
      <c r="D323" s="48">
        <v>422</v>
      </c>
      <c r="E323" s="48">
        <v>464</v>
      </c>
      <c r="F323" s="48">
        <v>394</v>
      </c>
      <c r="H323" s="76">
        <v>98335</v>
      </c>
      <c r="I323" s="76" t="s">
        <v>352</v>
      </c>
      <c r="J323" s="79">
        <v>1008.26</v>
      </c>
      <c r="K323" s="79">
        <v>528.42999999999995</v>
      </c>
      <c r="L323" s="79">
        <v>1100.6500000000001</v>
      </c>
      <c r="M323" s="79">
        <v>12733.4</v>
      </c>
      <c r="N323" s="79">
        <v>981.63</v>
      </c>
      <c r="O323" s="79">
        <v>679.4</v>
      </c>
      <c r="P323" s="79">
        <v>1209</v>
      </c>
      <c r="Q323" s="79">
        <v>12152.449999999901</v>
      </c>
      <c r="R323" s="79">
        <v>797.88</v>
      </c>
      <c r="S323" s="79">
        <v>725.22</v>
      </c>
      <c r="T323" s="79">
        <v>1829.76</v>
      </c>
      <c r="U323" s="79">
        <v>15981.96</v>
      </c>
      <c r="AV323" s="76" t="s">
        <v>335</v>
      </c>
      <c r="AW323" s="76" t="s">
        <v>10</v>
      </c>
      <c r="AX323" s="33">
        <v>13</v>
      </c>
      <c r="AY323" s="33">
        <v>5</v>
      </c>
      <c r="AZ323" s="33">
        <v>10</v>
      </c>
      <c r="BB323" s="76" t="s">
        <v>335</v>
      </c>
      <c r="BC323" s="76" t="s">
        <v>10</v>
      </c>
      <c r="BD323" s="79">
        <v>7125.69</v>
      </c>
      <c r="BE323" s="79">
        <v>1668.88</v>
      </c>
      <c r="BF323" s="79">
        <v>1609.88</v>
      </c>
    </row>
    <row r="324" spans="2:58" x14ac:dyDescent="0.2">
      <c r="B324" s="86">
        <v>98337</v>
      </c>
      <c r="C324" s="38" t="s">
        <v>352</v>
      </c>
      <c r="D324" s="48">
        <v>45</v>
      </c>
      <c r="E324" s="48">
        <v>47</v>
      </c>
      <c r="F324" s="48">
        <v>61</v>
      </c>
      <c r="H324" s="76">
        <v>98335</v>
      </c>
      <c r="I324" s="76" t="s">
        <v>10</v>
      </c>
      <c r="J324" s="79">
        <v>26273.200000000001</v>
      </c>
      <c r="K324" s="79">
        <v>19189.84</v>
      </c>
      <c r="L324" s="79">
        <v>40541.360000000001</v>
      </c>
      <c r="M324" s="79">
        <v>134700.60999999999</v>
      </c>
      <c r="N324" s="79">
        <v>26597.14</v>
      </c>
      <c r="O324" s="79">
        <v>16270.76</v>
      </c>
      <c r="P324" s="79">
        <v>47552.249999999898</v>
      </c>
      <c r="Q324" s="79">
        <v>131972.55999999901</v>
      </c>
      <c r="R324" s="79">
        <v>19780.259999999998</v>
      </c>
      <c r="S324" s="79">
        <v>17063.900000000001</v>
      </c>
      <c r="T324" s="79">
        <v>50613.75</v>
      </c>
      <c r="U324" s="79">
        <v>118480.44</v>
      </c>
      <c r="AV324" s="76" t="s">
        <v>336</v>
      </c>
      <c r="AW324" s="76" t="s">
        <v>352</v>
      </c>
      <c r="AX324" s="33">
        <v>6</v>
      </c>
      <c r="AY324" s="33"/>
      <c r="AZ324" s="33"/>
      <c r="BB324" s="76" t="s">
        <v>336</v>
      </c>
      <c r="BC324" s="76" t="s">
        <v>352</v>
      </c>
      <c r="BD324" s="79">
        <v>3089.59</v>
      </c>
      <c r="BE324" s="79"/>
      <c r="BF324" s="79"/>
    </row>
    <row r="325" spans="2:58" x14ac:dyDescent="0.2">
      <c r="B325" s="59">
        <v>98337</v>
      </c>
      <c r="C325" s="38" t="s">
        <v>10</v>
      </c>
      <c r="D325" s="48">
        <v>865</v>
      </c>
      <c r="E325" s="48">
        <v>853</v>
      </c>
      <c r="F325" s="48">
        <v>861</v>
      </c>
      <c r="H325" s="76">
        <v>98337</v>
      </c>
      <c r="I325" s="76" t="s">
        <v>352</v>
      </c>
      <c r="J325" s="79">
        <v>7218.76</v>
      </c>
      <c r="K325" s="79">
        <v>2545.92</v>
      </c>
      <c r="L325" s="79">
        <v>33706.160000000003</v>
      </c>
      <c r="M325" s="79">
        <v>48077.73</v>
      </c>
      <c r="N325" s="79">
        <v>2155.3000000000002</v>
      </c>
      <c r="O325" s="79">
        <v>4097.6899999999996</v>
      </c>
      <c r="P325" s="79">
        <v>33689.69</v>
      </c>
      <c r="Q325" s="79">
        <v>45067.71</v>
      </c>
      <c r="R325" s="79">
        <v>2190.7199999999998</v>
      </c>
      <c r="S325" s="79">
        <v>1227.53</v>
      </c>
      <c r="T325" s="79">
        <v>29457.319999999901</v>
      </c>
      <c r="U325" s="79">
        <v>57839.31</v>
      </c>
      <c r="AV325" s="76" t="s">
        <v>336</v>
      </c>
      <c r="AW325" s="76" t="s">
        <v>10</v>
      </c>
      <c r="AX325" s="33">
        <v>7</v>
      </c>
      <c r="AY325" s="33">
        <v>21</v>
      </c>
      <c r="AZ325" s="33">
        <v>12</v>
      </c>
      <c r="BB325" s="76" t="s">
        <v>336</v>
      </c>
      <c r="BC325" s="76" t="s">
        <v>10</v>
      </c>
      <c r="BD325" s="79">
        <v>1388.02</v>
      </c>
      <c r="BE325" s="79">
        <v>8277.2999999999993</v>
      </c>
      <c r="BF325" s="79">
        <v>6431.63</v>
      </c>
    </row>
    <row r="326" spans="2:58" x14ac:dyDescent="0.2">
      <c r="B326" s="86">
        <v>98338</v>
      </c>
      <c r="C326" s="38" t="s">
        <v>352</v>
      </c>
      <c r="D326" s="48">
        <v>64</v>
      </c>
      <c r="E326" s="48">
        <v>58</v>
      </c>
      <c r="F326" s="48">
        <v>60</v>
      </c>
      <c r="H326" s="76">
        <v>98337</v>
      </c>
      <c r="I326" s="76" t="s">
        <v>10</v>
      </c>
      <c r="J326" s="79">
        <v>57332.02</v>
      </c>
      <c r="K326" s="79">
        <v>55874.3</v>
      </c>
      <c r="L326" s="79">
        <v>154809.74</v>
      </c>
      <c r="M326" s="79">
        <v>352123.65999999898</v>
      </c>
      <c r="N326" s="79">
        <v>57306.42</v>
      </c>
      <c r="O326" s="79">
        <v>48327.67</v>
      </c>
      <c r="P326" s="79">
        <v>179981.06</v>
      </c>
      <c r="Q326" s="79">
        <v>362339.55</v>
      </c>
      <c r="R326" s="79">
        <v>46452.19</v>
      </c>
      <c r="S326" s="79">
        <v>45851.17</v>
      </c>
      <c r="T326" s="79">
        <v>196108.1</v>
      </c>
      <c r="U326" s="79">
        <v>350333.98</v>
      </c>
      <c r="AV326" s="76" t="s">
        <v>339</v>
      </c>
      <c r="AW326" s="76" t="s">
        <v>10</v>
      </c>
      <c r="AX326" s="33">
        <v>7</v>
      </c>
      <c r="AY326" s="33">
        <v>3</v>
      </c>
      <c r="AZ326" s="33">
        <v>2</v>
      </c>
      <c r="BB326" s="76" t="s">
        <v>339</v>
      </c>
      <c r="BC326" s="76" t="s">
        <v>10</v>
      </c>
      <c r="BD326" s="79">
        <v>2054.0700000000002</v>
      </c>
      <c r="BE326" s="79">
        <v>1562.64</v>
      </c>
      <c r="BF326" s="79">
        <v>3903.37</v>
      </c>
    </row>
    <row r="327" spans="2:58" x14ac:dyDescent="0.2">
      <c r="B327" s="59">
        <v>98338</v>
      </c>
      <c r="C327" s="38" t="s">
        <v>10</v>
      </c>
      <c r="D327" s="48">
        <v>849</v>
      </c>
      <c r="E327" s="48">
        <v>880</v>
      </c>
      <c r="F327" s="48">
        <v>863</v>
      </c>
      <c r="H327" s="76">
        <v>98338</v>
      </c>
      <c r="I327" s="76" t="s">
        <v>352</v>
      </c>
      <c r="J327" s="79">
        <v>5059.49</v>
      </c>
      <c r="K327" s="79">
        <v>2332.2399999999998</v>
      </c>
      <c r="L327" s="79">
        <v>13648.09</v>
      </c>
      <c r="M327" s="79">
        <v>34203.0099999999</v>
      </c>
      <c r="N327" s="79">
        <v>6361.28</v>
      </c>
      <c r="O327" s="79">
        <v>3155.08</v>
      </c>
      <c r="P327" s="79">
        <v>14052.71</v>
      </c>
      <c r="Q327" s="79">
        <v>34609.549999999901</v>
      </c>
      <c r="R327" s="79">
        <v>4768.2700000000004</v>
      </c>
      <c r="S327" s="79">
        <v>3602.26</v>
      </c>
      <c r="T327" s="79">
        <v>15000.15</v>
      </c>
      <c r="U327" s="79">
        <v>29112.4899999999</v>
      </c>
      <c r="AV327" s="76" t="s">
        <v>340</v>
      </c>
      <c r="AW327" s="76" t="s">
        <v>352</v>
      </c>
      <c r="AX327" s="33">
        <v>1</v>
      </c>
      <c r="AY327" s="33"/>
      <c r="AZ327" s="33">
        <v>1</v>
      </c>
      <c r="BB327" s="76" t="s">
        <v>340</v>
      </c>
      <c r="BC327" s="76" t="s">
        <v>352</v>
      </c>
      <c r="BD327" s="79">
        <v>520.99</v>
      </c>
      <c r="BE327" s="79"/>
      <c r="BF327" s="79"/>
    </row>
    <row r="328" spans="2:58" x14ac:dyDescent="0.2">
      <c r="B328" s="86">
        <v>98340</v>
      </c>
      <c r="C328" s="38" t="s">
        <v>352</v>
      </c>
      <c r="D328" s="48">
        <v>20</v>
      </c>
      <c r="E328" s="48">
        <v>12</v>
      </c>
      <c r="F328" s="48">
        <v>9</v>
      </c>
      <c r="H328" s="76">
        <v>98338</v>
      </c>
      <c r="I328" s="76" t="s">
        <v>10</v>
      </c>
      <c r="J328" s="79">
        <v>109600.56</v>
      </c>
      <c r="K328" s="79">
        <v>78682.960000000006</v>
      </c>
      <c r="L328" s="79">
        <v>320724.27</v>
      </c>
      <c r="M328" s="79">
        <v>657847.11</v>
      </c>
      <c r="N328" s="79">
        <v>93883.62</v>
      </c>
      <c r="O328" s="79">
        <v>90650.54</v>
      </c>
      <c r="P328" s="79">
        <v>353064.06</v>
      </c>
      <c r="Q328" s="79">
        <v>682747.86</v>
      </c>
      <c r="R328" s="79">
        <v>98249.65</v>
      </c>
      <c r="S328" s="79">
        <v>72514.080000000002</v>
      </c>
      <c r="T328" s="79">
        <v>393617.739999999</v>
      </c>
      <c r="U328" s="79">
        <v>674651.02</v>
      </c>
      <c r="AV328" s="76" t="s">
        <v>341</v>
      </c>
      <c r="AW328" s="76" t="s">
        <v>10</v>
      </c>
      <c r="AX328" s="33">
        <v>3</v>
      </c>
      <c r="AY328" s="33">
        <v>2</v>
      </c>
      <c r="AZ328" s="33">
        <v>4</v>
      </c>
      <c r="BB328" s="76" t="s">
        <v>341</v>
      </c>
      <c r="BC328" s="76" t="s">
        <v>10</v>
      </c>
      <c r="BD328" s="79">
        <v>513.51</v>
      </c>
      <c r="BE328" s="79">
        <v>743.56</v>
      </c>
      <c r="BF328" s="79">
        <v>435.72</v>
      </c>
    </row>
    <row r="329" spans="2:58" x14ac:dyDescent="0.2">
      <c r="B329" s="59">
        <v>98340</v>
      </c>
      <c r="C329" s="38" t="s">
        <v>10</v>
      </c>
      <c r="D329" s="48">
        <v>245</v>
      </c>
      <c r="E329" s="48">
        <v>84</v>
      </c>
      <c r="F329" s="48">
        <v>87</v>
      </c>
      <c r="H329" s="76">
        <v>98340</v>
      </c>
      <c r="I329" s="76" t="s">
        <v>352</v>
      </c>
      <c r="J329" s="79">
        <v>1746.47</v>
      </c>
      <c r="K329" s="79">
        <v>483.9</v>
      </c>
      <c r="L329" s="79">
        <v>6887.43</v>
      </c>
      <c r="M329" s="79">
        <v>12225.85</v>
      </c>
      <c r="N329" s="79">
        <v>1150.18</v>
      </c>
      <c r="O329" s="79">
        <v>577.37</v>
      </c>
      <c r="P329" s="79">
        <v>7116.1</v>
      </c>
      <c r="Q329" s="79">
        <v>9829.01</v>
      </c>
      <c r="R329" s="79">
        <v>926.21</v>
      </c>
      <c r="S329" s="79">
        <v>755.04</v>
      </c>
      <c r="T329" s="79">
        <v>6323.16</v>
      </c>
      <c r="U329" s="79">
        <v>8654.9599999999991</v>
      </c>
      <c r="AV329" s="76" t="s">
        <v>238</v>
      </c>
      <c r="AW329" s="76" t="s">
        <v>352</v>
      </c>
      <c r="AX329" s="33">
        <v>1</v>
      </c>
      <c r="AY329" s="33">
        <v>2</v>
      </c>
      <c r="AZ329" s="33">
        <v>2</v>
      </c>
      <c r="BB329" s="76" t="s">
        <v>238</v>
      </c>
      <c r="BC329" s="76" t="s">
        <v>352</v>
      </c>
      <c r="BD329" s="79">
        <v>300</v>
      </c>
      <c r="BE329" s="79">
        <v>100</v>
      </c>
      <c r="BF329" s="79">
        <v>58.34</v>
      </c>
    </row>
    <row r="330" spans="2:58" x14ac:dyDescent="0.2">
      <c r="B330" s="86">
        <v>98342</v>
      </c>
      <c r="C330" s="38" t="s">
        <v>352</v>
      </c>
      <c r="D330" s="48">
        <v>5</v>
      </c>
      <c r="E330" s="48">
        <v>8</v>
      </c>
      <c r="F330" s="48">
        <v>7</v>
      </c>
      <c r="H330" s="76">
        <v>98340</v>
      </c>
      <c r="I330" s="76" t="s">
        <v>10</v>
      </c>
      <c r="J330" s="79">
        <v>22068.37</v>
      </c>
      <c r="K330" s="79">
        <v>8722.19</v>
      </c>
      <c r="L330" s="79">
        <v>18484.11</v>
      </c>
      <c r="M330" s="79">
        <v>85258.509999999893</v>
      </c>
      <c r="N330" s="79">
        <v>10702.03</v>
      </c>
      <c r="O330" s="79">
        <v>9538.65</v>
      </c>
      <c r="P330" s="79">
        <v>29222.2</v>
      </c>
      <c r="Q330" s="79">
        <v>50728.88</v>
      </c>
      <c r="R330" s="79">
        <v>2419.21</v>
      </c>
      <c r="S330" s="79">
        <v>6660.5</v>
      </c>
      <c r="T330" s="79">
        <v>31136.46</v>
      </c>
      <c r="U330" s="79">
        <v>48213.47</v>
      </c>
      <c r="AV330" s="76" t="s">
        <v>238</v>
      </c>
      <c r="AW330" s="76" t="s">
        <v>10</v>
      </c>
      <c r="AX330" s="33">
        <v>3</v>
      </c>
      <c r="AY330" s="33"/>
      <c r="AZ330" s="33">
        <v>3</v>
      </c>
      <c r="BB330" s="76" t="s">
        <v>238</v>
      </c>
      <c r="BC330" s="76" t="s">
        <v>10</v>
      </c>
      <c r="BD330" s="79">
        <v>1099.1400000000001</v>
      </c>
      <c r="BE330" s="79"/>
      <c r="BF330" s="79">
        <v>1172.6099999999999</v>
      </c>
    </row>
    <row r="331" spans="2:58" x14ac:dyDescent="0.2">
      <c r="B331" s="59">
        <v>98342</v>
      </c>
      <c r="C331" s="38" t="s">
        <v>10</v>
      </c>
      <c r="D331" s="48">
        <v>112</v>
      </c>
      <c r="E331" s="48">
        <v>130</v>
      </c>
      <c r="F331" s="48">
        <v>131</v>
      </c>
      <c r="H331" s="76">
        <v>98342</v>
      </c>
      <c r="I331" s="76" t="s">
        <v>352</v>
      </c>
      <c r="J331" s="79">
        <v>458.3</v>
      </c>
      <c r="K331" s="79"/>
      <c r="L331" s="79"/>
      <c r="M331" s="79">
        <v>1463.1599999999901</v>
      </c>
      <c r="N331" s="79">
        <v>260.31</v>
      </c>
      <c r="O331" s="79">
        <v>222.48</v>
      </c>
      <c r="P331" s="79"/>
      <c r="Q331" s="79">
        <v>1300.51</v>
      </c>
      <c r="R331" s="79">
        <v>194.79</v>
      </c>
      <c r="S331" s="79"/>
      <c r="T331" s="79"/>
      <c r="U331" s="79">
        <v>897.08</v>
      </c>
      <c r="AV331" s="76" t="s">
        <v>241</v>
      </c>
      <c r="AW331" s="76" t="s">
        <v>352</v>
      </c>
      <c r="AX331" s="33">
        <v>1</v>
      </c>
      <c r="AY331" s="33">
        <v>1</v>
      </c>
      <c r="AZ331" s="33">
        <v>3</v>
      </c>
      <c r="BB331" s="76" t="s">
        <v>241</v>
      </c>
      <c r="BC331" s="76" t="s">
        <v>352</v>
      </c>
      <c r="BD331" s="79">
        <v>165.72</v>
      </c>
      <c r="BE331" s="79">
        <v>148.87</v>
      </c>
      <c r="BF331" s="79">
        <v>196.2</v>
      </c>
    </row>
    <row r="332" spans="2:58" x14ac:dyDescent="0.2">
      <c r="B332" s="86">
        <v>98345</v>
      </c>
      <c r="C332" s="38" t="s">
        <v>352</v>
      </c>
      <c r="D332" s="48">
        <v>5</v>
      </c>
      <c r="E332" s="74">
        <v>5</v>
      </c>
      <c r="F332" s="48">
        <v>6</v>
      </c>
      <c r="H332" s="76">
        <v>98342</v>
      </c>
      <c r="I332" s="76" t="s">
        <v>10</v>
      </c>
      <c r="J332" s="79">
        <v>7977.46</v>
      </c>
      <c r="K332" s="79">
        <v>6076.26</v>
      </c>
      <c r="L332" s="79">
        <v>13802.72</v>
      </c>
      <c r="M332" s="79">
        <v>44603.02</v>
      </c>
      <c r="N332" s="79">
        <v>7773.28</v>
      </c>
      <c r="O332" s="79">
        <v>5246.67</v>
      </c>
      <c r="P332" s="79">
        <v>15162.35</v>
      </c>
      <c r="Q332" s="79">
        <v>46005.97</v>
      </c>
      <c r="R332" s="79">
        <v>7226.58</v>
      </c>
      <c r="S332" s="79">
        <v>4395.53</v>
      </c>
      <c r="T332" s="79">
        <v>16587.490000000002</v>
      </c>
      <c r="U332" s="79">
        <v>43680.77</v>
      </c>
      <c r="AV332" s="76" t="s">
        <v>241</v>
      </c>
      <c r="AW332" s="76" t="s">
        <v>10</v>
      </c>
      <c r="AX332" s="33">
        <v>15</v>
      </c>
      <c r="AY332" s="33">
        <v>16</v>
      </c>
      <c r="AZ332" s="33">
        <v>22</v>
      </c>
      <c r="BB332" s="76" t="s">
        <v>241</v>
      </c>
      <c r="BC332" s="76" t="s">
        <v>10</v>
      </c>
      <c r="BD332" s="79">
        <v>4603.8599999999997</v>
      </c>
      <c r="BE332" s="79">
        <v>6263.33</v>
      </c>
      <c r="BF332" s="79">
        <v>6445.06</v>
      </c>
    </row>
    <row r="333" spans="2:58" x14ac:dyDescent="0.2">
      <c r="B333" s="59">
        <v>98345</v>
      </c>
      <c r="C333" s="38" t="s">
        <v>10</v>
      </c>
      <c r="D333" s="48">
        <v>36</v>
      </c>
      <c r="E333" s="48">
        <v>38</v>
      </c>
      <c r="F333" s="48">
        <v>40</v>
      </c>
      <c r="H333" s="76">
        <v>98345</v>
      </c>
      <c r="I333" s="76" t="s">
        <v>352</v>
      </c>
      <c r="J333" s="79">
        <v>150.38999999999999</v>
      </c>
      <c r="K333" s="79">
        <v>70.03</v>
      </c>
      <c r="L333" s="79">
        <v>472.3</v>
      </c>
      <c r="M333" s="79">
        <v>2092.73</v>
      </c>
      <c r="N333" s="79">
        <v>71.790000000000006</v>
      </c>
      <c r="O333" s="79">
        <v>67.790000000000006</v>
      </c>
      <c r="P333" s="79">
        <v>312.33</v>
      </c>
      <c r="Q333" s="79">
        <v>753.92</v>
      </c>
      <c r="R333" s="79">
        <v>209.32</v>
      </c>
      <c r="S333" s="79">
        <v>71.790000000000006</v>
      </c>
      <c r="T333" s="79">
        <v>362.2</v>
      </c>
      <c r="U333" s="79">
        <v>2123.0700000000002</v>
      </c>
      <c r="AV333" s="76" t="s">
        <v>343</v>
      </c>
      <c r="AW333" s="76" t="s">
        <v>10</v>
      </c>
      <c r="AX333" s="33"/>
      <c r="AY333" s="33">
        <v>1</v>
      </c>
      <c r="AZ333" s="33">
        <v>2</v>
      </c>
      <c r="BB333" s="76" t="s">
        <v>343</v>
      </c>
      <c r="BC333" s="76" t="s">
        <v>10</v>
      </c>
      <c r="BD333" s="79"/>
      <c r="BE333" s="79">
        <v>349.72</v>
      </c>
      <c r="BF333" s="79">
        <v>640.26</v>
      </c>
    </row>
    <row r="334" spans="2:58" x14ac:dyDescent="0.2">
      <c r="B334" s="86">
        <v>98346</v>
      </c>
      <c r="C334" s="38" t="s">
        <v>352</v>
      </c>
      <c r="D334" s="48">
        <v>117</v>
      </c>
      <c r="E334" s="48">
        <v>80</v>
      </c>
      <c r="F334" s="48">
        <v>65</v>
      </c>
      <c r="H334" s="76">
        <v>98345</v>
      </c>
      <c r="I334" s="76" t="s">
        <v>10</v>
      </c>
      <c r="J334" s="79">
        <v>3275.68</v>
      </c>
      <c r="K334" s="79">
        <v>2648.96</v>
      </c>
      <c r="L334" s="79">
        <v>10696.17</v>
      </c>
      <c r="M334" s="79">
        <v>21037.4899999999</v>
      </c>
      <c r="N334" s="79">
        <v>3245.4</v>
      </c>
      <c r="O334" s="79">
        <v>2985.48</v>
      </c>
      <c r="P334" s="79">
        <v>10920.24</v>
      </c>
      <c r="Q334" s="79">
        <v>21163.789999999899</v>
      </c>
      <c r="R334" s="79">
        <v>2571.9699999999998</v>
      </c>
      <c r="S334" s="79">
        <v>2728.48</v>
      </c>
      <c r="T334" s="79">
        <v>12300.5799999999</v>
      </c>
      <c r="U334" s="79">
        <v>21099.4199999999</v>
      </c>
      <c r="AV334" s="76" t="s">
        <v>344</v>
      </c>
      <c r="AW334" s="76" t="s">
        <v>10</v>
      </c>
      <c r="AX334" s="33">
        <v>3</v>
      </c>
      <c r="AY334" s="33">
        <v>3</v>
      </c>
      <c r="AZ334" s="33">
        <v>9</v>
      </c>
      <c r="BB334" s="76" t="s">
        <v>344</v>
      </c>
      <c r="BC334" s="76" t="s">
        <v>10</v>
      </c>
      <c r="BD334" s="79">
        <v>311.76</v>
      </c>
      <c r="BE334" s="79">
        <v>992.96</v>
      </c>
      <c r="BF334" s="79">
        <v>3533.99</v>
      </c>
    </row>
    <row r="335" spans="2:58" x14ac:dyDescent="0.2">
      <c r="B335" s="59">
        <v>98346</v>
      </c>
      <c r="C335" s="38" t="s">
        <v>10</v>
      </c>
      <c r="D335" s="48">
        <v>681</v>
      </c>
      <c r="E335" s="48">
        <v>571</v>
      </c>
      <c r="F335" s="48">
        <v>536</v>
      </c>
      <c r="H335" s="76">
        <v>98346</v>
      </c>
      <c r="I335" s="76" t="s">
        <v>352</v>
      </c>
      <c r="J335" s="79">
        <v>4767.96</v>
      </c>
      <c r="K335" s="79">
        <v>2583.69</v>
      </c>
      <c r="L335" s="79">
        <v>8141.79</v>
      </c>
      <c r="M335" s="79">
        <v>42299.279999999897</v>
      </c>
      <c r="N335" s="79">
        <v>6539.89</v>
      </c>
      <c r="O335" s="79">
        <v>3335.62</v>
      </c>
      <c r="P335" s="79">
        <v>8804.0299999999897</v>
      </c>
      <c r="Q335" s="79">
        <v>26227.369999999901</v>
      </c>
      <c r="R335" s="79">
        <v>1901.04</v>
      </c>
      <c r="S335" s="79">
        <v>1520.32</v>
      </c>
      <c r="T335" s="79">
        <v>11175.26</v>
      </c>
      <c r="U335" s="79">
        <v>21017.119999999999</v>
      </c>
      <c r="AV335" s="76" t="s">
        <v>242</v>
      </c>
      <c r="AW335" s="76" t="s">
        <v>10</v>
      </c>
      <c r="AX335" s="33">
        <v>13</v>
      </c>
      <c r="AY335" s="33">
        <v>2</v>
      </c>
      <c r="AZ335" s="33">
        <v>8</v>
      </c>
      <c r="BB335" s="76" t="s">
        <v>242</v>
      </c>
      <c r="BC335" s="76" t="s">
        <v>10</v>
      </c>
      <c r="BD335" s="79">
        <v>6842.26</v>
      </c>
      <c r="BE335" s="79">
        <v>39.869999999999997</v>
      </c>
      <c r="BF335" s="79">
        <v>7641.39</v>
      </c>
    </row>
    <row r="336" spans="2:58" x14ac:dyDescent="0.2">
      <c r="B336" s="86">
        <v>98353</v>
      </c>
      <c r="C336" s="38" t="s">
        <v>352</v>
      </c>
      <c r="D336" s="48">
        <v>1</v>
      </c>
      <c r="E336" s="48">
        <v>1</v>
      </c>
      <c r="F336" s="48">
        <v>1</v>
      </c>
      <c r="H336" s="76">
        <v>98346</v>
      </c>
      <c r="I336" s="76" t="s">
        <v>10</v>
      </c>
      <c r="J336" s="79">
        <v>80057.36</v>
      </c>
      <c r="K336" s="79">
        <v>57511.25</v>
      </c>
      <c r="L336" s="79">
        <v>143965.60999999999</v>
      </c>
      <c r="M336" s="79">
        <v>405110.28</v>
      </c>
      <c r="N336" s="79">
        <v>38864.79</v>
      </c>
      <c r="O336" s="79">
        <v>75147.990000000005</v>
      </c>
      <c r="P336" s="79">
        <v>178687.19</v>
      </c>
      <c r="Q336" s="79">
        <v>364395.71</v>
      </c>
      <c r="R336" s="79">
        <v>41573.15</v>
      </c>
      <c r="S336" s="79">
        <v>26645.360000000001</v>
      </c>
      <c r="T336" s="79">
        <v>216489.21</v>
      </c>
      <c r="U336" s="79">
        <v>359780.09999999899</v>
      </c>
      <c r="AV336" s="76" t="s">
        <v>243</v>
      </c>
      <c r="AW336" s="76" t="s">
        <v>10</v>
      </c>
      <c r="AX336" s="33">
        <v>7</v>
      </c>
      <c r="AY336" s="33">
        <v>9</v>
      </c>
      <c r="AZ336" s="33">
        <v>8</v>
      </c>
      <c r="BB336" s="76" t="s">
        <v>243</v>
      </c>
      <c r="BC336" s="76" t="s">
        <v>10</v>
      </c>
      <c r="BD336" s="79">
        <v>11103.29</v>
      </c>
      <c r="BE336" s="79">
        <v>7098.19</v>
      </c>
      <c r="BF336" s="79">
        <v>5099</v>
      </c>
    </row>
    <row r="337" spans="2:58" x14ac:dyDescent="0.2">
      <c r="B337" s="59">
        <v>98353</v>
      </c>
      <c r="C337" s="38" t="s">
        <v>10</v>
      </c>
      <c r="D337" s="48">
        <v>2</v>
      </c>
      <c r="E337" s="48">
        <v>2</v>
      </c>
      <c r="F337" s="48">
        <v>2</v>
      </c>
      <c r="H337" s="76">
        <v>98353</v>
      </c>
      <c r="I337" s="76" t="s">
        <v>352</v>
      </c>
      <c r="J337" s="79"/>
      <c r="K337" s="79"/>
      <c r="L337" s="79"/>
      <c r="M337" s="79">
        <v>10.210000000000001</v>
      </c>
      <c r="N337" s="79"/>
      <c r="O337" s="79"/>
      <c r="P337" s="79"/>
      <c r="Q337" s="79">
        <v>10.210000000000001</v>
      </c>
      <c r="R337" s="79"/>
      <c r="S337" s="79"/>
      <c r="T337" s="79"/>
      <c r="U337" s="79">
        <v>10.210000000000001</v>
      </c>
      <c r="AV337" s="76" t="s">
        <v>346</v>
      </c>
      <c r="AW337" s="76" t="s">
        <v>10</v>
      </c>
      <c r="AX337" s="33">
        <v>1</v>
      </c>
      <c r="AY337" s="33">
        <v>1</v>
      </c>
      <c r="AZ337" s="33"/>
      <c r="BB337" s="76" t="s">
        <v>346</v>
      </c>
      <c r="BC337" s="76" t="s">
        <v>10</v>
      </c>
      <c r="BD337" s="79">
        <v>111.52</v>
      </c>
      <c r="BE337" s="79">
        <v>337</v>
      </c>
      <c r="BF337" s="79"/>
    </row>
    <row r="338" spans="2:58" x14ac:dyDescent="0.2">
      <c r="B338" s="86">
        <v>98354</v>
      </c>
      <c r="C338" s="38" t="s">
        <v>352</v>
      </c>
      <c r="D338" s="48">
        <v>13</v>
      </c>
      <c r="E338" s="48">
        <v>15</v>
      </c>
      <c r="F338" s="48">
        <v>16</v>
      </c>
      <c r="H338" s="76">
        <v>98353</v>
      </c>
      <c r="I338" s="76" t="s">
        <v>10</v>
      </c>
      <c r="J338" s="79">
        <v>85.51</v>
      </c>
      <c r="K338" s="79">
        <v>117.69</v>
      </c>
      <c r="L338" s="79">
        <v>450.11</v>
      </c>
      <c r="M338" s="79">
        <v>806.72</v>
      </c>
      <c r="N338" s="79">
        <v>71.760000000000005</v>
      </c>
      <c r="O338" s="79">
        <v>85.51</v>
      </c>
      <c r="P338" s="79">
        <v>567.79999999999995</v>
      </c>
      <c r="Q338" s="79">
        <v>1158.07</v>
      </c>
      <c r="R338" s="79">
        <v>433</v>
      </c>
      <c r="S338" s="79">
        <v>71.760000000000005</v>
      </c>
      <c r="T338" s="79">
        <v>653.30999999999995</v>
      </c>
      <c r="U338" s="79">
        <v>1398.2</v>
      </c>
      <c r="AV338" s="76" t="s">
        <v>347</v>
      </c>
      <c r="AW338" s="76" t="s">
        <v>352</v>
      </c>
      <c r="AX338" s="33">
        <v>1</v>
      </c>
      <c r="AY338" s="33"/>
      <c r="AZ338" s="33"/>
      <c r="BB338" s="76" t="s">
        <v>347</v>
      </c>
      <c r="BC338" s="76" t="s">
        <v>352</v>
      </c>
      <c r="BD338" s="79">
        <v>638.20000000000005</v>
      </c>
      <c r="BE338" s="79"/>
      <c r="BF338" s="79"/>
    </row>
    <row r="339" spans="2:58" x14ac:dyDescent="0.2">
      <c r="B339" s="86">
        <v>98354</v>
      </c>
      <c r="C339" s="38" t="s">
        <v>10</v>
      </c>
      <c r="D339" s="48">
        <v>164</v>
      </c>
      <c r="E339" s="48">
        <v>184</v>
      </c>
      <c r="F339" s="48">
        <v>169</v>
      </c>
      <c r="H339" s="76">
        <v>98354</v>
      </c>
      <c r="I339" s="76" t="s">
        <v>352</v>
      </c>
      <c r="J339" s="79">
        <v>1639.23</v>
      </c>
      <c r="K339" s="79">
        <v>1485.36</v>
      </c>
      <c r="L339" s="79">
        <v>7772.7</v>
      </c>
      <c r="M339" s="79">
        <v>14289.64</v>
      </c>
      <c r="N339" s="79">
        <v>2738.52</v>
      </c>
      <c r="O339" s="79">
        <v>1355.06</v>
      </c>
      <c r="P339" s="79">
        <v>6293.64</v>
      </c>
      <c r="Q339" s="79">
        <v>13501.34</v>
      </c>
      <c r="R339" s="79">
        <v>1737.51</v>
      </c>
      <c r="S339" s="79">
        <v>1079.3800000000001</v>
      </c>
      <c r="T339" s="79">
        <v>6691.95</v>
      </c>
      <c r="U339" s="79">
        <v>12028.22</v>
      </c>
      <c r="AV339" s="76" t="s">
        <v>347</v>
      </c>
      <c r="AW339" s="76" t="s">
        <v>10</v>
      </c>
      <c r="AX339" s="33">
        <v>5</v>
      </c>
      <c r="AY339" s="33">
        <v>2</v>
      </c>
      <c r="AZ339" s="33">
        <v>7</v>
      </c>
      <c r="BB339" s="76" t="s">
        <v>347</v>
      </c>
      <c r="BC339" s="76" t="s">
        <v>10</v>
      </c>
      <c r="BD339" s="79">
        <v>3523.47</v>
      </c>
      <c r="BE339" s="79">
        <v>143.63999999999999</v>
      </c>
      <c r="BF339" s="79">
        <v>3040.23</v>
      </c>
    </row>
    <row r="340" spans="2:58" x14ac:dyDescent="0.2">
      <c r="B340" s="59">
        <v>98359</v>
      </c>
      <c r="C340" s="38" t="s">
        <v>352</v>
      </c>
      <c r="D340" s="48">
        <v>26</v>
      </c>
      <c r="E340" s="48">
        <v>27</v>
      </c>
      <c r="F340" s="48">
        <v>27</v>
      </c>
      <c r="H340" s="76">
        <v>98354</v>
      </c>
      <c r="I340" s="76" t="s">
        <v>10</v>
      </c>
      <c r="J340" s="79">
        <v>8021.17</v>
      </c>
      <c r="K340" s="79">
        <v>6671.3</v>
      </c>
      <c r="L340" s="79">
        <v>14156.23</v>
      </c>
      <c r="M340" s="79">
        <v>42887.76</v>
      </c>
      <c r="N340" s="79">
        <v>8148.59</v>
      </c>
      <c r="O340" s="79">
        <v>5956.91</v>
      </c>
      <c r="P340" s="79">
        <v>17332.79</v>
      </c>
      <c r="Q340" s="79">
        <v>46042.4399999999</v>
      </c>
      <c r="R340" s="79">
        <v>8454.42</v>
      </c>
      <c r="S340" s="79">
        <v>6233.64</v>
      </c>
      <c r="T340" s="79">
        <v>19697.21</v>
      </c>
      <c r="U340" s="79">
        <v>44521.64</v>
      </c>
      <c r="AV340" s="76" t="s">
        <v>348</v>
      </c>
      <c r="AW340" s="76" t="s">
        <v>352</v>
      </c>
      <c r="AX340" s="33">
        <v>1</v>
      </c>
      <c r="AY340" s="33"/>
      <c r="AZ340" s="33">
        <v>1</v>
      </c>
      <c r="BB340" s="76" t="s">
        <v>348</v>
      </c>
      <c r="BC340" s="76" t="s">
        <v>352</v>
      </c>
      <c r="BD340" s="79">
        <v>19967.53</v>
      </c>
      <c r="BE340" s="79"/>
      <c r="BF340" s="79">
        <v>204.2</v>
      </c>
    </row>
    <row r="341" spans="2:58" x14ac:dyDescent="0.2">
      <c r="B341" s="86">
        <v>98359</v>
      </c>
      <c r="C341" s="38" t="s">
        <v>10</v>
      </c>
      <c r="D341" s="48">
        <v>282</v>
      </c>
      <c r="E341" s="48">
        <v>266</v>
      </c>
      <c r="F341" s="48">
        <v>256</v>
      </c>
      <c r="H341" s="76">
        <v>98359</v>
      </c>
      <c r="I341" s="76" t="s">
        <v>352</v>
      </c>
      <c r="J341" s="79">
        <v>1808.12</v>
      </c>
      <c r="K341" s="79">
        <v>721.82</v>
      </c>
      <c r="L341" s="79">
        <v>4320.2699999999904</v>
      </c>
      <c r="M341" s="79">
        <v>8921.74</v>
      </c>
      <c r="N341" s="79">
        <v>1505.48</v>
      </c>
      <c r="O341" s="79">
        <v>1463.53</v>
      </c>
      <c r="P341" s="79">
        <v>4111.1399999999903</v>
      </c>
      <c r="Q341" s="79">
        <v>9593.2099999999991</v>
      </c>
      <c r="R341" s="79">
        <v>1065.03</v>
      </c>
      <c r="S341" s="79">
        <v>523.67999999999995</v>
      </c>
      <c r="T341" s="79">
        <v>4906.3499999999904</v>
      </c>
      <c r="U341" s="79">
        <v>8219.39</v>
      </c>
      <c r="AV341" s="76" t="s">
        <v>348</v>
      </c>
      <c r="AW341" s="76" t="s">
        <v>10</v>
      </c>
      <c r="AX341" s="33">
        <v>2</v>
      </c>
      <c r="AY341" s="33">
        <v>4</v>
      </c>
      <c r="AZ341" s="33">
        <v>4</v>
      </c>
      <c r="BB341" s="76" t="s">
        <v>348</v>
      </c>
      <c r="BC341" s="76" t="s">
        <v>10</v>
      </c>
      <c r="BD341" s="79">
        <v>479</v>
      </c>
      <c r="BE341" s="79">
        <v>618.97</v>
      </c>
      <c r="BF341" s="79">
        <v>1617.33</v>
      </c>
    </row>
    <row r="342" spans="2:58" x14ac:dyDescent="0.2">
      <c r="B342" s="59">
        <v>98360</v>
      </c>
      <c r="C342" s="38" t="s">
        <v>352</v>
      </c>
      <c r="D342" s="48">
        <v>48</v>
      </c>
      <c r="E342" s="48">
        <v>41</v>
      </c>
      <c r="F342" s="48">
        <v>43</v>
      </c>
      <c r="H342" s="76">
        <v>98359</v>
      </c>
      <c r="I342" s="76" t="s">
        <v>10</v>
      </c>
      <c r="J342" s="79">
        <v>30345.919999999998</v>
      </c>
      <c r="K342" s="79">
        <v>19359.97</v>
      </c>
      <c r="L342" s="79">
        <v>101429.93</v>
      </c>
      <c r="M342" s="79">
        <v>202405.71999999901</v>
      </c>
      <c r="N342" s="79">
        <v>24645</v>
      </c>
      <c r="O342" s="79">
        <v>20505.060000000001</v>
      </c>
      <c r="P342" s="79">
        <v>105096.94</v>
      </c>
      <c r="Q342" s="79">
        <v>191673.1</v>
      </c>
      <c r="R342" s="79">
        <v>21868.14</v>
      </c>
      <c r="S342" s="79">
        <v>18281.96</v>
      </c>
      <c r="T342" s="79">
        <v>112090.25</v>
      </c>
      <c r="U342" s="79">
        <v>190471.77</v>
      </c>
      <c r="AV342" s="76" t="s">
        <v>246</v>
      </c>
      <c r="AW342" s="76" t="s">
        <v>352</v>
      </c>
      <c r="AX342" s="33">
        <v>1</v>
      </c>
      <c r="AY342" s="33">
        <v>6</v>
      </c>
      <c r="AZ342" s="33">
        <v>2</v>
      </c>
      <c r="BB342" s="76" t="s">
        <v>246</v>
      </c>
      <c r="BC342" s="76" t="s">
        <v>352</v>
      </c>
      <c r="BD342" s="79">
        <v>142.94</v>
      </c>
      <c r="BE342" s="79">
        <v>6799.84</v>
      </c>
      <c r="BF342" s="79"/>
    </row>
    <row r="343" spans="2:58" x14ac:dyDescent="0.2">
      <c r="B343" s="86">
        <v>98360</v>
      </c>
      <c r="C343" s="38" t="s">
        <v>10</v>
      </c>
      <c r="D343" s="48">
        <v>719</v>
      </c>
      <c r="E343" s="48">
        <v>693</v>
      </c>
      <c r="F343" s="48">
        <v>702</v>
      </c>
      <c r="H343" s="76">
        <v>98360</v>
      </c>
      <c r="I343" s="76" t="s">
        <v>352</v>
      </c>
      <c r="J343" s="79">
        <v>8723.17</v>
      </c>
      <c r="K343" s="79">
        <v>4753.2299999999996</v>
      </c>
      <c r="L343" s="79">
        <v>21551.59</v>
      </c>
      <c r="M343" s="79">
        <v>46388.059999999903</v>
      </c>
      <c r="N343" s="79">
        <v>6523.46</v>
      </c>
      <c r="O343" s="79">
        <v>3681.04</v>
      </c>
      <c r="P343" s="79">
        <v>23328.46</v>
      </c>
      <c r="Q343" s="79">
        <v>39001.1</v>
      </c>
      <c r="R343" s="79">
        <v>3438.33</v>
      </c>
      <c r="S343" s="79">
        <v>4248.43</v>
      </c>
      <c r="T343" s="79">
        <v>23784.81</v>
      </c>
      <c r="U343" s="79">
        <v>40987.17</v>
      </c>
      <c r="AV343" s="76" t="s">
        <v>246</v>
      </c>
      <c r="AW343" s="76" t="s">
        <v>10</v>
      </c>
      <c r="AX343" s="33">
        <v>24</v>
      </c>
      <c r="AY343" s="33">
        <v>28</v>
      </c>
      <c r="AZ343" s="33">
        <v>32</v>
      </c>
      <c r="BB343" s="76" t="s">
        <v>246</v>
      </c>
      <c r="BC343" s="76" t="s">
        <v>10</v>
      </c>
      <c r="BD343" s="79">
        <v>21405.81</v>
      </c>
      <c r="BE343" s="79">
        <v>11807.99</v>
      </c>
      <c r="BF343" s="79">
        <v>24720.66</v>
      </c>
    </row>
    <row r="344" spans="2:58" x14ac:dyDescent="0.2">
      <c r="B344" s="59">
        <v>98364</v>
      </c>
      <c r="C344" s="38" t="s">
        <v>352</v>
      </c>
      <c r="D344" s="48"/>
      <c r="E344" s="48">
        <v>1</v>
      </c>
      <c r="F344" s="48">
        <v>1</v>
      </c>
      <c r="H344" s="76">
        <v>98360</v>
      </c>
      <c r="I344" s="76" t="s">
        <v>10</v>
      </c>
      <c r="J344" s="79">
        <v>90551.98</v>
      </c>
      <c r="K344" s="79">
        <v>68872.160000000003</v>
      </c>
      <c r="L344" s="79">
        <v>258095.4</v>
      </c>
      <c r="M344" s="79">
        <v>562787.26</v>
      </c>
      <c r="N344" s="79">
        <v>87460.76</v>
      </c>
      <c r="O344" s="79">
        <v>60235.27</v>
      </c>
      <c r="P344" s="79">
        <v>273992.76999999897</v>
      </c>
      <c r="Q344" s="79">
        <v>539549.52999999898</v>
      </c>
      <c r="R344" s="79">
        <v>77463.03</v>
      </c>
      <c r="S344" s="79">
        <v>63282.81</v>
      </c>
      <c r="T344" s="79">
        <v>296231.21000000002</v>
      </c>
      <c r="U344" s="79">
        <v>562014.99999999895</v>
      </c>
      <c r="AV344" s="76" t="s">
        <v>247</v>
      </c>
      <c r="AW344" s="76" t="s">
        <v>352</v>
      </c>
      <c r="AX344" s="33">
        <v>1</v>
      </c>
      <c r="AY344" s="33">
        <v>3</v>
      </c>
      <c r="AZ344" s="33">
        <v>1</v>
      </c>
      <c r="BB344" s="76" t="s">
        <v>247</v>
      </c>
      <c r="BC344" s="76" t="s">
        <v>352</v>
      </c>
      <c r="BD344" s="79"/>
      <c r="BE344" s="79">
        <v>4416.28</v>
      </c>
      <c r="BF344" s="79">
        <v>669.35</v>
      </c>
    </row>
    <row r="345" spans="2:58" x14ac:dyDescent="0.2">
      <c r="B345" s="86">
        <v>98366</v>
      </c>
      <c r="C345" s="38" t="s">
        <v>352</v>
      </c>
      <c r="D345" s="48">
        <v>210</v>
      </c>
      <c r="E345" s="74">
        <v>149</v>
      </c>
      <c r="F345" s="74">
        <v>198</v>
      </c>
      <c r="H345" s="76">
        <v>98364</v>
      </c>
      <c r="I345" s="76" t="s">
        <v>352</v>
      </c>
      <c r="J345" s="79"/>
      <c r="K345" s="79"/>
      <c r="L345" s="79"/>
      <c r="M345" s="79"/>
      <c r="N345" s="79"/>
      <c r="O345" s="79"/>
      <c r="P345" s="79"/>
      <c r="Q345" s="79">
        <v>38.299999999999997</v>
      </c>
      <c r="R345" s="79"/>
      <c r="S345" s="79"/>
      <c r="T345" s="79"/>
      <c r="U345" s="79">
        <v>38.32</v>
      </c>
      <c r="AV345" s="76" t="s">
        <v>247</v>
      </c>
      <c r="AW345" s="76" t="s">
        <v>10</v>
      </c>
      <c r="AX345" s="33">
        <v>9</v>
      </c>
      <c r="AY345" s="33">
        <v>7</v>
      </c>
      <c r="AZ345" s="33">
        <v>7</v>
      </c>
      <c r="BB345" s="76" t="s">
        <v>247</v>
      </c>
      <c r="BC345" s="76" t="s">
        <v>10</v>
      </c>
      <c r="BD345" s="79">
        <v>4164.1499999999996</v>
      </c>
      <c r="BE345" s="79">
        <v>1313.01</v>
      </c>
      <c r="BF345" s="79">
        <v>1471.08</v>
      </c>
    </row>
    <row r="346" spans="2:58" x14ac:dyDescent="0.2">
      <c r="B346" s="86">
        <v>98366</v>
      </c>
      <c r="C346" s="38" t="s">
        <v>10</v>
      </c>
      <c r="D346" s="48">
        <v>2756</v>
      </c>
      <c r="E346" s="48">
        <v>2684</v>
      </c>
      <c r="F346" s="48">
        <v>2670</v>
      </c>
      <c r="H346" s="76">
        <v>98366</v>
      </c>
      <c r="I346" s="76" t="s">
        <v>352</v>
      </c>
      <c r="J346" s="79">
        <v>12129.63</v>
      </c>
      <c r="K346" s="79">
        <v>9257.01</v>
      </c>
      <c r="L346" s="79">
        <v>27449.679999999898</v>
      </c>
      <c r="M346" s="79">
        <v>120452.35</v>
      </c>
      <c r="N346" s="79">
        <v>9862.77</v>
      </c>
      <c r="O346" s="79">
        <v>7485.23</v>
      </c>
      <c r="P346" s="79">
        <v>31825.94</v>
      </c>
      <c r="Q346" s="79">
        <v>106610.799999999</v>
      </c>
      <c r="R346" s="79">
        <v>21505.86</v>
      </c>
      <c r="S346" s="79">
        <v>5957.06</v>
      </c>
      <c r="T346" s="79">
        <v>28776.479999999901</v>
      </c>
      <c r="U346" s="79">
        <v>181240.78999999899</v>
      </c>
      <c r="AV346" s="76" t="s">
        <v>248</v>
      </c>
      <c r="AW346" s="76" t="s">
        <v>352</v>
      </c>
      <c r="AX346" s="33">
        <v>6</v>
      </c>
      <c r="AY346" s="33">
        <v>7</v>
      </c>
      <c r="AZ346" s="33">
        <v>11</v>
      </c>
      <c r="BB346" s="76" t="s">
        <v>248</v>
      </c>
      <c r="BC346" s="76" t="s">
        <v>352</v>
      </c>
      <c r="BD346" s="79">
        <v>3463.73</v>
      </c>
      <c r="BE346" s="79">
        <v>7370.14</v>
      </c>
      <c r="BF346" s="79">
        <v>10923.39</v>
      </c>
    </row>
    <row r="347" spans="2:58" x14ac:dyDescent="0.2">
      <c r="B347" s="59">
        <v>98367</v>
      </c>
      <c r="C347" s="38" t="s">
        <v>352</v>
      </c>
      <c r="D347" s="48">
        <v>143</v>
      </c>
      <c r="E347" s="48">
        <v>140</v>
      </c>
      <c r="F347" s="48">
        <v>146</v>
      </c>
      <c r="H347" s="76">
        <v>98366</v>
      </c>
      <c r="I347" s="76" t="s">
        <v>10</v>
      </c>
      <c r="J347" s="79">
        <v>231910.68</v>
      </c>
      <c r="K347" s="79">
        <v>196896.5</v>
      </c>
      <c r="L347" s="79">
        <v>567617.72</v>
      </c>
      <c r="M347" s="79">
        <v>1363994.42</v>
      </c>
      <c r="N347" s="79">
        <v>233766.34</v>
      </c>
      <c r="O347" s="79">
        <v>177118.22</v>
      </c>
      <c r="P347" s="79">
        <v>675322.36</v>
      </c>
      <c r="Q347" s="79">
        <v>1401955.9</v>
      </c>
      <c r="R347" s="79">
        <v>197395.3</v>
      </c>
      <c r="S347" s="79">
        <v>181851.03</v>
      </c>
      <c r="T347" s="79">
        <v>734864.23999999894</v>
      </c>
      <c r="U347" s="79">
        <v>1357302.47</v>
      </c>
      <c r="AV347" s="76" t="s">
        <v>248</v>
      </c>
      <c r="AW347" s="76" t="s">
        <v>10</v>
      </c>
      <c r="AX347" s="33">
        <v>50</v>
      </c>
      <c r="AY347" s="33">
        <v>44</v>
      </c>
      <c r="AZ347" s="33">
        <v>57</v>
      </c>
      <c r="BB347" s="76" t="s">
        <v>248</v>
      </c>
      <c r="BC347" s="76" t="s">
        <v>10</v>
      </c>
      <c r="BD347" s="79">
        <v>29804.06</v>
      </c>
      <c r="BE347" s="79">
        <v>10786.86</v>
      </c>
      <c r="BF347" s="79">
        <v>19522.490000000002</v>
      </c>
    </row>
    <row r="348" spans="2:58" x14ac:dyDescent="0.2">
      <c r="B348" s="86">
        <v>98367</v>
      </c>
      <c r="C348" s="38" t="s">
        <v>10</v>
      </c>
      <c r="D348" s="48">
        <v>1621</v>
      </c>
      <c r="E348" s="48">
        <v>1559</v>
      </c>
      <c r="F348" s="48">
        <v>1530</v>
      </c>
      <c r="H348" s="76">
        <v>98367</v>
      </c>
      <c r="I348" s="76" t="s">
        <v>352</v>
      </c>
      <c r="J348" s="79">
        <v>10208.290000000001</v>
      </c>
      <c r="K348" s="79">
        <v>3561.56</v>
      </c>
      <c r="L348" s="79">
        <v>24505.66</v>
      </c>
      <c r="M348" s="79">
        <v>63006.87</v>
      </c>
      <c r="N348" s="79">
        <v>4962.7700000000004</v>
      </c>
      <c r="O348" s="79">
        <v>3493.4</v>
      </c>
      <c r="P348" s="79">
        <v>18237.719999999899</v>
      </c>
      <c r="Q348" s="79">
        <v>46203.43</v>
      </c>
      <c r="R348" s="79">
        <v>10887.59</v>
      </c>
      <c r="S348" s="79">
        <v>2971.92</v>
      </c>
      <c r="T348" s="79">
        <v>13739.64</v>
      </c>
      <c r="U348" s="79">
        <v>42836.969999999899</v>
      </c>
      <c r="AV348" s="76" t="s">
        <v>249</v>
      </c>
      <c r="AW348" s="76" t="s">
        <v>352</v>
      </c>
      <c r="AX348" s="33"/>
      <c r="AY348" s="33">
        <v>1</v>
      </c>
      <c r="AZ348" s="33"/>
      <c r="BB348" s="76" t="s">
        <v>249</v>
      </c>
      <c r="BC348" s="76" t="s">
        <v>352</v>
      </c>
      <c r="BD348" s="79"/>
      <c r="BE348" s="79">
        <v>0.02</v>
      </c>
      <c r="BF348" s="79"/>
    </row>
    <row r="349" spans="2:58" x14ac:dyDescent="0.2">
      <c r="B349" s="59">
        <v>98370</v>
      </c>
      <c r="C349" s="38" t="s">
        <v>352</v>
      </c>
      <c r="D349" s="48">
        <v>309</v>
      </c>
      <c r="E349" s="48">
        <v>321</v>
      </c>
      <c r="F349" s="48">
        <v>291</v>
      </c>
      <c r="H349" s="76">
        <v>98367</v>
      </c>
      <c r="I349" s="76" t="s">
        <v>10</v>
      </c>
      <c r="J349" s="79">
        <v>189737.77</v>
      </c>
      <c r="K349" s="79">
        <v>128256.86</v>
      </c>
      <c r="L349" s="79">
        <v>482081.36999999901</v>
      </c>
      <c r="M349" s="79">
        <v>1103527.1599999999</v>
      </c>
      <c r="N349" s="79">
        <v>173755.05</v>
      </c>
      <c r="O349" s="79">
        <v>132474.59</v>
      </c>
      <c r="P349" s="79">
        <v>514804.56999999902</v>
      </c>
      <c r="Q349" s="79">
        <v>1085851.94</v>
      </c>
      <c r="R349" s="79">
        <v>152100.79999999999</v>
      </c>
      <c r="S349" s="79">
        <v>129424.36</v>
      </c>
      <c r="T349" s="79">
        <v>572605.41999999899</v>
      </c>
      <c r="U349" s="79">
        <v>1062124.03999999</v>
      </c>
      <c r="AV349" s="76" t="s">
        <v>249</v>
      </c>
      <c r="AW349" s="76" t="s">
        <v>10</v>
      </c>
      <c r="AX349" s="33">
        <v>38</v>
      </c>
      <c r="AY349" s="33">
        <v>41</v>
      </c>
      <c r="AZ349" s="33">
        <v>44</v>
      </c>
      <c r="BB349" s="76" t="s">
        <v>249</v>
      </c>
      <c r="BC349" s="76" t="s">
        <v>10</v>
      </c>
      <c r="BD349" s="79">
        <v>14454.77</v>
      </c>
      <c r="BE349" s="79">
        <v>17106.36</v>
      </c>
      <c r="BF349" s="79">
        <v>22729.63</v>
      </c>
    </row>
    <row r="350" spans="2:58" x14ac:dyDescent="0.2">
      <c r="B350" s="86">
        <v>98370</v>
      </c>
      <c r="C350" s="38" t="s">
        <v>10</v>
      </c>
      <c r="D350" s="48">
        <v>1829</v>
      </c>
      <c r="E350" s="48">
        <v>1800</v>
      </c>
      <c r="F350" s="48">
        <v>1786</v>
      </c>
      <c r="H350" s="76">
        <v>98370</v>
      </c>
      <c r="I350" s="76" t="s">
        <v>352</v>
      </c>
      <c r="J350" s="79">
        <v>24543</v>
      </c>
      <c r="K350" s="79">
        <v>9869.89</v>
      </c>
      <c r="L350" s="79">
        <v>146135.16999999899</v>
      </c>
      <c r="M350" s="79">
        <v>458211.23</v>
      </c>
      <c r="N350" s="79">
        <v>36834.39</v>
      </c>
      <c r="O350" s="79">
        <v>15908.87</v>
      </c>
      <c r="P350" s="79">
        <v>145332.28</v>
      </c>
      <c r="Q350" s="79">
        <v>397823.18</v>
      </c>
      <c r="R350" s="79">
        <v>18618.77</v>
      </c>
      <c r="S350" s="79">
        <v>17213.7</v>
      </c>
      <c r="T350" s="79">
        <v>149579.91999999899</v>
      </c>
      <c r="U350" s="79">
        <v>325796.94999999902</v>
      </c>
      <c r="AV350" s="76" t="s">
        <v>250</v>
      </c>
      <c r="AW350" s="76" t="s">
        <v>352</v>
      </c>
      <c r="AX350" s="33">
        <v>1</v>
      </c>
      <c r="AY350" s="33">
        <v>2</v>
      </c>
      <c r="AZ350" s="33"/>
      <c r="BB350" s="76" t="s">
        <v>250</v>
      </c>
      <c r="BC350" s="76" t="s">
        <v>352</v>
      </c>
      <c r="BD350" s="79"/>
      <c r="BE350" s="79">
        <v>277.07</v>
      </c>
      <c r="BF350" s="79"/>
    </row>
    <row r="351" spans="2:58" x14ac:dyDescent="0.2">
      <c r="B351" s="59">
        <v>98371</v>
      </c>
      <c r="C351" s="38" t="s">
        <v>352</v>
      </c>
      <c r="D351" s="48">
        <v>149</v>
      </c>
      <c r="E351" s="48">
        <v>142</v>
      </c>
      <c r="F351" s="48">
        <v>317</v>
      </c>
      <c r="H351" s="76">
        <v>98370</v>
      </c>
      <c r="I351" s="76" t="s">
        <v>10</v>
      </c>
      <c r="J351" s="79">
        <v>161204.35</v>
      </c>
      <c r="K351" s="79">
        <v>110834.55</v>
      </c>
      <c r="L351" s="79">
        <v>370844.13</v>
      </c>
      <c r="M351" s="79">
        <v>960273.18999999901</v>
      </c>
      <c r="N351" s="79">
        <v>155225.82999999999</v>
      </c>
      <c r="O351" s="79">
        <v>116364.09</v>
      </c>
      <c r="P351" s="79">
        <v>418023.12</v>
      </c>
      <c r="Q351" s="79">
        <v>952785.97</v>
      </c>
      <c r="R351" s="79">
        <v>132010.26</v>
      </c>
      <c r="S351" s="79">
        <v>115091.23</v>
      </c>
      <c r="T351" s="79">
        <v>468332.06999999902</v>
      </c>
      <c r="U351" s="79">
        <v>949081.75</v>
      </c>
      <c r="AV351" s="76" t="s">
        <v>250</v>
      </c>
      <c r="AW351" s="76" t="s">
        <v>10</v>
      </c>
      <c r="AX351" s="33">
        <v>46</v>
      </c>
      <c r="AY351" s="33">
        <v>49</v>
      </c>
      <c r="AZ351" s="33">
        <v>58</v>
      </c>
      <c r="BB351" s="76" t="s">
        <v>250</v>
      </c>
      <c r="BC351" s="76" t="s">
        <v>10</v>
      </c>
      <c r="BD351" s="79">
        <v>26850.36</v>
      </c>
      <c r="BE351" s="79">
        <v>20676.72</v>
      </c>
      <c r="BF351" s="79">
        <v>35350.449999999997</v>
      </c>
    </row>
    <row r="352" spans="2:58" x14ac:dyDescent="0.2">
      <c r="B352" s="86">
        <v>98371</v>
      </c>
      <c r="C352" s="38" t="s">
        <v>10</v>
      </c>
      <c r="D352" s="48">
        <v>1604</v>
      </c>
      <c r="E352" s="48">
        <v>1591</v>
      </c>
      <c r="F352" s="48">
        <v>1540</v>
      </c>
      <c r="H352" s="76">
        <v>98371</v>
      </c>
      <c r="I352" s="76" t="s">
        <v>352</v>
      </c>
      <c r="J352" s="79">
        <v>16591.84</v>
      </c>
      <c r="K352" s="79">
        <v>7655.33</v>
      </c>
      <c r="L352" s="79">
        <v>34214.51</v>
      </c>
      <c r="M352" s="79">
        <v>203955.989999999</v>
      </c>
      <c r="N352" s="79">
        <v>24468.18</v>
      </c>
      <c r="O352" s="79">
        <v>9523.99</v>
      </c>
      <c r="P352" s="79">
        <v>40255.69</v>
      </c>
      <c r="Q352" s="79">
        <v>170231.58999999901</v>
      </c>
      <c r="R352" s="79">
        <v>27381.88</v>
      </c>
      <c r="S352" s="79">
        <v>7297.28</v>
      </c>
      <c r="T352" s="79">
        <v>41249.919999999998</v>
      </c>
      <c r="U352" s="79">
        <v>294205.32999999903</v>
      </c>
      <c r="AV352" s="76" t="s">
        <v>252</v>
      </c>
      <c r="AW352" s="76" t="s">
        <v>352</v>
      </c>
      <c r="AX352" s="33"/>
      <c r="AY352" s="33">
        <v>2</v>
      </c>
      <c r="AZ352" s="33">
        <v>4</v>
      </c>
      <c r="BB352" s="76" t="s">
        <v>252</v>
      </c>
      <c r="BC352" s="76" t="s">
        <v>352</v>
      </c>
      <c r="BD352" s="79"/>
      <c r="BE352" s="79">
        <v>445.34</v>
      </c>
      <c r="BF352" s="79">
        <v>2006.72</v>
      </c>
    </row>
    <row r="353" spans="2:58" x14ac:dyDescent="0.2">
      <c r="B353" s="59">
        <v>98372</v>
      </c>
      <c r="C353" s="38" t="s">
        <v>352</v>
      </c>
      <c r="D353" s="48">
        <v>152</v>
      </c>
      <c r="E353" s="48">
        <v>137</v>
      </c>
      <c r="F353" s="48">
        <v>156</v>
      </c>
      <c r="H353" s="76">
        <v>98371</v>
      </c>
      <c r="I353" s="76" t="s">
        <v>10</v>
      </c>
      <c r="J353" s="79">
        <v>159487.82</v>
      </c>
      <c r="K353" s="79">
        <v>128102.71</v>
      </c>
      <c r="L353" s="79">
        <v>343615.84</v>
      </c>
      <c r="M353" s="79">
        <v>890812.179999999</v>
      </c>
      <c r="N353" s="79">
        <v>162302.92000000001</v>
      </c>
      <c r="O353" s="79">
        <v>121457.68</v>
      </c>
      <c r="P353" s="79">
        <v>410953.26</v>
      </c>
      <c r="Q353" s="79">
        <v>898464.64</v>
      </c>
      <c r="R353" s="79">
        <v>130027.87</v>
      </c>
      <c r="S353" s="79">
        <v>122806.22</v>
      </c>
      <c r="T353" s="79">
        <v>441268.65</v>
      </c>
      <c r="U353" s="79">
        <v>856501.24</v>
      </c>
      <c r="AV353" s="76" t="s">
        <v>252</v>
      </c>
      <c r="AW353" s="76" t="s">
        <v>10</v>
      </c>
      <c r="AX353" s="33">
        <v>19</v>
      </c>
      <c r="AY353" s="33">
        <v>18</v>
      </c>
      <c r="AZ353" s="33">
        <v>26</v>
      </c>
      <c r="BB353" s="76" t="s">
        <v>252</v>
      </c>
      <c r="BC353" s="76" t="s">
        <v>10</v>
      </c>
      <c r="BD353" s="79">
        <v>8340.7099999999991</v>
      </c>
      <c r="BE353" s="79">
        <v>14209.5</v>
      </c>
      <c r="BF353" s="79">
        <v>9801.91</v>
      </c>
    </row>
    <row r="354" spans="2:58" x14ac:dyDescent="0.2">
      <c r="B354" s="86">
        <v>98372</v>
      </c>
      <c r="C354" s="38" t="s">
        <v>10</v>
      </c>
      <c r="D354" s="48">
        <v>1988</v>
      </c>
      <c r="E354" s="48">
        <v>1951</v>
      </c>
      <c r="F354" s="48">
        <v>1985</v>
      </c>
      <c r="H354" s="76">
        <v>98372</v>
      </c>
      <c r="I354" s="76" t="s">
        <v>352</v>
      </c>
      <c r="J354" s="79">
        <v>30621.759999999998</v>
      </c>
      <c r="K354" s="79">
        <v>12981.73</v>
      </c>
      <c r="L354" s="79">
        <v>26841.54</v>
      </c>
      <c r="M354" s="79">
        <v>183589.72</v>
      </c>
      <c r="N354" s="79">
        <v>20867.87</v>
      </c>
      <c r="O354" s="79">
        <v>11980.22</v>
      </c>
      <c r="P354" s="79">
        <v>27976.31</v>
      </c>
      <c r="Q354" s="79">
        <v>175700.52</v>
      </c>
      <c r="R354" s="79">
        <v>16242.73</v>
      </c>
      <c r="S354" s="79">
        <v>9076.43</v>
      </c>
      <c r="T354" s="79">
        <v>26970.289999999899</v>
      </c>
      <c r="U354" s="79">
        <v>137008.13</v>
      </c>
      <c r="AV354" s="76" t="s">
        <v>253</v>
      </c>
      <c r="AW354" s="76" t="s">
        <v>352</v>
      </c>
      <c r="AX354" s="33">
        <v>2</v>
      </c>
      <c r="AY354" s="33">
        <v>2</v>
      </c>
      <c r="AZ354" s="33">
        <v>2</v>
      </c>
      <c r="BB354" s="76" t="s">
        <v>253</v>
      </c>
      <c r="BC354" s="76" t="s">
        <v>352</v>
      </c>
      <c r="BD354" s="79">
        <v>95.53</v>
      </c>
      <c r="BE354" s="79">
        <v>2342.04</v>
      </c>
      <c r="BF354" s="79">
        <v>1232.21</v>
      </c>
    </row>
    <row r="355" spans="2:58" x14ac:dyDescent="0.2">
      <c r="B355" s="59">
        <v>98373</v>
      </c>
      <c r="C355" s="38" t="s">
        <v>352</v>
      </c>
      <c r="D355" s="48">
        <v>121</v>
      </c>
      <c r="E355" s="48">
        <v>110</v>
      </c>
      <c r="F355" s="48">
        <v>169</v>
      </c>
      <c r="H355" s="76">
        <v>98372</v>
      </c>
      <c r="I355" s="76" t="s">
        <v>10</v>
      </c>
      <c r="J355" s="79">
        <v>200772.3</v>
      </c>
      <c r="K355" s="79">
        <v>162835.28</v>
      </c>
      <c r="L355" s="79">
        <v>487095.74999999901</v>
      </c>
      <c r="M355" s="79">
        <v>1152052.9499999899</v>
      </c>
      <c r="N355" s="79">
        <v>193489.35</v>
      </c>
      <c r="O355" s="79">
        <v>151918.06</v>
      </c>
      <c r="P355" s="79">
        <v>560070.41999999899</v>
      </c>
      <c r="Q355" s="79">
        <v>1143705.48999999</v>
      </c>
      <c r="R355" s="79">
        <v>153159.57999999999</v>
      </c>
      <c r="S355" s="79">
        <v>146068.41</v>
      </c>
      <c r="T355" s="79">
        <v>594741.71</v>
      </c>
      <c r="U355" s="79">
        <v>1105026.8999999999</v>
      </c>
      <c r="AV355" s="76" t="s">
        <v>253</v>
      </c>
      <c r="AW355" s="76" t="s">
        <v>10</v>
      </c>
      <c r="AX355" s="33">
        <v>32</v>
      </c>
      <c r="AY355" s="33">
        <v>36</v>
      </c>
      <c r="AZ355" s="33">
        <v>33</v>
      </c>
      <c r="BB355" s="76" t="s">
        <v>253</v>
      </c>
      <c r="BC355" s="76" t="s">
        <v>10</v>
      </c>
      <c r="BD355" s="79">
        <v>15828.17</v>
      </c>
      <c r="BE355" s="79">
        <v>11473.48</v>
      </c>
      <c r="BF355" s="79">
        <v>22753.22</v>
      </c>
    </row>
    <row r="356" spans="2:58" x14ac:dyDescent="0.2">
      <c r="B356" s="86">
        <v>98373</v>
      </c>
      <c r="C356" s="38" t="s">
        <v>10</v>
      </c>
      <c r="D356" s="48">
        <v>1863</v>
      </c>
      <c r="E356" s="48">
        <v>1773</v>
      </c>
      <c r="F356" s="48">
        <v>1792</v>
      </c>
      <c r="H356" s="76">
        <v>98373</v>
      </c>
      <c r="I356" s="76" t="s">
        <v>352</v>
      </c>
      <c r="J356" s="79">
        <v>9886.85</v>
      </c>
      <c r="K356" s="79">
        <v>10904.36</v>
      </c>
      <c r="L356" s="79">
        <v>106086.29</v>
      </c>
      <c r="M356" s="79">
        <v>342804.44</v>
      </c>
      <c r="N356" s="79">
        <v>13826.91</v>
      </c>
      <c r="O356" s="79">
        <v>6802.56</v>
      </c>
      <c r="P356" s="79">
        <v>114728.50999999901</v>
      </c>
      <c r="Q356" s="79">
        <v>201780.3</v>
      </c>
      <c r="R356" s="79">
        <v>18041.04</v>
      </c>
      <c r="S356" s="79">
        <v>5803.96</v>
      </c>
      <c r="T356" s="79">
        <v>117462.2</v>
      </c>
      <c r="U356" s="79">
        <v>253651.18</v>
      </c>
      <c r="AV356" s="76" t="s">
        <v>254</v>
      </c>
      <c r="AW356" s="76" t="s">
        <v>10</v>
      </c>
      <c r="AX356" s="33">
        <v>31</v>
      </c>
      <c r="AY356" s="33">
        <v>29</v>
      </c>
      <c r="AZ356" s="33">
        <v>32</v>
      </c>
      <c r="BB356" s="76" t="s">
        <v>254</v>
      </c>
      <c r="BC356" s="76" t="s">
        <v>10</v>
      </c>
      <c r="BD356" s="79">
        <v>20480.34</v>
      </c>
      <c r="BE356" s="79">
        <v>14867.81</v>
      </c>
      <c r="BF356" s="79">
        <v>17859.45</v>
      </c>
    </row>
    <row r="357" spans="2:58" x14ac:dyDescent="0.2">
      <c r="B357" s="59">
        <v>98374</v>
      </c>
      <c r="C357" s="38" t="s">
        <v>352</v>
      </c>
      <c r="D357" s="48">
        <v>121</v>
      </c>
      <c r="E357" s="48">
        <v>111</v>
      </c>
      <c r="F357" s="48">
        <v>113</v>
      </c>
      <c r="H357" s="76">
        <v>98373</v>
      </c>
      <c r="I357" s="76" t="s">
        <v>10</v>
      </c>
      <c r="J357" s="79">
        <v>163060.96</v>
      </c>
      <c r="K357" s="79">
        <v>136634.74</v>
      </c>
      <c r="L357" s="79">
        <v>427318.11</v>
      </c>
      <c r="M357" s="79">
        <v>993357.82</v>
      </c>
      <c r="N357" s="79">
        <v>171448.92</v>
      </c>
      <c r="O357" s="79">
        <v>120803.37</v>
      </c>
      <c r="P357" s="79">
        <v>479262.5</v>
      </c>
      <c r="Q357" s="79">
        <v>977064.68</v>
      </c>
      <c r="R357" s="79">
        <v>139063.67999999999</v>
      </c>
      <c r="S357" s="79">
        <v>131930.9</v>
      </c>
      <c r="T357" s="79">
        <v>528408.25</v>
      </c>
      <c r="U357" s="79">
        <v>980753.46999999904</v>
      </c>
      <c r="AV357" s="76" t="s">
        <v>255</v>
      </c>
      <c r="AW357" s="76" t="s">
        <v>352</v>
      </c>
      <c r="AX357" s="33">
        <v>5</v>
      </c>
      <c r="AY357" s="33">
        <v>2</v>
      </c>
      <c r="AZ357" s="33">
        <v>5</v>
      </c>
      <c r="BB357" s="76" t="s">
        <v>255</v>
      </c>
      <c r="BC357" s="76" t="s">
        <v>352</v>
      </c>
      <c r="BD357" s="79">
        <v>3337.69</v>
      </c>
      <c r="BE357" s="79">
        <v>64.94</v>
      </c>
      <c r="BF357" s="79">
        <v>150.88999999999999</v>
      </c>
    </row>
    <row r="358" spans="2:58" x14ac:dyDescent="0.2">
      <c r="B358" s="86">
        <v>98374</v>
      </c>
      <c r="C358" s="38" t="s">
        <v>10</v>
      </c>
      <c r="D358" s="48">
        <v>2456</v>
      </c>
      <c r="E358" s="48">
        <v>2402</v>
      </c>
      <c r="F358" s="48">
        <v>2407</v>
      </c>
      <c r="H358" s="76">
        <v>98374</v>
      </c>
      <c r="I358" s="76" t="s">
        <v>352</v>
      </c>
      <c r="J358" s="79">
        <v>6577.32</v>
      </c>
      <c r="K358" s="79">
        <v>5490.39</v>
      </c>
      <c r="L358" s="79">
        <v>96923.17</v>
      </c>
      <c r="M358" s="79">
        <v>390245.70999999897</v>
      </c>
      <c r="N358" s="79">
        <v>26821.83</v>
      </c>
      <c r="O358" s="79">
        <v>5754.65</v>
      </c>
      <c r="P358" s="79">
        <v>99776.51</v>
      </c>
      <c r="Q358" s="79">
        <v>246643.19</v>
      </c>
      <c r="R358" s="79">
        <v>16667.37</v>
      </c>
      <c r="S358" s="79">
        <v>7284.65</v>
      </c>
      <c r="T358" s="79">
        <v>102665.12</v>
      </c>
      <c r="U358" s="79">
        <v>224842.49</v>
      </c>
      <c r="AV358" s="76" t="s">
        <v>255</v>
      </c>
      <c r="AW358" s="76" t="s">
        <v>10</v>
      </c>
      <c r="AX358" s="33">
        <v>27</v>
      </c>
      <c r="AY358" s="33">
        <v>29</v>
      </c>
      <c r="AZ358" s="33">
        <v>33</v>
      </c>
      <c r="BB358" s="76" t="s">
        <v>255</v>
      </c>
      <c r="BC358" s="76" t="s">
        <v>10</v>
      </c>
      <c r="BD358" s="79">
        <v>8115.1</v>
      </c>
      <c r="BE358" s="79">
        <v>12763.25</v>
      </c>
      <c r="BF358" s="79">
        <v>13576.02</v>
      </c>
    </row>
    <row r="359" spans="2:58" x14ac:dyDescent="0.2">
      <c r="B359" s="59">
        <v>98375</v>
      </c>
      <c r="C359" s="38" t="s">
        <v>352</v>
      </c>
      <c r="D359" s="48">
        <v>46</v>
      </c>
      <c r="E359" s="48">
        <v>47</v>
      </c>
      <c r="F359" s="48">
        <v>39</v>
      </c>
      <c r="H359" s="76">
        <v>98374</v>
      </c>
      <c r="I359" s="76" t="s">
        <v>10</v>
      </c>
      <c r="J359" s="79">
        <v>280129.76</v>
      </c>
      <c r="K359" s="79">
        <v>220721.13</v>
      </c>
      <c r="L359" s="79">
        <v>651925.91999999899</v>
      </c>
      <c r="M359" s="79">
        <v>1616025.78</v>
      </c>
      <c r="N359" s="79">
        <v>303251.96999999997</v>
      </c>
      <c r="O359" s="79">
        <v>213253.75</v>
      </c>
      <c r="P359" s="79">
        <v>768757.88</v>
      </c>
      <c r="Q359" s="79">
        <v>1653203.6</v>
      </c>
      <c r="R359" s="79">
        <v>244158.46</v>
      </c>
      <c r="S359" s="79">
        <v>227360.84</v>
      </c>
      <c r="T359" s="79">
        <v>853668.6</v>
      </c>
      <c r="U359" s="79">
        <v>1633313.31</v>
      </c>
      <c r="AV359" s="76" t="s">
        <v>256</v>
      </c>
      <c r="AW359" s="76" t="s">
        <v>10</v>
      </c>
      <c r="AX359" s="33"/>
      <c r="AY359" s="33"/>
      <c r="AZ359" s="33">
        <v>1</v>
      </c>
      <c r="BB359" s="76" t="s">
        <v>256</v>
      </c>
      <c r="BC359" s="76" t="s">
        <v>10</v>
      </c>
      <c r="BD359" s="79"/>
      <c r="BE359" s="79"/>
      <c r="BF359" s="79">
        <v>71.36</v>
      </c>
    </row>
    <row r="360" spans="2:58" x14ac:dyDescent="0.2">
      <c r="B360" s="86">
        <v>98375</v>
      </c>
      <c r="C360" s="38" t="s">
        <v>10</v>
      </c>
      <c r="D360" s="48">
        <v>1449</v>
      </c>
      <c r="E360" s="48">
        <v>1445</v>
      </c>
      <c r="F360" s="48">
        <v>1463</v>
      </c>
      <c r="H360" s="76">
        <v>98375</v>
      </c>
      <c r="I360" s="76" t="s">
        <v>352</v>
      </c>
      <c r="J360" s="79">
        <v>35498.25</v>
      </c>
      <c r="K360" s="79">
        <v>2227.5100000000002</v>
      </c>
      <c r="L360" s="79">
        <v>23060.26</v>
      </c>
      <c r="M360" s="79">
        <v>204975.16</v>
      </c>
      <c r="N360" s="79">
        <v>40215.33</v>
      </c>
      <c r="O360" s="79">
        <v>1562.76</v>
      </c>
      <c r="P360" s="79">
        <v>23566.41</v>
      </c>
      <c r="Q360" s="79">
        <v>169726.5</v>
      </c>
      <c r="R360" s="79">
        <v>38492.65</v>
      </c>
      <c r="S360" s="79">
        <v>1151.46</v>
      </c>
      <c r="T360" s="79">
        <v>24637.97</v>
      </c>
      <c r="U360" s="79">
        <v>167995.31999999899</v>
      </c>
      <c r="AV360" s="76" t="s">
        <v>257</v>
      </c>
      <c r="AW360" s="76" t="s">
        <v>352</v>
      </c>
      <c r="AX360" s="33">
        <v>3</v>
      </c>
      <c r="AY360" s="33">
        <v>2</v>
      </c>
      <c r="AZ360" s="33">
        <v>1</v>
      </c>
      <c r="BB360" s="76" t="s">
        <v>257</v>
      </c>
      <c r="BC360" s="76" t="s">
        <v>352</v>
      </c>
      <c r="BD360" s="79">
        <v>842.47</v>
      </c>
      <c r="BE360" s="79">
        <v>377.53</v>
      </c>
      <c r="BF360" s="79">
        <v>151.1</v>
      </c>
    </row>
    <row r="361" spans="2:58" x14ac:dyDescent="0.2">
      <c r="B361" s="59">
        <v>98380</v>
      </c>
      <c r="C361" s="38" t="s">
        <v>352</v>
      </c>
      <c r="D361" s="48">
        <v>21</v>
      </c>
      <c r="E361" s="48">
        <v>31</v>
      </c>
      <c r="F361" s="48">
        <v>34</v>
      </c>
      <c r="H361" s="76">
        <v>98375</v>
      </c>
      <c r="I361" s="76" t="s">
        <v>10</v>
      </c>
      <c r="J361" s="79">
        <v>145929.21</v>
      </c>
      <c r="K361" s="79">
        <v>122534.52</v>
      </c>
      <c r="L361" s="79">
        <v>385678.59</v>
      </c>
      <c r="M361" s="79">
        <v>882835.40999999898</v>
      </c>
      <c r="N361" s="79">
        <v>153736.15</v>
      </c>
      <c r="O361" s="79">
        <v>112279.45</v>
      </c>
      <c r="P361" s="79">
        <v>439170.45999999897</v>
      </c>
      <c r="Q361" s="79">
        <v>896510.79</v>
      </c>
      <c r="R361" s="79">
        <v>128853.43</v>
      </c>
      <c r="S361" s="79">
        <v>118147.05</v>
      </c>
      <c r="T361" s="79">
        <v>480725.62</v>
      </c>
      <c r="U361" s="79">
        <v>900688.57999999903</v>
      </c>
      <c r="AV361" s="76" t="s">
        <v>257</v>
      </c>
      <c r="AW361" s="76" t="s">
        <v>10</v>
      </c>
      <c r="AX361" s="33">
        <v>4</v>
      </c>
      <c r="AY361" s="33">
        <v>8</v>
      </c>
      <c r="AZ361" s="33">
        <v>7</v>
      </c>
      <c r="BB361" s="76" t="s">
        <v>257</v>
      </c>
      <c r="BC361" s="76" t="s">
        <v>10</v>
      </c>
      <c r="BD361" s="79">
        <v>278.48</v>
      </c>
      <c r="BE361" s="79">
        <v>6995.83</v>
      </c>
      <c r="BF361" s="79">
        <v>3106.07</v>
      </c>
    </row>
    <row r="362" spans="2:58" x14ac:dyDescent="0.2">
      <c r="B362" s="86">
        <v>98380</v>
      </c>
      <c r="C362" s="38" t="s">
        <v>10</v>
      </c>
      <c r="D362" s="48">
        <v>257</v>
      </c>
      <c r="E362" s="48">
        <v>309</v>
      </c>
      <c r="F362" s="48">
        <v>246</v>
      </c>
      <c r="H362" s="76">
        <v>98380</v>
      </c>
      <c r="I362" s="76" t="s">
        <v>352</v>
      </c>
      <c r="J362" s="79">
        <v>1372.94</v>
      </c>
      <c r="K362" s="79">
        <v>654.45000000000005</v>
      </c>
      <c r="L362" s="79">
        <v>794.48</v>
      </c>
      <c r="M362" s="79">
        <v>5928.54</v>
      </c>
      <c r="N362" s="79">
        <v>1083.8399999999999</v>
      </c>
      <c r="O362" s="79">
        <v>1110.1400000000001</v>
      </c>
      <c r="P362" s="79">
        <v>1444.93</v>
      </c>
      <c r="Q362" s="79">
        <v>8243.67</v>
      </c>
      <c r="R362" s="79">
        <v>2075.89</v>
      </c>
      <c r="S362" s="79">
        <v>315.64999999999998</v>
      </c>
      <c r="T362" s="79">
        <v>1654.81</v>
      </c>
      <c r="U362" s="79">
        <v>6464.8899999999903</v>
      </c>
      <c r="AV362" s="76" t="s">
        <v>349</v>
      </c>
      <c r="AW362" s="76" t="s">
        <v>10</v>
      </c>
      <c r="AX362" s="33"/>
      <c r="AY362" s="33">
        <v>2</v>
      </c>
      <c r="AZ362" s="33"/>
      <c r="BB362" s="76" t="s">
        <v>349</v>
      </c>
      <c r="BC362" s="76" t="s">
        <v>10</v>
      </c>
      <c r="BD362" s="79"/>
      <c r="BE362" s="79">
        <v>435.12</v>
      </c>
      <c r="BF362" s="79"/>
    </row>
    <row r="363" spans="2:58" x14ac:dyDescent="0.2">
      <c r="B363" s="59">
        <v>98383</v>
      </c>
      <c r="C363" s="38" t="s">
        <v>352</v>
      </c>
      <c r="D363" s="48">
        <v>176</v>
      </c>
      <c r="E363" s="48">
        <v>154</v>
      </c>
      <c r="F363" s="48">
        <v>161</v>
      </c>
      <c r="H363" s="76">
        <v>98380</v>
      </c>
      <c r="I363" s="76" t="s">
        <v>10</v>
      </c>
      <c r="J363" s="79">
        <v>67623.77</v>
      </c>
      <c r="K363" s="79">
        <v>18202.400000000001</v>
      </c>
      <c r="L363" s="79">
        <v>115428.069999999</v>
      </c>
      <c r="M363" s="79">
        <v>247129.89</v>
      </c>
      <c r="N363" s="79">
        <v>32385.68</v>
      </c>
      <c r="O363" s="79">
        <v>50661.279999999999</v>
      </c>
      <c r="P363" s="79">
        <v>118676.879999999</v>
      </c>
      <c r="Q363" s="79">
        <v>288298.38</v>
      </c>
      <c r="R363" s="79">
        <v>54582.69</v>
      </c>
      <c r="S363" s="79">
        <v>23096.11</v>
      </c>
      <c r="T363" s="79">
        <v>143271.87999999899</v>
      </c>
      <c r="U363" s="79">
        <v>250636.74</v>
      </c>
      <c r="AV363" s="76" t="s">
        <v>258</v>
      </c>
      <c r="AW363" s="76" t="s">
        <v>10</v>
      </c>
      <c r="AX363" s="33">
        <v>1</v>
      </c>
      <c r="AY363" s="33">
        <v>1</v>
      </c>
      <c r="AZ363" s="33">
        <v>1</v>
      </c>
      <c r="BB363" s="76" t="s">
        <v>258</v>
      </c>
      <c r="BC363" s="76" t="s">
        <v>10</v>
      </c>
      <c r="BD363" s="79">
        <v>341.68</v>
      </c>
      <c r="BE363" s="79">
        <v>718.29</v>
      </c>
      <c r="BF363" s="79">
        <v>192.5</v>
      </c>
    </row>
    <row r="364" spans="2:58" x14ac:dyDescent="0.2">
      <c r="B364" s="86">
        <v>98383</v>
      </c>
      <c r="C364" s="38" t="s">
        <v>10</v>
      </c>
      <c r="D364" s="48">
        <v>1253</v>
      </c>
      <c r="E364" s="48">
        <v>1372</v>
      </c>
      <c r="F364" s="48">
        <v>1305</v>
      </c>
      <c r="H364" s="76">
        <v>98383</v>
      </c>
      <c r="I364" s="76" t="s">
        <v>352</v>
      </c>
      <c r="J364" s="79">
        <v>25439.360000000001</v>
      </c>
      <c r="K364" s="79">
        <v>4559.57</v>
      </c>
      <c r="L364" s="79">
        <v>20178.03</v>
      </c>
      <c r="M364" s="79">
        <v>163526</v>
      </c>
      <c r="N364" s="79">
        <v>10083.64</v>
      </c>
      <c r="O364" s="79">
        <v>20500.2</v>
      </c>
      <c r="P364" s="79">
        <v>11456.1699999999</v>
      </c>
      <c r="Q364" s="79">
        <v>128264.019999999</v>
      </c>
      <c r="R364" s="79">
        <v>7635.15</v>
      </c>
      <c r="S364" s="79">
        <v>4297.42</v>
      </c>
      <c r="T364" s="79">
        <v>29253.55</v>
      </c>
      <c r="U364" s="79">
        <v>137357.48000000001</v>
      </c>
      <c r="AV364" s="76" t="s">
        <v>260</v>
      </c>
      <c r="AW364" s="76" t="s">
        <v>352</v>
      </c>
      <c r="AX364" s="33">
        <v>1</v>
      </c>
      <c r="AY364" s="33"/>
      <c r="AZ364" s="33"/>
      <c r="BB364" s="76" t="s">
        <v>260</v>
      </c>
      <c r="BC364" s="76" t="s">
        <v>352</v>
      </c>
      <c r="BD364" s="79">
        <v>0.05</v>
      </c>
      <c r="BE364" s="79"/>
      <c r="BF364" s="79"/>
    </row>
    <row r="365" spans="2:58" x14ac:dyDescent="0.2">
      <c r="B365" s="59">
        <v>98385</v>
      </c>
      <c r="C365" s="38" t="s">
        <v>352</v>
      </c>
      <c r="D365" s="48">
        <v>5</v>
      </c>
      <c r="E365" s="48">
        <v>6</v>
      </c>
      <c r="F365" s="48">
        <v>4</v>
      </c>
      <c r="H365" s="76">
        <v>98383</v>
      </c>
      <c r="I365" s="76" t="s">
        <v>10</v>
      </c>
      <c r="J365" s="79">
        <v>85936.639999999999</v>
      </c>
      <c r="K365" s="79">
        <v>64201.88</v>
      </c>
      <c r="L365" s="79">
        <v>235395.709999999</v>
      </c>
      <c r="M365" s="79">
        <v>536836.25</v>
      </c>
      <c r="N365" s="79">
        <v>90472.19</v>
      </c>
      <c r="O365" s="79">
        <v>64329.88</v>
      </c>
      <c r="P365" s="79">
        <v>247705.77999999901</v>
      </c>
      <c r="Q365" s="79">
        <v>536689.299999999</v>
      </c>
      <c r="R365" s="79">
        <v>78960.84</v>
      </c>
      <c r="S365" s="79">
        <v>62830.12</v>
      </c>
      <c r="T365" s="79">
        <v>264901.45</v>
      </c>
      <c r="U365" s="79">
        <v>527895.32999999996</v>
      </c>
      <c r="AV365" s="76" t="s">
        <v>260</v>
      </c>
      <c r="AW365" s="76" t="s">
        <v>10</v>
      </c>
      <c r="AX365" s="33">
        <v>9</v>
      </c>
      <c r="AY365" s="33">
        <v>4</v>
      </c>
      <c r="AZ365" s="33">
        <v>4</v>
      </c>
      <c r="BB365" s="76" t="s">
        <v>260</v>
      </c>
      <c r="BC365" s="76" t="s">
        <v>10</v>
      </c>
      <c r="BD365" s="79">
        <v>4400.71</v>
      </c>
      <c r="BE365" s="79">
        <v>2461.9899999999998</v>
      </c>
      <c r="BF365" s="79">
        <v>3899.43</v>
      </c>
    </row>
    <row r="366" spans="2:58" x14ac:dyDescent="0.2">
      <c r="B366" s="86">
        <v>98385</v>
      </c>
      <c r="C366" s="38" t="s">
        <v>10</v>
      </c>
      <c r="D366" s="48">
        <v>25</v>
      </c>
      <c r="E366" s="48">
        <v>19</v>
      </c>
      <c r="F366" s="48">
        <v>23</v>
      </c>
      <c r="H366" s="76">
        <v>98385</v>
      </c>
      <c r="I366" s="76" t="s">
        <v>352</v>
      </c>
      <c r="J366" s="79">
        <v>291.47000000000003</v>
      </c>
      <c r="K366" s="79">
        <v>137.47999999999999</v>
      </c>
      <c r="L366" s="79">
        <v>3260.68</v>
      </c>
      <c r="M366" s="79">
        <v>7253.4499999999898</v>
      </c>
      <c r="N366" s="79">
        <v>3477.33</v>
      </c>
      <c r="O366" s="79">
        <v>202.28</v>
      </c>
      <c r="P366" s="79">
        <v>3398.16</v>
      </c>
      <c r="Q366" s="79">
        <v>24873.039999999899</v>
      </c>
      <c r="R366" s="79">
        <v>4298.71</v>
      </c>
      <c r="S366" s="79">
        <v>286.61</v>
      </c>
      <c r="T366" s="79">
        <v>3600.44</v>
      </c>
      <c r="U366" s="79">
        <v>8458.36</v>
      </c>
      <c r="AV366" s="76" t="s">
        <v>261</v>
      </c>
      <c r="AW366" s="76" t="s">
        <v>352</v>
      </c>
      <c r="AX366" s="33">
        <v>1</v>
      </c>
      <c r="AY366" s="33"/>
      <c r="AZ366" s="33"/>
      <c r="BB366" s="76" t="s">
        <v>261</v>
      </c>
      <c r="BC366" s="76" t="s">
        <v>352</v>
      </c>
      <c r="BD366" s="79">
        <v>6425.83</v>
      </c>
      <c r="BE366" s="79"/>
      <c r="BF366" s="79"/>
    </row>
    <row r="367" spans="2:58" x14ac:dyDescent="0.2">
      <c r="B367" s="59">
        <v>98387</v>
      </c>
      <c r="C367" s="38" t="s">
        <v>352</v>
      </c>
      <c r="D367" s="48">
        <v>60</v>
      </c>
      <c r="E367" s="48">
        <v>38</v>
      </c>
      <c r="F367" s="48">
        <v>34</v>
      </c>
      <c r="H367" s="76">
        <v>98385</v>
      </c>
      <c r="I367" s="76" t="s">
        <v>10</v>
      </c>
      <c r="J367" s="79">
        <v>2503.77</v>
      </c>
      <c r="K367" s="79">
        <v>2274.21</v>
      </c>
      <c r="L367" s="79">
        <v>8914.77</v>
      </c>
      <c r="M367" s="79">
        <v>18745.559999999899</v>
      </c>
      <c r="N367" s="79">
        <v>3001.72</v>
      </c>
      <c r="O367" s="79">
        <v>2294.8200000000002</v>
      </c>
      <c r="P367" s="79">
        <v>10604.39</v>
      </c>
      <c r="Q367" s="79">
        <v>19339.78</v>
      </c>
      <c r="R367" s="79">
        <v>2732.63</v>
      </c>
      <c r="S367" s="79">
        <v>2365.52</v>
      </c>
      <c r="T367" s="79">
        <v>12051.199999999901</v>
      </c>
      <c r="U367" s="79">
        <v>20783.529999999901</v>
      </c>
      <c r="AV367" s="76" t="s">
        <v>261</v>
      </c>
      <c r="AW367" s="76" t="s">
        <v>10</v>
      </c>
      <c r="AX367" s="33">
        <v>10</v>
      </c>
      <c r="AY367" s="33">
        <v>9</v>
      </c>
      <c r="AZ367" s="33">
        <v>9</v>
      </c>
      <c r="BB367" s="76" t="s">
        <v>261</v>
      </c>
      <c r="BC367" s="76" t="s">
        <v>10</v>
      </c>
      <c r="BD367" s="79">
        <v>6207.08</v>
      </c>
      <c r="BE367" s="79">
        <v>3661.51</v>
      </c>
      <c r="BF367" s="79">
        <v>8460.85</v>
      </c>
    </row>
    <row r="368" spans="2:58" x14ac:dyDescent="0.2">
      <c r="B368" s="86">
        <v>98387</v>
      </c>
      <c r="C368" s="38" t="s">
        <v>10</v>
      </c>
      <c r="D368" s="48">
        <v>2210</v>
      </c>
      <c r="E368" s="48">
        <v>1841</v>
      </c>
      <c r="F368" s="48">
        <v>1882</v>
      </c>
      <c r="H368" s="76">
        <v>98387</v>
      </c>
      <c r="I368" s="76" t="s">
        <v>352</v>
      </c>
      <c r="J368" s="79">
        <v>5909.55</v>
      </c>
      <c r="K368" s="79">
        <v>2335.63</v>
      </c>
      <c r="L368" s="79">
        <v>19087.189999999999</v>
      </c>
      <c r="M368" s="79">
        <v>39183.85</v>
      </c>
      <c r="N368" s="79">
        <v>3378</v>
      </c>
      <c r="O368" s="79">
        <v>2912.48</v>
      </c>
      <c r="P368" s="79">
        <v>23789.48</v>
      </c>
      <c r="Q368" s="79">
        <v>33628.26</v>
      </c>
      <c r="R368" s="79">
        <v>1204.96</v>
      </c>
      <c r="S368" s="79">
        <v>2662.87</v>
      </c>
      <c r="T368" s="79">
        <v>23453.91</v>
      </c>
      <c r="U368" s="79">
        <v>32414.7</v>
      </c>
      <c r="AV368" s="76" t="s">
        <v>262</v>
      </c>
      <c r="AW368" s="76" t="s">
        <v>352</v>
      </c>
      <c r="AX368" s="33"/>
      <c r="AY368" s="33">
        <v>1</v>
      </c>
      <c r="AZ368" s="33"/>
      <c r="BB368" s="76" t="s">
        <v>262</v>
      </c>
      <c r="BC368" s="76" t="s">
        <v>352</v>
      </c>
      <c r="BD368" s="79"/>
      <c r="BE368" s="79">
        <v>862.19</v>
      </c>
      <c r="BF368" s="79"/>
    </row>
    <row r="369" spans="2:58" x14ac:dyDescent="0.2">
      <c r="B369" s="59">
        <v>98388</v>
      </c>
      <c r="C369" s="38" t="s">
        <v>352</v>
      </c>
      <c r="D369" s="48"/>
      <c r="E369" s="48">
        <v>1</v>
      </c>
      <c r="F369" s="48"/>
      <c r="H369" s="76">
        <v>98387</v>
      </c>
      <c r="I369" s="76" t="s">
        <v>10</v>
      </c>
      <c r="J369" s="79">
        <v>193626.05</v>
      </c>
      <c r="K369" s="79">
        <v>107672.28</v>
      </c>
      <c r="L369" s="79">
        <v>293469.50999999902</v>
      </c>
      <c r="M369" s="79">
        <v>837294.7</v>
      </c>
      <c r="N369" s="79">
        <v>120713.78</v>
      </c>
      <c r="O369" s="79">
        <v>118118.91</v>
      </c>
      <c r="P369" s="79">
        <v>376058.75999999902</v>
      </c>
      <c r="Q369" s="79">
        <v>743672.03999999899</v>
      </c>
      <c r="R369" s="79">
        <v>78109.58</v>
      </c>
      <c r="S369" s="79">
        <v>89117.61</v>
      </c>
      <c r="T369" s="79">
        <v>408644.66</v>
      </c>
      <c r="U369" s="79">
        <v>721912.7</v>
      </c>
      <c r="AV369" s="76" t="s">
        <v>262</v>
      </c>
      <c r="AW369" s="76" t="s">
        <v>10</v>
      </c>
      <c r="AX369" s="33">
        <v>8</v>
      </c>
      <c r="AY369" s="33">
        <v>5</v>
      </c>
      <c r="AZ369" s="33">
        <v>2</v>
      </c>
      <c r="BB369" s="76" t="s">
        <v>262</v>
      </c>
      <c r="BC369" s="76" t="s">
        <v>10</v>
      </c>
      <c r="BD369" s="79">
        <v>9571.0400000000009</v>
      </c>
      <c r="BE369" s="79">
        <v>1315.38</v>
      </c>
      <c r="BF369" s="79">
        <v>1242.1099999999999</v>
      </c>
    </row>
    <row r="370" spans="2:58" x14ac:dyDescent="0.2">
      <c r="B370" s="86">
        <v>98388</v>
      </c>
      <c r="C370" s="38" t="s">
        <v>10</v>
      </c>
      <c r="D370" s="48">
        <v>132</v>
      </c>
      <c r="E370" s="74">
        <v>132</v>
      </c>
      <c r="F370" s="48">
        <v>137</v>
      </c>
      <c r="H370" s="76">
        <v>98388</v>
      </c>
      <c r="I370" s="76" t="s">
        <v>352</v>
      </c>
      <c r="J370" s="79"/>
      <c r="K370" s="79"/>
      <c r="L370" s="79"/>
      <c r="M370" s="79"/>
      <c r="N370" s="79"/>
      <c r="O370" s="79"/>
      <c r="P370" s="79"/>
      <c r="Q370" s="79">
        <v>323.88</v>
      </c>
      <c r="R370" s="79"/>
      <c r="S370" s="79"/>
      <c r="T370" s="79"/>
      <c r="U370" s="79"/>
      <c r="AV370" s="76" t="s">
        <v>263</v>
      </c>
      <c r="AW370" s="76" t="s">
        <v>352</v>
      </c>
      <c r="AX370" s="33">
        <v>1</v>
      </c>
      <c r="AY370" s="33"/>
      <c r="AZ370" s="33"/>
      <c r="BB370" s="76" t="s">
        <v>263</v>
      </c>
      <c r="BC370" s="76" t="s">
        <v>352</v>
      </c>
      <c r="BD370" s="79">
        <v>1029.22</v>
      </c>
      <c r="BE370" s="79"/>
      <c r="BF370" s="79"/>
    </row>
    <row r="371" spans="2:58" x14ac:dyDescent="0.2">
      <c r="B371" s="59">
        <v>98390</v>
      </c>
      <c r="C371" s="38" t="s">
        <v>352</v>
      </c>
      <c r="D371" s="48">
        <v>113</v>
      </c>
      <c r="E371" s="48">
        <v>166</v>
      </c>
      <c r="F371" s="48">
        <v>100</v>
      </c>
      <c r="H371" s="76">
        <v>98388</v>
      </c>
      <c r="I371" s="76" t="s">
        <v>10</v>
      </c>
      <c r="J371" s="79">
        <v>8387.36</v>
      </c>
      <c r="K371" s="79">
        <v>6525.23</v>
      </c>
      <c r="L371" s="79">
        <v>11668.299999999899</v>
      </c>
      <c r="M371" s="79">
        <v>44156.85</v>
      </c>
      <c r="N371" s="79">
        <v>8799.7099999999991</v>
      </c>
      <c r="O371" s="79">
        <v>5950.61</v>
      </c>
      <c r="P371" s="79">
        <v>14238.42</v>
      </c>
      <c r="Q371" s="79">
        <v>39791.07</v>
      </c>
      <c r="R371" s="79">
        <v>6432.21</v>
      </c>
      <c r="S371" s="79">
        <v>6710.4</v>
      </c>
      <c r="T371" s="79">
        <v>16870.8</v>
      </c>
      <c r="U371" s="79">
        <v>38455.83</v>
      </c>
      <c r="AV371" s="76" t="s">
        <v>263</v>
      </c>
      <c r="AW371" s="76" t="s">
        <v>10</v>
      </c>
      <c r="AX371" s="33">
        <v>4</v>
      </c>
      <c r="AY371" s="33">
        <v>6</v>
      </c>
      <c r="AZ371" s="33">
        <v>8</v>
      </c>
      <c r="BB371" s="76" t="s">
        <v>263</v>
      </c>
      <c r="BC371" s="76" t="s">
        <v>10</v>
      </c>
      <c r="BD371" s="79">
        <v>4542.57</v>
      </c>
      <c r="BE371" s="79">
        <v>4580.1499999999996</v>
      </c>
      <c r="BF371" s="79">
        <v>10573.69</v>
      </c>
    </row>
    <row r="372" spans="2:58" x14ac:dyDescent="0.2">
      <c r="B372" s="86">
        <v>98390</v>
      </c>
      <c r="C372" s="38" t="s">
        <v>10</v>
      </c>
      <c r="D372" s="48">
        <v>963</v>
      </c>
      <c r="E372" s="48">
        <v>940</v>
      </c>
      <c r="F372" s="48">
        <v>936</v>
      </c>
      <c r="H372" s="76">
        <v>98390</v>
      </c>
      <c r="I372" s="76" t="s">
        <v>352</v>
      </c>
      <c r="J372" s="79">
        <v>17979.330000000002</v>
      </c>
      <c r="K372" s="79">
        <v>14735.25</v>
      </c>
      <c r="L372" s="79">
        <v>252319.25</v>
      </c>
      <c r="M372" s="79">
        <v>497392.33999999898</v>
      </c>
      <c r="N372" s="79">
        <v>115776.13</v>
      </c>
      <c r="O372" s="79">
        <v>11138.09</v>
      </c>
      <c r="P372" s="79">
        <v>181281.49</v>
      </c>
      <c r="Q372" s="79">
        <v>434761.75999999902</v>
      </c>
      <c r="R372" s="79">
        <v>70208.259999999995</v>
      </c>
      <c r="S372" s="79">
        <v>108663.56</v>
      </c>
      <c r="T372" s="79">
        <v>165674.48000000001</v>
      </c>
      <c r="U372" s="79">
        <v>439920.35</v>
      </c>
      <c r="AV372" s="76" t="s">
        <v>351</v>
      </c>
      <c r="AW372" s="76" t="s">
        <v>10</v>
      </c>
      <c r="AX372" s="33">
        <v>1</v>
      </c>
      <c r="AY372" s="33"/>
      <c r="AZ372" s="33">
        <v>1</v>
      </c>
      <c r="BB372" s="76" t="s">
        <v>351</v>
      </c>
      <c r="BC372" s="76" t="s">
        <v>10</v>
      </c>
      <c r="BD372" s="79">
        <v>12.29</v>
      </c>
      <c r="BE372" s="79"/>
      <c r="BF372" s="79">
        <v>687.64</v>
      </c>
    </row>
    <row r="373" spans="2:58" x14ac:dyDescent="0.2">
      <c r="B373" s="59">
        <v>98391</v>
      </c>
      <c r="C373" s="38" t="s">
        <v>352</v>
      </c>
      <c r="D373" s="48">
        <v>164</v>
      </c>
      <c r="E373" s="48">
        <v>134</v>
      </c>
      <c r="F373" s="48">
        <v>122</v>
      </c>
      <c r="H373" s="76">
        <v>98390</v>
      </c>
      <c r="I373" s="76" t="s">
        <v>10</v>
      </c>
      <c r="J373" s="79">
        <v>96338.4</v>
      </c>
      <c r="K373" s="79">
        <v>77017.81</v>
      </c>
      <c r="L373" s="79">
        <v>183846.87</v>
      </c>
      <c r="M373" s="79">
        <v>511036.12</v>
      </c>
      <c r="N373" s="79">
        <v>95635.66</v>
      </c>
      <c r="O373" s="79">
        <v>73393.3</v>
      </c>
      <c r="P373" s="79">
        <v>215948.63</v>
      </c>
      <c r="Q373" s="79">
        <v>499154.40999999898</v>
      </c>
      <c r="R373" s="79">
        <v>78414.53</v>
      </c>
      <c r="S373" s="79">
        <v>74588</v>
      </c>
      <c r="T373" s="79">
        <v>242916.19</v>
      </c>
      <c r="U373" s="79">
        <v>489891.03</v>
      </c>
      <c r="AV373" s="76" t="s">
        <v>264</v>
      </c>
      <c r="AW373" s="76" t="s">
        <v>352</v>
      </c>
      <c r="AX373" s="33">
        <v>10</v>
      </c>
      <c r="AY373" s="33">
        <v>3</v>
      </c>
      <c r="AZ373" s="33"/>
      <c r="BB373" s="76" t="s">
        <v>264</v>
      </c>
      <c r="BC373" s="76" t="s">
        <v>352</v>
      </c>
      <c r="BD373" s="79">
        <v>2975.7400000000002</v>
      </c>
      <c r="BE373" s="79">
        <v>0.84</v>
      </c>
      <c r="BF373" s="79"/>
    </row>
    <row r="374" spans="2:58" x14ac:dyDescent="0.2">
      <c r="B374" s="86">
        <v>98391</v>
      </c>
      <c r="C374" s="38" t="s">
        <v>10</v>
      </c>
      <c r="D374" s="48">
        <v>2939</v>
      </c>
      <c r="E374" s="48">
        <v>2848</v>
      </c>
      <c r="F374" s="48">
        <v>2879</v>
      </c>
      <c r="H374" s="76">
        <v>98391</v>
      </c>
      <c r="I374" s="76" t="s">
        <v>352</v>
      </c>
      <c r="J374" s="79">
        <v>7744.01</v>
      </c>
      <c r="K374" s="79">
        <v>6292.1</v>
      </c>
      <c r="L374" s="79">
        <v>41043.1899999999</v>
      </c>
      <c r="M374" s="79">
        <v>72670.659999999902</v>
      </c>
      <c r="N374" s="79">
        <v>6954.6</v>
      </c>
      <c r="O374" s="79">
        <v>5593.47</v>
      </c>
      <c r="P374" s="79">
        <v>38926.8299999999</v>
      </c>
      <c r="Q374" s="79">
        <v>67759.41</v>
      </c>
      <c r="R374" s="79">
        <v>6311.2</v>
      </c>
      <c r="S374" s="79">
        <v>5343.92</v>
      </c>
      <c r="T374" s="79">
        <v>42700.159999999902</v>
      </c>
      <c r="U374" s="79">
        <v>79163.7</v>
      </c>
      <c r="AV374" s="76" t="s">
        <v>264</v>
      </c>
      <c r="AW374" s="76" t="s">
        <v>10</v>
      </c>
      <c r="AX374" s="33">
        <v>23</v>
      </c>
      <c r="AY374" s="33">
        <v>22</v>
      </c>
      <c r="AZ374" s="33">
        <v>24</v>
      </c>
      <c r="BB374" s="76" t="s">
        <v>264</v>
      </c>
      <c r="BC374" s="76" t="s">
        <v>10</v>
      </c>
      <c r="BD374" s="79">
        <v>13856.14</v>
      </c>
      <c r="BE374" s="79">
        <v>12498.33</v>
      </c>
      <c r="BF374" s="79">
        <v>13275.24</v>
      </c>
    </row>
    <row r="375" spans="2:58" x14ac:dyDescent="0.2">
      <c r="B375" s="59">
        <v>98392</v>
      </c>
      <c r="C375" s="38" t="s">
        <v>352</v>
      </c>
      <c r="D375" s="48">
        <v>15</v>
      </c>
      <c r="E375" s="48">
        <v>14</v>
      </c>
      <c r="F375" s="48">
        <v>15</v>
      </c>
      <c r="H375" s="76">
        <v>98391</v>
      </c>
      <c r="I375" s="76" t="s">
        <v>10</v>
      </c>
      <c r="J375" s="79">
        <v>327889.96999999997</v>
      </c>
      <c r="K375" s="79">
        <v>244295.72</v>
      </c>
      <c r="L375" s="79">
        <v>683696.75999999896</v>
      </c>
      <c r="M375" s="79">
        <v>1828709.33</v>
      </c>
      <c r="N375" s="79">
        <v>330380.11</v>
      </c>
      <c r="O375" s="79">
        <v>239974.69</v>
      </c>
      <c r="P375" s="79">
        <v>802470.05999999901</v>
      </c>
      <c r="Q375" s="79">
        <v>1819679.39</v>
      </c>
      <c r="R375" s="79">
        <v>262841.17</v>
      </c>
      <c r="S375" s="79">
        <v>238752.37</v>
      </c>
      <c r="T375" s="79">
        <v>879011.77</v>
      </c>
      <c r="U375" s="79">
        <v>1790199.6799999899</v>
      </c>
      <c r="AV375" s="76" t="s">
        <v>265</v>
      </c>
      <c r="AW375" s="76" t="s">
        <v>352</v>
      </c>
      <c r="AX375" s="33">
        <v>2</v>
      </c>
      <c r="AY375" s="33">
        <v>3</v>
      </c>
      <c r="AZ375" s="33">
        <v>2</v>
      </c>
      <c r="BB375" s="76" t="s">
        <v>265</v>
      </c>
      <c r="BC375" s="76" t="s">
        <v>352</v>
      </c>
      <c r="BD375" s="79">
        <v>115.76</v>
      </c>
      <c r="BE375" s="79">
        <v>928.21</v>
      </c>
      <c r="BF375" s="79">
        <v>36.200000000000003</v>
      </c>
    </row>
    <row r="376" spans="2:58" x14ac:dyDescent="0.2">
      <c r="B376" s="86">
        <v>98392</v>
      </c>
      <c r="C376" s="38" t="s">
        <v>10</v>
      </c>
      <c r="D376" s="48">
        <v>320</v>
      </c>
      <c r="E376" s="48">
        <v>338</v>
      </c>
      <c r="F376" s="48">
        <v>318</v>
      </c>
      <c r="H376" s="76">
        <v>98392</v>
      </c>
      <c r="I376" s="76" t="s">
        <v>352</v>
      </c>
      <c r="J376" s="79">
        <v>587.04</v>
      </c>
      <c r="K376" s="79">
        <v>424.51</v>
      </c>
      <c r="L376" s="79">
        <v>2630.58</v>
      </c>
      <c r="M376" s="79">
        <v>10372.119999999901</v>
      </c>
      <c r="N376" s="79">
        <v>514.71</v>
      </c>
      <c r="O376" s="79">
        <v>496.05</v>
      </c>
      <c r="P376" s="79">
        <v>2855.09</v>
      </c>
      <c r="Q376" s="79">
        <v>8912.36</v>
      </c>
      <c r="R376" s="79">
        <v>369.17</v>
      </c>
      <c r="S376" s="79">
        <v>337.73</v>
      </c>
      <c r="T376" s="79">
        <v>3351.14</v>
      </c>
      <c r="U376" s="79">
        <v>8929.98</v>
      </c>
      <c r="AV376" s="76" t="s">
        <v>265</v>
      </c>
      <c r="AW376" s="76" t="s">
        <v>10</v>
      </c>
      <c r="AX376" s="33">
        <v>5</v>
      </c>
      <c r="AY376" s="33">
        <v>4</v>
      </c>
      <c r="AZ376" s="33">
        <v>7</v>
      </c>
      <c r="BB376" s="76" t="s">
        <v>265</v>
      </c>
      <c r="BC376" s="76" t="s">
        <v>10</v>
      </c>
      <c r="BD376" s="79">
        <v>3486.65</v>
      </c>
      <c r="BE376" s="79">
        <v>3969.24</v>
      </c>
      <c r="BF376" s="79">
        <v>12366.03</v>
      </c>
    </row>
    <row r="377" spans="2:58" x14ac:dyDescent="0.2">
      <c r="B377" s="59">
        <v>98396</v>
      </c>
      <c r="C377" s="38" t="s">
        <v>352</v>
      </c>
      <c r="D377" s="48">
        <v>2</v>
      </c>
      <c r="E377" s="48">
        <v>3</v>
      </c>
      <c r="F377" s="48"/>
      <c r="H377" s="76">
        <v>98392</v>
      </c>
      <c r="I377" s="76" t="s">
        <v>10</v>
      </c>
      <c r="J377" s="79">
        <v>28124.41</v>
      </c>
      <c r="K377" s="79">
        <v>21990.81</v>
      </c>
      <c r="L377" s="79">
        <v>90584.479999999894</v>
      </c>
      <c r="M377" s="79">
        <v>190729.78</v>
      </c>
      <c r="N377" s="79">
        <v>25319.82</v>
      </c>
      <c r="O377" s="79">
        <v>19728.32</v>
      </c>
      <c r="P377" s="79">
        <v>93766.79</v>
      </c>
      <c r="Q377" s="79">
        <v>185068.15</v>
      </c>
      <c r="R377" s="79">
        <v>22816.06</v>
      </c>
      <c r="S377" s="79">
        <v>17524.560000000001</v>
      </c>
      <c r="T377" s="79">
        <v>94445.489999999903</v>
      </c>
      <c r="U377" s="79">
        <v>166069.16</v>
      </c>
      <c r="AV377" s="76" t="s">
        <v>266</v>
      </c>
      <c r="AW377" s="76" t="s">
        <v>352</v>
      </c>
      <c r="AX377" s="33"/>
      <c r="AY377" s="33"/>
      <c r="AZ377" s="33">
        <v>1</v>
      </c>
      <c r="BB377" s="76" t="s">
        <v>266</v>
      </c>
      <c r="BC377" s="76" t="s">
        <v>352</v>
      </c>
      <c r="BD377" s="79"/>
      <c r="BE377" s="79"/>
      <c r="BF377" s="79">
        <v>1304.3900000000001</v>
      </c>
    </row>
    <row r="378" spans="2:58" x14ac:dyDescent="0.2">
      <c r="B378" s="86">
        <v>98396</v>
      </c>
      <c r="C378" s="38" t="s">
        <v>10</v>
      </c>
      <c r="D378" s="74">
        <v>33</v>
      </c>
      <c r="E378" s="48">
        <v>49</v>
      </c>
      <c r="F378" s="48">
        <v>31</v>
      </c>
      <c r="H378" s="76">
        <v>98396</v>
      </c>
      <c r="I378" s="76" t="s">
        <v>352</v>
      </c>
      <c r="J378" s="79">
        <v>567.84</v>
      </c>
      <c r="K378" s="79"/>
      <c r="L378" s="79"/>
      <c r="M378" s="79">
        <v>997.54</v>
      </c>
      <c r="N378" s="79"/>
      <c r="O378" s="79">
        <v>567.84</v>
      </c>
      <c r="P378" s="79"/>
      <c r="Q378" s="79">
        <v>1819</v>
      </c>
      <c r="R378" s="79"/>
      <c r="S378" s="79"/>
      <c r="T378" s="79"/>
      <c r="U378" s="79"/>
      <c r="AV378" s="76" t="s">
        <v>266</v>
      </c>
      <c r="AW378" s="76" t="s">
        <v>10</v>
      </c>
      <c r="AX378" s="33">
        <v>1</v>
      </c>
      <c r="AY378" s="33">
        <v>1</v>
      </c>
      <c r="AZ378" s="33"/>
      <c r="BB378" s="76" t="s">
        <v>266</v>
      </c>
      <c r="BC378" s="76" t="s">
        <v>10</v>
      </c>
      <c r="BD378" s="79">
        <v>150</v>
      </c>
      <c r="BE378" s="79">
        <v>241.09</v>
      </c>
      <c r="BF378" s="79"/>
    </row>
    <row r="379" spans="2:58" x14ac:dyDescent="0.2">
      <c r="B379" s="59">
        <v>98402</v>
      </c>
      <c r="C379" s="38" t="s">
        <v>352</v>
      </c>
      <c r="D379" s="48">
        <v>73</v>
      </c>
      <c r="E379" s="48">
        <v>64</v>
      </c>
      <c r="F379" s="48">
        <v>71</v>
      </c>
      <c r="H379" s="76">
        <v>98396</v>
      </c>
      <c r="I379" s="76" t="s">
        <v>10</v>
      </c>
      <c r="J379" s="79">
        <v>13111.99</v>
      </c>
      <c r="K379" s="79">
        <v>496.33</v>
      </c>
      <c r="L379" s="79">
        <v>12970.26</v>
      </c>
      <c r="M379" s="79">
        <v>28909.479999999901</v>
      </c>
      <c r="N379" s="79">
        <v>1267.82</v>
      </c>
      <c r="O379" s="79">
        <v>9094.75</v>
      </c>
      <c r="P379" s="79">
        <v>10486.09</v>
      </c>
      <c r="Q379" s="79">
        <v>40331.68</v>
      </c>
      <c r="R379" s="79">
        <v>10982.6</v>
      </c>
      <c r="S379" s="79">
        <v>751.4</v>
      </c>
      <c r="T379" s="79">
        <v>15682.82</v>
      </c>
      <c r="U379" s="79">
        <v>29160.32</v>
      </c>
      <c r="AV379" s="76" t="s">
        <v>267</v>
      </c>
      <c r="AW379" s="76" t="s">
        <v>352</v>
      </c>
      <c r="AX379" s="33"/>
      <c r="AY379" s="33">
        <v>1</v>
      </c>
      <c r="AZ379" s="33"/>
      <c r="BB379" s="76" t="s">
        <v>267</v>
      </c>
      <c r="BC379" s="76" t="s">
        <v>352</v>
      </c>
      <c r="BD379" s="79"/>
      <c r="BE379" s="79">
        <v>88.28</v>
      </c>
      <c r="BF379" s="79"/>
    </row>
    <row r="380" spans="2:58" x14ac:dyDescent="0.2">
      <c r="B380" s="86">
        <v>98402</v>
      </c>
      <c r="C380" s="38" t="s">
        <v>10</v>
      </c>
      <c r="D380" s="48">
        <v>49</v>
      </c>
      <c r="E380" s="48">
        <v>50</v>
      </c>
      <c r="F380" s="48">
        <v>51</v>
      </c>
      <c r="H380" s="76">
        <v>98402</v>
      </c>
      <c r="I380" s="76" t="s">
        <v>352</v>
      </c>
      <c r="J380" s="79">
        <v>9438.64</v>
      </c>
      <c r="K380" s="79">
        <v>7341.41</v>
      </c>
      <c r="L380" s="79">
        <v>37042.89</v>
      </c>
      <c r="M380" s="79">
        <v>107008.55</v>
      </c>
      <c r="N380" s="79">
        <v>3530.53</v>
      </c>
      <c r="O380" s="79">
        <v>5185.95</v>
      </c>
      <c r="P380" s="79">
        <v>42009.049999999901</v>
      </c>
      <c r="Q380" s="79">
        <v>68878.37</v>
      </c>
      <c r="R380" s="79">
        <v>5939.81</v>
      </c>
      <c r="S380" s="79">
        <v>2912.45</v>
      </c>
      <c r="T380" s="79">
        <v>42198.49</v>
      </c>
      <c r="U380" s="79">
        <v>83930.74</v>
      </c>
      <c r="AV380" s="76" t="s">
        <v>267</v>
      </c>
      <c r="AW380" s="76" t="s">
        <v>10</v>
      </c>
      <c r="AX380" s="33">
        <v>3</v>
      </c>
      <c r="AY380" s="33">
        <v>2</v>
      </c>
      <c r="AZ380" s="33">
        <v>1</v>
      </c>
      <c r="BB380" s="76" t="s">
        <v>267</v>
      </c>
      <c r="BC380" s="76" t="s">
        <v>10</v>
      </c>
      <c r="BD380" s="79">
        <v>1100</v>
      </c>
      <c r="BE380" s="79">
        <v>1902.2</v>
      </c>
      <c r="BF380" s="79">
        <v>590.65</v>
      </c>
    </row>
    <row r="381" spans="2:58" x14ac:dyDescent="0.2">
      <c r="B381" s="59">
        <v>98403</v>
      </c>
      <c r="C381" s="38" t="s">
        <v>352</v>
      </c>
      <c r="D381" s="48">
        <v>23</v>
      </c>
      <c r="E381" s="48">
        <v>23</v>
      </c>
      <c r="F381" s="48">
        <v>17</v>
      </c>
      <c r="H381" s="76">
        <v>98402</v>
      </c>
      <c r="I381" s="76" t="s">
        <v>10</v>
      </c>
      <c r="J381" s="79">
        <v>1571.77</v>
      </c>
      <c r="K381" s="79">
        <v>1407.83</v>
      </c>
      <c r="L381" s="79">
        <v>10239.459999999999</v>
      </c>
      <c r="M381" s="79">
        <v>15732.13</v>
      </c>
      <c r="N381" s="79">
        <v>1324.14</v>
      </c>
      <c r="O381" s="79">
        <v>1065.1500000000001</v>
      </c>
      <c r="P381" s="79">
        <v>11076.66</v>
      </c>
      <c r="Q381" s="79">
        <v>18880.909999999902</v>
      </c>
      <c r="R381" s="79">
        <v>4670.8100000000004</v>
      </c>
      <c r="S381" s="79">
        <v>1161.18</v>
      </c>
      <c r="T381" s="79">
        <v>11781.059999999899</v>
      </c>
      <c r="U381" s="79">
        <v>20327.38</v>
      </c>
      <c r="AV381" s="76" t="s">
        <v>268</v>
      </c>
      <c r="AW381" s="76" t="s">
        <v>352</v>
      </c>
      <c r="AX381" s="33">
        <v>1</v>
      </c>
      <c r="AY381" s="33">
        <v>1</v>
      </c>
      <c r="AZ381" s="33"/>
      <c r="BB381" s="76" t="s">
        <v>268</v>
      </c>
      <c r="BC381" s="76" t="s">
        <v>352</v>
      </c>
      <c r="BD381" s="79">
        <v>5544.99</v>
      </c>
      <c r="BE381" s="79"/>
      <c r="BF381" s="79"/>
    </row>
    <row r="382" spans="2:58" x14ac:dyDescent="0.2">
      <c r="B382" s="86">
        <v>98403</v>
      </c>
      <c r="C382" s="38" t="s">
        <v>10</v>
      </c>
      <c r="D382" s="48">
        <v>282</v>
      </c>
      <c r="E382" s="48">
        <v>296</v>
      </c>
      <c r="F382" s="48">
        <v>274</v>
      </c>
      <c r="H382" s="76">
        <v>98403</v>
      </c>
      <c r="I382" s="76" t="s">
        <v>352</v>
      </c>
      <c r="J382" s="79">
        <v>5427.07</v>
      </c>
      <c r="K382" s="79">
        <v>420.98</v>
      </c>
      <c r="L382" s="79">
        <v>11638.71</v>
      </c>
      <c r="M382" s="79">
        <v>32286.309999999899</v>
      </c>
      <c r="N382" s="79">
        <v>649.73</v>
      </c>
      <c r="O382" s="79">
        <v>1450.93</v>
      </c>
      <c r="P382" s="79">
        <v>11462.42</v>
      </c>
      <c r="Q382" s="79">
        <v>20074.689999999999</v>
      </c>
      <c r="R382" s="79">
        <v>1042.06</v>
      </c>
      <c r="S382" s="79">
        <v>563.52</v>
      </c>
      <c r="T382" s="79">
        <v>12846.73</v>
      </c>
      <c r="U382" s="79">
        <v>18923.48</v>
      </c>
      <c r="AV382" s="76" t="s">
        <v>268</v>
      </c>
      <c r="AW382" s="76" t="s">
        <v>10</v>
      </c>
      <c r="AX382" s="33">
        <v>2</v>
      </c>
      <c r="AY382" s="33">
        <v>1</v>
      </c>
      <c r="AZ382" s="33">
        <v>2</v>
      </c>
      <c r="BB382" s="76" t="s">
        <v>268</v>
      </c>
      <c r="BC382" s="76" t="s">
        <v>10</v>
      </c>
      <c r="BD382" s="79">
        <v>6206.99</v>
      </c>
      <c r="BE382" s="79">
        <v>743.93</v>
      </c>
      <c r="BF382" s="79">
        <v>1869.73</v>
      </c>
    </row>
    <row r="383" spans="2:58" x14ac:dyDescent="0.2">
      <c r="B383" s="59">
        <v>98404</v>
      </c>
      <c r="C383" s="38" t="s">
        <v>352</v>
      </c>
      <c r="D383" s="48">
        <v>42</v>
      </c>
      <c r="E383" s="48">
        <v>39</v>
      </c>
      <c r="F383" s="48">
        <v>34</v>
      </c>
      <c r="H383" s="76">
        <v>98403</v>
      </c>
      <c r="I383" s="76" t="s">
        <v>10</v>
      </c>
      <c r="J383" s="79">
        <v>25242.560000000001</v>
      </c>
      <c r="K383" s="79">
        <v>10642.81</v>
      </c>
      <c r="L383" s="79">
        <v>37777.109999999899</v>
      </c>
      <c r="M383" s="79">
        <v>101832.41999999899</v>
      </c>
      <c r="N383" s="79">
        <v>12969.45</v>
      </c>
      <c r="O383" s="79">
        <v>17455.39</v>
      </c>
      <c r="P383" s="79">
        <v>41336.949999999997</v>
      </c>
      <c r="Q383" s="79">
        <v>99883.42</v>
      </c>
      <c r="R383" s="79">
        <v>14382.45</v>
      </c>
      <c r="S383" s="79">
        <v>8404.75</v>
      </c>
      <c r="T383" s="79">
        <v>47013.14</v>
      </c>
      <c r="U383" s="79">
        <v>85233.759999999893</v>
      </c>
      <c r="AV383" s="76" t="s">
        <v>269</v>
      </c>
      <c r="AW383" s="76" t="s">
        <v>10</v>
      </c>
      <c r="AX383" s="33"/>
      <c r="AY383" s="33">
        <v>2</v>
      </c>
      <c r="AZ383" s="33">
        <v>1</v>
      </c>
      <c r="BB383" s="76" t="s">
        <v>269</v>
      </c>
      <c r="BC383" s="76" t="s">
        <v>10</v>
      </c>
      <c r="BD383" s="79"/>
      <c r="BE383" s="79">
        <v>439.63</v>
      </c>
      <c r="BF383" s="79"/>
    </row>
    <row r="384" spans="2:58" x14ac:dyDescent="0.2">
      <c r="B384" s="86">
        <v>98404</v>
      </c>
      <c r="C384" s="38" t="s">
        <v>10</v>
      </c>
      <c r="D384" s="48">
        <v>1046</v>
      </c>
      <c r="E384" s="48">
        <v>1048</v>
      </c>
      <c r="F384" s="48">
        <v>1061</v>
      </c>
      <c r="H384" s="76">
        <v>98404</v>
      </c>
      <c r="I384" s="76" t="s">
        <v>352</v>
      </c>
      <c r="J384" s="79">
        <v>3343.64</v>
      </c>
      <c r="K384" s="79">
        <v>2244.34</v>
      </c>
      <c r="L384" s="79">
        <v>7048.67</v>
      </c>
      <c r="M384" s="79">
        <v>73073.570000000007</v>
      </c>
      <c r="N384" s="79">
        <v>4095.55</v>
      </c>
      <c r="O384" s="79">
        <v>1560.42</v>
      </c>
      <c r="P384" s="79">
        <v>7136.0899999999901</v>
      </c>
      <c r="Q384" s="79">
        <v>23038.11</v>
      </c>
      <c r="R384" s="79">
        <v>3212.86</v>
      </c>
      <c r="S384" s="79">
        <v>1212.8599999999999</v>
      </c>
      <c r="T384" s="79">
        <v>7657.62</v>
      </c>
      <c r="U384" s="79">
        <v>24226.9899999999</v>
      </c>
      <c r="AV384" s="76" t="s">
        <v>271</v>
      </c>
      <c r="AW384" s="76" t="s">
        <v>10</v>
      </c>
      <c r="AX384" s="33">
        <v>2</v>
      </c>
      <c r="AY384" s="33"/>
      <c r="AZ384" s="33"/>
      <c r="BB384" s="76" t="s">
        <v>271</v>
      </c>
      <c r="BC384" s="76" t="s">
        <v>10</v>
      </c>
      <c r="BD384" s="79">
        <v>560.37</v>
      </c>
      <c r="BE384" s="79"/>
      <c r="BF384" s="79"/>
    </row>
    <row r="385" spans="2:58" x14ac:dyDescent="0.2">
      <c r="B385" s="59">
        <v>98405</v>
      </c>
      <c r="C385" s="38" t="s">
        <v>352</v>
      </c>
      <c r="D385" s="48">
        <v>61</v>
      </c>
      <c r="E385" s="48">
        <v>67</v>
      </c>
      <c r="F385" s="48">
        <v>60</v>
      </c>
      <c r="H385" s="76">
        <v>98404</v>
      </c>
      <c r="I385" s="76" t="s">
        <v>10</v>
      </c>
      <c r="J385" s="79">
        <v>65231.3</v>
      </c>
      <c r="K385" s="79">
        <v>51759.09</v>
      </c>
      <c r="L385" s="79">
        <v>129504.17</v>
      </c>
      <c r="M385" s="79">
        <v>334367.22999999899</v>
      </c>
      <c r="N385" s="79">
        <v>52833.73</v>
      </c>
      <c r="O385" s="79">
        <v>49745.22</v>
      </c>
      <c r="P385" s="79">
        <v>156024.85</v>
      </c>
      <c r="Q385" s="79">
        <v>339074.28999999899</v>
      </c>
      <c r="R385" s="79">
        <v>48830.91</v>
      </c>
      <c r="S385" s="79">
        <v>40574.33</v>
      </c>
      <c r="T385" s="79">
        <v>172416.26</v>
      </c>
      <c r="U385" s="79">
        <v>318867.28999999998</v>
      </c>
      <c r="AV385" s="76" t="s">
        <v>272</v>
      </c>
      <c r="AW385" s="76" t="s">
        <v>10</v>
      </c>
      <c r="AX385" s="33">
        <v>1</v>
      </c>
      <c r="AY385" s="33">
        <v>1</v>
      </c>
      <c r="AZ385" s="33"/>
      <c r="BB385" s="76" t="s">
        <v>272</v>
      </c>
      <c r="BC385" s="76" t="s">
        <v>10</v>
      </c>
      <c r="BD385" s="79">
        <v>2277.52</v>
      </c>
      <c r="BE385" s="79">
        <v>6657.48</v>
      </c>
      <c r="BF385" s="79"/>
    </row>
    <row r="386" spans="2:58" x14ac:dyDescent="0.2">
      <c r="B386" s="86">
        <v>98405</v>
      </c>
      <c r="C386" s="38" t="s">
        <v>10</v>
      </c>
      <c r="D386" s="48">
        <v>1132</v>
      </c>
      <c r="E386" s="48">
        <v>1049</v>
      </c>
      <c r="F386" s="48">
        <v>1034</v>
      </c>
      <c r="H386" s="76">
        <v>98405</v>
      </c>
      <c r="I386" s="76" t="s">
        <v>352</v>
      </c>
      <c r="J386" s="79">
        <v>6815.72</v>
      </c>
      <c r="K386" s="79">
        <v>5196.8100000000004</v>
      </c>
      <c r="L386" s="79">
        <v>25246.19</v>
      </c>
      <c r="M386" s="79">
        <v>80138.899999999994</v>
      </c>
      <c r="N386" s="79">
        <v>6909.52</v>
      </c>
      <c r="O386" s="79">
        <v>5882.74</v>
      </c>
      <c r="P386" s="79">
        <v>30179.27</v>
      </c>
      <c r="Q386" s="79">
        <v>74656.389999999898</v>
      </c>
      <c r="R386" s="79">
        <v>7260.14</v>
      </c>
      <c r="S386" s="79">
        <v>5263.55</v>
      </c>
      <c r="T386" s="79">
        <v>30865.3</v>
      </c>
      <c r="U386" s="79">
        <v>73593.759999999995</v>
      </c>
      <c r="AV386" s="76" t="s">
        <v>355</v>
      </c>
      <c r="AW386" s="76" t="s">
        <v>352</v>
      </c>
      <c r="AX386" s="33">
        <v>1</v>
      </c>
      <c r="AY386" s="33">
        <v>1</v>
      </c>
      <c r="AZ386" s="33">
        <v>2</v>
      </c>
      <c r="BB386" s="76" t="s">
        <v>355</v>
      </c>
      <c r="BC386" s="76" t="s">
        <v>352</v>
      </c>
      <c r="BD386" s="79"/>
      <c r="BE386" s="79"/>
      <c r="BF386" s="79">
        <v>1985.51</v>
      </c>
    </row>
    <row r="387" spans="2:58" ht="16" thickBot="1" x14ac:dyDescent="0.25">
      <c r="B387" s="59">
        <v>98406</v>
      </c>
      <c r="C387" s="38" t="s">
        <v>352</v>
      </c>
      <c r="D387" s="48">
        <v>45</v>
      </c>
      <c r="E387" s="48">
        <v>31</v>
      </c>
      <c r="F387" s="48">
        <v>27</v>
      </c>
      <c r="H387" s="76">
        <v>98405</v>
      </c>
      <c r="I387" s="76" t="s">
        <v>10</v>
      </c>
      <c r="J387" s="79">
        <v>70816.78</v>
      </c>
      <c r="K387" s="79">
        <v>49101.26</v>
      </c>
      <c r="L387" s="79">
        <v>120854.9</v>
      </c>
      <c r="M387" s="79">
        <v>329767.69999999902</v>
      </c>
      <c r="N387" s="79">
        <v>50775.87</v>
      </c>
      <c r="O387" s="79">
        <v>49290.68</v>
      </c>
      <c r="P387" s="79">
        <v>151465.63</v>
      </c>
      <c r="Q387" s="79">
        <v>321761.06</v>
      </c>
      <c r="R387" s="79">
        <v>41211.19</v>
      </c>
      <c r="S387" s="79">
        <v>38411.980000000003</v>
      </c>
      <c r="T387" s="79">
        <v>168999.14</v>
      </c>
      <c r="U387" s="79">
        <v>304371.47999999899</v>
      </c>
      <c r="AV387" s="170" t="s">
        <v>355</v>
      </c>
      <c r="AW387" s="170" t="s">
        <v>10</v>
      </c>
      <c r="AX387" s="92">
        <v>10</v>
      </c>
      <c r="AY387" s="92">
        <v>20</v>
      </c>
      <c r="AZ387" s="92">
        <v>5</v>
      </c>
      <c r="BB387" s="170" t="s">
        <v>355</v>
      </c>
      <c r="BC387" s="170" t="s">
        <v>10</v>
      </c>
      <c r="BD387" s="171">
        <v>42866.86</v>
      </c>
      <c r="BE387" s="171">
        <v>42173.04</v>
      </c>
      <c r="BF387" s="171">
        <v>26011.26</v>
      </c>
    </row>
    <row r="388" spans="2:58" ht="16" thickBot="1" x14ac:dyDescent="0.25">
      <c r="B388" s="86">
        <v>98406</v>
      </c>
      <c r="C388" s="38" t="s">
        <v>10</v>
      </c>
      <c r="D388" s="48">
        <v>843</v>
      </c>
      <c r="E388" s="48">
        <v>671</v>
      </c>
      <c r="F388" s="48">
        <v>685</v>
      </c>
      <c r="H388" s="76">
        <v>98406</v>
      </c>
      <c r="I388" s="76" t="s">
        <v>352</v>
      </c>
      <c r="J388" s="79">
        <v>3416.84</v>
      </c>
      <c r="K388" s="79">
        <v>2255.9699999999998</v>
      </c>
      <c r="L388" s="79">
        <v>6873.44</v>
      </c>
      <c r="M388" s="79">
        <v>38913.519999999902</v>
      </c>
      <c r="N388" s="79">
        <v>1098.33</v>
      </c>
      <c r="O388" s="79">
        <v>3409.97</v>
      </c>
      <c r="P388" s="79">
        <v>8479.41</v>
      </c>
      <c r="Q388" s="79">
        <v>23591.109999999899</v>
      </c>
      <c r="R388" s="79">
        <v>2747.11</v>
      </c>
      <c r="S388" s="79">
        <v>652.75</v>
      </c>
      <c r="T388" s="79">
        <v>11086.949999999901</v>
      </c>
      <c r="U388" s="79">
        <v>20129.53</v>
      </c>
      <c r="AV388" s="165"/>
      <c r="AW388" s="172"/>
      <c r="AX388" s="161">
        <f>SUMIF($AW$16:$AW$387,$AW$17,AX16:AX387)</f>
        <v>2952</v>
      </c>
      <c r="AY388" s="161">
        <f t="shared" ref="AY388:BA388" si="2">SUMIF($AW$16:$AW$387,$AW$17,AY16:AY387)</f>
        <v>2985</v>
      </c>
      <c r="AZ388" s="161">
        <f t="shared" si="2"/>
        <v>3035</v>
      </c>
      <c r="BA388" s="161"/>
      <c r="BB388" s="161"/>
      <c r="BC388" s="161"/>
      <c r="BD388" s="161">
        <f>SUMIF($BC$16:$BC$387,$AW$17,BD16:BD387)</f>
        <v>1386236.3399999999</v>
      </c>
      <c r="BE388" s="161">
        <f t="shared" ref="BE388:BF388" si="3">SUMIF($BC$16:$BC$387,$AW$17,BE16:BE387)</f>
        <v>1425737.5500000003</v>
      </c>
      <c r="BF388" s="161">
        <f t="shared" si="3"/>
        <v>1617201.79</v>
      </c>
    </row>
    <row r="389" spans="2:58" x14ac:dyDescent="0.2">
      <c r="B389" s="59">
        <v>98407</v>
      </c>
      <c r="C389" s="38" t="s">
        <v>352</v>
      </c>
      <c r="D389" s="48">
        <v>24</v>
      </c>
      <c r="E389" s="48">
        <v>26</v>
      </c>
      <c r="F389" s="48">
        <v>15</v>
      </c>
      <c r="H389" s="76">
        <v>98406</v>
      </c>
      <c r="I389" s="76" t="s">
        <v>10</v>
      </c>
      <c r="J389" s="79">
        <v>49909.41</v>
      </c>
      <c r="K389" s="79">
        <v>33504.82</v>
      </c>
      <c r="L389" s="79">
        <v>90059.35</v>
      </c>
      <c r="M389" s="79">
        <v>252341.85</v>
      </c>
      <c r="N389" s="79">
        <v>26937.4</v>
      </c>
      <c r="O389" s="79">
        <v>36834.61</v>
      </c>
      <c r="P389" s="79">
        <v>112399.46</v>
      </c>
      <c r="Q389" s="79">
        <v>224648.239999999</v>
      </c>
      <c r="R389" s="79">
        <v>23595.68</v>
      </c>
      <c r="S389" s="79">
        <v>19182.34</v>
      </c>
      <c r="T389" s="79">
        <v>127384.439999999</v>
      </c>
      <c r="U389" s="79">
        <v>211540.44</v>
      </c>
      <c r="AV389" s="40"/>
      <c r="AW389" s="40"/>
    </row>
    <row r="390" spans="2:58" x14ac:dyDescent="0.2">
      <c r="B390" s="86">
        <v>98407</v>
      </c>
      <c r="C390" s="38" t="s">
        <v>10</v>
      </c>
      <c r="D390" s="48">
        <v>690</v>
      </c>
      <c r="E390" s="48">
        <v>684</v>
      </c>
      <c r="F390" s="48">
        <v>676</v>
      </c>
      <c r="H390" s="76">
        <v>98407</v>
      </c>
      <c r="I390" s="76" t="s">
        <v>352</v>
      </c>
      <c r="J390" s="79">
        <v>2455.4899999999998</v>
      </c>
      <c r="K390" s="79">
        <v>1907.05</v>
      </c>
      <c r="L390" s="79">
        <v>1917.5</v>
      </c>
      <c r="M390" s="79">
        <v>15530.06</v>
      </c>
      <c r="N390" s="79">
        <v>2898.88</v>
      </c>
      <c r="O390" s="79">
        <v>2455.4899999999998</v>
      </c>
      <c r="P390" s="79">
        <v>3824.55</v>
      </c>
      <c r="Q390" s="79">
        <v>17115.349999999999</v>
      </c>
      <c r="R390" s="79">
        <v>2426.3000000000002</v>
      </c>
      <c r="S390" s="79">
        <v>2596.0100000000002</v>
      </c>
      <c r="T390" s="79">
        <v>3205</v>
      </c>
      <c r="U390" s="79">
        <v>13729.5</v>
      </c>
      <c r="AV390" s="40"/>
      <c r="AW390" s="40"/>
    </row>
    <row r="391" spans="2:58" x14ac:dyDescent="0.2">
      <c r="B391" s="59">
        <v>98408</v>
      </c>
      <c r="C391" s="38" t="s">
        <v>352</v>
      </c>
      <c r="D391" s="48">
        <v>30</v>
      </c>
      <c r="E391" s="48">
        <v>34</v>
      </c>
      <c r="F391" s="48">
        <v>31</v>
      </c>
      <c r="H391" s="76">
        <v>98407</v>
      </c>
      <c r="I391" s="76" t="s">
        <v>10</v>
      </c>
      <c r="J391" s="79">
        <v>44476.75</v>
      </c>
      <c r="K391" s="79">
        <v>24072.53</v>
      </c>
      <c r="L391" s="79">
        <v>64956.44</v>
      </c>
      <c r="M391" s="79">
        <v>199678.33999999901</v>
      </c>
      <c r="N391" s="79">
        <v>33644.1</v>
      </c>
      <c r="O391" s="79">
        <v>33397.620000000003</v>
      </c>
      <c r="P391" s="79">
        <v>75021.099999999904</v>
      </c>
      <c r="Q391" s="79">
        <v>199521.04</v>
      </c>
      <c r="R391" s="79">
        <v>31696.27</v>
      </c>
      <c r="S391" s="79">
        <v>25671.96</v>
      </c>
      <c r="T391" s="79">
        <v>95629.57</v>
      </c>
      <c r="U391" s="79">
        <v>191536.55</v>
      </c>
      <c r="AV391" s="40"/>
      <c r="AW391" s="40"/>
    </row>
    <row r="392" spans="2:58" x14ac:dyDescent="0.2">
      <c r="B392" s="86">
        <v>98408</v>
      </c>
      <c r="C392" s="38" t="s">
        <v>10</v>
      </c>
      <c r="D392" s="48">
        <v>926</v>
      </c>
      <c r="E392" s="48">
        <v>958</v>
      </c>
      <c r="F392" s="48">
        <v>957</v>
      </c>
      <c r="H392" s="76">
        <v>98408</v>
      </c>
      <c r="I392" s="76" t="s">
        <v>352</v>
      </c>
      <c r="J392" s="79">
        <v>1760.9</v>
      </c>
      <c r="K392" s="79">
        <v>1386.23</v>
      </c>
      <c r="L392" s="79">
        <v>14533.16</v>
      </c>
      <c r="M392" s="79">
        <v>22396.69</v>
      </c>
      <c r="N392" s="79">
        <v>1519.25</v>
      </c>
      <c r="O392" s="79">
        <v>1190.22</v>
      </c>
      <c r="P392" s="79">
        <v>15261.1599999999</v>
      </c>
      <c r="Q392" s="79">
        <v>25431.519999999899</v>
      </c>
      <c r="R392" s="79">
        <v>1336.55</v>
      </c>
      <c r="S392" s="79">
        <v>945.8</v>
      </c>
      <c r="T392" s="79">
        <v>16002.2399999999</v>
      </c>
      <c r="U392" s="79">
        <v>23919.4</v>
      </c>
      <c r="AV392" s="40"/>
      <c r="AW392" s="40"/>
    </row>
    <row r="393" spans="2:58" x14ac:dyDescent="0.2">
      <c r="B393" s="59">
        <v>98409</v>
      </c>
      <c r="C393" s="38" t="s">
        <v>352</v>
      </c>
      <c r="D393" s="48">
        <v>87</v>
      </c>
      <c r="E393" s="48">
        <v>82</v>
      </c>
      <c r="F393" s="48">
        <v>80</v>
      </c>
      <c r="H393" s="76">
        <v>98408</v>
      </c>
      <c r="I393" s="76" t="s">
        <v>10</v>
      </c>
      <c r="J393" s="79">
        <v>60467.14</v>
      </c>
      <c r="K393" s="79">
        <v>47631.06</v>
      </c>
      <c r="L393" s="79">
        <v>124323.09</v>
      </c>
      <c r="M393" s="79">
        <v>319958.81999999902</v>
      </c>
      <c r="N393" s="79">
        <v>49779.18</v>
      </c>
      <c r="O393" s="79">
        <v>42594.26</v>
      </c>
      <c r="P393" s="79">
        <v>144505.49</v>
      </c>
      <c r="Q393" s="79">
        <v>313531.96999999997</v>
      </c>
      <c r="R393" s="79">
        <v>46859.24</v>
      </c>
      <c r="S393" s="79">
        <v>39070.86</v>
      </c>
      <c r="T393" s="79">
        <v>158891.6</v>
      </c>
      <c r="U393" s="79">
        <v>299590.32999999903</v>
      </c>
      <c r="AV393" s="40"/>
      <c r="AW393" s="40"/>
    </row>
    <row r="394" spans="2:58" x14ac:dyDescent="0.2">
      <c r="B394" s="86">
        <v>98409</v>
      </c>
      <c r="C394" s="38" t="s">
        <v>10</v>
      </c>
      <c r="D394" s="48">
        <v>710</v>
      </c>
      <c r="E394" s="48">
        <v>726</v>
      </c>
      <c r="F394" s="48">
        <v>724</v>
      </c>
      <c r="H394" s="76">
        <v>98409</v>
      </c>
      <c r="I394" s="76" t="s">
        <v>352</v>
      </c>
      <c r="J394" s="79">
        <v>12380.29</v>
      </c>
      <c r="K394" s="79">
        <v>19747.439999999999</v>
      </c>
      <c r="L394" s="79">
        <v>18297.37</v>
      </c>
      <c r="M394" s="79">
        <v>90939.849999999904</v>
      </c>
      <c r="N394" s="79">
        <v>10066.84</v>
      </c>
      <c r="O394" s="79">
        <v>9754.49</v>
      </c>
      <c r="P394" s="79">
        <v>26251.75</v>
      </c>
      <c r="Q394" s="79">
        <v>78088.56</v>
      </c>
      <c r="R394" s="79">
        <v>7449.24</v>
      </c>
      <c r="S394" s="79">
        <v>6959.29</v>
      </c>
      <c r="T394" s="79">
        <v>28090.59</v>
      </c>
      <c r="U394" s="79">
        <v>51396.56</v>
      </c>
      <c r="AV394" s="40"/>
      <c r="AW394" s="40"/>
    </row>
    <row r="395" spans="2:58" x14ac:dyDescent="0.2">
      <c r="B395" s="59">
        <v>98418</v>
      </c>
      <c r="C395" s="38" t="s">
        <v>352</v>
      </c>
      <c r="D395" s="48">
        <v>19</v>
      </c>
      <c r="E395" s="48">
        <v>17</v>
      </c>
      <c r="F395" s="48">
        <v>14</v>
      </c>
      <c r="H395" s="76">
        <v>98409</v>
      </c>
      <c r="I395" s="76" t="s">
        <v>10</v>
      </c>
      <c r="J395" s="79">
        <v>43928.41</v>
      </c>
      <c r="K395" s="79">
        <v>36273.370000000003</v>
      </c>
      <c r="L395" s="79">
        <v>81837.089999999895</v>
      </c>
      <c r="M395" s="79">
        <v>218938.829999999</v>
      </c>
      <c r="N395" s="79">
        <v>37688.74</v>
      </c>
      <c r="O395" s="79">
        <v>33562.620000000003</v>
      </c>
      <c r="P395" s="79">
        <v>97062.529999999897</v>
      </c>
      <c r="Q395" s="79">
        <v>221798.80999999901</v>
      </c>
      <c r="R395" s="79">
        <v>36451.519999999997</v>
      </c>
      <c r="S395" s="79">
        <v>30121.279999999999</v>
      </c>
      <c r="T395" s="79">
        <v>109971.319999999</v>
      </c>
      <c r="U395" s="79">
        <v>214173.16999999899</v>
      </c>
      <c r="AV395" s="40"/>
      <c r="AW395" s="40"/>
    </row>
    <row r="396" spans="2:58" x14ac:dyDescent="0.2">
      <c r="B396" s="86">
        <v>98418</v>
      </c>
      <c r="C396" s="38" t="s">
        <v>10</v>
      </c>
      <c r="D396" s="48">
        <v>494</v>
      </c>
      <c r="E396" s="48">
        <v>510</v>
      </c>
      <c r="F396" s="48">
        <v>525</v>
      </c>
      <c r="H396" s="76">
        <v>98418</v>
      </c>
      <c r="I396" s="76" t="s">
        <v>352</v>
      </c>
      <c r="J396" s="79">
        <v>1902.66</v>
      </c>
      <c r="K396" s="79">
        <v>1539.73</v>
      </c>
      <c r="L396" s="79">
        <v>12589.32</v>
      </c>
      <c r="M396" s="79">
        <v>19575.9399999999</v>
      </c>
      <c r="N396" s="79">
        <v>1291.99</v>
      </c>
      <c r="O396" s="79">
        <v>1351.28</v>
      </c>
      <c r="P396" s="79">
        <v>11430.11</v>
      </c>
      <c r="Q396" s="79">
        <v>19201.249999999902</v>
      </c>
      <c r="R396" s="79">
        <v>1196.3</v>
      </c>
      <c r="S396" s="79">
        <v>1293.4100000000001</v>
      </c>
      <c r="T396" s="79">
        <v>11948.56</v>
      </c>
      <c r="U396" s="79">
        <v>15969.53</v>
      </c>
      <c r="AV396" s="40"/>
      <c r="AW396" s="40"/>
    </row>
    <row r="397" spans="2:58" x14ac:dyDescent="0.2">
      <c r="B397" s="59">
        <v>98421</v>
      </c>
      <c r="C397" s="38" t="s">
        <v>352</v>
      </c>
      <c r="D397" s="48">
        <v>36</v>
      </c>
      <c r="E397" s="48">
        <v>29</v>
      </c>
      <c r="F397" s="48">
        <v>30</v>
      </c>
      <c r="H397" s="76">
        <v>98418</v>
      </c>
      <c r="I397" s="76" t="s">
        <v>10</v>
      </c>
      <c r="J397" s="79">
        <v>32758.720000000001</v>
      </c>
      <c r="K397" s="79">
        <v>24568.27</v>
      </c>
      <c r="L397" s="79">
        <v>82681.100000000006</v>
      </c>
      <c r="M397" s="79">
        <v>182572.23</v>
      </c>
      <c r="N397" s="79">
        <v>29376.58</v>
      </c>
      <c r="O397" s="79">
        <v>26447.56</v>
      </c>
      <c r="P397" s="79">
        <v>97279.05</v>
      </c>
      <c r="Q397" s="79">
        <v>191986.31999999899</v>
      </c>
      <c r="R397" s="79">
        <v>25833.66</v>
      </c>
      <c r="S397" s="79">
        <v>24700.39</v>
      </c>
      <c r="T397" s="79">
        <v>110260.38</v>
      </c>
      <c r="U397" s="79">
        <v>187338.31</v>
      </c>
      <c r="AV397" s="40"/>
      <c r="AW397" s="40"/>
    </row>
    <row r="398" spans="2:58" x14ac:dyDescent="0.2">
      <c r="B398" s="86">
        <v>98421</v>
      </c>
      <c r="C398" s="38" t="s">
        <v>10</v>
      </c>
      <c r="D398" s="48">
        <v>4</v>
      </c>
      <c r="E398" s="48">
        <v>4</v>
      </c>
      <c r="F398" s="48">
        <v>4</v>
      </c>
      <c r="H398" s="76">
        <v>98421</v>
      </c>
      <c r="I398" s="76" t="s">
        <v>352</v>
      </c>
      <c r="J398" s="79">
        <v>9527.0400000000009</v>
      </c>
      <c r="K398" s="79">
        <v>12098.48</v>
      </c>
      <c r="L398" s="79">
        <v>37021.25</v>
      </c>
      <c r="M398" s="79">
        <v>87621.879999999903</v>
      </c>
      <c r="N398" s="79">
        <v>11403.21</v>
      </c>
      <c r="O398" s="79">
        <v>8924.33</v>
      </c>
      <c r="P398" s="79">
        <v>47149.2</v>
      </c>
      <c r="Q398" s="79">
        <v>85379.26</v>
      </c>
      <c r="R398" s="79">
        <v>7831.95</v>
      </c>
      <c r="S398" s="79">
        <v>10143.4</v>
      </c>
      <c r="T398" s="79">
        <v>53002.09</v>
      </c>
      <c r="U398" s="79">
        <v>88739.73</v>
      </c>
      <c r="AV398" s="40"/>
      <c r="AW398" s="40"/>
    </row>
    <row r="399" spans="2:58" x14ac:dyDescent="0.2">
      <c r="B399" s="59">
        <v>98422</v>
      </c>
      <c r="C399" s="38" t="s">
        <v>352</v>
      </c>
      <c r="D399" s="48">
        <v>2</v>
      </c>
      <c r="E399" s="48">
        <v>2</v>
      </c>
      <c r="F399" s="48">
        <v>4</v>
      </c>
      <c r="H399" s="76">
        <v>98421</v>
      </c>
      <c r="I399" s="76" t="s">
        <v>10</v>
      </c>
      <c r="J399" s="79">
        <v>38.869999999999997</v>
      </c>
      <c r="K399" s="79">
        <v>39.020000000000003</v>
      </c>
      <c r="L399" s="79">
        <v>753.48</v>
      </c>
      <c r="M399" s="79">
        <v>1127.48</v>
      </c>
      <c r="N399" s="79">
        <v>296.11</v>
      </c>
      <c r="O399" s="79">
        <v>38.869999999999997</v>
      </c>
      <c r="P399" s="79">
        <v>792.5</v>
      </c>
      <c r="Q399" s="79">
        <v>1423.03</v>
      </c>
      <c r="R399" s="79">
        <v>295.55</v>
      </c>
      <c r="S399" s="79">
        <v>296.11</v>
      </c>
      <c r="T399" s="79">
        <v>831.37</v>
      </c>
      <c r="U399" s="79">
        <v>1639.71</v>
      </c>
      <c r="AV399" s="40"/>
      <c r="AW399" s="40"/>
    </row>
    <row r="400" spans="2:58" x14ac:dyDescent="0.2">
      <c r="B400" s="86">
        <v>98422</v>
      </c>
      <c r="C400" s="38" t="s">
        <v>10</v>
      </c>
      <c r="D400" s="48">
        <v>499</v>
      </c>
      <c r="E400" s="48">
        <v>504</v>
      </c>
      <c r="F400" s="48">
        <v>490</v>
      </c>
      <c r="H400" s="76">
        <v>98422</v>
      </c>
      <c r="I400" s="76" t="s">
        <v>352</v>
      </c>
      <c r="J400" s="79">
        <v>1247.4100000000001</v>
      </c>
      <c r="K400" s="79">
        <v>1467.25</v>
      </c>
      <c r="L400" s="79">
        <v>4914.45</v>
      </c>
      <c r="M400" s="79">
        <v>8963.41</v>
      </c>
      <c r="N400" s="79">
        <v>1334.3</v>
      </c>
      <c r="O400" s="79">
        <v>1247.4100000000001</v>
      </c>
      <c r="P400" s="79">
        <v>6381.7</v>
      </c>
      <c r="Q400" s="79">
        <v>10181.959999999999</v>
      </c>
      <c r="R400" s="79">
        <v>1218.55</v>
      </c>
      <c r="S400" s="79">
        <v>1334.3</v>
      </c>
      <c r="T400" s="79">
        <v>7629.11</v>
      </c>
      <c r="U400" s="79">
        <v>11538.48</v>
      </c>
      <c r="AV400" s="40"/>
      <c r="AW400" s="40"/>
    </row>
    <row r="401" spans="2:49" x14ac:dyDescent="0.2">
      <c r="B401" s="59">
        <v>98424</v>
      </c>
      <c r="C401" s="38" t="s">
        <v>352</v>
      </c>
      <c r="D401" s="48">
        <v>63</v>
      </c>
      <c r="E401" s="48">
        <v>51</v>
      </c>
      <c r="F401" s="48">
        <v>49</v>
      </c>
      <c r="H401" s="76">
        <v>98422</v>
      </c>
      <c r="I401" s="76" t="s">
        <v>10</v>
      </c>
      <c r="J401" s="79">
        <v>30914.02</v>
      </c>
      <c r="K401" s="79">
        <v>29086.9</v>
      </c>
      <c r="L401" s="79">
        <v>72548.169999999896</v>
      </c>
      <c r="M401" s="79">
        <v>200580.94999999899</v>
      </c>
      <c r="N401" s="79">
        <v>41978.79</v>
      </c>
      <c r="O401" s="79">
        <v>25054.19</v>
      </c>
      <c r="P401" s="79">
        <v>86559.609999999899</v>
      </c>
      <c r="Q401" s="79">
        <v>205438.139999999</v>
      </c>
      <c r="R401" s="79">
        <v>29696.04</v>
      </c>
      <c r="S401" s="79">
        <v>31056.1</v>
      </c>
      <c r="T401" s="79">
        <v>96686.609999999899</v>
      </c>
      <c r="U401" s="79">
        <v>194105.67</v>
      </c>
      <c r="AV401" s="40"/>
      <c r="AW401" s="40"/>
    </row>
    <row r="402" spans="2:49" x14ac:dyDescent="0.2">
      <c r="B402" s="86">
        <v>98424</v>
      </c>
      <c r="C402" s="38" t="s">
        <v>10</v>
      </c>
      <c r="D402" s="48">
        <v>256</v>
      </c>
      <c r="E402" s="48">
        <v>261</v>
      </c>
      <c r="F402" s="48">
        <v>258</v>
      </c>
      <c r="H402" s="76">
        <v>98424</v>
      </c>
      <c r="I402" s="76" t="s">
        <v>352</v>
      </c>
      <c r="J402" s="79">
        <v>13025.52</v>
      </c>
      <c r="K402" s="79">
        <v>10054.040000000001</v>
      </c>
      <c r="L402" s="79">
        <v>38221.78</v>
      </c>
      <c r="M402" s="79">
        <v>98349.87</v>
      </c>
      <c r="N402" s="79">
        <v>9309.31</v>
      </c>
      <c r="O402" s="79">
        <v>8577.81</v>
      </c>
      <c r="P402" s="79">
        <v>45896.34</v>
      </c>
      <c r="Q402" s="79">
        <v>86150.68</v>
      </c>
      <c r="R402" s="79">
        <v>8025.8</v>
      </c>
      <c r="S402" s="79">
        <v>8904.32</v>
      </c>
      <c r="T402" s="79">
        <v>50454.82</v>
      </c>
      <c r="U402" s="79">
        <v>87250.19</v>
      </c>
      <c r="AV402" s="40"/>
      <c r="AW402" s="40"/>
    </row>
    <row r="403" spans="2:49" x14ac:dyDescent="0.2">
      <c r="B403" s="59">
        <v>98430</v>
      </c>
      <c r="C403" s="38" t="s">
        <v>352</v>
      </c>
      <c r="D403" s="48">
        <v>2</v>
      </c>
      <c r="E403" s="48">
        <v>2</v>
      </c>
      <c r="F403" s="48"/>
      <c r="H403" s="76">
        <v>98424</v>
      </c>
      <c r="I403" s="76" t="s">
        <v>10</v>
      </c>
      <c r="J403" s="79">
        <v>18476.599999999999</v>
      </c>
      <c r="K403" s="79">
        <v>16085.22</v>
      </c>
      <c r="L403" s="79">
        <v>47227.95</v>
      </c>
      <c r="M403" s="79">
        <v>110531.53</v>
      </c>
      <c r="N403" s="79">
        <v>17684.560000000001</v>
      </c>
      <c r="O403" s="79">
        <v>14688.7</v>
      </c>
      <c r="P403" s="79">
        <v>56322.979999999901</v>
      </c>
      <c r="Q403" s="79">
        <v>112425.59</v>
      </c>
      <c r="R403" s="79">
        <v>13795.11</v>
      </c>
      <c r="S403" s="79">
        <v>13728.11</v>
      </c>
      <c r="T403" s="79">
        <v>58675.039999999899</v>
      </c>
      <c r="U403" s="79">
        <v>109254.61</v>
      </c>
      <c r="AV403" s="40"/>
      <c r="AW403" s="40"/>
    </row>
    <row r="404" spans="2:49" x14ac:dyDescent="0.2">
      <c r="B404" s="86">
        <v>98433</v>
      </c>
      <c r="C404" s="38" t="s">
        <v>352</v>
      </c>
      <c r="D404" s="48">
        <v>360</v>
      </c>
      <c r="E404" s="48">
        <v>447</v>
      </c>
      <c r="F404" s="48">
        <v>456</v>
      </c>
      <c r="H404" s="76">
        <v>98430</v>
      </c>
      <c r="I404" s="76" t="s">
        <v>352</v>
      </c>
      <c r="J404" s="79"/>
      <c r="K404" s="79"/>
      <c r="L404" s="79"/>
      <c r="M404" s="79">
        <v>112.65</v>
      </c>
      <c r="N404" s="79"/>
      <c r="O404" s="79"/>
      <c r="P404" s="79"/>
      <c r="Q404" s="79">
        <v>107.09</v>
      </c>
      <c r="R404" s="79"/>
      <c r="S404" s="79"/>
      <c r="T404" s="79"/>
      <c r="U404" s="79"/>
      <c r="AV404" s="40"/>
      <c r="AW404" s="40"/>
    </row>
    <row r="405" spans="2:49" x14ac:dyDescent="0.2">
      <c r="B405" s="59">
        <v>98433</v>
      </c>
      <c r="C405" s="38" t="s">
        <v>10</v>
      </c>
      <c r="D405" s="48">
        <v>2</v>
      </c>
      <c r="E405" s="74">
        <v>1</v>
      </c>
      <c r="F405" s="48">
        <v>361</v>
      </c>
      <c r="H405" s="76">
        <v>98433</v>
      </c>
      <c r="I405" s="76" t="s">
        <v>352</v>
      </c>
      <c r="J405" s="79">
        <v>2170.59</v>
      </c>
      <c r="K405" s="79">
        <v>39.94</v>
      </c>
      <c r="L405" s="79"/>
      <c r="M405" s="79">
        <v>394319.82</v>
      </c>
      <c r="N405" s="79">
        <v>394.17</v>
      </c>
      <c r="O405" s="79">
        <v>165.81</v>
      </c>
      <c r="P405" s="79">
        <v>39.94</v>
      </c>
      <c r="Q405" s="79">
        <v>508780.77</v>
      </c>
      <c r="R405" s="79">
        <v>353.33</v>
      </c>
      <c r="S405" s="79">
        <v>171.73</v>
      </c>
      <c r="T405" s="79">
        <v>205.75</v>
      </c>
      <c r="U405" s="79">
        <v>417406</v>
      </c>
      <c r="AV405" s="40"/>
      <c r="AW405" s="40"/>
    </row>
    <row r="406" spans="2:49" x14ac:dyDescent="0.2">
      <c r="B406" s="86">
        <v>98438</v>
      </c>
      <c r="C406" s="38" t="s">
        <v>352</v>
      </c>
      <c r="D406" s="48">
        <v>2</v>
      </c>
      <c r="E406" s="48">
        <v>4</v>
      </c>
      <c r="F406" s="48">
        <v>34</v>
      </c>
      <c r="H406" s="76">
        <v>98433</v>
      </c>
      <c r="I406" s="76" t="s">
        <v>10</v>
      </c>
      <c r="J406" s="79">
        <v>119.2</v>
      </c>
      <c r="K406" s="79">
        <v>349.86</v>
      </c>
      <c r="L406" s="79"/>
      <c r="M406" s="79">
        <v>595.41999999999996</v>
      </c>
      <c r="N406" s="79">
        <v>126.36</v>
      </c>
      <c r="O406" s="79">
        <v>119.2</v>
      </c>
      <c r="P406" s="79">
        <v>151.21</v>
      </c>
      <c r="Q406" s="79">
        <v>510.74</v>
      </c>
      <c r="R406" s="79">
        <v>113.97</v>
      </c>
      <c r="S406" s="79">
        <v>126.36</v>
      </c>
      <c r="T406" s="79">
        <v>270.41000000000003</v>
      </c>
      <c r="U406" s="79">
        <v>23375.23</v>
      </c>
      <c r="AV406" s="40"/>
      <c r="AW406" s="40"/>
    </row>
    <row r="407" spans="2:49" x14ac:dyDescent="0.2">
      <c r="B407" s="59">
        <v>98439</v>
      </c>
      <c r="C407" s="38" t="s">
        <v>352</v>
      </c>
      <c r="D407" s="48">
        <v>26</v>
      </c>
      <c r="E407" s="48">
        <v>26</v>
      </c>
      <c r="F407" s="48">
        <v>22</v>
      </c>
      <c r="H407" s="76">
        <v>98438</v>
      </c>
      <c r="I407" s="76" t="s">
        <v>352</v>
      </c>
      <c r="J407" s="79"/>
      <c r="K407" s="79"/>
      <c r="L407" s="79"/>
      <c r="M407" s="79">
        <v>10820.75</v>
      </c>
      <c r="N407" s="79"/>
      <c r="O407" s="79"/>
      <c r="P407" s="79"/>
      <c r="Q407" s="79">
        <v>114651.42</v>
      </c>
      <c r="R407" s="79"/>
      <c r="S407" s="79"/>
      <c r="T407" s="79"/>
      <c r="U407" s="79">
        <v>136975.10999999999</v>
      </c>
      <c r="AV407" s="40"/>
      <c r="AW407" s="40"/>
    </row>
    <row r="408" spans="2:49" x14ac:dyDescent="0.2">
      <c r="B408" s="86">
        <v>98439</v>
      </c>
      <c r="C408" s="38" t="s">
        <v>10</v>
      </c>
      <c r="D408" s="48">
        <v>553</v>
      </c>
      <c r="E408" s="48">
        <v>546</v>
      </c>
      <c r="F408" s="48">
        <v>532</v>
      </c>
      <c r="H408" s="76">
        <v>98439</v>
      </c>
      <c r="I408" s="76" t="s">
        <v>352</v>
      </c>
      <c r="J408" s="79">
        <v>816.94</v>
      </c>
      <c r="K408" s="79">
        <v>265.68</v>
      </c>
      <c r="L408" s="79">
        <v>35736.43</v>
      </c>
      <c r="M408" s="79">
        <v>39790.160000000003</v>
      </c>
      <c r="N408" s="79">
        <v>1202.07</v>
      </c>
      <c r="O408" s="79">
        <v>806.2</v>
      </c>
      <c r="P408" s="79">
        <v>35863.980000000003</v>
      </c>
      <c r="Q408" s="79">
        <v>47122.07</v>
      </c>
      <c r="R408" s="79">
        <v>603.21</v>
      </c>
      <c r="S408" s="79">
        <v>244.2</v>
      </c>
      <c r="T408" s="79">
        <v>35866.36</v>
      </c>
      <c r="U408" s="79">
        <v>39596.800000000003</v>
      </c>
      <c r="AV408" s="40"/>
      <c r="AW408" s="40"/>
    </row>
    <row r="409" spans="2:49" x14ac:dyDescent="0.2">
      <c r="B409" s="86">
        <v>98443</v>
      </c>
      <c r="C409" s="38" t="s">
        <v>352</v>
      </c>
      <c r="D409" s="48">
        <v>1</v>
      </c>
      <c r="E409" s="48">
        <v>2</v>
      </c>
      <c r="F409" s="48">
        <v>1</v>
      </c>
      <c r="H409" s="76">
        <v>98439</v>
      </c>
      <c r="I409" s="76" t="s">
        <v>10</v>
      </c>
      <c r="J409" s="79">
        <v>54343.53</v>
      </c>
      <c r="K409" s="79">
        <v>50358.720000000001</v>
      </c>
      <c r="L409" s="79">
        <v>116030.939999999</v>
      </c>
      <c r="M409" s="79">
        <v>284944.53000000003</v>
      </c>
      <c r="N409" s="79">
        <v>48374.16</v>
      </c>
      <c r="O409" s="79">
        <v>47618.15</v>
      </c>
      <c r="P409" s="79">
        <v>149817.12999999899</v>
      </c>
      <c r="Q409" s="79">
        <v>310877.08</v>
      </c>
      <c r="R409" s="79">
        <v>50943.519999999997</v>
      </c>
      <c r="S409" s="79">
        <v>36815.129999999997</v>
      </c>
      <c r="T409" s="79">
        <v>168316.33999999901</v>
      </c>
      <c r="U409" s="79">
        <v>301186.15000000002</v>
      </c>
      <c r="AV409" s="40"/>
      <c r="AW409" s="40"/>
    </row>
    <row r="410" spans="2:49" x14ac:dyDescent="0.2">
      <c r="B410" s="59">
        <v>98443</v>
      </c>
      <c r="C410" s="38" t="s">
        <v>10</v>
      </c>
      <c r="D410" s="48">
        <v>66</v>
      </c>
      <c r="E410" s="48">
        <v>60</v>
      </c>
      <c r="F410" s="48">
        <v>60</v>
      </c>
      <c r="H410" s="76">
        <v>98443</v>
      </c>
      <c r="I410" s="76" t="s">
        <v>352</v>
      </c>
      <c r="J410" s="79"/>
      <c r="K410" s="79"/>
      <c r="L410" s="79"/>
      <c r="M410" s="79">
        <v>33.840000000000003</v>
      </c>
      <c r="N410" s="79"/>
      <c r="O410" s="79"/>
      <c r="P410" s="79"/>
      <c r="Q410" s="79">
        <v>67.680000000000007</v>
      </c>
      <c r="R410" s="79"/>
      <c r="S410" s="79"/>
      <c r="T410" s="79"/>
      <c r="U410" s="79">
        <v>33.840000000000003</v>
      </c>
      <c r="AV410" s="40"/>
      <c r="AW410" s="40"/>
    </row>
    <row r="411" spans="2:49" x14ac:dyDescent="0.2">
      <c r="B411" s="86">
        <v>98444</v>
      </c>
      <c r="C411" s="38" t="s">
        <v>352</v>
      </c>
      <c r="D411" s="48">
        <v>113</v>
      </c>
      <c r="E411" s="48">
        <v>106</v>
      </c>
      <c r="F411" s="48">
        <v>89</v>
      </c>
      <c r="H411" s="76">
        <v>98443</v>
      </c>
      <c r="I411" s="76" t="s">
        <v>10</v>
      </c>
      <c r="J411" s="79">
        <v>3542.25</v>
      </c>
      <c r="K411" s="79">
        <v>2780.57</v>
      </c>
      <c r="L411" s="79">
        <v>3909.37</v>
      </c>
      <c r="M411" s="79">
        <v>15253.219999999899</v>
      </c>
      <c r="N411" s="79">
        <v>2083.98</v>
      </c>
      <c r="O411" s="79">
        <v>1939.64</v>
      </c>
      <c r="P411" s="79">
        <v>4750.42</v>
      </c>
      <c r="Q411" s="79">
        <v>13156.87</v>
      </c>
      <c r="R411" s="79">
        <v>2302.61</v>
      </c>
      <c r="S411" s="79">
        <v>1339.5</v>
      </c>
      <c r="T411" s="79">
        <v>5161.01</v>
      </c>
      <c r="U411" s="79">
        <v>12232.5999999999</v>
      </c>
      <c r="AV411" s="40"/>
      <c r="AW411" s="40"/>
    </row>
    <row r="412" spans="2:49" x14ac:dyDescent="0.2">
      <c r="B412" s="59">
        <v>98444</v>
      </c>
      <c r="C412" s="38" t="s">
        <v>10</v>
      </c>
      <c r="D412" s="48">
        <v>793</v>
      </c>
      <c r="E412" s="48">
        <v>790</v>
      </c>
      <c r="F412" s="48">
        <v>792</v>
      </c>
      <c r="H412" s="76">
        <v>98444</v>
      </c>
      <c r="I412" s="76" t="s">
        <v>352</v>
      </c>
      <c r="J412" s="79">
        <v>15455.96</v>
      </c>
      <c r="K412" s="79">
        <v>3750.49</v>
      </c>
      <c r="L412" s="79">
        <v>23299.629999999899</v>
      </c>
      <c r="M412" s="79">
        <v>83902.9</v>
      </c>
      <c r="N412" s="79">
        <v>7917.16</v>
      </c>
      <c r="O412" s="79">
        <v>5685.43</v>
      </c>
      <c r="P412" s="79">
        <v>21335.89</v>
      </c>
      <c r="Q412" s="79">
        <v>64731.92</v>
      </c>
      <c r="R412" s="79">
        <v>5994.2</v>
      </c>
      <c r="S412" s="79">
        <v>4617.3</v>
      </c>
      <c r="T412" s="79">
        <v>24288.35</v>
      </c>
      <c r="U412" s="79">
        <v>62650.25</v>
      </c>
      <c r="AV412" s="40"/>
      <c r="AW412" s="40"/>
    </row>
    <row r="413" spans="2:49" x14ac:dyDescent="0.2">
      <c r="B413" s="86">
        <v>98445</v>
      </c>
      <c r="C413" s="38" t="s">
        <v>352</v>
      </c>
      <c r="D413" s="48">
        <v>38</v>
      </c>
      <c r="E413" s="48">
        <v>24</v>
      </c>
      <c r="F413" s="48">
        <v>21</v>
      </c>
      <c r="H413" s="76">
        <v>98444</v>
      </c>
      <c r="I413" s="76" t="s">
        <v>10</v>
      </c>
      <c r="J413" s="79">
        <v>42119.85</v>
      </c>
      <c r="K413" s="79">
        <v>27972.37</v>
      </c>
      <c r="L413" s="79">
        <v>81398.31</v>
      </c>
      <c r="M413" s="79">
        <v>214508.28</v>
      </c>
      <c r="N413" s="79">
        <v>33971.19</v>
      </c>
      <c r="O413" s="79">
        <v>31533.34</v>
      </c>
      <c r="P413" s="79">
        <v>96601.109999999899</v>
      </c>
      <c r="Q413" s="79">
        <v>217823.88</v>
      </c>
      <c r="R413" s="79">
        <v>32340.11</v>
      </c>
      <c r="S413" s="79">
        <v>25420.98</v>
      </c>
      <c r="T413" s="79">
        <v>109008.52</v>
      </c>
      <c r="U413" s="79">
        <v>207905.65</v>
      </c>
      <c r="AV413" s="40"/>
      <c r="AW413" s="40"/>
    </row>
    <row r="414" spans="2:49" x14ac:dyDescent="0.2">
      <c r="B414" s="59">
        <v>98445</v>
      </c>
      <c r="C414" s="38" t="s">
        <v>10</v>
      </c>
      <c r="D414" s="48">
        <v>1047</v>
      </c>
      <c r="E414" s="48">
        <v>872</v>
      </c>
      <c r="F414" s="48">
        <v>894</v>
      </c>
      <c r="H414" s="76">
        <v>98445</v>
      </c>
      <c r="I414" s="76" t="s">
        <v>352</v>
      </c>
      <c r="J414" s="79">
        <v>664.08</v>
      </c>
      <c r="K414" s="79">
        <v>656.71</v>
      </c>
      <c r="L414" s="79">
        <v>1052.27</v>
      </c>
      <c r="M414" s="79">
        <v>13720.95</v>
      </c>
      <c r="N414" s="79">
        <v>535.51</v>
      </c>
      <c r="O414" s="79">
        <v>182.09</v>
      </c>
      <c r="P414" s="79">
        <v>1243.77</v>
      </c>
      <c r="Q414" s="79">
        <v>7779.39</v>
      </c>
      <c r="R414" s="79">
        <v>512.01</v>
      </c>
      <c r="S414" s="79">
        <v>474.7</v>
      </c>
      <c r="T414" s="79">
        <v>1195.5899999999999</v>
      </c>
      <c r="U414" s="79">
        <v>5923.8</v>
      </c>
      <c r="AV414" s="40"/>
      <c r="AW414" s="40"/>
    </row>
    <row r="415" spans="2:49" x14ac:dyDescent="0.2">
      <c r="B415" s="86">
        <v>98446</v>
      </c>
      <c r="C415" s="38" t="s">
        <v>352</v>
      </c>
      <c r="D415" s="48">
        <v>11</v>
      </c>
      <c r="E415" s="48">
        <v>10</v>
      </c>
      <c r="F415" s="48">
        <v>7</v>
      </c>
      <c r="H415" s="76">
        <v>98445</v>
      </c>
      <c r="I415" s="76" t="s">
        <v>10</v>
      </c>
      <c r="J415" s="79">
        <v>67368.66</v>
      </c>
      <c r="K415" s="79">
        <v>39248.980000000003</v>
      </c>
      <c r="L415" s="79">
        <v>107902.79</v>
      </c>
      <c r="M415" s="79">
        <v>308921.44</v>
      </c>
      <c r="N415" s="79">
        <v>49299.18</v>
      </c>
      <c r="O415" s="79">
        <v>41887.46</v>
      </c>
      <c r="P415" s="79">
        <v>135225.01999999999</v>
      </c>
      <c r="Q415" s="79">
        <v>285124.99</v>
      </c>
      <c r="R415" s="79">
        <v>35436.080000000002</v>
      </c>
      <c r="S415" s="79">
        <v>37711.040000000001</v>
      </c>
      <c r="T415" s="79">
        <v>147656.39000000001</v>
      </c>
      <c r="U415" s="79">
        <v>280216.3</v>
      </c>
    </row>
    <row r="416" spans="2:49" x14ac:dyDescent="0.2">
      <c r="B416" s="59">
        <v>98446</v>
      </c>
      <c r="C416" s="38" t="s">
        <v>10</v>
      </c>
      <c r="D416" s="48">
        <v>378</v>
      </c>
      <c r="E416" s="48">
        <v>342</v>
      </c>
      <c r="F416" s="48">
        <v>327</v>
      </c>
      <c r="H416" s="76">
        <v>98446</v>
      </c>
      <c r="I416" s="76" t="s">
        <v>352</v>
      </c>
      <c r="J416" s="79">
        <v>101.52</v>
      </c>
      <c r="K416" s="79">
        <v>77.260000000000005</v>
      </c>
      <c r="L416" s="79">
        <v>153.80000000000001</v>
      </c>
      <c r="M416" s="79">
        <v>15969.14</v>
      </c>
      <c r="N416" s="79">
        <v>121</v>
      </c>
      <c r="O416" s="79">
        <v>14.69</v>
      </c>
      <c r="P416" s="79">
        <v>168.49</v>
      </c>
      <c r="Q416" s="79">
        <v>14320.35</v>
      </c>
      <c r="R416" s="79">
        <v>151.44999999999999</v>
      </c>
      <c r="S416" s="79">
        <v>121</v>
      </c>
      <c r="T416" s="79">
        <v>183.18</v>
      </c>
      <c r="U416" s="79">
        <v>1287.23</v>
      </c>
    </row>
    <row r="417" spans="2:21" x14ac:dyDescent="0.2">
      <c r="B417" s="86">
        <v>98447</v>
      </c>
      <c r="C417" s="38" t="s">
        <v>352</v>
      </c>
      <c r="D417" s="48">
        <v>6</v>
      </c>
      <c r="E417" s="48">
        <v>14</v>
      </c>
      <c r="F417" s="48"/>
      <c r="H417" s="76">
        <v>98446</v>
      </c>
      <c r="I417" s="76" t="s">
        <v>10</v>
      </c>
      <c r="J417" s="79">
        <v>29201.14</v>
      </c>
      <c r="K417" s="79">
        <v>20954.97</v>
      </c>
      <c r="L417" s="79">
        <v>54700.929999999898</v>
      </c>
      <c r="M417" s="79">
        <v>146448.83999999901</v>
      </c>
      <c r="N417" s="79">
        <v>26539.53</v>
      </c>
      <c r="O417" s="79">
        <v>20534.439999999999</v>
      </c>
      <c r="P417" s="79">
        <v>66880.69</v>
      </c>
      <c r="Q417" s="79">
        <v>145024.36999999901</v>
      </c>
      <c r="R417" s="79">
        <v>22790.94</v>
      </c>
      <c r="S417" s="79">
        <v>20640.55</v>
      </c>
      <c r="T417" s="79">
        <v>72018.14</v>
      </c>
      <c r="U417" s="79">
        <v>146991.83999999901</v>
      </c>
    </row>
    <row r="418" spans="2:21" x14ac:dyDescent="0.2">
      <c r="B418" s="59">
        <v>98465</v>
      </c>
      <c r="C418" s="38" t="s">
        <v>352</v>
      </c>
      <c r="D418" s="48">
        <v>4</v>
      </c>
      <c r="E418" s="48">
        <v>3</v>
      </c>
      <c r="F418" s="48">
        <v>3</v>
      </c>
      <c r="H418" s="76">
        <v>98447</v>
      </c>
      <c r="I418" s="76" t="s">
        <v>352</v>
      </c>
      <c r="J418" s="79">
        <v>7438.42</v>
      </c>
      <c r="K418" s="79"/>
      <c r="L418" s="79"/>
      <c r="M418" s="79">
        <v>13143.45</v>
      </c>
      <c r="N418" s="79">
        <v>5668.43</v>
      </c>
      <c r="O418" s="79"/>
      <c r="P418" s="79"/>
      <c r="Q418" s="79">
        <v>37952.569999999898</v>
      </c>
      <c r="R418" s="79"/>
      <c r="S418" s="79"/>
      <c r="T418" s="79"/>
      <c r="U418" s="79"/>
    </row>
    <row r="419" spans="2:21" x14ac:dyDescent="0.2">
      <c r="B419" s="86">
        <v>98465</v>
      </c>
      <c r="C419" s="38" t="s">
        <v>10</v>
      </c>
      <c r="D419" s="48">
        <v>118</v>
      </c>
      <c r="E419" s="48">
        <v>92</v>
      </c>
      <c r="F419" s="74">
        <v>96</v>
      </c>
      <c r="H419" s="76">
        <v>98465</v>
      </c>
      <c r="I419" s="76" t="s">
        <v>352</v>
      </c>
      <c r="J419" s="79">
        <v>4882.72</v>
      </c>
      <c r="K419" s="79"/>
      <c r="L419" s="79">
        <v>137.63</v>
      </c>
      <c r="M419" s="79">
        <v>9704.7099999999991</v>
      </c>
      <c r="N419" s="79"/>
      <c r="O419" s="79"/>
      <c r="P419" s="79">
        <v>137.63</v>
      </c>
      <c r="Q419" s="79">
        <v>1273.8899999999901</v>
      </c>
      <c r="R419" s="79">
        <v>64.06</v>
      </c>
      <c r="S419" s="79"/>
      <c r="T419" s="79">
        <v>137.63</v>
      </c>
      <c r="U419" s="79">
        <v>1672.38</v>
      </c>
    </row>
    <row r="420" spans="2:21" x14ac:dyDescent="0.2">
      <c r="B420" s="86">
        <v>98466</v>
      </c>
      <c r="C420" s="38" t="s">
        <v>352</v>
      </c>
      <c r="D420" s="48">
        <v>33</v>
      </c>
      <c r="E420" s="48">
        <v>42</v>
      </c>
      <c r="F420" s="48">
        <v>31</v>
      </c>
      <c r="H420" s="76">
        <v>98465</v>
      </c>
      <c r="I420" s="76" t="s">
        <v>10</v>
      </c>
      <c r="J420" s="79">
        <v>10716.61</v>
      </c>
      <c r="K420" s="79">
        <v>5094.07</v>
      </c>
      <c r="L420" s="79">
        <v>12951.75</v>
      </c>
      <c r="M420" s="79">
        <v>38979.729999999901</v>
      </c>
      <c r="N420" s="79">
        <v>2900.38</v>
      </c>
      <c r="O420" s="79">
        <v>8502.77</v>
      </c>
      <c r="P420" s="79">
        <v>17843.84</v>
      </c>
      <c r="Q420" s="79">
        <v>34668.379999999997</v>
      </c>
      <c r="R420" s="79">
        <v>3305.57</v>
      </c>
      <c r="S420" s="79">
        <v>2467.37</v>
      </c>
      <c r="T420" s="79">
        <v>24601.64</v>
      </c>
      <c r="U420" s="79">
        <v>37048.349999999897</v>
      </c>
    </row>
    <row r="421" spans="2:21" x14ac:dyDescent="0.2">
      <c r="B421" s="59">
        <v>98466</v>
      </c>
      <c r="C421" s="38" t="s">
        <v>10</v>
      </c>
      <c r="D421" s="48">
        <v>613</v>
      </c>
      <c r="E421" s="48">
        <v>604</v>
      </c>
      <c r="F421" s="48">
        <v>625</v>
      </c>
      <c r="H421" s="76">
        <v>98466</v>
      </c>
      <c r="I421" s="76" t="s">
        <v>352</v>
      </c>
      <c r="J421" s="79">
        <v>1780.58</v>
      </c>
      <c r="K421" s="79">
        <v>1388.3</v>
      </c>
      <c r="L421" s="79">
        <v>2472.14</v>
      </c>
      <c r="M421" s="79">
        <v>12280.199999999901</v>
      </c>
      <c r="N421" s="79">
        <v>2298.59</v>
      </c>
      <c r="O421" s="79">
        <v>1218.18</v>
      </c>
      <c r="P421" s="79">
        <v>3024.0099999999902</v>
      </c>
      <c r="Q421" s="79">
        <v>17311.47</v>
      </c>
      <c r="R421" s="79">
        <v>1396.6</v>
      </c>
      <c r="S421" s="79">
        <v>968.65</v>
      </c>
      <c r="T421" s="79">
        <v>4021.6299999999901</v>
      </c>
      <c r="U421" s="79">
        <v>9466.4</v>
      </c>
    </row>
    <row r="422" spans="2:21" x14ac:dyDescent="0.2">
      <c r="B422" s="86">
        <v>98467</v>
      </c>
      <c r="C422" s="38" t="s">
        <v>352</v>
      </c>
      <c r="D422" s="48">
        <v>4</v>
      </c>
      <c r="E422" s="48">
        <v>3</v>
      </c>
      <c r="F422" s="48">
        <v>3</v>
      </c>
      <c r="H422" s="76">
        <v>98466</v>
      </c>
      <c r="I422" s="76" t="s">
        <v>10</v>
      </c>
      <c r="J422" s="79">
        <v>34105.29</v>
      </c>
      <c r="K422" s="79">
        <v>24390.39</v>
      </c>
      <c r="L422" s="79">
        <v>61675.58</v>
      </c>
      <c r="M422" s="79">
        <v>184983.019999999</v>
      </c>
      <c r="N422" s="79">
        <v>30796.78</v>
      </c>
      <c r="O422" s="79">
        <v>24012.11</v>
      </c>
      <c r="P422" s="79">
        <v>68427.269999999902</v>
      </c>
      <c r="Q422" s="79">
        <v>175735.93</v>
      </c>
      <c r="R422" s="79">
        <v>28459.040000000001</v>
      </c>
      <c r="S422" s="79">
        <v>22435.49</v>
      </c>
      <c r="T422" s="79">
        <v>77175.319999999905</v>
      </c>
      <c r="U422" s="79">
        <v>164224.37999999899</v>
      </c>
    </row>
    <row r="423" spans="2:21" x14ac:dyDescent="0.2">
      <c r="B423" s="59">
        <v>98467</v>
      </c>
      <c r="C423" s="38" t="s">
        <v>10</v>
      </c>
      <c r="D423" s="48">
        <v>286</v>
      </c>
      <c r="E423" s="48">
        <v>315</v>
      </c>
      <c r="F423" s="48">
        <v>263</v>
      </c>
      <c r="H423" s="76">
        <v>98467</v>
      </c>
      <c r="I423" s="76" t="s">
        <v>352</v>
      </c>
      <c r="J423" s="79">
        <v>311.67</v>
      </c>
      <c r="K423" s="79">
        <v>2366</v>
      </c>
      <c r="L423" s="79"/>
      <c r="M423" s="79">
        <v>4368.5</v>
      </c>
      <c r="N423" s="79">
        <v>1445.61</v>
      </c>
      <c r="O423" s="79">
        <v>311.67</v>
      </c>
      <c r="P423" s="79">
        <v>2366</v>
      </c>
      <c r="Q423" s="79">
        <v>4209.5</v>
      </c>
      <c r="R423" s="79"/>
      <c r="S423" s="79">
        <v>1271.3800000000001</v>
      </c>
      <c r="T423" s="79">
        <v>2366</v>
      </c>
      <c r="U423" s="79">
        <v>5102.26</v>
      </c>
    </row>
    <row r="424" spans="2:21" x14ac:dyDescent="0.2">
      <c r="B424" s="86">
        <v>98492</v>
      </c>
      <c r="C424" s="38" t="s">
        <v>352</v>
      </c>
      <c r="D424" s="48">
        <v>1</v>
      </c>
      <c r="E424" s="48">
        <v>1</v>
      </c>
      <c r="F424" s="48">
        <v>2</v>
      </c>
      <c r="H424" s="76">
        <v>98467</v>
      </c>
      <c r="I424" s="76" t="s">
        <v>10</v>
      </c>
      <c r="J424" s="79">
        <v>20300.57</v>
      </c>
      <c r="K424" s="79">
        <v>16059.94</v>
      </c>
      <c r="L424" s="79">
        <v>34372.65</v>
      </c>
      <c r="M424" s="79">
        <v>103397.579999999</v>
      </c>
      <c r="N424" s="79">
        <v>17659.53</v>
      </c>
      <c r="O424" s="79">
        <v>15505.31</v>
      </c>
      <c r="P424" s="79">
        <v>41476.910000000003</v>
      </c>
      <c r="Q424" s="79">
        <v>108373.16</v>
      </c>
      <c r="R424" s="79">
        <v>15281</v>
      </c>
      <c r="S424" s="79">
        <v>12117.76</v>
      </c>
      <c r="T424" s="79">
        <v>44961.08</v>
      </c>
      <c r="U424" s="79">
        <v>91510.41</v>
      </c>
    </row>
    <row r="425" spans="2:21" x14ac:dyDescent="0.2">
      <c r="B425" s="59">
        <v>98497</v>
      </c>
      <c r="C425" s="38" t="s">
        <v>352</v>
      </c>
      <c r="D425" s="48">
        <v>1</v>
      </c>
      <c r="E425" s="48">
        <v>1</v>
      </c>
      <c r="F425" s="48">
        <v>1</v>
      </c>
      <c r="H425" s="76">
        <v>98492</v>
      </c>
      <c r="I425" s="76" t="s">
        <v>352</v>
      </c>
      <c r="J425" s="79">
        <v>43.11</v>
      </c>
      <c r="K425" s="79"/>
      <c r="L425" s="79"/>
      <c r="M425" s="79">
        <v>199.64</v>
      </c>
      <c r="N425" s="79">
        <v>68.52</v>
      </c>
      <c r="O425" s="79"/>
      <c r="P425" s="79"/>
      <c r="Q425" s="79">
        <v>199.64</v>
      </c>
      <c r="R425" s="79">
        <v>131.12</v>
      </c>
      <c r="S425" s="79">
        <v>68.52</v>
      </c>
      <c r="T425" s="79"/>
      <c r="U425" s="79">
        <v>555.4</v>
      </c>
    </row>
    <row r="426" spans="2:21" x14ac:dyDescent="0.2">
      <c r="B426" s="86">
        <v>98498</v>
      </c>
      <c r="C426" s="38" t="s">
        <v>352</v>
      </c>
      <c r="D426" s="48">
        <v>90</v>
      </c>
      <c r="E426" s="48">
        <v>115</v>
      </c>
      <c r="F426" s="48">
        <v>72</v>
      </c>
      <c r="H426" s="76">
        <v>98497</v>
      </c>
      <c r="I426" s="76" t="s">
        <v>352</v>
      </c>
      <c r="J426" s="79">
        <v>11.76</v>
      </c>
      <c r="K426" s="79">
        <v>11.76</v>
      </c>
      <c r="L426" s="79">
        <v>35.29</v>
      </c>
      <c r="M426" s="79">
        <v>70.8</v>
      </c>
      <c r="N426" s="79">
        <v>11.99</v>
      </c>
      <c r="O426" s="79">
        <v>11.76</v>
      </c>
      <c r="P426" s="79">
        <v>47.05</v>
      </c>
      <c r="Q426" s="79">
        <v>82.41</v>
      </c>
      <c r="R426" s="79">
        <v>11.61</v>
      </c>
      <c r="S426" s="79">
        <v>11.99</v>
      </c>
      <c r="T426" s="79">
        <v>58.809999999999903</v>
      </c>
      <c r="U426" s="79">
        <v>94.31</v>
      </c>
    </row>
    <row r="427" spans="2:21" x14ac:dyDescent="0.2">
      <c r="B427" s="86">
        <v>98498</v>
      </c>
      <c r="C427" s="38" t="s">
        <v>10</v>
      </c>
      <c r="D427" s="74">
        <v>1887</v>
      </c>
      <c r="E427" s="48">
        <v>1872</v>
      </c>
      <c r="F427" s="48">
        <v>1867</v>
      </c>
      <c r="H427" s="76">
        <v>98498</v>
      </c>
      <c r="I427" s="76" t="s">
        <v>352</v>
      </c>
      <c r="J427" s="79">
        <v>15706.43</v>
      </c>
      <c r="K427" s="79">
        <v>8434.66</v>
      </c>
      <c r="L427" s="79">
        <v>29178.799999999999</v>
      </c>
      <c r="M427" s="79">
        <v>147305.81</v>
      </c>
      <c r="N427" s="79">
        <v>35893.85</v>
      </c>
      <c r="O427" s="79">
        <v>7680</v>
      </c>
      <c r="P427" s="79">
        <v>28810.2399999999</v>
      </c>
      <c r="Q427" s="79">
        <v>151884.9</v>
      </c>
      <c r="R427" s="79">
        <v>9254.9699999999993</v>
      </c>
      <c r="S427" s="79">
        <v>25316.38</v>
      </c>
      <c r="T427" s="79">
        <v>29738.559999999899</v>
      </c>
      <c r="U427" s="79">
        <v>130206.49</v>
      </c>
    </row>
    <row r="428" spans="2:21" x14ac:dyDescent="0.2">
      <c r="B428" s="86">
        <v>98499</v>
      </c>
      <c r="C428" s="38" t="s">
        <v>352</v>
      </c>
      <c r="D428" s="48">
        <v>109</v>
      </c>
      <c r="E428" s="48">
        <v>110</v>
      </c>
      <c r="F428" s="48">
        <v>102</v>
      </c>
      <c r="H428" s="76">
        <v>98498</v>
      </c>
      <c r="I428" s="76" t="s">
        <v>10</v>
      </c>
      <c r="J428" s="79">
        <v>191525.88</v>
      </c>
      <c r="K428" s="79">
        <v>157755.45000000001</v>
      </c>
      <c r="L428" s="79">
        <v>399017.45</v>
      </c>
      <c r="M428" s="79">
        <v>1048565.09999999</v>
      </c>
      <c r="N428" s="79">
        <v>187272.11</v>
      </c>
      <c r="O428" s="79">
        <v>145787.93</v>
      </c>
      <c r="P428" s="79">
        <v>485733.97</v>
      </c>
      <c r="Q428" s="79">
        <v>1082790.77999999</v>
      </c>
      <c r="R428" s="79">
        <v>161107.67000000001</v>
      </c>
      <c r="S428" s="79">
        <v>137197.96</v>
      </c>
      <c r="T428" s="79">
        <v>532567.16999999899</v>
      </c>
      <c r="U428" s="79">
        <v>1045658.83999999</v>
      </c>
    </row>
    <row r="429" spans="2:21" x14ac:dyDescent="0.2">
      <c r="B429" s="59">
        <v>98499</v>
      </c>
      <c r="C429" s="38" t="s">
        <v>10</v>
      </c>
      <c r="D429" s="48">
        <v>715</v>
      </c>
      <c r="E429" s="48">
        <v>704</v>
      </c>
      <c r="F429" s="48">
        <v>693</v>
      </c>
      <c r="H429" s="76">
        <v>98499</v>
      </c>
      <c r="I429" s="76" t="s">
        <v>352</v>
      </c>
      <c r="J429" s="79">
        <v>16034.65</v>
      </c>
      <c r="K429" s="79">
        <v>11641.69</v>
      </c>
      <c r="L429" s="79">
        <v>42233.59</v>
      </c>
      <c r="M429" s="79">
        <v>120583.569999999</v>
      </c>
      <c r="N429" s="79">
        <v>13519.54</v>
      </c>
      <c r="O429" s="79">
        <v>7927.5</v>
      </c>
      <c r="P429" s="79">
        <v>51400.979999999901</v>
      </c>
      <c r="Q429" s="79">
        <v>109874.6</v>
      </c>
      <c r="R429" s="79">
        <v>10132.92</v>
      </c>
      <c r="S429" s="79">
        <v>7493.4</v>
      </c>
      <c r="T429" s="79">
        <v>43066.19</v>
      </c>
      <c r="U429" s="79">
        <v>86876.49</v>
      </c>
    </row>
    <row r="430" spans="2:21" x14ac:dyDescent="0.2">
      <c r="B430" s="86">
        <v>98501</v>
      </c>
      <c r="C430" s="38" t="s">
        <v>352</v>
      </c>
      <c r="D430" s="48">
        <v>446</v>
      </c>
      <c r="E430" s="48">
        <v>416</v>
      </c>
      <c r="F430" s="48">
        <v>418</v>
      </c>
      <c r="H430" s="76">
        <v>98499</v>
      </c>
      <c r="I430" s="76" t="s">
        <v>10</v>
      </c>
      <c r="J430" s="79">
        <v>50825.24</v>
      </c>
      <c r="K430" s="79">
        <v>44455.62</v>
      </c>
      <c r="L430" s="79">
        <v>124886.7</v>
      </c>
      <c r="M430" s="79">
        <v>311445.28999999998</v>
      </c>
      <c r="N430" s="79">
        <v>56967.38</v>
      </c>
      <c r="O430" s="79">
        <v>42103.18</v>
      </c>
      <c r="P430" s="79">
        <v>145300.66</v>
      </c>
      <c r="Q430" s="79">
        <v>312091.71000000002</v>
      </c>
      <c r="R430" s="79">
        <v>42118.23</v>
      </c>
      <c r="S430" s="79">
        <v>42216.01</v>
      </c>
      <c r="T430" s="79">
        <v>157551.57999999999</v>
      </c>
      <c r="U430" s="79">
        <v>293947.989999999</v>
      </c>
    </row>
    <row r="431" spans="2:21" x14ac:dyDescent="0.2">
      <c r="B431" s="59">
        <v>98501</v>
      </c>
      <c r="C431" s="38" t="s">
        <v>10</v>
      </c>
      <c r="D431" s="48">
        <v>3583</v>
      </c>
      <c r="E431" s="48">
        <v>3753</v>
      </c>
      <c r="F431" s="48">
        <v>3653</v>
      </c>
      <c r="H431" s="76">
        <v>98501</v>
      </c>
      <c r="I431" s="76" t="s">
        <v>352</v>
      </c>
      <c r="J431" s="79">
        <v>61956.34</v>
      </c>
      <c r="K431" s="79">
        <v>18975.93</v>
      </c>
      <c r="L431" s="79">
        <v>129808.21</v>
      </c>
      <c r="M431" s="79">
        <v>505229.5</v>
      </c>
      <c r="N431" s="79">
        <v>67797.25</v>
      </c>
      <c r="O431" s="79">
        <v>42566.52</v>
      </c>
      <c r="P431" s="79">
        <v>125771.99</v>
      </c>
      <c r="Q431" s="79">
        <v>584854.299999999</v>
      </c>
      <c r="R431" s="79">
        <v>53246.87</v>
      </c>
      <c r="S431" s="79">
        <v>45151.56</v>
      </c>
      <c r="T431" s="79">
        <v>142089.19</v>
      </c>
      <c r="U431" s="79">
        <v>448988.28999999899</v>
      </c>
    </row>
    <row r="432" spans="2:21" x14ac:dyDescent="0.2">
      <c r="B432" s="86">
        <v>98502</v>
      </c>
      <c r="C432" s="38" t="s">
        <v>352</v>
      </c>
      <c r="D432" s="48">
        <v>269</v>
      </c>
      <c r="E432" s="48">
        <v>236</v>
      </c>
      <c r="F432" s="48">
        <v>260</v>
      </c>
      <c r="H432" s="76">
        <v>98501</v>
      </c>
      <c r="I432" s="76" t="s">
        <v>10</v>
      </c>
      <c r="J432" s="79">
        <v>270823.07</v>
      </c>
      <c r="K432" s="79">
        <v>203528.73</v>
      </c>
      <c r="L432" s="79">
        <v>548933.429999999</v>
      </c>
      <c r="M432" s="79">
        <v>1519007.75999999</v>
      </c>
      <c r="N432" s="79">
        <v>249396.66</v>
      </c>
      <c r="O432" s="79">
        <v>195847.81</v>
      </c>
      <c r="P432" s="79">
        <v>639774.25999999896</v>
      </c>
      <c r="Q432" s="79">
        <v>1560379.9099999899</v>
      </c>
      <c r="R432" s="79">
        <v>229252.6</v>
      </c>
      <c r="S432" s="79">
        <v>175088.11</v>
      </c>
      <c r="T432" s="79">
        <v>684089.03999999899</v>
      </c>
      <c r="U432" s="79">
        <v>1460097.8299999901</v>
      </c>
    </row>
    <row r="433" spans="2:21" x14ac:dyDescent="0.2">
      <c r="B433" s="59">
        <v>98502</v>
      </c>
      <c r="C433" s="38" t="s">
        <v>10</v>
      </c>
      <c r="D433" s="48">
        <v>2542</v>
      </c>
      <c r="E433" s="48">
        <v>2581</v>
      </c>
      <c r="F433" s="48">
        <v>2518</v>
      </c>
      <c r="H433" s="76">
        <v>98502</v>
      </c>
      <c r="I433" s="76" t="s">
        <v>352</v>
      </c>
      <c r="J433" s="79">
        <v>30131.42</v>
      </c>
      <c r="K433" s="79">
        <v>29370.77</v>
      </c>
      <c r="L433" s="79">
        <v>97645.639999999898</v>
      </c>
      <c r="M433" s="79">
        <v>341014.46999999898</v>
      </c>
      <c r="N433" s="79">
        <v>25204.62</v>
      </c>
      <c r="O433" s="79">
        <v>23392.85</v>
      </c>
      <c r="P433" s="79">
        <v>120659.94</v>
      </c>
      <c r="Q433" s="79">
        <v>269870.84999999899</v>
      </c>
      <c r="R433" s="79">
        <v>29397.84</v>
      </c>
      <c r="S433" s="79">
        <v>17348.79</v>
      </c>
      <c r="T433" s="79">
        <v>125091.83999999901</v>
      </c>
      <c r="U433" s="79">
        <v>283260.34999999899</v>
      </c>
    </row>
    <row r="434" spans="2:21" x14ac:dyDescent="0.2">
      <c r="B434" s="86">
        <v>98503</v>
      </c>
      <c r="C434" s="38" t="s">
        <v>352</v>
      </c>
      <c r="D434" s="48">
        <v>201</v>
      </c>
      <c r="E434" s="48">
        <v>206</v>
      </c>
      <c r="F434" s="48">
        <v>195</v>
      </c>
      <c r="H434" s="76">
        <v>98502</v>
      </c>
      <c r="I434" s="76" t="s">
        <v>10</v>
      </c>
      <c r="J434" s="79">
        <v>247934.03</v>
      </c>
      <c r="K434" s="79">
        <v>176434.73</v>
      </c>
      <c r="L434" s="79">
        <v>444610.86</v>
      </c>
      <c r="M434" s="79">
        <v>1210728.98</v>
      </c>
      <c r="N434" s="79">
        <v>187709.06</v>
      </c>
      <c r="O434" s="79">
        <v>181538.87</v>
      </c>
      <c r="P434" s="79">
        <v>528320.51</v>
      </c>
      <c r="Q434" s="79">
        <v>1232901.8799999901</v>
      </c>
      <c r="R434" s="79">
        <v>190225.64</v>
      </c>
      <c r="S434" s="79">
        <v>137981.54</v>
      </c>
      <c r="T434" s="79">
        <v>565395.45999999903</v>
      </c>
      <c r="U434" s="79">
        <v>1144808.4199999899</v>
      </c>
    </row>
    <row r="435" spans="2:21" x14ac:dyDescent="0.2">
      <c r="B435" s="59">
        <v>98503</v>
      </c>
      <c r="C435" s="38" t="s">
        <v>10</v>
      </c>
      <c r="D435" s="48">
        <v>3497</v>
      </c>
      <c r="E435" s="48">
        <v>3568</v>
      </c>
      <c r="F435" s="48">
        <v>3420</v>
      </c>
      <c r="H435" s="76">
        <v>98503</v>
      </c>
      <c r="I435" s="76" t="s">
        <v>352</v>
      </c>
      <c r="J435" s="79">
        <v>11536.47</v>
      </c>
      <c r="K435" s="79">
        <v>6128.9</v>
      </c>
      <c r="L435" s="79">
        <v>34705.01</v>
      </c>
      <c r="M435" s="79">
        <v>132044.85</v>
      </c>
      <c r="N435" s="79">
        <v>11063.01</v>
      </c>
      <c r="O435" s="79">
        <v>8336.73</v>
      </c>
      <c r="P435" s="79">
        <v>36570.4399999999</v>
      </c>
      <c r="Q435" s="79">
        <v>106770.99</v>
      </c>
      <c r="R435" s="79">
        <v>9760.07</v>
      </c>
      <c r="S435" s="79">
        <v>7440.95</v>
      </c>
      <c r="T435" s="79">
        <v>43193.119999999901</v>
      </c>
      <c r="U435" s="79">
        <v>108055.639999999</v>
      </c>
    </row>
    <row r="436" spans="2:21" x14ac:dyDescent="0.2">
      <c r="B436" s="86">
        <v>98506</v>
      </c>
      <c r="C436" s="38" t="s">
        <v>352</v>
      </c>
      <c r="D436" s="48">
        <v>174</v>
      </c>
      <c r="E436" s="48">
        <v>153</v>
      </c>
      <c r="F436" s="48">
        <v>143</v>
      </c>
      <c r="H436" s="76">
        <v>98503</v>
      </c>
      <c r="I436" s="76" t="s">
        <v>10</v>
      </c>
      <c r="J436" s="79">
        <v>299746.46000000002</v>
      </c>
      <c r="K436" s="79">
        <v>214647.77</v>
      </c>
      <c r="L436" s="79">
        <v>613988.80999999901</v>
      </c>
      <c r="M436" s="79">
        <v>1645609.45999999</v>
      </c>
      <c r="N436" s="79">
        <v>281073.62</v>
      </c>
      <c r="O436" s="79">
        <v>224480.85</v>
      </c>
      <c r="P436" s="79">
        <v>720619.10999999905</v>
      </c>
      <c r="Q436" s="79">
        <v>1688888.66</v>
      </c>
      <c r="R436" s="79">
        <v>238880.02</v>
      </c>
      <c r="S436" s="79">
        <v>203166.7</v>
      </c>
      <c r="T436" s="79">
        <v>758340.68999999901</v>
      </c>
      <c r="U436" s="79">
        <v>1574744.86</v>
      </c>
    </row>
    <row r="437" spans="2:21" x14ac:dyDescent="0.2">
      <c r="B437" s="59">
        <v>98506</v>
      </c>
      <c r="C437" s="38" t="s">
        <v>10</v>
      </c>
      <c r="D437" s="48">
        <v>1410</v>
      </c>
      <c r="E437" s="48">
        <v>1457</v>
      </c>
      <c r="F437" s="48">
        <v>1401</v>
      </c>
      <c r="H437" s="76">
        <v>98506</v>
      </c>
      <c r="I437" s="76" t="s">
        <v>352</v>
      </c>
      <c r="J437" s="79">
        <v>14591.79</v>
      </c>
      <c r="K437" s="79">
        <v>7025.47</v>
      </c>
      <c r="L437" s="79">
        <v>43647.459999999897</v>
      </c>
      <c r="M437" s="79">
        <v>159723.46</v>
      </c>
      <c r="N437" s="79">
        <v>22596.09</v>
      </c>
      <c r="O437" s="79">
        <v>12055.56</v>
      </c>
      <c r="P437" s="79">
        <v>46186.84</v>
      </c>
      <c r="Q437" s="79">
        <v>138248.84999999899</v>
      </c>
      <c r="R437" s="79">
        <v>24501.52</v>
      </c>
      <c r="S437" s="79">
        <v>5379.73</v>
      </c>
      <c r="T437" s="79">
        <v>49433.089999999902</v>
      </c>
      <c r="U437" s="79">
        <v>133653.04999999999</v>
      </c>
    </row>
    <row r="438" spans="2:21" x14ac:dyDescent="0.2">
      <c r="B438" s="86">
        <v>98512</v>
      </c>
      <c r="C438" s="38" t="s">
        <v>352</v>
      </c>
      <c r="D438" s="48">
        <v>216</v>
      </c>
      <c r="E438" s="48">
        <v>221</v>
      </c>
      <c r="F438" s="48">
        <v>233</v>
      </c>
      <c r="H438" s="76">
        <v>98506</v>
      </c>
      <c r="I438" s="76" t="s">
        <v>10</v>
      </c>
      <c r="J438" s="79">
        <v>125428.54</v>
      </c>
      <c r="K438" s="79">
        <v>99436.72</v>
      </c>
      <c r="L438" s="79">
        <v>262553.93</v>
      </c>
      <c r="M438" s="79">
        <v>690772.64</v>
      </c>
      <c r="N438" s="79">
        <v>110917.96</v>
      </c>
      <c r="O438" s="79">
        <v>86026.49</v>
      </c>
      <c r="P438" s="79">
        <v>299707.96999999997</v>
      </c>
      <c r="Q438" s="79">
        <v>690912.81</v>
      </c>
      <c r="R438" s="79">
        <v>100734.52</v>
      </c>
      <c r="S438" s="79">
        <v>76972.14</v>
      </c>
      <c r="T438" s="79">
        <v>316111.799999999</v>
      </c>
      <c r="U438" s="79">
        <v>660863.28999999899</v>
      </c>
    </row>
    <row r="439" spans="2:21" x14ac:dyDescent="0.2">
      <c r="B439" s="59">
        <v>98512</v>
      </c>
      <c r="C439" s="38" t="s">
        <v>10</v>
      </c>
      <c r="D439" s="48">
        <v>2123</v>
      </c>
      <c r="E439" s="48">
        <v>2132</v>
      </c>
      <c r="F439" s="48">
        <v>2086</v>
      </c>
      <c r="H439" s="76">
        <v>98512</v>
      </c>
      <c r="I439" s="76" t="s">
        <v>352</v>
      </c>
      <c r="J439" s="79">
        <v>28901.21</v>
      </c>
      <c r="K439" s="79">
        <v>24559.119999999999</v>
      </c>
      <c r="L439" s="79">
        <v>374173.26999999897</v>
      </c>
      <c r="M439" s="79">
        <v>505871.69</v>
      </c>
      <c r="N439" s="79">
        <v>25843.98</v>
      </c>
      <c r="O439" s="79">
        <v>16820.400000000001</v>
      </c>
      <c r="P439" s="79">
        <v>367767.929999999</v>
      </c>
      <c r="Q439" s="79">
        <v>637310.69999999995</v>
      </c>
      <c r="R439" s="79">
        <v>105561.73</v>
      </c>
      <c r="S439" s="79">
        <v>10894.84</v>
      </c>
      <c r="T439" s="79">
        <v>366749.29</v>
      </c>
      <c r="U439" s="79">
        <v>611565.05000000005</v>
      </c>
    </row>
    <row r="440" spans="2:21" x14ac:dyDescent="0.2">
      <c r="B440" s="86">
        <v>98513</v>
      </c>
      <c r="C440" s="38" t="s">
        <v>352</v>
      </c>
      <c r="D440" s="48">
        <v>146</v>
      </c>
      <c r="E440" s="48">
        <v>162</v>
      </c>
      <c r="F440" s="48">
        <v>155</v>
      </c>
      <c r="H440" s="76">
        <v>98512</v>
      </c>
      <c r="I440" s="76" t="s">
        <v>10</v>
      </c>
      <c r="J440" s="79">
        <v>216463.13</v>
      </c>
      <c r="K440" s="79">
        <v>169375.35999999999</v>
      </c>
      <c r="L440" s="79">
        <v>438089.91</v>
      </c>
      <c r="M440" s="79">
        <v>1187705.08</v>
      </c>
      <c r="N440" s="79">
        <v>213691.97</v>
      </c>
      <c r="O440" s="79">
        <v>154062.01</v>
      </c>
      <c r="P440" s="79">
        <v>533360.42000000004</v>
      </c>
      <c r="Q440" s="79">
        <v>1193727.24</v>
      </c>
      <c r="R440" s="79">
        <v>170491.67</v>
      </c>
      <c r="S440" s="79">
        <v>156970.78</v>
      </c>
      <c r="T440" s="79">
        <v>563390.89999999898</v>
      </c>
      <c r="U440" s="79">
        <v>1176822.4299999899</v>
      </c>
    </row>
    <row r="441" spans="2:21" x14ac:dyDescent="0.2">
      <c r="B441" s="59">
        <v>98513</v>
      </c>
      <c r="C441" s="38" t="s">
        <v>10</v>
      </c>
      <c r="D441" s="48">
        <v>2439</v>
      </c>
      <c r="E441" s="48">
        <v>2448</v>
      </c>
      <c r="F441" s="48">
        <v>2324</v>
      </c>
      <c r="H441" s="76">
        <v>98513</v>
      </c>
      <c r="I441" s="76" t="s">
        <v>352</v>
      </c>
      <c r="J441" s="79">
        <v>6907.97</v>
      </c>
      <c r="K441" s="79">
        <v>2033.88</v>
      </c>
      <c r="L441" s="79">
        <v>35235.230000000003</v>
      </c>
      <c r="M441" s="79">
        <v>153540.91</v>
      </c>
      <c r="N441" s="79">
        <v>5367.14</v>
      </c>
      <c r="O441" s="79">
        <v>5838.49</v>
      </c>
      <c r="P441" s="79">
        <v>37015.15</v>
      </c>
      <c r="Q441" s="79">
        <v>125692.659999999</v>
      </c>
      <c r="R441" s="79">
        <v>6544.77</v>
      </c>
      <c r="S441" s="79">
        <v>4130.12</v>
      </c>
      <c r="T441" s="79">
        <v>39071.480000000003</v>
      </c>
      <c r="U441" s="79">
        <v>138070.32</v>
      </c>
    </row>
    <row r="442" spans="2:21" x14ac:dyDescent="0.2">
      <c r="B442" s="86">
        <v>98516</v>
      </c>
      <c r="C442" s="38" t="s">
        <v>352</v>
      </c>
      <c r="D442" s="48">
        <v>273</v>
      </c>
      <c r="E442" s="48">
        <v>295</v>
      </c>
      <c r="F442" s="48">
        <v>276</v>
      </c>
      <c r="H442" s="76">
        <v>98513</v>
      </c>
      <c r="I442" s="76" t="s">
        <v>10</v>
      </c>
      <c r="J442" s="79">
        <v>248266.38</v>
      </c>
      <c r="K442" s="79">
        <v>157536.82999999999</v>
      </c>
      <c r="L442" s="79">
        <v>464443.74</v>
      </c>
      <c r="M442" s="79">
        <v>1275957.99</v>
      </c>
      <c r="N442" s="79">
        <v>219671.17</v>
      </c>
      <c r="O442" s="79">
        <v>166578.1</v>
      </c>
      <c r="P442" s="79">
        <v>534141.63999999897</v>
      </c>
      <c r="Q442" s="79">
        <v>1289969.42</v>
      </c>
      <c r="R442" s="79">
        <v>195473.06</v>
      </c>
      <c r="S442" s="79">
        <v>147652.38</v>
      </c>
      <c r="T442" s="79">
        <v>557638.03999999899</v>
      </c>
      <c r="U442" s="79">
        <v>1180357.6200000001</v>
      </c>
    </row>
    <row r="443" spans="2:21" x14ac:dyDescent="0.2">
      <c r="B443" s="59">
        <v>98516</v>
      </c>
      <c r="C443" s="38" t="s">
        <v>10</v>
      </c>
      <c r="D443" s="48">
        <v>1989</v>
      </c>
      <c r="E443" s="48">
        <v>1984</v>
      </c>
      <c r="F443" s="48">
        <v>1882</v>
      </c>
      <c r="H443" s="76">
        <v>98516</v>
      </c>
      <c r="I443" s="76" t="s">
        <v>352</v>
      </c>
      <c r="J443" s="79">
        <v>57640.24</v>
      </c>
      <c r="K443" s="79">
        <v>5765.57</v>
      </c>
      <c r="L443" s="79">
        <v>402845.4</v>
      </c>
      <c r="M443" s="79">
        <v>730241.3</v>
      </c>
      <c r="N443" s="79">
        <v>150474.51</v>
      </c>
      <c r="O443" s="79">
        <v>48068.3</v>
      </c>
      <c r="P443" s="79">
        <v>403518.30999999901</v>
      </c>
      <c r="Q443" s="79">
        <v>791062.48</v>
      </c>
      <c r="R443" s="79">
        <v>50814.03</v>
      </c>
      <c r="S443" s="79">
        <v>59692.6</v>
      </c>
      <c r="T443" s="79">
        <v>441307.43</v>
      </c>
      <c r="U443" s="79">
        <v>794663.66</v>
      </c>
    </row>
    <row r="444" spans="2:21" x14ac:dyDescent="0.2">
      <c r="B444" s="86">
        <v>98530</v>
      </c>
      <c r="C444" s="38" t="s">
        <v>352</v>
      </c>
      <c r="D444" s="48">
        <v>1</v>
      </c>
      <c r="E444" s="48">
        <v>2</v>
      </c>
      <c r="F444" s="48">
        <v>1</v>
      </c>
      <c r="H444" s="76">
        <v>98516</v>
      </c>
      <c r="I444" s="76" t="s">
        <v>10</v>
      </c>
      <c r="J444" s="79">
        <v>180692.74</v>
      </c>
      <c r="K444" s="79">
        <v>115192.25</v>
      </c>
      <c r="L444" s="79">
        <v>322543.07999999903</v>
      </c>
      <c r="M444" s="79">
        <v>908554.14999999898</v>
      </c>
      <c r="N444" s="79">
        <v>153564.10999999999</v>
      </c>
      <c r="O444" s="79">
        <v>118249</v>
      </c>
      <c r="P444" s="79">
        <v>377359.92</v>
      </c>
      <c r="Q444" s="79">
        <v>907237.549999999</v>
      </c>
      <c r="R444" s="79">
        <v>131143.57999999999</v>
      </c>
      <c r="S444" s="79">
        <v>104578.93</v>
      </c>
      <c r="T444" s="79">
        <v>400049.02</v>
      </c>
      <c r="U444" s="79">
        <v>835436.14999999898</v>
      </c>
    </row>
    <row r="445" spans="2:21" x14ac:dyDescent="0.2">
      <c r="B445" s="59">
        <v>98530</v>
      </c>
      <c r="C445" s="38" t="s">
        <v>10</v>
      </c>
      <c r="D445" s="48">
        <v>51</v>
      </c>
      <c r="E445" s="48">
        <v>64</v>
      </c>
      <c r="F445" s="48">
        <v>48</v>
      </c>
      <c r="H445" s="76">
        <v>98530</v>
      </c>
      <c r="I445" s="76" t="s">
        <v>352</v>
      </c>
      <c r="J445" s="79">
        <v>17.5</v>
      </c>
      <c r="K445" s="79">
        <v>17.489999999999998</v>
      </c>
      <c r="L445" s="79">
        <v>2490.53999999999</v>
      </c>
      <c r="M445" s="79">
        <v>2543.0299999999902</v>
      </c>
      <c r="N445" s="79">
        <v>17.5</v>
      </c>
      <c r="O445" s="79">
        <v>17.5</v>
      </c>
      <c r="P445" s="79">
        <v>2508.0299999999902</v>
      </c>
      <c r="Q445" s="79">
        <v>2901.16</v>
      </c>
      <c r="R445" s="79">
        <v>17.5</v>
      </c>
      <c r="S445" s="79">
        <v>17.5</v>
      </c>
      <c r="T445" s="79">
        <v>2525.5299999999902</v>
      </c>
      <c r="U445" s="79">
        <v>2578.02</v>
      </c>
    </row>
    <row r="446" spans="2:21" x14ac:dyDescent="0.2">
      <c r="B446" s="86">
        <v>98531</v>
      </c>
      <c r="C446" s="38" t="s">
        <v>352</v>
      </c>
      <c r="D446" s="48">
        <v>40</v>
      </c>
      <c r="E446" s="48">
        <v>50</v>
      </c>
      <c r="F446" s="48">
        <v>51</v>
      </c>
      <c r="H446" s="76">
        <v>98530</v>
      </c>
      <c r="I446" s="76" t="s">
        <v>10</v>
      </c>
      <c r="J446" s="79">
        <v>16738.5</v>
      </c>
      <c r="K446" s="79">
        <v>729.23</v>
      </c>
      <c r="L446" s="79">
        <v>26950.43</v>
      </c>
      <c r="M446" s="79">
        <v>44489.52</v>
      </c>
      <c r="N446" s="79">
        <v>71.36</v>
      </c>
      <c r="O446" s="79">
        <v>13245.58</v>
      </c>
      <c r="P446" s="79">
        <v>26361.49</v>
      </c>
      <c r="Q446" s="79">
        <v>58856.17</v>
      </c>
      <c r="R446" s="79">
        <v>12866.37</v>
      </c>
      <c r="S446" s="79"/>
      <c r="T446" s="79">
        <v>35370.720000000001</v>
      </c>
      <c r="U446" s="79">
        <v>48276.639999999898</v>
      </c>
    </row>
    <row r="447" spans="2:21" x14ac:dyDescent="0.2">
      <c r="B447" s="59">
        <v>98531</v>
      </c>
      <c r="C447" s="38" t="s">
        <v>10</v>
      </c>
      <c r="D447" s="48">
        <v>502</v>
      </c>
      <c r="E447" s="48">
        <v>533</v>
      </c>
      <c r="F447" s="48">
        <v>515</v>
      </c>
      <c r="H447" s="76">
        <v>98531</v>
      </c>
      <c r="I447" s="76" t="s">
        <v>352</v>
      </c>
      <c r="J447" s="79">
        <v>7722.39</v>
      </c>
      <c r="K447" s="79">
        <v>3045.05</v>
      </c>
      <c r="L447" s="79">
        <v>18977.46</v>
      </c>
      <c r="M447" s="79">
        <v>98091.03</v>
      </c>
      <c r="N447" s="79">
        <v>4293.05</v>
      </c>
      <c r="O447" s="79">
        <v>7164.17</v>
      </c>
      <c r="P447" s="79">
        <v>20573.929999999898</v>
      </c>
      <c r="Q447" s="79">
        <v>42856.45</v>
      </c>
      <c r="R447" s="79">
        <v>4959.97</v>
      </c>
      <c r="S447" s="79">
        <v>4059.14</v>
      </c>
      <c r="T447" s="79">
        <v>26740.3999999999</v>
      </c>
      <c r="U447" s="79">
        <v>42511.5</v>
      </c>
    </row>
    <row r="448" spans="2:21" x14ac:dyDescent="0.2">
      <c r="B448" s="86">
        <v>98532</v>
      </c>
      <c r="C448" s="38" t="s">
        <v>352</v>
      </c>
      <c r="D448" s="48">
        <v>11</v>
      </c>
      <c r="E448" s="48">
        <v>11</v>
      </c>
      <c r="F448" s="48">
        <v>13</v>
      </c>
      <c r="H448" s="76">
        <v>98531</v>
      </c>
      <c r="I448" s="76" t="s">
        <v>10</v>
      </c>
      <c r="J448" s="79">
        <v>45053.34</v>
      </c>
      <c r="K448" s="79">
        <v>31490.59</v>
      </c>
      <c r="L448" s="79">
        <v>85453.9</v>
      </c>
      <c r="M448" s="79">
        <v>219313.66999999899</v>
      </c>
      <c r="N448" s="79">
        <v>36985.33</v>
      </c>
      <c r="O448" s="79">
        <v>34023.760000000002</v>
      </c>
      <c r="P448" s="79">
        <v>99773.33</v>
      </c>
      <c r="Q448" s="79">
        <v>227768.86999999901</v>
      </c>
      <c r="R448" s="79">
        <v>34419.230000000003</v>
      </c>
      <c r="S448" s="79">
        <v>27844.31</v>
      </c>
      <c r="T448" s="79">
        <v>118710.46</v>
      </c>
      <c r="U448" s="79">
        <v>221657.86</v>
      </c>
    </row>
    <row r="449" spans="2:21" x14ac:dyDescent="0.2">
      <c r="B449" s="59">
        <v>98532</v>
      </c>
      <c r="C449" s="38" t="s">
        <v>10</v>
      </c>
      <c r="D449" s="48">
        <v>186</v>
      </c>
      <c r="E449" s="48">
        <v>177</v>
      </c>
      <c r="F449" s="48">
        <v>183</v>
      </c>
      <c r="H449" s="76">
        <v>98532</v>
      </c>
      <c r="I449" s="76" t="s">
        <v>352</v>
      </c>
      <c r="J449" s="79">
        <v>358.91</v>
      </c>
      <c r="K449" s="79">
        <v>613.9</v>
      </c>
      <c r="L449" s="79">
        <v>1499.55</v>
      </c>
      <c r="M449" s="79">
        <v>6605.99</v>
      </c>
      <c r="N449" s="79">
        <v>2037.9</v>
      </c>
      <c r="O449" s="79">
        <v>325.07</v>
      </c>
      <c r="P449" s="79">
        <v>2077.4499999999998</v>
      </c>
      <c r="Q449" s="79">
        <v>6578.28</v>
      </c>
      <c r="R449" s="79">
        <v>1624.07</v>
      </c>
      <c r="S449" s="79">
        <v>1942.43</v>
      </c>
      <c r="T449" s="79">
        <v>1967.52</v>
      </c>
      <c r="U449" s="79">
        <v>28784.89</v>
      </c>
    </row>
    <row r="450" spans="2:21" x14ac:dyDescent="0.2">
      <c r="B450" s="86">
        <v>98558</v>
      </c>
      <c r="C450" s="38" t="s">
        <v>352</v>
      </c>
      <c r="D450" s="48">
        <v>2</v>
      </c>
      <c r="E450" s="48">
        <v>2</v>
      </c>
      <c r="F450" s="48">
        <v>1</v>
      </c>
      <c r="H450" s="76">
        <v>98532</v>
      </c>
      <c r="I450" s="76" t="s">
        <v>10</v>
      </c>
      <c r="J450" s="79">
        <v>9828.8700000000008</v>
      </c>
      <c r="K450" s="79">
        <v>9787.09</v>
      </c>
      <c r="L450" s="79">
        <v>24072.7399999999</v>
      </c>
      <c r="M450" s="79">
        <v>62210.04</v>
      </c>
      <c r="N450" s="79">
        <v>9943.83</v>
      </c>
      <c r="O450" s="79">
        <v>7327.28</v>
      </c>
      <c r="P450" s="79">
        <v>28089.549999999901</v>
      </c>
      <c r="Q450" s="79">
        <v>56955.839999999902</v>
      </c>
      <c r="R450" s="79">
        <v>7427.16</v>
      </c>
      <c r="S450" s="79">
        <v>8099.38</v>
      </c>
      <c r="T450" s="79">
        <v>31863.37</v>
      </c>
      <c r="U450" s="79">
        <v>59230.459999999897</v>
      </c>
    </row>
    <row r="451" spans="2:21" x14ac:dyDescent="0.2">
      <c r="B451" s="59">
        <v>98558</v>
      </c>
      <c r="C451" s="38" t="s">
        <v>10</v>
      </c>
      <c r="D451" s="48">
        <v>19</v>
      </c>
      <c r="E451" s="48">
        <v>18</v>
      </c>
      <c r="F451" s="48">
        <v>14</v>
      </c>
      <c r="H451" s="76">
        <v>98558</v>
      </c>
      <c r="I451" s="76" t="s">
        <v>352</v>
      </c>
      <c r="J451" s="79">
        <v>60.93</v>
      </c>
      <c r="K451" s="79">
        <v>59.17</v>
      </c>
      <c r="L451" s="79">
        <v>6536.57</v>
      </c>
      <c r="M451" s="79">
        <v>6777.57</v>
      </c>
      <c r="N451" s="79">
        <v>59.17</v>
      </c>
      <c r="O451" s="79">
        <v>62.11</v>
      </c>
      <c r="P451" s="79">
        <v>6595.74</v>
      </c>
      <c r="Q451" s="79">
        <v>6836.74</v>
      </c>
      <c r="R451" s="79">
        <v>59.17</v>
      </c>
      <c r="S451" s="79">
        <v>59.17</v>
      </c>
      <c r="T451" s="79">
        <v>6654.91</v>
      </c>
      <c r="U451" s="79">
        <v>6832.35</v>
      </c>
    </row>
    <row r="452" spans="2:21" x14ac:dyDescent="0.2">
      <c r="B452" s="86">
        <v>98568</v>
      </c>
      <c r="C452" s="38" t="s">
        <v>352</v>
      </c>
      <c r="D452" s="48">
        <v>1</v>
      </c>
      <c r="E452" s="48">
        <v>2</v>
      </c>
      <c r="F452" s="48">
        <v>2</v>
      </c>
      <c r="H452" s="76">
        <v>98558</v>
      </c>
      <c r="I452" s="76" t="s">
        <v>10</v>
      </c>
      <c r="J452" s="79">
        <v>2771.64</v>
      </c>
      <c r="K452" s="79">
        <v>2619.38</v>
      </c>
      <c r="L452" s="79">
        <v>2335.3200000000002</v>
      </c>
      <c r="M452" s="79">
        <v>10060.7399999999</v>
      </c>
      <c r="N452" s="79">
        <v>129.22</v>
      </c>
      <c r="O452" s="79">
        <v>3164.14</v>
      </c>
      <c r="P452" s="79">
        <v>3622.18</v>
      </c>
      <c r="Q452" s="79">
        <v>9442.1</v>
      </c>
      <c r="R452" s="79">
        <v>1805.88</v>
      </c>
      <c r="S452" s="79">
        <v>43.12</v>
      </c>
      <c r="T452" s="79">
        <v>5470.28</v>
      </c>
      <c r="U452" s="79">
        <v>8971.7399999999907</v>
      </c>
    </row>
    <row r="453" spans="2:21" x14ac:dyDescent="0.2">
      <c r="B453" s="59">
        <v>98568</v>
      </c>
      <c r="C453" s="38" t="s">
        <v>10</v>
      </c>
      <c r="D453" s="48"/>
      <c r="E453" s="48">
        <v>2</v>
      </c>
      <c r="F453" s="48">
        <v>1</v>
      </c>
      <c r="H453" s="76">
        <v>98568</v>
      </c>
      <c r="I453" s="76" t="s">
        <v>352</v>
      </c>
      <c r="J453" s="79">
        <v>209.26</v>
      </c>
      <c r="K453" s="79"/>
      <c r="L453" s="79">
        <v>440.77</v>
      </c>
      <c r="M453" s="79">
        <v>650.03</v>
      </c>
      <c r="N453" s="79"/>
      <c r="O453" s="79">
        <v>209.26</v>
      </c>
      <c r="P453" s="79">
        <v>440.77</v>
      </c>
      <c r="Q453" s="79">
        <v>841.35</v>
      </c>
      <c r="R453" s="79">
        <v>191.32</v>
      </c>
      <c r="S453" s="79"/>
      <c r="T453" s="79">
        <v>650.03</v>
      </c>
      <c r="U453" s="79">
        <v>841.35</v>
      </c>
    </row>
    <row r="454" spans="2:21" x14ac:dyDescent="0.2">
      <c r="B454" s="86">
        <v>98576</v>
      </c>
      <c r="C454" s="38" t="s">
        <v>352</v>
      </c>
      <c r="D454" s="48">
        <v>48</v>
      </c>
      <c r="E454" s="48">
        <v>48</v>
      </c>
      <c r="F454" s="48">
        <v>47</v>
      </c>
      <c r="H454" s="76">
        <v>98568</v>
      </c>
      <c r="I454" s="76" t="s">
        <v>10</v>
      </c>
      <c r="J454" s="79"/>
      <c r="K454" s="79"/>
      <c r="L454" s="79"/>
      <c r="M454" s="79"/>
      <c r="N454" s="79"/>
      <c r="O454" s="79"/>
      <c r="P454" s="79"/>
      <c r="Q454" s="79">
        <v>1316.19999999999</v>
      </c>
      <c r="R454" s="79">
        <v>88.11</v>
      </c>
      <c r="S454" s="79"/>
      <c r="T454" s="79"/>
      <c r="U454" s="79">
        <v>88.11</v>
      </c>
    </row>
    <row r="455" spans="2:21" x14ac:dyDescent="0.2">
      <c r="B455" s="59">
        <v>98576</v>
      </c>
      <c r="C455" s="38" t="s">
        <v>10</v>
      </c>
      <c r="D455" s="48">
        <v>463</v>
      </c>
      <c r="E455" s="48">
        <v>449</v>
      </c>
      <c r="F455" s="74">
        <v>458</v>
      </c>
      <c r="H455" s="76">
        <v>98576</v>
      </c>
      <c r="I455" s="76" t="s">
        <v>352</v>
      </c>
      <c r="J455" s="79">
        <v>890.48</v>
      </c>
      <c r="K455" s="79">
        <v>332.29</v>
      </c>
      <c r="L455" s="79">
        <v>3086.19</v>
      </c>
      <c r="M455" s="79">
        <v>22057.35</v>
      </c>
      <c r="N455" s="79">
        <v>1794.74</v>
      </c>
      <c r="O455" s="79">
        <v>261.91000000000003</v>
      </c>
      <c r="P455" s="79">
        <v>2654.81</v>
      </c>
      <c r="Q455" s="79">
        <v>35685.629999999997</v>
      </c>
      <c r="R455" s="79">
        <v>1772.37</v>
      </c>
      <c r="S455" s="79">
        <v>645.33000000000004</v>
      </c>
      <c r="T455" s="79">
        <v>2916.72</v>
      </c>
      <c r="U455" s="79">
        <v>12184.88</v>
      </c>
    </row>
    <row r="456" spans="2:21" x14ac:dyDescent="0.2">
      <c r="B456" s="86">
        <v>98579</v>
      </c>
      <c r="C456" s="38" t="s">
        <v>352</v>
      </c>
      <c r="D456" s="48">
        <v>96</v>
      </c>
      <c r="E456" s="48">
        <v>93</v>
      </c>
      <c r="F456" s="48">
        <v>84</v>
      </c>
      <c r="H456" s="76">
        <v>98576</v>
      </c>
      <c r="I456" s="76" t="s">
        <v>10</v>
      </c>
      <c r="J456" s="79">
        <v>48223.99</v>
      </c>
      <c r="K456" s="79">
        <v>34817.93</v>
      </c>
      <c r="L456" s="79">
        <v>161387.89000000001</v>
      </c>
      <c r="M456" s="79">
        <v>328947.17</v>
      </c>
      <c r="N456" s="79">
        <v>41481.800000000003</v>
      </c>
      <c r="O456" s="79">
        <v>35547.01</v>
      </c>
      <c r="P456" s="79">
        <v>180046.21999999901</v>
      </c>
      <c r="Q456" s="79">
        <v>329290.75999999902</v>
      </c>
      <c r="R456" s="79">
        <v>34631.81</v>
      </c>
      <c r="S456" s="79">
        <v>30758.240000000002</v>
      </c>
      <c r="T456" s="79">
        <v>191448.02999999901</v>
      </c>
      <c r="U456" s="79">
        <v>332039.93999999901</v>
      </c>
    </row>
    <row r="457" spans="2:21" x14ac:dyDescent="0.2">
      <c r="B457" s="59">
        <v>98579</v>
      </c>
      <c r="C457" s="38" t="s">
        <v>10</v>
      </c>
      <c r="D457" s="48">
        <v>798</v>
      </c>
      <c r="E457" s="48">
        <v>802</v>
      </c>
      <c r="F457" s="48">
        <v>774</v>
      </c>
      <c r="H457" s="76">
        <v>98579</v>
      </c>
      <c r="I457" s="76" t="s">
        <v>352</v>
      </c>
      <c r="J457" s="79">
        <v>6375.51</v>
      </c>
      <c r="K457" s="79">
        <v>31311.89</v>
      </c>
      <c r="L457" s="79">
        <v>54595.35</v>
      </c>
      <c r="M457" s="79">
        <v>104382.55999999899</v>
      </c>
      <c r="N457" s="79">
        <v>5659.94</v>
      </c>
      <c r="O457" s="79">
        <v>3939.45</v>
      </c>
      <c r="P457" s="79">
        <v>82855.91</v>
      </c>
      <c r="Q457" s="79">
        <v>110302.989999999</v>
      </c>
      <c r="R457" s="79">
        <v>13931.82</v>
      </c>
      <c r="S457" s="79">
        <v>3576.77</v>
      </c>
      <c r="T457" s="79">
        <v>82810.77</v>
      </c>
      <c r="U457" s="79">
        <v>146127.85</v>
      </c>
    </row>
    <row r="458" spans="2:21" x14ac:dyDescent="0.2">
      <c r="B458" s="86">
        <v>98580</v>
      </c>
      <c r="C458" s="38" t="s">
        <v>352</v>
      </c>
      <c r="D458" s="48">
        <v>50</v>
      </c>
      <c r="E458" s="48">
        <v>38</v>
      </c>
      <c r="F458" s="48">
        <v>34</v>
      </c>
      <c r="H458" s="76">
        <v>98579</v>
      </c>
      <c r="I458" s="76" t="s">
        <v>10</v>
      </c>
      <c r="J458" s="79">
        <v>103707.52</v>
      </c>
      <c r="K458" s="79">
        <v>96083.12</v>
      </c>
      <c r="L458" s="79">
        <v>256679.13</v>
      </c>
      <c r="M458" s="79">
        <v>618567.01</v>
      </c>
      <c r="N458" s="79">
        <v>99232.04</v>
      </c>
      <c r="O458" s="79">
        <v>73266.92</v>
      </c>
      <c r="P458" s="79">
        <v>313431.96999999997</v>
      </c>
      <c r="Q458" s="79">
        <v>654614.18000000005</v>
      </c>
      <c r="R458" s="79">
        <v>107105.49</v>
      </c>
      <c r="S458" s="79">
        <v>76798.69</v>
      </c>
      <c r="T458" s="79">
        <v>339614.8</v>
      </c>
      <c r="U458" s="79">
        <v>645256.049999999</v>
      </c>
    </row>
    <row r="459" spans="2:21" x14ac:dyDescent="0.2">
      <c r="B459" s="59">
        <v>98580</v>
      </c>
      <c r="C459" s="38" t="s">
        <v>10</v>
      </c>
      <c r="D459" s="48">
        <v>389</v>
      </c>
      <c r="E459" s="48">
        <v>339</v>
      </c>
      <c r="F459" s="48">
        <v>341</v>
      </c>
      <c r="H459" s="76">
        <v>98580</v>
      </c>
      <c r="I459" s="76" t="s">
        <v>352</v>
      </c>
      <c r="J459" s="79">
        <v>5345.65</v>
      </c>
      <c r="K459" s="79">
        <v>9263.39</v>
      </c>
      <c r="L459" s="79">
        <v>38576.629999999997</v>
      </c>
      <c r="M459" s="79">
        <v>72942.48</v>
      </c>
      <c r="N459" s="79">
        <v>7599.92</v>
      </c>
      <c r="O459" s="79">
        <v>6205.4</v>
      </c>
      <c r="P459" s="79">
        <v>43431.32</v>
      </c>
      <c r="Q459" s="79">
        <v>65563.22</v>
      </c>
      <c r="R459" s="79">
        <v>5375.61</v>
      </c>
      <c r="S459" s="79">
        <v>7152.37</v>
      </c>
      <c r="T459" s="79">
        <v>48366.92</v>
      </c>
      <c r="U459" s="79">
        <v>64512.2</v>
      </c>
    </row>
    <row r="460" spans="2:21" x14ac:dyDescent="0.2">
      <c r="B460" s="86">
        <v>98589</v>
      </c>
      <c r="C460" s="38" t="s">
        <v>352</v>
      </c>
      <c r="D460" s="48">
        <v>74</v>
      </c>
      <c r="E460" s="48">
        <v>51</v>
      </c>
      <c r="F460" s="48">
        <v>59</v>
      </c>
      <c r="H460" s="76">
        <v>98580</v>
      </c>
      <c r="I460" s="76" t="s">
        <v>10</v>
      </c>
      <c r="J460" s="79">
        <v>56913.43</v>
      </c>
      <c r="K460" s="79">
        <v>42994.95</v>
      </c>
      <c r="L460" s="79">
        <v>141457.85999999999</v>
      </c>
      <c r="M460" s="79">
        <v>326198.61999999901</v>
      </c>
      <c r="N460" s="79">
        <v>26757.83</v>
      </c>
      <c r="O460" s="79">
        <v>63878.75</v>
      </c>
      <c r="P460" s="79">
        <v>170399.92</v>
      </c>
      <c r="Q460" s="79">
        <v>316124.62999999902</v>
      </c>
      <c r="R460" s="79">
        <v>40249.660000000003</v>
      </c>
      <c r="S460" s="79">
        <v>20726.349999999999</v>
      </c>
      <c r="T460" s="79">
        <v>210524.84999999899</v>
      </c>
      <c r="U460" s="79">
        <v>331518.74999999901</v>
      </c>
    </row>
    <row r="461" spans="2:21" x14ac:dyDescent="0.2">
      <c r="B461" s="59">
        <v>98589</v>
      </c>
      <c r="C461" s="38" t="s">
        <v>10</v>
      </c>
      <c r="D461" s="48">
        <v>538</v>
      </c>
      <c r="E461" s="48">
        <v>489</v>
      </c>
      <c r="F461" s="48">
        <v>550</v>
      </c>
      <c r="H461" s="76">
        <v>98589</v>
      </c>
      <c r="I461" s="76" t="s">
        <v>352</v>
      </c>
      <c r="J461" s="79">
        <v>3368.53</v>
      </c>
      <c r="K461" s="79">
        <v>9901.59</v>
      </c>
      <c r="L461" s="79">
        <v>93384.960000000006</v>
      </c>
      <c r="M461" s="79">
        <v>131754.49</v>
      </c>
      <c r="N461" s="79">
        <v>10230.44</v>
      </c>
      <c r="O461" s="79">
        <v>1730.46</v>
      </c>
      <c r="P461" s="79">
        <v>101552.409999999</v>
      </c>
      <c r="Q461" s="79">
        <v>120581.29</v>
      </c>
      <c r="R461" s="79">
        <v>4998.9399999999996</v>
      </c>
      <c r="S461" s="79">
        <v>8964.6299999999992</v>
      </c>
      <c r="T461" s="79">
        <v>102726.87</v>
      </c>
      <c r="U461" s="79">
        <v>164168.9</v>
      </c>
    </row>
    <row r="462" spans="2:21" x14ac:dyDescent="0.2">
      <c r="B462" s="86">
        <v>98591</v>
      </c>
      <c r="C462" s="38" t="s">
        <v>352</v>
      </c>
      <c r="D462" s="48"/>
      <c r="E462" s="48"/>
      <c r="F462" s="48">
        <v>3</v>
      </c>
      <c r="H462" s="76">
        <v>98589</v>
      </c>
      <c r="I462" s="76" t="s">
        <v>10</v>
      </c>
      <c r="J462" s="79">
        <v>60054.73</v>
      </c>
      <c r="K462" s="79">
        <v>61013.9</v>
      </c>
      <c r="L462" s="79">
        <v>138839.329999999</v>
      </c>
      <c r="M462" s="79">
        <v>401105.61999999901</v>
      </c>
      <c r="N462" s="79">
        <v>83289.240000000005</v>
      </c>
      <c r="O462" s="79">
        <v>41887.83</v>
      </c>
      <c r="P462" s="79">
        <v>167553.79999999999</v>
      </c>
      <c r="Q462" s="79">
        <v>380497.91999999899</v>
      </c>
      <c r="R462" s="79">
        <v>53291.62</v>
      </c>
      <c r="S462" s="79">
        <v>57828.38</v>
      </c>
      <c r="T462" s="79">
        <v>169344.139999999</v>
      </c>
      <c r="U462" s="79">
        <v>420021.40999999898</v>
      </c>
    </row>
    <row r="463" spans="2:21" x14ac:dyDescent="0.2">
      <c r="B463" s="59">
        <v>98591</v>
      </c>
      <c r="C463" s="38" t="s">
        <v>10</v>
      </c>
      <c r="D463" s="48">
        <v>16</v>
      </c>
      <c r="E463" s="48">
        <v>15</v>
      </c>
      <c r="F463" s="48">
        <v>15</v>
      </c>
      <c r="H463" s="76">
        <v>98591</v>
      </c>
      <c r="I463" s="76" t="s">
        <v>352</v>
      </c>
      <c r="J463" s="79"/>
      <c r="K463" s="79"/>
      <c r="L463" s="79"/>
      <c r="M463" s="79"/>
      <c r="N463" s="79"/>
      <c r="O463" s="79"/>
      <c r="P463" s="79"/>
      <c r="Q463" s="79"/>
      <c r="R463" s="79"/>
      <c r="S463" s="79"/>
      <c r="T463" s="79"/>
      <c r="U463" s="79">
        <v>3042.3199999999902</v>
      </c>
    </row>
    <row r="464" spans="2:21" x14ac:dyDescent="0.2">
      <c r="B464" s="86">
        <v>98596</v>
      </c>
      <c r="C464" s="38" t="s">
        <v>352</v>
      </c>
      <c r="D464" s="48">
        <v>3</v>
      </c>
      <c r="E464" s="48">
        <v>2</v>
      </c>
      <c r="F464" s="48">
        <v>3</v>
      </c>
      <c r="H464" s="76">
        <v>98591</v>
      </c>
      <c r="I464" s="76" t="s">
        <v>10</v>
      </c>
      <c r="J464" s="79">
        <v>864.97</v>
      </c>
      <c r="K464" s="79">
        <v>239.92</v>
      </c>
      <c r="L464" s="79">
        <v>375.01</v>
      </c>
      <c r="M464" s="79">
        <v>3032.7</v>
      </c>
      <c r="N464" s="79">
        <v>1057.73</v>
      </c>
      <c r="O464" s="79">
        <v>698.64</v>
      </c>
      <c r="P464" s="79">
        <v>420.78</v>
      </c>
      <c r="Q464" s="79">
        <v>3088.15</v>
      </c>
      <c r="R464" s="79">
        <v>640.17999999999995</v>
      </c>
      <c r="S464" s="79">
        <v>1022.5</v>
      </c>
      <c r="T464" s="79">
        <v>1119.42</v>
      </c>
      <c r="U464" s="79">
        <v>3557.6699999999901</v>
      </c>
    </row>
    <row r="465" spans="2:21" x14ac:dyDescent="0.2">
      <c r="B465" s="86">
        <v>98596</v>
      </c>
      <c r="C465" s="38" t="s">
        <v>10</v>
      </c>
      <c r="D465" s="48">
        <v>24</v>
      </c>
      <c r="E465" s="48">
        <v>24</v>
      </c>
      <c r="F465" s="48">
        <v>21</v>
      </c>
      <c r="H465" s="76">
        <v>98596</v>
      </c>
      <c r="I465" s="76" t="s">
        <v>352</v>
      </c>
      <c r="J465" s="79">
        <v>504.89</v>
      </c>
      <c r="K465" s="79">
        <v>611.78</v>
      </c>
      <c r="L465" s="79">
        <v>156.24</v>
      </c>
      <c r="M465" s="79">
        <v>2240.7399999999998</v>
      </c>
      <c r="N465" s="79">
        <v>517.13</v>
      </c>
      <c r="O465" s="79">
        <v>460.7</v>
      </c>
      <c r="P465" s="79">
        <v>5.01</v>
      </c>
      <c r="Q465" s="79">
        <v>1343.3</v>
      </c>
      <c r="R465" s="79">
        <v>360.46</v>
      </c>
      <c r="S465" s="79">
        <v>354.2</v>
      </c>
      <c r="T465" s="79">
        <v>55.51</v>
      </c>
      <c r="U465" s="79">
        <v>1302.3499999999999</v>
      </c>
    </row>
    <row r="466" spans="2:21" x14ac:dyDescent="0.2">
      <c r="B466" s="59">
        <v>98597</v>
      </c>
      <c r="C466" s="38" t="s">
        <v>352</v>
      </c>
      <c r="D466" s="48">
        <v>256</v>
      </c>
      <c r="E466" s="48">
        <v>233</v>
      </c>
      <c r="F466" s="48">
        <v>229</v>
      </c>
      <c r="H466" s="76">
        <v>98596</v>
      </c>
      <c r="I466" s="76" t="s">
        <v>10</v>
      </c>
      <c r="J466" s="79">
        <v>882.02</v>
      </c>
      <c r="K466" s="79">
        <v>1114.4100000000001</v>
      </c>
      <c r="L466" s="79">
        <v>8573.7199999999993</v>
      </c>
      <c r="M466" s="79">
        <v>12723.8</v>
      </c>
      <c r="N466" s="79">
        <v>1765.53</v>
      </c>
      <c r="O466" s="79">
        <v>882.02</v>
      </c>
      <c r="P466" s="79">
        <v>9688.1299999999992</v>
      </c>
      <c r="Q466" s="79">
        <v>13356.22</v>
      </c>
      <c r="R466" s="79">
        <v>715.58</v>
      </c>
      <c r="S466" s="79">
        <v>1426.83</v>
      </c>
      <c r="T466" s="79">
        <v>9883.99</v>
      </c>
      <c r="U466" s="79">
        <v>13276.43</v>
      </c>
    </row>
    <row r="467" spans="2:21" x14ac:dyDescent="0.2">
      <c r="B467" s="86">
        <v>98597</v>
      </c>
      <c r="C467" s="38" t="s">
        <v>10</v>
      </c>
      <c r="D467" s="48">
        <v>2239</v>
      </c>
      <c r="E467" s="48">
        <v>2258</v>
      </c>
      <c r="F467" s="48">
        <v>2257</v>
      </c>
      <c r="H467" s="76">
        <v>98597</v>
      </c>
      <c r="I467" s="76" t="s">
        <v>352</v>
      </c>
      <c r="J467" s="79">
        <v>21988.27</v>
      </c>
      <c r="K467" s="79">
        <v>11105.42</v>
      </c>
      <c r="L467" s="79">
        <v>43656.239999999903</v>
      </c>
      <c r="M467" s="79">
        <v>251787.91999999899</v>
      </c>
      <c r="N467" s="79">
        <v>13175.15</v>
      </c>
      <c r="O467" s="79">
        <v>11483.87</v>
      </c>
      <c r="P467" s="79">
        <v>53845.209999999897</v>
      </c>
      <c r="Q467" s="79">
        <v>115540.30999999899</v>
      </c>
      <c r="R467" s="79">
        <v>12142.73</v>
      </c>
      <c r="S467" s="79">
        <v>9556.9</v>
      </c>
      <c r="T467" s="79">
        <v>53517.119999999901</v>
      </c>
      <c r="U467" s="79">
        <v>112606.54</v>
      </c>
    </row>
    <row r="468" spans="2:21" x14ac:dyDescent="0.2">
      <c r="B468" s="59">
        <v>98922</v>
      </c>
      <c r="C468" s="38" t="s">
        <v>352</v>
      </c>
      <c r="D468" s="48">
        <v>264</v>
      </c>
      <c r="E468" s="48">
        <v>193</v>
      </c>
      <c r="F468" s="48">
        <v>163</v>
      </c>
      <c r="H468" s="76">
        <v>98597</v>
      </c>
      <c r="I468" s="76" t="s">
        <v>10</v>
      </c>
      <c r="J468" s="79">
        <v>242573.35</v>
      </c>
      <c r="K468" s="79">
        <v>155090.32999999999</v>
      </c>
      <c r="L468" s="79">
        <v>557904.11</v>
      </c>
      <c r="M468" s="79">
        <v>1388889.48</v>
      </c>
      <c r="N468" s="79">
        <v>216767.22</v>
      </c>
      <c r="O468" s="79">
        <v>175795.6</v>
      </c>
      <c r="P468" s="79">
        <v>614552.76</v>
      </c>
      <c r="Q468" s="79">
        <v>1392968.59</v>
      </c>
      <c r="R468" s="79">
        <v>200325.7</v>
      </c>
      <c r="S468" s="79">
        <v>156820.26</v>
      </c>
      <c r="T468" s="79">
        <v>680192.4</v>
      </c>
      <c r="U468" s="79">
        <v>1340306.33</v>
      </c>
    </row>
    <row r="469" spans="2:21" x14ac:dyDescent="0.2">
      <c r="B469" s="86">
        <v>98922</v>
      </c>
      <c r="C469" s="38" t="s">
        <v>10</v>
      </c>
      <c r="D469" s="48">
        <v>899</v>
      </c>
      <c r="E469" s="48">
        <v>776</v>
      </c>
      <c r="F469" s="48">
        <v>759</v>
      </c>
      <c r="H469" s="76">
        <v>98922</v>
      </c>
      <c r="I469" s="76" t="s">
        <v>352</v>
      </c>
      <c r="J469" s="79">
        <v>14100.49</v>
      </c>
      <c r="K469" s="79">
        <v>7460.81</v>
      </c>
      <c r="L469" s="79">
        <v>19755.900000000001</v>
      </c>
      <c r="M469" s="79">
        <v>312495.40000000002</v>
      </c>
      <c r="N469" s="79">
        <v>10287.91</v>
      </c>
      <c r="O469" s="79">
        <v>5513.04</v>
      </c>
      <c r="P469" s="79">
        <v>19029.07</v>
      </c>
      <c r="Q469" s="79">
        <v>94440.109999999899</v>
      </c>
      <c r="R469" s="79">
        <v>5892.81</v>
      </c>
      <c r="S469" s="79">
        <v>5162.8500000000004</v>
      </c>
      <c r="T469" s="79">
        <v>13739.63</v>
      </c>
      <c r="U469" s="79">
        <v>70531.4399999999</v>
      </c>
    </row>
    <row r="470" spans="2:21" x14ac:dyDescent="0.2">
      <c r="B470" s="59">
        <v>98925</v>
      </c>
      <c r="C470" s="38" t="s">
        <v>352</v>
      </c>
      <c r="D470" s="48">
        <v>8</v>
      </c>
      <c r="E470" s="48">
        <v>11</v>
      </c>
      <c r="F470" s="48">
        <v>9</v>
      </c>
      <c r="H470" s="76">
        <v>98922</v>
      </c>
      <c r="I470" s="76" t="s">
        <v>10</v>
      </c>
      <c r="J470" s="79">
        <v>97544.24</v>
      </c>
      <c r="K470" s="79">
        <v>57756.57</v>
      </c>
      <c r="L470" s="79">
        <v>156597.01</v>
      </c>
      <c r="M470" s="79">
        <v>523361.18999999901</v>
      </c>
      <c r="N470" s="79">
        <v>84265.18</v>
      </c>
      <c r="O470" s="79">
        <v>53008.2</v>
      </c>
      <c r="P470" s="79">
        <v>184583.54</v>
      </c>
      <c r="Q470" s="79">
        <v>419087.09</v>
      </c>
      <c r="R470" s="79">
        <v>44667.18</v>
      </c>
      <c r="S470" s="79">
        <v>48559.54</v>
      </c>
      <c r="T470" s="79">
        <v>184309.05</v>
      </c>
      <c r="U470" s="79">
        <v>384388.359999999</v>
      </c>
    </row>
    <row r="471" spans="2:21" x14ac:dyDescent="0.2">
      <c r="B471" s="86">
        <v>98925</v>
      </c>
      <c r="C471" s="38" t="s">
        <v>10</v>
      </c>
      <c r="D471" s="48">
        <v>71</v>
      </c>
      <c r="E471" s="48">
        <v>75</v>
      </c>
      <c r="F471" s="48">
        <v>73</v>
      </c>
      <c r="H471" s="76">
        <v>98925</v>
      </c>
      <c r="I471" s="76" t="s">
        <v>352</v>
      </c>
      <c r="J471" s="79">
        <v>1453.06</v>
      </c>
      <c r="K471" s="79">
        <v>419.64</v>
      </c>
      <c r="L471" s="79">
        <v>8434.91</v>
      </c>
      <c r="M471" s="79">
        <v>11365.029999999901</v>
      </c>
      <c r="N471" s="79">
        <v>110.23</v>
      </c>
      <c r="O471" s="79">
        <v>1039.5899999999999</v>
      </c>
      <c r="P471" s="79">
        <v>7830.55</v>
      </c>
      <c r="Q471" s="79">
        <v>9763.41</v>
      </c>
      <c r="R471" s="79">
        <v>379.34</v>
      </c>
      <c r="S471" s="79">
        <v>110.23</v>
      </c>
      <c r="T471" s="79">
        <v>7165.74999999999</v>
      </c>
      <c r="U471" s="79">
        <v>7959.16</v>
      </c>
    </row>
    <row r="472" spans="2:21" x14ac:dyDescent="0.2">
      <c r="B472" s="59">
        <v>98926</v>
      </c>
      <c r="C472" s="38" t="s">
        <v>352</v>
      </c>
      <c r="D472" s="48">
        <v>105</v>
      </c>
      <c r="E472" s="48">
        <v>101</v>
      </c>
      <c r="F472" s="48">
        <v>101</v>
      </c>
      <c r="H472" s="76">
        <v>98925</v>
      </c>
      <c r="I472" s="76" t="s">
        <v>10</v>
      </c>
      <c r="J472" s="79">
        <v>8296.48</v>
      </c>
      <c r="K472" s="79">
        <v>2852.61</v>
      </c>
      <c r="L472" s="79">
        <v>40728.629999999903</v>
      </c>
      <c r="M472" s="79">
        <v>69553.959999999905</v>
      </c>
      <c r="N472" s="79">
        <v>8384.84</v>
      </c>
      <c r="O472" s="79">
        <v>8094.03</v>
      </c>
      <c r="P472" s="79">
        <v>43069.229999999901</v>
      </c>
      <c r="Q472" s="79">
        <v>73070.6899999999</v>
      </c>
      <c r="R472" s="79">
        <v>8600.93</v>
      </c>
      <c r="S472" s="79">
        <v>6775.08</v>
      </c>
      <c r="T472" s="79">
        <v>48652.159999999902</v>
      </c>
      <c r="U472" s="79">
        <v>73456.31</v>
      </c>
    </row>
    <row r="473" spans="2:21" x14ac:dyDescent="0.2">
      <c r="B473" s="86">
        <v>98926</v>
      </c>
      <c r="C473" s="38" t="s">
        <v>10</v>
      </c>
      <c r="D473" s="48">
        <v>392</v>
      </c>
      <c r="E473" s="48">
        <v>372</v>
      </c>
      <c r="F473" s="48">
        <v>346</v>
      </c>
      <c r="H473" s="76">
        <v>98926</v>
      </c>
      <c r="I473" s="76" t="s">
        <v>352</v>
      </c>
      <c r="J473" s="79">
        <v>6819.41</v>
      </c>
      <c r="K473" s="79">
        <v>4807.67</v>
      </c>
      <c r="L473" s="79">
        <v>40578.15</v>
      </c>
      <c r="M473" s="79">
        <v>85181.24</v>
      </c>
      <c r="N473" s="79">
        <v>6050.94</v>
      </c>
      <c r="O473" s="79">
        <v>4636.1099999999997</v>
      </c>
      <c r="P473" s="79">
        <v>43621.15</v>
      </c>
      <c r="Q473" s="79">
        <v>83496.87</v>
      </c>
      <c r="R473" s="79">
        <v>8823.08</v>
      </c>
      <c r="S473" s="79">
        <v>4078.75</v>
      </c>
      <c r="T473" s="79">
        <v>44108.37</v>
      </c>
      <c r="U473" s="79">
        <v>81577.959999999905</v>
      </c>
    </row>
    <row r="474" spans="2:21" x14ac:dyDescent="0.2">
      <c r="B474" s="59">
        <v>98934</v>
      </c>
      <c r="C474" s="38" t="s">
        <v>352</v>
      </c>
      <c r="D474" s="48">
        <v>30</v>
      </c>
      <c r="E474" s="48">
        <v>24</v>
      </c>
      <c r="F474" s="48">
        <v>28</v>
      </c>
      <c r="H474" s="76">
        <v>98926</v>
      </c>
      <c r="I474" s="76" t="s">
        <v>10</v>
      </c>
      <c r="J474" s="79">
        <v>55914.45</v>
      </c>
      <c r="K474" s="79">
        <v>35982.33</v>
      </c>
      <c r="L474" s="79">
        <v>150719.74999999901</v>
      </c>
      <c r="M474" s="79">
        <v>337500.87999999902</v>
      </c>
      <c r="N474" s="79">
        <v>57205.35</v>
      </c>
      <c r="O474" s="79">
        <v>36935.129999999997</v>
      </c>
      <c r="P474" s="79">
        <v>160970.52999999901</v>
      </c>
      <c r="Q474" s="79">
        <v>324499.31999999902</v>
      </c>
      <c r="R474" s="79">
        <v>35506.71</v>
      </c>
      <c r="S474" s="79">
        <v>40281.67</v>
      </c>
      <c r="T474" s="79">
        <v>171099.84999999899</v>
      </c>
      <c r="U474" s="79">
        <v>305347.91999999899</v>
      </c>
    </row>
    <row r="475" spans="2:21" x14ac:dyDescent="0.2">
      <c r="B475" s="86">
        <v>98934</v>
      </c>
      <c r="C475" s="38" t="s">
        <v>10</v>
      </c>
      <c r="D475" s="48">
        <v>117</v>
      </c>
      <c r="E475" s="48">
        <v>111</v>
      </c>
      <c r="F475" s="48">
        <v>108</v>
      </c>
      <c r="H475" s="76">
        <v>98934</v>
      </c>
      <c r="I475" s="76" t="s">
        <v>352</v>
      </c>
      <c r="J475" s="79">
        <v>870.76</v>
      </c>
      <c r="K475" s="79">
        <v>15.41</v>
      </c>
      <c r="L475" s="79">
        <v>2369.94</v>
      </c>
      <c r="M475" s="79">
        <v>17006.39</v>
      </c>
      <c r="N475" s="79">
        <v>15.41</v>
      </c>
      <c r="O475" s="79">
        <v>15.41</v>
      </c>
      <c r="P475" s="79">
        <v>2385.35</v>
      </c>
      <c r="Q475" s="79">
        <v>14947.64</v>
      </c>
      <c r="R475" s="79">
        <v>15.41</v>
      </c>
      <c r="S475" s="79">
        <v>15.41</v>
      </c>
      <c r="T475" s="79">
        <v>2400.7599999999902</v>
      </c>
      <c r="U475" s="79">
        <v>14729.7699999999</v>
      </c>
    </row>
    <row r="476" spans="2:21" x14ac:dyDescent="0.2">
      <c r="B476" s="59">
        <v>98940</v>
      </c>
      <c r="C476" s="38" t="s">
        <v>352</v>
      </c>
      <c r="D476" s="48">
        <v>50</v>
      </c>
      <c r="E476" s="48">
        <v>22</v>
      </c>
      <c r="F476" s="48">
        <v>15</v>
      </c>
      <c r="H476" s="76">
        <v>98934</v>
      </c>
      <c r="I476" s="76" t="s">
        <v>10</v>
      </c>
      <c r="J476" s="79">
        <v>13392.45</v>
      </c>
      <c r="K476" s="79">
        <v>10776.63</v>
      </c>
      <c r="L476" s="79">
        <v>17101.8</v>
      </c>
      <c r="M476" s="79">
        <v>57624.07</v>
      </c>
      <c r="N476" s="79">
        <v>9804.18</v>
      </c>
      <c r="O476" s="79">
        <v>9180.2099999999991</v>
      </c>
      <c r="P476" s="79">
        <v>21289.95</v>
      </c>
      <c r="Q476" s="79">
        <v>59318.42</v>
      </c>
      <c r="R476" s="79">
        <v>8949.25</v>
      </c>
      <c r="S476" s="79">
        <v>6880.76</v>
      </c>
      <c r="T476" s="79">
        <v>24856.86</v>
      </c>
      <c r="U476" s="79">
        <v>50571.53</v>
      </c>
    </row>
    <row r="477" spans="2:21" x14ac:dyDescent="0.2">
      <c r="B477" s="86">
        <v>98940</v>
      </c>
      <c r="C477" s="38" t="s">
        <v>10</v>
      </c>
      <c r="D477" s="48">
        <v>220</v>
      </c>
      <c r="E477" s="48">
        <v>83</v>
      </c>
      <c r="F477" s="48">
        <v>80</v>
      </c>
      <c r="H477" s="76">
        <v>98940</v>
      </c>
      <c r="I477" s="76" t="s">
        <v>352</v>
      </c>
      <c r="J477" s="79">
        <v>3536.23</v>
      </c>
      <c r="K477" s="79">
        <v>517.19000000000005</v>
      </c>
      <c r="L477" s="79">
        <v>1690.27</v>
      </c>
      <c r="M477" s="79">
        <v>16437.05</v>
      </c>
      <c r="N477" s="79">
        <v>3692.3</v>
      </c>
      <c r="O477" s="79">
        <v>860.51</v>
      </c>
      <c r="P477" s="79">
        <v>2067.54</v>
      </c>
      <c r="Q477" s="79">
        <v>7659.09</v>
      </c>
      <c r="R477" s="79"/>
      <c r="S477" s="79">
        <v>1859.63</v>
      </c>
      <c r="T477" s="79">
        <v>1483.47</v>
      </c>
      <c r="U477" s="79">
        <v>5523.83</v>
      </c>
    </row>
    <row r="478" spans="2:21" x14ac:dyDescent="0.2">
      <c r="B478" s="59">
        <v>98941</v>
      </c>
      <c r="C478" s="38" t="s">
        <v>352</v>
      </c>
      <c r="D478" s="48">
        <v>38</v>
      </c>
      <c r="E478" s="48">
        <v>15</v>
      </c>
      <c r="F478" s="48">
        <v>11</v>
      </c>
      <c r="H478" s="76">
        <v>98940</v>
      </c>
      <c r="I478" s="76" t="s">
        <v>10</v>
      </c>
      <c r="J478" s="79">
        <v>18657.36</v>
      </c>
      <c r="K478" s="79">
        <v>3009.86</v>
      </c>
      <c r="L478" s="79">
        <v>3437.77</v>
      </c>
      <c r="M478" s="79">
        <v>64469.35</v>
      </c>
      <c r="N478" s="79">
        <v>14822.46</v>
      </c>
      <c r="O478" s="79">
        <v>7308.27</v>
      </c>
      <c r="P478" s="79">
        <v>9435.42</v>
      </c>
      <c r="Q478" s="79">
        <v>36603.8299999999</v>
      </c>
      <c r="R478" s="79">
        <v>3114.23</v>
      </c>
      <c r="S478" s="79">
        <v>10154.39</v>
      </c>
      <c r="T478" s="79">
        <v>10598.66</v>
      </c>
      <c r="U478" s="79">
        <v>33416.219999999899</v>
      </c>
    </row>
    <row r="479" spans="2:21" x14ac:dyDescent="0.2">
      <c r="B479" s="86">
        <v>98941</v>
      </c>
      <c r="C479" s="38" t="s">
        <v>10</v>
      </c>
      <c r="D479" s="48">
        <v>168</v>
      </c>
      <c r="E479" s="48">
        <v>85</v>
      </c>
      <c r="F479" s="48">
        <v>78</v>
      </c>
      <c r="H479" s="76">
        <v>98941</v>
      </c>
      <c r="I479" s="76" t="s">
        <v>352</v>
      </c>
      <c r="J479" s="79">
        <v>32038.1</v>
      </c>
      <c r="K479" s="79">
        <v>1013.07</v>
      </c>
      <c r="L479" s="79">
        <v>3805.3</v>
      </c>
      <c r="M479" s="79">
        <v>74840.41</v>
      </c>
      <c r="N479" s="79">
        <v>1736.73</v>
      </c>
      <c r="O479" s="79">
        <v>933.5</v>
      </c>
      <c r="P479" s="79">
        <v>5283.3</v>
      </c>
      <c r="Q479" s="79">
        <v>8421.74</v>
      </c>
      <c r="R479" s="79">
        <v>284.48</v>
      </c>
      <c r="S479" s="79">
        <v>716.82</v>
      </c>
      <c r="T479" s="79">
        <v>5819.07</v>
      </c>
      <c r="U479" s="79">
        <v>8162.6999999999898</v>
      </c>
    </row>
    <row r="480" spans="2:21" x14ac:dyDescent="0.2">
      <c r="B480" s="59">
        <v>98943</v>
      </c>
      <c r="C480" s="38" t="s">
        <v>352</v>
      </c>
      <c r="D480" s="48">
        <v>8</v>
      </c>
      <c r="E480" s="48">
        <v>8</v>
      </c>
      <c r="F480" s="48">
        <v>7</v>
      </c>
      <c r="H480" s="76">
        <v>98941</v>
      </c>
      <c r="I480" s="76" t="s">
        <v>10</v>
      </c>
      <c r="J480" s="79">
        <v>23705.63</v>
      </c>
      <c r="K480" s="79">
        <v>8762.86</v>
      </c>
      <c r="L480" s="79">
        <v>24089.37</v>
      </c>
      <c r="M480" s="79">
        <v>83367.129999999903</v>
      </c>
      <c r="N480" s="79">
        <v>12873.95</v>
      </c>
      <c r="O480" s="79">
        <v>10601.65</v>
      </c>
      <c r="P480" s="79">
        <v>37735.839999999997</v>
      </c>
      <c r="Q480" s="79">
        <v>64888.2</v>
      </c>
      <c r="R480" s="79">
        <v>3528.85</v>
      </c>
      <c r="S480" s="79">
        <v>8852.1299999999992</v>
      </c>
      <c r="T480" s="79">
        <v>42695.87</v>
      </c>
      <c r="U480" s="79">
        <v>66199.37</v>
      </c>
    </row>
    <row r="481" spans="2:21" x14ac:dyDescent="0.2">
      <c r="B481" s="86">
        <v>98943</v>
      </c>
      <c r="C481" s="38" t="s">
        <v>10</v>
      </c>
      <c r="D481" s="48">
        <v>75</v>
      </c>
      <c r="E481" s="48">
        <v>73</v>
      </c>
      <c r="F481" s="48">
        <v>76</v>
      </c>
      <c r="H481" s="76">
        <v>98943</v>
      </c>
      <c r="I481" s="76" t="s">
        <v>352</v>
      </c>
      <c r="J481" s="79">
        <v>40752.67</v>
      </c>
      <c r="K481" s="79">
        <v>4492.54</v>
      </c>
      <c r="L481" s="79">
        <v>186837.94</v>
      </c>
      <c r="M481" s="79">
        <v>251850.84999999899</v>
      </c>
      <c r="N481" s="79">
        <v>17281.84</v>
      </c>
      <c r="O481" s="79">
        <v>40752.67</v>
      </c>
      <c r="P481" s="79">
        <v>187922.71</v>
      </c>
      <c r="Q481" s="79">
        <v>259494.12</v>
      </c>
      <c r="R481" s="79">
        <v>13458.25</v>
      </c>
      <c r="S481" s="79">
        <v>17051.060000000001</v>
      </c>
      <c r="T481" s="79">
        <v>228675.37999999899</v>
      </c>
      <c r="U481" s="79">
        <v>271364.19</v>
      </c>
    </row>
    <row r="482" spans="2:21" x14ac:dyDescent="0.2">
      <c r="B482" s="59">
        <v>98946</v>
      </c>
      <c r="C482" s="38" t="s">
        <v>352</v>
      </c>
      <c r="D482" s="48">
        <v>17</v>
      </c>
      <c r="E482" s="48">
        <v>19</v>
      </c>
      <c r="F482" s="48">
        <v>19</v>
      </c>
      <c r="H482" s="76">
        <v>98943</v>
      </c>
      <c r="I482" s="76" t="s">
        <v>10</v>
      </c>
      <c r="J482" s="79">
        <v>6706.2</v>
      </c>
      <c r="K482" s="79">
        <v>5236.4399999999996</v>
      </c>
      <c r="L482" s="79">
        <v>20839.23</v>
      </c>
      <c r="M482" s="79">
        <v>44845.27</v>
      </c>
      <c r="N482" s="79">
        <v>6809.51</v>
      </c>
      <c r="O482" s="79">
        <v>5244.1</v>
      </c>
      <c r="P482" s="79">
        <v>23597.539999999899</v>
      </c>
      <c r="Q482" s="79">
        <v>46426.03</v>
      </c>
      <c r="R482" s="79">
        <v>5678.55</v>
      </c>
      <c r="S482" s="79">
        <v>5189.24</v>
      </c>
      <c r="T482" s="79">
        <v>25457.78</v>
      </c>
      <c r="U482" s="79">
        <v>45521.73</v>
      </c>
    </row>
    <row r="483" spans="2:21" x14ac:dyDescent="0.2">
      <c r="B483" s="86">
        <v>98946</v>
      </c>
      <c r="C483" s="38" t="s">
        <v>10</v>
      </c>
      <c r="D483" s="48">
        <v>44</v>
      </c>
      <c r="E483" s="48">
        <v>48</v>
      </c>
      <c r="F483" s="48">
        <v>44</v>
      </c>
      <c r="H483" s="76">
        <v>98946</v>
      </c>
      <c r="I483" s="76" t="s">
        <v>352</v>
      </c>
      <c r="J483" s="79">
        <v>12415.62</v>
      </c>
      <c r="K483" s="79">
        <v>5508.26</v>
      </c>
      <c r="L483" s="79">
        <v>15546.74</v>
      </c>
      <c r="M483" s="79">
        <v>39847.53</v>
      </c>
      <c r="N483" s="79">
        <v>451.32</v>
      </c>
      <c r="O483" s="79">
        <v>8877.84</v>
      </c>
      <c r="P483" s="79">
        <v>20943.810000000001</v>
      </c>
      <c r="Q483" s="79">
        <v>37804.82</v>
      </c>
      <c r="R483" s="79">
        <v>709.79</v>
      </c>
      <c r="S483" s="79">
        <v>451.32</v>
      </c>
      <c r="T483" s="79">
        <v>29821.65</v>
      </c>
      <c r="U483" s="79">
        <v>56507.360000000001</v>
      </c>
    </row>
    <row r="484" spans="2:21" x14ac:dyDescent="0.2">
      <c r="B484" s="59"/>
      <c r="C484" s="38" t="s">
        <v>352</v>
      </c>
      <c r="D484" s="48">
        <v>97</v>
      </c>
      <c r="E484" s="48">
        <v>69</v>
      </c>
      <c r="F484" s="48">
        <v>52</v>
      </c>
      <c r="H484" s="76">
        <v>98946</v>
      </c>
      <c r="I484" s="76" t="s">
        <v>10</v>
      </c>
      <c r="J484" s="79">
        <v>7784.13</v>
      </c>
      <c r="K484" s="79">
        <v>3351.57</v>
      </c>
      <c r="L484" s="79">
        <v>11216.42</v>
      </c>
      <c r="M484" s="79">
        <v>30170.82</v>
      </c>
      <c r="N484" s="79">
        <v>4114.68</v>
      </c>
      <c r="O484" s="79">
        <v>3706.1</v>
      </c>
      <c r="P484" s="79">
        <v>7280.0899999999901</v>
      </c>
      <c r="Q484" s="79">
        <v>24859.4</v>
      </c>
      <c r="R484" s="79">
        <v>5342.02</v>
      </c>
      <c r="S484" s="79">
        <v>3101.61</v>
      </c>
      <c r="T484" s="79">
        <v>9576.27</v>
      </c>
      <c r="U484" s="79">
        <v>23895.81</v>
      </c>
    </row>
    <row r="485" spans="2:21" ht="16" thickBot="1" x14ac:dyDescent="0.25">
      <c r="B485" s="109"/>
      <c r="C485" s="50" t="s">
        <v>10</v>
      </c>
      <c r="D485" s="49">
        <v>444</v>
      </c>
      <c r="E485" s="49">
        <v>291</v>
      </c>
      <c r="F485" s="49">
        <v>177</v>
      </c>
      <c r="H485" s="76"/>
      <c r="I485" s="76" t="s">
        <v>352</v>
      </c>
      <c r="J485" s="79">
        <v>14220.69</v>
      </c>
      <c r="K485" s="79">
        <v>8886.91</v>
      </c>
      <c r="L485" s="79">
        <v>33282.339999999997</v>
      </c>
      <c r="M485" s="79">
        <v>80620.349999999904</v>
      </c>
      <c r="N485" s="79">
        <v>6793.99</v>
      </c>
      <c r="O485" s="79">
        <v>5134.09</v>
      </c>
      <c r="P485" s="79">
        <v>27726.42</v>
      </c>
      <c r="Q485" s="79">
        <v>65256.57</v>
      </c>
      <c r="R485" s="79">
        <v>10655.51</v>
      </c>
      <c r="S485" s="79">
        <v>1906.79</v>
      </c>
      <c r="T485" s="79">
        <v>18653.039999999899</v>
      </c>
      <c r="U485" s="79">
        <v>45766.27</v>
      </c>
    </row>
    <row r="486" spans="2:21" ht="16" thickBot="1" x14ac:dyDescent="0.25">
      <c r="B486" s="165"/>
      <c r="C486" s="166"/>
      <c r="D486" s="167">
        <f>SUMIF($C$16:$C$485,$C$17,D16:D485)</f>
        <v>224367</v>
      </c>
      <c r="E486" s="167">
        <f t="shared" ref="E486:F486" si="4">SUMIF($C$16:$C$485,$C$17,E16:E485)</f>
        <v>218092</v>
      </c>
      <c r="F486" s="167">
        <f t="shared" si="4"/>
        <v>215474</v>
      </c>
      <c r="H486" s="77"/>
      <c r="I486" s="77" t="s">
        <v>10</v>
      </c>
      <c r="J486" s="80">
        <v>19542.45</v>
      </c>
      <c r="K486" s="80">
        <v>6761.04</v>
      </c>
      <c r="L486" s="80">
        <v>21407.959999999901</v>
      </c>
      <c r="M486" s="80">
        <v>80804.08</v>
      </c>
      <c r="N486" s="80">
        <v>8715.11</v>
      </c>
      <c r="O486" s="80">
        <v>8200.59</v>
      </c>
      <c r="P486" s="80">
        <v>21058.61</v>
      </c>
      <c r="Q486" s="80">
        <v>52009.519999999902</v>
      </c>
      <c r="R486" s="80">
        <v>2929.91</v>
      </c>
      <c r="S486" s="80">
        <v>2443.12</v>
      </c>
      <c r="T486" s="80">
        <v>21456.589999999898</v>
      </c>
      <c r="U486" s="80">
        <v>37843.620000000003</v>
      </c>
    </row>
    <row r="487" spans="2:21" ht="16" thickBot="1" x14ac:dyDescent="0.25">
      <c r="B487" s="43"/>
      <c r="C487" s="41"/>
      <c r="D487" s="46"/>
      <c r="E487" s="46"/>
      <c r="F487" s="46"/>
      <c r="H487" s="158" t="s">
        <v>356</v>
      </c>
      <c r="I487" s="159"/>
      <c r="J487" s="168">
        <f>SUMIF($I$17:$I$486,$I$18,J17:J486)</f>
        <v>18994049.929999989</v>
      </c>
      <c r="K487" s="168">
        <f t="shared" ref="K487:U487" si="5">SUMIF($I$17:$I$486,$I$18,K17:K486)</f>
        <v>14093883.460000001</v>
      </c>
      <c r="L487" s="168">
        <f t="shared" si="5"/>
        <v>40203664.529999934</v>
      </c>
      <c r="M487" s="168">
        <f t="shared" si="5"/>
        <v>104638450.78999987</v>
      </c>
      <c r="N487" s="168">
        <f t="shared" si="5"/>
        <v>17208300.910000004</v>
      </c>
      <c r="O487" s="168">
        <f t="shared" si="5"/>
        <v>13967887.849999994</v>
      </c>
      <c r="P487" s="168">
        <f t="shared" si="5"/>
        <v>47143588.389999993</v>
      </c>
      <c r="Q487" s="168">
        <f t="shared" si="5"/>
        <v>103564820.01999982</v>
      </c>
      <c r="R487" s="168">
        <f>SUMIF($I$17:$I$486,$I$18,R17:R486)</f>
        <v>14447419.259999998</v>
      </c>
      <c r="S487" s="168">
        <f t="shared" si="5"/>
        <v>12658110</v>
      </c>
      <c r="T487" s="168">
        <f t="shared" si="5"/>
        <v>51863912.849999957</v>
      </c>
      <c r="U487" s="168">
        <f t="shared" si="5"/>
        <v>100029325.96999981</v>
      </c>
    </row>
    <row r="488" spans="2:21" x14ac:dyDescent="0.2">
      <c r="B488" s="40"/>
      <c r="C488" s="41"/>
    </row>
    <row r="489" spans="2:21" x14ac:dyDescent="0.2">
      <c r="B489" s="43"/>
      <c r="C489" s="41"/>
    </row>
  </sheetData>
  <mergeCells count="23">
    <mergeCell ref="AP16:AT17"/>
    <mergeCell ref="AL17:AN42"/>
    <mergeCell ref="B14:C14"/>
    <mergeCell ref="D14:F14"/>
    <mergeCell ref="W15:W16"/>
    <mergeCell ref="X15:X16"/>
    <mergeCell ref="Y15:AB15"/>
    <mergeCell ref="AC15:AF15"/>
    <mergeCell ref="AG15:AJ15"/>
    <mergeCell ref="AL6:AN11"/>
    <mergeCell ref="BH14:BL14"/>
    <mergeCell ref="BB14:BF14"/>
    <mergeCell ref="AV14:AZ14"/>
    <mergeCell ref="W14:AJ14"/>
    <mergeCell ref="AL14:AN14"/>
    <mergeCell ref="AP14:AT14"/>
    <mergeCell ref="A1:F1"/>
    <mergeCell ref="H14:U14"/>
    <mergeCell ref="H15:H16"/>
    <mergeCell ref="I15:I16"/>
    <mergeCell ref="J15:M15"/>
    <mergeCell ref="N15:Q15"/>
    <mergeCell ref="R15:U15"/>
  </mergeCells>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refix xmlns="dc463f71-b30c-4ab2-9473-d307f9d35888">U</Prefix>
    <DocumentSetType xmlns="dc463f71-b30c-4ab2-9473-d307f9d35888">Report</DocumentSetType>
    <Visibility xmlns="dc463f71-b30c-4ab2-9473-d307f9d35888">Full Visibility</Visibility>
    <IsConfidential xmlns="dc463f71-b30c-4ab2-9473-d307f9d35888">false</IsConfidential>
    <AgendaOrder xmlns="dc463f71-b30c-4ab2-9473-d307f9d35888">false</AgendaOrder>
    <CaseType xmlns="dc463f71-b30c-4ab2-9473-d307f9d35888">Staff Investigation</CaseType>
    <IndustryCode xmlns="dc463f71-b30c-4ab2-9473-d307f9d35888">501</IndustryCode>
    <CaseStatus xmlns="dc463f71-b30c-4ab2-9473-d307f9d35888">Closed</CaseStatus>
    <OpenedDate xmlns="dc463f71-b30c-4ab2-9473-d307f9d35888">2020-03-27T07:00:00+00:00</OpenedDate>
    <SignificantOrder xmlns="dc463f71-b30c-4ab2-9473-d307f9d35888">false</SignificantOrder>
    <Date1 xmlns="dc463f71-b30c-4ab2-9473-d307f9d35888">2022-07-27T07:00:00+00:00</Date1>
    <IsDocumentOrder xmlns="dc463f71-b30c-4ab2-9473-d307f9d35888">false</IsDocumentOrder>
    <IsHighlyConfidential xmlns="dc463f71-b30c-4ab2-9473-d307f9d35888">false</IsHighlyConfidential>
    <CaseCompanyNames xmlns="dc463f71-b30c-4ab2-9473-d307f9d35888" xsi:nil="true"/>
    <Nickname xmlns="http://schemas.microsoft.com/sharepoint/v3" xsi:nil="true"/>
    <DocketNumber xmlns="dc463f71-b30c-4ab2-9473-d307f9d35888">200281</DocketNumber>
    <DelegatedOrder xmlns="dc463f71-b30c-4ab2-9473-d307f9d35888">false</DelegatedOrder>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haredContentType xmlns="Microsoft.SharePoint.Taxonomy.ContentTypeSync" SourceId="1af0c028-e016-4365-948e-cc2e26d65303" ContentTypeId="0x0101006E56B4D1795A2E4DB2F0B01679ED314A" PreviousValue="false"/>
</file>

<file path=customXml/item4.xml><?xml version="1.0" encoding="utf-8"?>
<ct:contentTypeSchema xmlns:ct="http://schemas.microsoft.com/office/2006/metadata/contentType" xmlns:ma="http://schemas.microsoft.com/office/2006/metadata/properties/metaAttributes" ct:_="" ma:_="" ma:contentTypeName="Filed Document" ma:contentTypeID="0x0101006E56B4D1795A2E4DB2F0B01679ED314A0042BA66D152C5244F9D6378BECD2888A1" ma:contentTypeVersion="36" ma:contentTypeDescription="" ma:contentTypeScope="" ma:versionID="4a8bb55f5dd35d6d5d6efb531c609be5">
  <xsd:schema xmlns:xsd="http://www.w3.org/2001/XMLSchema" xmlns:xs="http://www.w3.org/2001/XMLSchema" xmlns:p="http://schemas.microsoft.com/office/2006/metadata/properties" xmlns:ns1="http://schemas.microsoft.com/sharepoint/v3" xmlns:ns2="dc463f71-b30c-4ab2-9473-d307f9d35888" targetNamespace="http://schemas.microsoft.com/office/2006/metadata/properties" ma:root="true" ma:fieldsID="9af6b0a9aa2de783aac4f3d36dbacc3c" ns1:_="" ns2:_="">
    <xsd:import namespace="http://schemas.microsoft.com/sharepoint/v3"/>
    <xsd:import namespace="dc463f71-b30c-4ab2-9473-d307f9d35888"/>
    <xsd:element name="properties">
      <xsd:complexType>
        <xsd:sequence>
          <xsd:element name="documentManagement">
            <xsd:complexType>
              <xsd:all>
                <xsd:element ref="ns2:IsConfidential" minOccurs="0"/>
                <xsd:element ref="ns2:IsHighlyConfidential" minOccurs="0"/>
                <xsd:element ref="ns2:Date1" minOccurs="0"/>
                <xsd:element ref="ns2:DocketNumber" minOccurs="0"/>
                <xsd:element ref="ns2:DocumentSetType" minOccurs="0"/>
                <xsd:element ref="ns2:IndustryCode" minOccurs="0"/>
                <xsd:element ref="ns2:CaseType" minOccurs="0"/>
                <xsd:element ref="ns2:CaseStatus" minOccurs="0"/>
                <xsd:element ref="ns2:AgendaOrder" minOccurs="0"/>
                <xsd:element ref="ns2:DelegatedOrder" minOccurs="0"/>
                <xsd:element ref="ns2:IsDocumentOrder" minOccurs="0"/>
                <xsd:element ref="ns2:CaseCompanyNames" minOccurs="0"/>
                <xsd:element ref="ns2:OpenedDate" minOccurs="0"/>
                <xsd:element ref="ns2:Prefix" minOccurs="0"/>
                <xsd:element ref="ns2:Visibility" minOccurs="0"/>
                <xsd:element ref="ns1:Nickname" minOccurs="0"/>
                <xsd:element ref="ns2:SignificantOrd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Nickname" ma:index="17" nillable="true" ma:displayName="Nickname" ma:internalName="Nicknam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463f71-b30c-4ab2-9473-d307f9d35888" elementFormDefault="qualified">
    <xsd:import namespace="http://schemas.microsoft.com/office/2006/documentManagement/types"/>
    <xsd:import namespace="http://schemas.microsoft.com/office/infopath/2007/PartnerControls"/>
    <xsd:element name="IsConfidential" ma:index="2" nillable="true" ma:displayName="Is Confidential" ma:default="0" ma:internalName="IsConfidential" ma:readOnly="false">
      <xsd:simpleType>
        <xsd:restriction base="dms:Boolean"/>
      </xsd:simpleType>
    </xsd:element>
    <xsd:element name="IsHighlyConfidential" ma:index="3" nillable="true" ma:displayName="Is Highly Confidential" ma:default="0" ma:internalName="IsHighlyConfidential" ma:readOnly="false">
      <xsd:simpleType>
        <xsd:restriction base="dms:Boolean"/>
      </xsd:simpleType>
    </xsd:element>
    <xsd:element name="Date1" ma:index="4" nillable="true" ma:displayName="Date" ma:default="[today]" ma:description="Date the document set was requested" ma:format="DateOnly" ma:internalName="Date1" ma:readOnly="false">
      <xsd:simpleType>
        <xsd:restriction base="dms:DateTime"/>
      </xsd:simpleType>
    </xsd:element>
    <xsd:element name="DocketNumber" ma:index="5" nillable="true" ma:displayName="Docket Number" ma:internalName="DocketNumber" ma:readOnly="false">
      <xsd:simpleType>
        <xsd:restriction base="dms:Text">
          <xsd:maxLength value="255"/>
        </xsd:restriction>
      </xsd:simpleType>
    </xsd:element>
    <xsd:element name="DocumentSetType" ma:index="6" nillable="true" ma:displayName="Document Set Type" ma:internalName="DocumentSetType" ma:readOnly="false">
      <xsd:simpleType>
        <xsd:restriction base="dms:Text">
          <xsd:maxLength value="255"/>
        </xsd:restriction>
      </xsd:simpleType>
    </xsd:element>
    <xsd:element name="IndustryCode" ma:index="7" nillable="true" ma:displayName="Industry Code" ma:internalName="IndustryCode" ma:readOnly="false">
      <xsd:simpleType>
        <xsd:restriction base="dms:Text">
          <xsd:maxLength value="255"/>
        </xsd:restriction>
      </xsd:simpleType>
    </xsd:element>
    <xsd:element name="CaseType" ma:index="8" nillable="true" ma:displayName="CaseType" ma:internalName="CaseType" ma:readOnly="false">
      <xsd:simpleType>
        <xsd:restriction base="dms:Text">
          <xsd:maxLength value="255"/>
        </xsd:restriction>
      </xsd:simpleType>
    </xsd:element>
    <xsd:element name="CaseStatus" ma:index="9" nillable="true" ma:displayName="CaseStatus" ma:internalName="CaseStatus" ma:readOnly="false">
      <xsd:simpleType>
        <xsd:restriction base="dms:Text">
          <xsd:maxLength value="255"/>
        </xsd:restriction>
      </xsd:simpleType>
    </xsd:element>
    <xsd:element name="AgendaOrder" ma:index="10" nillable="true" ma:displayName="Agenda Order" ma:default="0" ma:internalName="AgendaOrder" ma:readOnly="false">
      <xsd:simpleType>
        <xsd:restriction base="dms:Boolean"/>
      </xsd:simpleType>
    </xsd:element>
    <xsd:element name="DelegatedOrder" ma:index="11" nillable="true" ma:displayName="DelegatedOrder" ma:default="0" ma:description="Is this a delegated order?" ma:internalName="DelegatedOrder" ma:readOnly="false">
      <xsd:simpleType>
        <xsd:restriction base="dms:Boolean"/>
      </xsd:simpleType>
    </xsd:element>
    <xsd:element name="IsDocumentOrder" ma:index="12" nillable="true" ma:displayName="IsDocumentOrder" ma:default="0" ma:internalName="IsDocumentOrder" ma:readOnly="false">
      <xsd:simpleType>
        <xsd:restriction base="dms:Boolean"/>
      </xsd:simpleType>
    </xsd:element>
    <xsd:element name="CaseCompanyNames" ma:index="13" nillable="true" ma:displayName="Company Names" ma:description="Company names delimited by ;" ma:internalName="CaseCompanyNames" ma:readOnly="false">
      <xsd:simpleType>
        <xsd:restriction base="dms:Note">
          <xsd:maxLength value="255"/>
        </xsd:restriction>
      </xsd:simpleType>
    </xsd:element>
    <xsd:element name="OpenedDate" ma:index="14" nillable="true" ma:displayName="OpenedDate" ma:format="DateOnly" ma:internalName="OpenedDate">
      <xsd:simpleType>
        <xsd:restriction base="dms:DateTime"/>
      </xsd:simpleType>
    </xsd:element>
    <xsd:element name="Prefix" ma:index="15" nillable="true" ma:displayName="Prefix" ma:description="Docket number prefix" ma:internalName="Prefix">
      <xsd:simpleType>
        <xsd:restriction base="dms:Text">
          <xsd:maxLength value="255"/>
        </xsd:restriction>
      </xsd:simpleType>
    </xsd:element>
    <xsd:element name="Visibility" ma:index="16" nillable="true" ma:displayName="Visibility" ma:default="Full Visibility" ma:format="Dropdown" ma:internalName="Visibility" ma:readOnly="false">
      <xsd:simpleType>
        <xsd:restriction base="dms:Choice">
          <xsd:enumeration value="Full Visibility"/>
        </xsd:restriction>
      </xsd:simpleType>
    </xsd:element>
    <xsd:element name="SignificantOrder" ma:index="24" nillable="true" ma:displayName="SignificantOrder" ma:default="0" ma:description="Whether this document set contains a significant order" ma:internalName="SignificantOrder">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6A4FE9D-0656-43B2-B0A7-7A7C53D7C163}">
  <ds:schemaRefs>
    <ds:schemaRef ds:uri="http://schemas.microsoft.com/office/2006/metadata/properties"/>
    <ds:schemaRef ds:uri="http://schemas.microsoft.com/office/infopath/2007/PartnerControls"/>
    <ds:schemaRef ds:uri="dc463f71-b30c-4ab2-9473-d307f9d35888"/>
    <ds:schemaRef ds:uri="http://schemas.microsoft.com/sharepoint/v3"/>
  </ds:schemaRefs>
</ds:datastoreItem>
</file>

<file path=customXml/itemProps2.xml><?xml version="1.0" encoding="utf-8"?>
<ds:datastoreItem xmlns:ds="http://schemas.openxmlformats.org/officeDocument/2006/customXml" ds:itemID="{EEACA66F-5F18-4434-865A-E0FC42F476AC}">
  <ds:schemaRefs>
    <ds:schemaRef ds:uri="http://schemas.microsoft.com/sharepoint/v3/contenttype/forms"/>
  </ds:schemaRefs>
</ds:datastoreItem>
</file>

<file path=customXml/itemProps3.xml><?xml version="1.0" encoding="utf-8"?>
<ds:datastoreItem xmlns:ds="http://schemas.openxmlformats.org/officeDocument/2006/customXml" ds:itemID="{7AB90F3C-2733-4334-9B94-F7473FA6F3C9}">
  <ds:schemaRefs>
    <ds:schemaRef ds:uri="Microsoft.SharePoint.Taxonomy.ContentTypeSync"/>
  </ds:schemaRefs>
</ds:datastoreItem>
</file>

<file path=customXml/itemProps4.xml><?xml version="1.0" encoding="utf-8"?>
<ds:datastoreItem xmlns:ds="http://schemas.openxmlformats.org/officeDocument/2006/customXml" ds:itemID="{D230966D-4D1E-4862-B9F2-4A4F0083BE3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c463f71-b30c-4ab2-9473-d307f9d3588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1. General 2022</vt:lpstr>
      <vt:lpstr>2. Disconnections 2022</vt:lpstr>
      <vt:lpstr>3. Fees 2022</vt:lpstr>
      <vt:lpstr>4. Payment Arrangements 2022</vt:lpstr>
      <vt:lpstr>5. Medical Certificates 2022</vt:lpstr>
      <vt:lpstr>6. Deposits 2022</vt:lpstr>
      <vt:lpstr>7. Bill Assistance 2022</vt:lpstr>
      <vt:lpstr>8. Past Due Balances 2022</vt:lpstr>
    </vt:vector>
  </TitlesOfParts>
  <Company>PUGET SOUND ENERGY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 McKinley</dc:creator>
  <cp:lastModifiedBy>Microsoft Office User</cp:lastModifiedBy>
  <dcterms:created xsi:type="dcterms:W3CDTF">2021-01-22T20:26:41Z</dcterms:created>
  <dcterms:modified xsi:type="dcterms:W3CDTF">2023-06-08T23:46:28Z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0x0101006E56B4D1795A2E4DB2F0B01679ED314A0042BA66D152C5244F9D6378BECD2888A1</vt:lpwstr>
  </property>
  <property fmtid="{D5CDD505-2E9C-101B-9397-08002B2CF9AE}" pid="3" name="_docset_NoMedatataSyncRequired">
    <vt:lpwstr>False</vt:lpwstr>
  </property>
  <property fmtid="{D5CDD505-2E9C-101B-9397-08002B2CF9AE}" pid="4" name="IsEFSEC">
    <vt:bool>false</vt:bool>
  </property>
</Properties>
</file>