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2 Data/NWN/"/>
    </mc:Choice>
  </mc:AlternateContent>
  <xr:revisionPtr revIDLastSave="0" documentId="13_ncr:1_{5FD31771-BB29-E642-B150-DD8AFC89859F}" xr6:coauthVersionLast="47" xr6:coauthVersionMax="47" xr10:uidLastSave="{00000000-0000-0000-0000-000000000000}"/>
  <bookViews>
    <workbookView xWindow="28800" yWindow="480" windowWidth="38400" windowHeight="21120" tabRatio="832" activeTab="7" xr2:uid="{A749A0BD-B227-4539-99BF-5615F56DD861}"/>
  </bookViews>
  <sheets>
    <sheet name="1. General 2022" sheetId="2" r:id="rId1"/>
    <sheet name="2. Disconnections 2022" sheetId="3" r:id="rId2"/>
    <sheet name="3. Fees 2022" sheetId="4" r:id="rId3"/>
    <sheet name="4. Payment Arrangements 2022" sheetId="5" r:id="rId4"/>
    <sheet name="5. Medical Certificates 2022" sheetId="6" r:id="rId5"/>
    <sheet name="6. Deposits 2022" sheetId="7" r:id="rId6"/>
    <sheet name="7. Bill Assistance 2022" sheetId="8" r:id="rId7"/>
    <sheet name="8. Past Due Balances 2022" sheetId="9" r:id="rId8"/>
  </sheets>
  <definedNames>
    <definedName name="_xlnm.Print_Area" localSheetId="0">'1. General 2022'!$A$1:$L$131</definedName>
    <definedName name="_xlnm.Print_Area" localSheetId="1">'2. Disconnections 2022'!$A$1:$AA$129</definedName>
    <definedName name="_xlnm.Print_Area" localSheetId="2">'3. Fees 2022'!$A$1:$Z$127</definedName>
    <definedName name="_xlnm.Print_Area" localSheetId="3">'4. Payment Arrangements 2022'!$A$1:$R$130</definedName>
    <definedName name="_xlnm.Print_Area" localSheetId="4">'5. Medical Certificates 2022'!$A$1:$Q$130</definedName>
    <definedName name="_xlnm.Print_Area" localSheetId="5">'6. Deposits 2022'!$A$1:$R$131</definedName>
    <definedName name="_xlnm.Print_Area" localSheetId="6">'7. Bill Assistance 2022'!$A$1:$F$127</definedName>
    <definedName name="_xlnm.Print_Area" localSheetId="7">'8. Past Due Balances 2022'!$A$1:$BO$128</definedName>
    <definedName name="_xlnm.Print_Titles" localSheetId="0">'1. General 2022'!$A:$B,'1. General 2022'!$1:$2</definedName>
    <definedName name="_xlnm.Print_Titles" localSheetId="1">'2. Disconnections 2022'!$A:$B,'2. Disconnections 2022'!$1:$4</definedName>
    <definedName name="_xlnm.Print_Titles" localSheetId="2">'3. Fees 2022'!$A:$B,'3. Fees 2022'!$1:$2</definedName>
    <definedName name="_xlnm.Print_Titles" localSheetId="3">'4. Payment Arrangements 2022'!$A:$B,'4. Payment Arrangements 2022'!$1:$2</definedName>
    <definedName name="_xlnm.Print_Titles" localSheetId="4">'5. Medical Certificates 2022'!$A:$A,'5. Medical Certificates 2022'!$1:$2</definedName>
    <definedName name="_xlnm.Print_Titles" localSheetId="5">'6. Deposits 2022'!$A:$B,'6. Deposits 2022'!$1:$2</definedName>
    <definedName name="_xlnm.Print_Titles" localSheetId="6">'7. Bill Assistance 2022'!$A:$B,'7. Bill Assistance 2022'!$1:$2</definedName>
    <definedName name="_xlnm.Print_Titles" localSheetId="7">'8. Past Due Balances 2022'!$A:$B,'8. Past Due Balances 2022'!$1:$3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33" i="9" l="1"/>
  <c r="AR133" i="9"/>
  <c r="AP133" i="9"/>
  <c r="AQ133" i="9"/>
  <c r="Y133" i="9"/>
  <c r="Z133" i="9"/>
  <c r="AA133" i="9"/>
  <c r="AC133" i="9"/>
  <c r="AD133" i="9"/>
  <c r="AE133" i="9"/>
  <c r="AF133" i="9"/>
  <c r="AG133" i="9"/>
  <c r="AH133" i="9"/>
  <c r="AI133" i="9"/>
  <c r="AJ133" i="9"/>
  <c r="AK133" i="9"/>
  <c r="AL133" i="9"/>
  <c r="AM133" i="9"/>
  <c r="AN133" i="9"/>
  <c r="AO133" i="9"/>
  <c r="E133" i="9"/>
  <c r="F133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D133" i="9"/>
  <c r="E132" i="8"/>
  <c r="F132" i="8"/>
  <c r="D132" i="8"/>
  <c r="E132" i="5" l="1"/>
  <c r="F132" i="5"/>
  <c r="D132" i="5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D132" i="4"/>
  <c r="E134" i="3"/>
  <c r="F134" i="3"/>
  <c r="D134" i="3"/>
  <c r="V134" i="3"/>
  <c r="W134" i="3"/>
  <c r="U134" i="3"/>
  <c r="J2" i="7"/>
  <c r="I2" i="7"/>
  <c r="H2" i="7"/>
  <c r="Q9" i="6" l="1"/>
  <c r="P9" i="6"/>
  <c r="O9" i="6"/>
  <c r="E9" i="6"/>
  <c r="D9" i="6"/>
  <c r="C9" i="6"/>
  <c r="I9" i="6"/>
  <c r="H9" i="6"/>
  <c r="G9" i="6"/>
  <c r="C129" i="2"/>
  <c r="D129" i="2"/>
  <c r="C130" i="2"/>
  <c r="D130" i="2"/>
  <c r="C131" i="2"/>
  <c r="D131" i="2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M9" i="6" l="1"/>
  <c r="L9" i="6"/>
  <c r="K9" i="6"/>
  <c r="AU6" i="9" l="1"/>
  <c r="AA4" i="3"/>
  <c r="Z4" i="3"/>
  <c r="W4" i="3"/>
  <c r="V4" i="3"/>
  <c r="Y4" i="3"/>
  <c r="U4" i="3"/>
  <c r="P2" i="3"/>
  <c r="L2" i="3"/>
  <c r="H2" i="3"/>
  <c r="AO2" i="9"/>
  <c r="AK2" i="9"/>
  <c r="AG2" i="9"/>
  <c r="X2" i="9"/>
  <c r="P2" i="9"/>
  <c r="H2" i="9"/>
  <c r="BA3" i="9" l="1"/>
  <c r="BF3" i="9" s="1"/>
  <c r="BJ3" i="9" s="1"/>
  <c r="BO3" i="9" s="1"/>
  <c r="AZ3" i="9"/>
  <c r="BE3" i="9" s="1"/>
  <c r="BI3" i="9" s="1"/>
  <c r="BN3" i="9" s="1"/>
  <c r="AY3" i="9"/>
  <c r="BD3" i="9" s="1"/>
  <c r="BH3" i="9" s="1"/>
  <c r="BM3" i="9" s="1"/>
  <c r="I2" i="6" l="1"/>
  <c r="M2" i="6" s="1"/>
  <c r="Q2" i="6" s="1"/>
  <c r="H2" i="6"/>
  <c r="L2" i="6" s="1"/>
  <c r="P2" i="6" s="1"/>
  <c r="G2" i="6"/>
  <c r="K2" i="6" s="1"/>
  <c r="O2" i="6" s="1"/>
  <c r="N2" i="7" l="1"/>
  <c r="R2" i="7" s="1"/>
  <c r="M2" i="7"/>
  <c r="Q2" i="7" s="1"/>
  <c r="L2" i="7"/>
  <c r="P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D128" i="2" l="1"/>
  <c r="C128" i="2"/>
  <c r="D127" i="2"/>
  <c r="C127" i="2"/>
  <c r="D126" i="2"/>
  <c r="C126" i="2"/>
  <c r="D125" i="2"/>
  <c r="C125" i="2"/>
  <c r="AV6" i="9" l="1"/>
  <c r="AW6" i="9"/>
  <c r="BO6" i="9" l="1"/>
  <c r="BN6" i="9"/>
  <c r="BM6" i="9"/>
  <c r="BF6" i="9"/>
  <c r="BE6" i="9"/>
  <c r="BD6" i="9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</calcChain>
</file>

<file path=xl/sharedStrings.xml><?xml version="1.0" encoding="utf-8"?>
<sst xmlns="http://schemas.openxmlformats.org/spreadsheetml/2006/main" count="2734" uniqueCount="135">
  <si>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</si>
  <si>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</si>
  <si>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</si>
  <si>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</si>
  <si>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</si>
  <si>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</si>
  <si>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</si>
  <si>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</si>
  <si>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</si>
  <si>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</si>
  <si>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</si>
  <si>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</si>
  <si>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</si>
  <si>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</si>
  <si>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</si>
  <si>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</si>
  <si>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</si>
  <si>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</si>
  <si>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</si>
  <si>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</si>
  <si>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</si>
  <si>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</si>
  <si>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</si>
  <si>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</si>
  <si>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</si>
  <si>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</si>
  <si>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</si>
  <si>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</si>
  <si>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</si>
  <si>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</si>
  <si>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</si>
  <si>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</si>
  <si>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</si>
  <si>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see item d</t>
  </si>
  <si>
    <t>Commercial</t>
  </si>
  <si>
    <t>Industrial</t>
  </si>
  <si>
    <t>Residential</t>
  </si>
  <si>
    <t>This data is not available by zip code; NW Natural will continue</t>
  </si>
  <si>
    <t>to develop this availability and will update as needed</t>
  </si>
  <si>
    <t>98026</t>
  </si>
  <si>
    <t>98119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</si>
  <si>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</si>
  <si>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</si>
  <si>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</si>
  <si>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</si>
  <si>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</si>
  <si>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</si>
  <si>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</si>
  <si>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</si>
  <si>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</si>
  <si>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</si>
  <si>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</si>
  <si>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</si>
  <si>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</si>
  <si>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</si>
  <si>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</si>
  <si>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</si>
  <si>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</si>
  <si>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</si>
  <si>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</si>
  <si>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</si>
  <si>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</si>
  <si>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</si>
  <si>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</si>
  <si>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</si>
  <si>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</si>
  <si>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</si>
  <si>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</si>
  <si>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</si>
  <si>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</si>
  <si>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</si>
  <si>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</si>
  <si>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</si>
  <si>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</si>
  <si>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</si>
  <si>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</si>
  <si>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</si>
  <si>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</si>
  <si>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Item b) Avg. Duration of Disconnection by Customer Class (excludes accounts never reconnected)</t>
  </si>
  <si>
    <t>Totals</t>
  </si>
  <si>
    <t>97031</t>
  </si>
  <si>
    <t>97301</t>
  </si>
  <si>
    <t>97388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</si>
  <si>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</si>
  <si>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</si>
  <si>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</si>
  <si>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 xml:space="preserve">Response: </t>
  </si>
  <si>
    <t>N/A</t>
  </si>
  <si>
    <t>all zips total</t>
  </si>
  <si>
    <t>Item b) Aggregate amount of Charged Late Payment Fees</t>
  </si>
  <si>
    <t>Item c) Number of Customers by Customer Class Assessed Disconnection Fees</t>
  </si>
  <si>
    <t>Item d) Aggregate amount of Charged Disconnection Fees</t>
  </si>
  <si>
    <t>Item e) Number of Customers by Customer Class Assessed Reconnection Fees</t>
  </si>
  <si>
    <t>Item f) Aggregate amount of Charged Reconnection Fees</t>
  </si>
  <si>
    <t>This data is not available - NW Natural is unable to</t>
  </si>
  <si>
    <t>track this data.</t>
  </si>
  <si>
    <t>Reconnect</t>
  </si>
  <si>
    <t>w/in 24 hrs</t>
  </si>
  <si>
    <t>w/in 48 hrs</t>
  </si>
  <si>
    <t>w/in 7 days</t>
  </si>
  <si>
    <t>over 7 days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</si>
  <si>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</si>
  <si>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</si>
  <si>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</si>
  <si>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</si>
  <si>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>No occurrences to report</t>
  </si>
  <si>
    <t>Zip</t>
  </si>
  <si>
    <t>Class</t>
  </si>
  <si>
    <t>General 2022</t>
  </si>
  <si>
    <t>Fees 2022</t>
  </si>
  <si>
    <t>Pmt Arrangements 2022</t>
  </si>
  <si>
    <t>Disconnections 2022</t>
  </si>
  <si>
    <t>Med Certs 2022</t>
  </si>
  <si>
    <t>Bill Assist 2022</t>
  </si>
  <si>
    <t>Past Due 2022</t>
  </si>
  <si>
    <t>Deposits 2022</t>
  </si>
  <si>
    <t>30 Days Amt</t>
  </si>
  <si>
    <t>30 Day Count</t>
  </si>
  <si>
    <t>60 Days Amt</t>
  </si>
  <si>
    <t>60 Days Count</t>
  </si>
  <si>
    <t>90 Days + Amt</t>
  </si>
  <si>
    <t>90 Days + Count</t>
  </si>
  <si>
    <t>Total Count</t>
  </si>
  <si>
    <t>Late Zip</t>
  </si>
  <si>
    <t>Late Class</t>
  </si>
  <si>
    <t>98864</t>
  </si>
  <si>
    <t>Jul</t>
  </si>
  <si>
    <t>Aug</t>
  </si>
  <si>
    <t>Sep</t>
  </si>
  <si>
    <t>Count - 07/2022</t>
  </si>
  <si>
    <t>Count - 08/2022</t>
  </si>
  <si>
    <t>Count - 09/2022</t>
  </si>
  <si>
    <t>Load - 07/2022</t>
  </si>
  <si>
    <t>Load - 08/2022</t>
  </si>
  <si>
    <t>Load - 09/2022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</si>
</sst>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sz val="10"/>
      <color indexed="64"/>
      <name val="Arial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17" fontId="0" fillId="2" borderId="0" xfId="0" applyNumberFormat="1" applyFill="1"/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7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 applyAlignment="1">
      <alignment horizontal="centerContinuous"/>
    </xf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17" fontId="15" fillId="0" borderId="1" xfId="0" applyNumberFormat="1" applyFont="1" applyBorder="1"/>
    <xf numFmtId="168" fontId="5" fillId="12" borderId="18" xfId="0" applyNumberFormat="1" applyFont="1" applyFill="1" applyBorder="1"/>
    <xf numFmtId="168" fontId="5" fillId="0" borderId="18" xfId="0" applyNumberFormat="1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0" fontId="18" fillId="12" borderId="18" xfId="0" applyFont="1" applyFill="1" applyBorder="1"/>
    <xf numFmtId="0" fontId="18" fillId="0" borderId="18" xfId="0" applyFont="1" applyBorder="1"/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0" fillId="0" borderId="0" xfId="0" applyNumberFormat="1" applyAlignment="1">
      <alignment horizontal="center"/>
    </xf>
    <xf numFmtId="17" fontId="19" fillId="0" borderId="0" xfId="0" applyNumberFormat="1" applyFont="1" applyAlignment="1">
      <alignment horizontal="centerContinuous" wrapText="1"/>
    </xf>
    <xf numFmtId="0" fontId="0" fillId="0" borderId="1" xfId="0" applyBorder="1" applyAlignment="1">
      <alignment wrapText="1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12" borderId="22" xfId="0" applyFont="1" applyFill="1" applyBorder="1"/>
    <xf numFmtId="0" fontId="2" fillId="14" borderId="23" xfId="0" applyFont="1" applyFill="1" applyBorder="1"/>
    <xf numFmtId="0" fontId="2" fillId="14" borderId="24" xfId="0" applyFont="1" applyFill="1" applyBorder="1"/>
    <xf numFmtId="7" fontId="5" fillId="12" borderId="22" xfId="8" applyNumberFormat="1" applyFont="1" applyFill="1" applyBorder="1"/>
    <xf numFmtId="7" fontId="0" fillId="3" borderId="0" xfId="0" applyNumberFormat="1" applyFill="1" applyBorder="1"/>
    <xf numFmtId="0" fontId="0" fillId="3" borderId="0" xfId="0" applyFill="1" applyBorder="1"/>
    <xf numFmtId="0" fontId="2" fillId="3" borderId="0" xfId="0" applyFont="1" applyFill="1" applyBorder="1" applyAlignment="1">
      <alignment horizontal="centerContinuous"/>
    </xf>
    <xf numFmtId="0" fontId="0" fillId="3" borderId="0" xfId="0" applyFill="1" applyBorder="1" applyAlignment="1">
      <alignment horizontal="centerContinuous"/>
    </xf>
    <xf numFmtId="7" fontId="5" fillId="12" borderId="22" xfId="0" applyNumberFormat="1" applyFont="1" applyFill="1" applyBorder="1"/>
    <xf numFmtId="37" fontId="5" fillId="12" borderId="22" xfId="0" applyNumberFormat="1" applyFont="1" applyFill="1" applyBorder="1"/>
    <xf numFmtId="7" fontId="2" fillId="14" borderId="24" xfId="0" applyNumberFormat="1" applyFont="1" applyFill="1" applyBorder="1"/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31"/>
  <sheetViews>
    <sheetView view="pageLayout" zoomScaleNormal="100" zoomScaleSheetLayoutView="100" workbookViewId="0"/>
  </sheetViews>
  <sheetFormatPr baseColWidth="10" defaultColWidth="8.83203125" defaultRowHeight="15" x14ac:dyDescent="0.2"/>
  <cols>
    <col min="1" max="1" width="8.6640625" bestFit="1" customWidth="1"/>
    <col min="2" max="2" width="14.5" bestFit="1" customWidth="1"/>
    <col min="3" max="4" width="16.6640625" customWidth="1"/>
    <col min="5" max="5" width="5.6640625" customWidth="1"/>
    <col min="6" max="8" width="11.6640625" customWidth="1"/>
    <col min="9" max="9" width="3.6640625" customWidth="1"/>
    <col min="10" max="12" width="14.6640625" customWidth="1"/>
  </cols>
  <sheetData>
    <row r="1" spans="1:12" x14ac:dyDescent="0.2">
      <c r="A1" s="5" t="s">
        <v>108</v>
      </c>
      <c r="B1" s="5"/>
      <c r="C1" s="5"/>
      <c r="D1" s="5"/>
      <c r="F1" t="s">
        <v>3</v>
      </c>
      <c r="J1" t="s">
        <v>2</v>
      </c>
    </row>
    <row r="2" spans="1:12" ht="48" x14ac:dyDescent="0.2">
      <c r="A2" s="54" t="s">
        <v>106</v>
      </c>
      <c r="B2" s="54" t="s">
        <v>107</v>
      </c>
      <c r="C2" s="3" t="s">
        <v>3</v>
      </c>
      <c r="D2" s="3" t="s">
        <v>2</v>
      </c>
      <c r="F2" s="55" t="s">
        <v>129</v>
      </c>
      <c r="G2" s="55" t="s">
        <v>130</v>
      </c>
      <c r="H2" s="55" t="s">
        <v>131</v>
      </c>
      <c r="J2" s="4" t="s">
        <v>132</v>
      </c>
      <c r="K2" s="4" t="s">
        <v>133</v>
      </c>
      <c r="L2" s="4" t="s">
        <v>134</v>
      </c>
    </row>
    <row r="3" spans="1:12" x14ac:dyDescent="0.2">
      <c r="A3" s="56" t="s">
        <v>80</v>
      </c>
      <c r="B3" s="56" t="s">
        <v>34</v>
      </c>
      <c r="C3" s="8">
        <f t="shared" ref="C3:C34" si="0">SUM(F3:H3)</f>
        <v>0</v>
      </c>
      <c r="D3" s="8">
        <f t="shared" ref="D3:D34" si="1">SUM(J3:L3)</f>
        <v>0</v>
      </c>
      <c r="F3" s="52">
        <v>0</v>
      </c>
      <c r="G3" s="52">
        <v>0</v>
      </c>
      <c r="H3" s="52">
        <v>0</v>
      </c>
      <c r="J3" s="41">
        <v>0</v>
      </c>
      <c r="K3" s="41">
        <v>0</v>
      </c>
      <c r="L3" s="41">
        <v>0</v>
      </c>
    </row>
    <row r="4" spans="1:12" x14ac:dyDescent="0.2">
      <c r="A4" s="57" t="s">
        <v>80</v>
      </c>
      <c r="B4" s="57" t="s">
        <v>35</v>
      </c>
      <c r="C4" s="8">
        <f t="shared" si="0"/>
        <v>0</v>
      </c>
      <c r="D4" s="8">
        <f t="shared" si="1"/>
        <v>0</v>
      </c>
      <c r="F4" s="53">
        <v>0</v>
      </c>
      <c r="G4" s="53">
        <v>0</v>
      </c>
      <c r="H4" s="53">
        <v>0</v>
      </c>
      <c r="J4" s="42">
        <v>0</v>
      </c>
      <c r="K4" s="42">
        <v>0</v>
      </c>
      <c r="L4" s="42">
        <v>0</v>
      </c>
    </row>
    <row r="5" spans="1:12" x14ac:dyDescent="0.2">
      <c r="A5" s="56" t="s">
        <v>80</v>
      </c>
      <c r="B5" s="56" t="s">
        <v>36</v>
      </c>
      <c r="C5" s="8">
        <f t="shared" si="0"/>
        <v>0</v>
      </c>
      <c r="D5" s="8">
        <f t="shared" si="1"/>
        <v>0</v>
      </c>
      <c r="F5" s="52">
        <v>0</v>
      </c>
      <c r="G5" s="52">
        <v>0</v>
      </c>
      <c r="H5" s="52">
        <v>0</v>
      </c>
      <c r="J5" s="41">
        <v>0</v>
      </c>
      <c r="K5" s="41">
        <v>0</v>
      </c>
      <c r="L5" s="41">
        <v>0</v>
      </c>
    </row>
    <row r="6" spans="1:12" x14ac:dyDescent="0.2">
      <c r="A6" s="57" t="s">
        <v>81</v>
      </c>
      <c r="B6" s="57" t="s">
        <v>34</v>
      </c>
      <c r="C6" s="8">
        <f t="shared" si="0"/>
        <v>0</v>
      </c>
      <c r="D6" s="8">
        <f t="shared" si="1"/>
        <v>0</v>
      </c>
      <c r="F6" s="53">
        <v>0</v>
      </c>
      <c r="G6" s="53">
        <v>0</v>
      </c>
      <c r="H6" s="53">
        <v>0</v>
      </c>
      <c r="J6" s="42">
        <v>0</v>
      </c>
      <c r="K6" s="42">
        <v>0</v>
      </c>
      <c r="L6" s="42">
        <v>0</v>
      </c>
    </row>
    <row r="7" spans="1:12" x14ac:dyDescent="0.2">
      <c r="A7" s="56" t="s">
        <v>81</v>
      </c>
      <c r="B7" s="56" t="s">
        <v>35</v>
      </c>
      <c r="C7" s="8">
        <f t="shared" si="0"/>
        <v>0</v>
      </c>
      <c r="D7" s="8">
        <f t="shared" si="1"/>
        <v>0</v>
      </c>
      <c r="F7" s="52">
        <v>0</v>
      </c>
      <c r="G7" s="52">
        <v>0</v>
      </c>
      <c r="H7" s="52">
        <v>0</v>
      </c>
      <c r="J7" s="41">
        <v>0</v>
      </c>
      <c r="K7" s="41">
        <v>0</v>
      </c>
      <c r="L7" s="41">
        <v>0</v>
      </c>
    </row>
    <row r="8" spans="1:12" x14ac:dyDescent="0.2">
      <c r="A8" s="57" t="s">
        <v>81</v>
      </c>
      <c r="B8" s="57" t="s">
        <v>36</v>
      </c>
      <c r="C8" s="8">
        <f t="shared" si="0"/>
        <v>0</v>
      </c>
      <c r="D8" s="8">
        <f t="shared" si="1"/>
        <v>0</v>
      </c>
      <c r="F8" s="53">
        <v>0</v>
      </c>
      <c r="G8" s="53">
        <v>0</v>
      </c>
      <c r="H8" s="53">
        <v>0</v>
      </c>
      <c r="J8" s="42">
        <v>0</v>
      </c>
      <c r="K8" s="42">
        <v>0</v>
      </c>
      <c r="L8" s="42">
        <v>0</v>
      </c>
    </row>
    <row r="9" spans="1:12" x14ac:dyDescent="0.2">
      <c r="A9" s="56" t="s">
        <v>82</v>
      </c>
      <c r="B9" s="56" t="s">
        <v>34</v>
      </c>
      <c r="C9" s="8">
        <f t="shared" si="0"/>
        <v>0</v>
      </c>
      <c r="D9" s="8">
        <f t="shared" si="1"/>
        <v>0</v>
      </c>
      <c r="F9" s="52">
        <v>0</v>
      </c>
      <c r="G9" s="52">
        <v>0</v>
      </c>
      <c r="H9" s="52">
        <v>0</v>
      </c>
      <c r="J9" s="41">
        <v>0</v>
      </c>
      <c r="K9" s="41">
        <v>0</v>
      </c>
      <c r="L9" s="41">
        <v>0</v>
      </c>
    </row>
    <row r="10" spans="1:12" x14ac:dyDescent="0.2">
      <c r="A10" s="57" t="s">
        <v>82</v>
      </c>
      <c r="B10" s="57" t="s">
        <v>35</v>
      </c>
      <c r="C10" s="8">
        <f t="shared" si="0"/>
        <v>0</v>
      </c>
      <c r="D10" s="8">
        <f t="shared" si="1"/>
        <v>0</v>
      </c>
      <c r="F10" s="53">
        <v>0</v>
      </c>
      <c r="G10" s="53">
        <v>0</v>
      </c>
      <c r="H10" s="53">
        <v>0</v>
      </c>
      <c r="J10" s="42">
        <v>0</v>
      </c>
      <c r="K10" s="42">
        <v>0</v>
      </c>
      <c r="L10" s="42">
        <v>0</v>
      </c>
    </row>
    <row r="11" spans="1:12" x14ac:dyDescent="0.2">
      <c r="A11" s="56" t="s">
        <v>82</v>
      </c>
      <c r="B11" s="56" t="s">
        <v>36</v>
      </c>
      <c r="C11" s="8">
        <f t="shared" si="0"/>
        <v>0</v>
      </c>
      <c r="D11" s="8">
        <f t="shared" si="1"/>
        <v>0</v>
      </c>
      <c r="F11" s="52">
        <v>0</v>
      </c>
      <c r="G11" s="52">
        <v>0</v>
      </c>
      <c r="H11" s="52">
        <v>0</v>
      </c>
      <c r="J11" s="41">
        <v>0</v>
      </c>
      <c r="K11" s="41">
        <v>0</v>
      </c>
      <c r="L11" s="41">
        <v>0</v>
      </c>
    </row>
    <row r="12" spans="1:12" x14ac:dyDescent="0.2">
      <c r="A12" s="57" t="s">
        <v>39</v>
      </c>
      <c r="B12" s="57" t="s">
        <v>34</v>
      </c>
      <c r="C12" s="8">
        <f t="shared" si="0"/>
        <v>0</v>
      </c>
      <c r="D12" s="8">
        <f t="shared" si="1"/>
        <v>0</v>
      </c>
      <c r="F12" s="53">
        <v>0</v>
      </c>
      <c r="G12" s="53">
        <v>0</v>
      </c>
      <c r="H12" s="53">
        <v>0</v>
      </c>
      <c r="J12" s="42">
        <v>0</v>
      </c>
      <c r="K12" s="42">
        <v>0</v>
      </c>
      <c r="L12" s="42">
        <v>0</v>
      </c>
    </row>
    <row r="13" spans="1:12" x14ac:dyDescent="0.2">
      <c r="A13" s="56" t="s">
        <v>39</v>
      </c>
      <c r="B13" s="56" t="s">
        <v>35</v>
      </c>
      <c r="C13" s="8">
        <f t="shared" si="0"/>
        <v>0</v>
      </c>
      <c r="D13" s="8">
        <f t="shared" si="1"/>
        <v>0</v>
      </c>
      <c r="F13" s="52">
        <v>0</v>
      </c>
      <c r="G13" s="52">
        <v>0</v>
      </c>
      <c r="H13" s="52">
        <v>0</v>
      </c>
      <c r="J13" s="41">
        <v>0</v>
      </c>
      <c r="K13" s="41">
        <v>0</v>
      </c>
      <c r="L13" s="41">
        <v>0</v>
      </c>
    </row>
    <row r="14" spans="1:12" x14ac:dyDescent="0.2">
      <c r="A14" s="57" t="s">
        <v>39</v>
      </c>
      <c r="B14" s="57" t="s">
        <v>36</v>
      </c>
      <c r="C14" s="8">
        <f t="shared" si="0"/>
        <v>0</v>
      </c>
      <c r="D14" s="8">
        <f t="shared" si="1"/>
        <v>0</v>
      </c>
      <c r="F14" s="53">
        <v>0</v>
      </c>
      <c r="G14" s="53">
        <v>0</v>
      </c>
      <c r="H14" s="53">
        <v>0</v>
      </c>
      <c r="J14" s="42">
        <v>0</v>
      </c>
      <c r="K14" s="42">
        <v>0</v>
      </c>
      <c r="L14" s="42">
        <v>0</v>
      </c>
    </row>
    <row r="15" spans="1:12" x14ac:dyDescent="0.2">
      <c r="A15" s="56" t="s">
        <v>40</v>
      </c>
      <c r="B15" s="56" t="s">
        <v>34</v>
      </c>
      <c r="C15" s="8">
        <f t="shared" si="0"/>
        <v>0</v>
      </c>
      <c r="D15" s="8">
        <f t="shared" si="1"/>
        <v>0</v>
      </c>
      <c r="F15" s="52">
        <v>0</v>
      </c>
      <c r="G15" s="52">
        <v>0</v>
      </c>
      <c r="H15" s="52">
        <v>0</v>
      </c>
      <c r="J15" s="41">
        <v>0</v>
      </c>
      <c r="K15" s="41">
        <v>0</v>
      </c>
      <c r="L15" s="41">
        <v>0</v>
      </c>
    </row>
    <row r="16" spans="1:12" x14ac:dyDescent="0.2">
      <c r="A16" s="57" t="s">
        <v>40</v>
      </c>
      <c r="B16" s="57" t="s">
        <v>35</v>
      </c>
      <c r="C16" s="8">
        <f t="shared" si="0"/>
        <v>0</v>
      </c>
      <c r="D16" s="8">
        <f t="shared" si="1"/>
        <v>0</v>
      </c>
      <c r="F16" s="53">
        <v>0</v>
      </c>
      <c r="G16" s="53">
        <v>0</v>
      </c>
      <c r="H16" s="53">
        <v>0</v>
      </c>
      <c r="J16" s="42">
        <v>0</v>
      </c>
      <c r="K16" s="42">
        <v>0</v>
      </c>
      <c r="L16" s="42">
        <v>0</v>
      </c>
    </row>
    <row r="17" spans="1:12" x14ac:dyDescent="0.2">
      <c r="A17" s="56" t="s">
        <v>40</v>
      </c>
      <c r="B17" s="56" t="s">
        <v>36</v>
      </c>
      <c r="C17" s="8">
        <f t="shared" si="0"/>
        <v>0</v>
      </c>
      <c r="D17" s="8">
        <f t="shared" si="1"/>
        <v>0</v>
      </c>
      <c r="F17" s="52">
        <v>0</v>
      </c>
      <c r="G17" s="52">
        <v>0</v>
      </c>
      <c r="H17" s="52">
        <v>0</v>
      </c>
      <c r="J17" s="41">
        <v>0</v>
      </c>
      <c r="K17" s="41">
        <v>0</v>
      </c>
      <c r="L17" s="41">
        <v>0</v>
      </c>
    </row>
    <row r="18" spans="1:12" x14ac:dyDescent="0.2">
      <c r="A18" s="57" t="s">
        <v>41</v>
      </c>
      <c r="B18" s="57" t="s">
        <v>34</v>
      </c>
      <c r="C18" s="8">
        <f t="shared" si="0"/>
        <v>0</v>
      </c>
      <c r="D18" s="8">
        <f t="shared" si="1"/>
        <v>0</v>
      </c>
      <c r="F18" s="53">
        <v>0</v>
      </c>
      <c r="G18" s="53">
        <v>0</v>
      </c>
      <c r="H18" s="53">
        <v>0</v>
      </c>
      <c r="J18" s="42">
        <v>0</v>
      </c>
      <c r="K18" s="42">
        <v>0</v>
      </c>
      <c r="L18" s="42">
        <v>0</v>
      </c>
    </row>
    <row r="19" spans="1:12" x14ac:dyDescent="0.2">
      <c r="A19" s="56" t="s">
        <v>41</v>
      </c>
      <c r="B19" s="56" t="s">
        <v>35</v>
      </c>
      <c r="C19" s="8">
        <f t="shared" si="0"/>
        <v>0</v>
      </c>
      <c r="D19" s="8">
        <f t="shared" si="1"/>
        <v>0</v>
      </c>
      <c r="F19" s="52">
        <v>0</v>
      </c>
      <c r="G19" s="52">
        <v>0</v>
      </c>
      <c r="H19" s="52">
        <v>0</v>
      </c>
      <c r="J19" s="41">
        <v>0</v>
      </c>
      <c r="K19" s="41">
        <v>0</v>
      </c>
      <c r="L19" s="41">
        <v>0</v>
      </c>
    </row>
    <row r="20" spans="1:12" x14ac:dyDescent="0.2">
      <c r="A20" s="57" t="s">
        <v>41</v>
      </c>
      <c r="B20" s="57" t="s">
        <v>36</v>
      </c>
      <c r="C20" s="8">
        <f t="shared" si="0"/>
        <v>0</v>
      </c>
      <c r="D20" s="8">
        <f t="shared" si="1"/>
        <v>0</v>
      </c>
      <c r="F20" s="53">
        <v>0</v>
      </c>
      <c r="G20" s="53">
        <v>0</v>
      </c>
      <c r="H20" s="53">
        <v>0</v>
      </c>
      <c r="J20" s="42">
        <v>0</v>
      </c>
      <c r="K20" s="42">
        <v>0</v>
      </c>
      <c r="L20" s="42">
        <v>0</v>
      </c>
    </row>
    <row r="21" spans="1:12" x14ac:dyDescent="0.2">
      <c r="A21" s="56" t="s">
        <v>42</v>
      </c>
      <c r="B21" s="56" t="s">
        <v>34</v>
      </c>
      <c r="C21" s="8">
        <f t="shared" si="0"/>
        <v>0</v>
      </c>
      <c r="D21" s="8">
        <f t="shared" si="1"/>
        <v>0</v>
      </c>
      <c r="F21" s="52">
        <v>0</v>
      </c>
      <c r="G21" s="52">
        <v>0</v>
      </c>
      <c r="H21" s="52">
        <v>0</v>
      </c>
      <c r="J21" s="41">
        <v>0</v>
      </c>
      <c r="K21" s="41">
        <v>0</v>
      </c>
      <c r="L21" s="41">
        <v>0</v>
      </c>
    </row>
    <row r="22" spans="1:12" x14ac:dyDescent="0.2">
      <c r="A22" s="57" t="s">
        <v>42</v>
      </c>
      <c r="B22" s="57" t="s">
        <v>35</v>
      </c>
      <c r="C22" s="8">
        <f t="shared" si="0"/>
        <v>0</v>
      </c>
      <c r="D22" s="8">
        <f t="shared" si="1"/>
        <v>0</v>
      </c>
      <c r="F22" s="53">
        <v>0</v>
      </c>
      <c r="G22" s="53">
        <v>0</v>
      </c>
      <c r="H22" s="53">
        <v>0</v>
      </c>
      <c r="J22" s="42">
        <v>0</v>
      </c>
      <c r="K22" s="42">
        <v>0</v>
      </c>
      <c r="L22" s="42">
        <v>0</v>
      </c>
    </row>
    <row r="23" spans="1:12" x14ac:dyDescent="0.2">
      <c r="A23" s="56" t="s">
        <v>42</v>
      </c>
      <c r="B23" s="56" t="s">
        <v>36</v>
      </c>
      <c r="C23" s="8">
        <f t="shared" si="0"/>
        <v>0</v>
      </c>
      <c r="D23" s="8">
        <f t="shared" si="1"/>
        <v>0</v>
      </c>
      <c r="F23" s="52">
        <v>0</v>
      </c>
      <c r="G23" s="52">
        <v>0</v>
      </c>
      <c r="H23" s="52">
        <v>0</v>
      </c>
      <c r="J23" s="41">
        <v>0</v>
      </c>
      <c r="K23" s="41">
        <v>0</v>
      </c>
      <c r="L23" s="41">
        <v>0</v>
      </c>
    </row>
    <row r="24" spans="1:12" x14ac:dyDescent="0.2">
      <c r="A24" s="57" t="s">
        <v>43</v>
      </c>
      <c r="B24" s="57" t="s">
        <v>34</v>
      </c>
      <c r="C24" s="8">
        <f t="shared" si="0"/>
        <v>0</v>
      </c>
      <c r="D24" s="8">
        <f t="shared" si="1"/>
        <v>0</v>
      </c>
      <c r="F24" s="53">
        <v>0</v>
      </c>
      <c r="G24" s="53">
        <v>0</v>
      </c>
      <c r="H24" s="53">
        <v>0</v>
      </c>
      <c r="J24" s="42">
        <v>0</v>
      </c>
      <c r="K24" s="42">
        <v>0</v>
      </c>
      <c r="L24" s="42">
        <v>0</v>
      </c>
    </row>
    <row r="25" spans="1:12" x14ac:dyDescent="0.2">
      <c r="A25" s="56" t="s">
        <v>43</v>
      </c>
      <c r="B25" s="56" t="s">
        <v>35</v>
      </c>
      <c r="C25" s="8">
        <f t="shared" si="0"/>
        <v>0</v>
      </c>
      <c r="D25" s="8">
        <f t="shared" si="1"/>
        <v>0</v>
      </c>
      <c r="F25" s="52">
        <v>0</v>
      </c>
      <c r="G25" s="52">
        <v>0</v>
      </c>
      <c r="H25" s="52">
        <v>0</v>
      </c>
      <c r="J25" s="41">
        <v>0</v>
      </c>
      <c r="K25" s="41">
        <v>0</v>
      </c>
      <c r="L25" s="41">
        <v>0</v>
      </c>
    </row>
    <row r="26" spans="1:12" x14ac:dyDescent="0.2">
      <c r="A26" s="57" t="s">
        <v>43</v>
      </c>
      <c r="B26" s="57" t="s">
        <v>36</v>
      </c>
      <c r="C26" s="8">
        <f t="shared" si="0"/>
        <v>0</v>
      </c>
      <c r="D26" s="8">
        <f t="shared" si="1"/>
        <v>0</v>
      </c>
      <c r="F26" s="53">
        <v>0</v>
      </c>
      <c r="G26" s="53">
        <v>0</v>
      </c>
      <c r="H26" s="53">
        <v>0</v>
      </c>
      <c r="J26" s="42">
        <v>0</v>
      </c>
      <c r="K26" s="42">
        <v>0</v>
      </c>
      <c r="L26" s="42">
        <v>0</v>
      </c>
    </row>
    <row r="27" spans="1:12" x14ac:dyDescent="0.2">
      <c r="A27" s="56" t="s">
        <v>44</v>
      </c>
      <c r="B27" s="56" t="s">
        <v>34</v>
      </c>
      <c r="C27" s="8">
        <f t="shared" si="0"/>
        <v>0</v>
      </c>
      <c r="D27" s="8">
        <f t="shared" si="1"/>
        <v>0</v>
      </c>
      <c r="F27" s="52">
        <v>0</v>
      </c>
      <c r="G27" s="52">
        <v>0</v>
      </c>
      <c r="H27" s="52">
        <v>0</v>
      </c>
      <c r="J27" s="41">
        <v>0</v>
      </c>
      <c r="K27" s="41">
        <v>0</v>
      </c>
      <c r="L27" s="41">
        <v>0</v>
      </c>
    </row>
    <row r="28" spans="1:12" x14ac:dyDescent="0.2">
      <c r="A28" s="57" t="s">
        <v>44</v>
      </c>
      <c r="B28" s="57" t="s">
        <v>35</v>
      </c>
      <c r="C28" s="8">
        <f t="shared" si="0"/>
        <v>0</v>
      </c>
      <c r="D28" s="8">
        <f t="shared" si="1"/>
        <v>0</v>
      </c>
      <c r="F28" s="53">
        <v>0</v>
      </c>
      <c r="G28" s="53">
        <v>0</v>
      </c>
      <c r="H28" s="53">
        <v>0</v>
      </c>
      <c r="J28" s="42">
        <v>0</v>
      </c>
      <c r="K28" s="42">
        <v>0</v>
      </c>
      <c r="L28" s="42">
        <v>0</v>
      </c>
    </row>
    <row r="29" spans="1:12" x14ac:dyDescent="0.2">
      <c r="A29" s="56" t="s">
        <v>44</v>
      </c>
      <c r="B29" s="56" t="s">
        <v>36</v>
      </c>
      <c r="C29" s="8">
        <f t="shared" si="0"/>
        <v>0</v>
      </c>
      <c r="D29" s="8">
        <f t="shared" si="1"/>
        <v>0</v>
      </c>
      <c r="F29" s="52">
        <v>0</v>
      </c>
      <c r="G29" s="52">
        <v>0</v>
      </c>
      <c r="H29" s="52">
        <v>0</v>
      </c>
      <c r="J29" s="41">
        <v>0</v>
      </c>
      <c r="K29" s="41">
        <v>0</v>
      </c>
      <c r="L29" s="41">
        <v>0</v>
      </c>
    </row>
    <row r="30" spans="1:12" x14ac:dyDescent="0.2">
      <c r="A30" s="57" t="s">
        <v>45</v>
      </c>
      <c r="B30" s="57" t="s">
        <v>34</v>
      </c>
      <c r="C30" s="8">
        <f t="shared" si="0"/>
        <v>1159</v>
      </c>
      <c r="D30" s="8">
        <f t="shared" si="1"/>
        <v>268.5</v>
      </c>
      <c r="F30" s="53">
        <v>380</v>
      </c>
      <c r="G30" s="53">
        <v>385</v>
      </c>
      <c r="H30" s="53">
        <v>394</v>
      </c>
      <c r="J30" s="42">
        <v>92</v>
      </c>
      <c r="K30" s="42">
        <v>83</v>
      </c>
      <c r="L30" s="42">
        <v>93.5</v>
      </c>
    </row>
    <row r="31" spans="1:12" x14ac:dyDescent="0.2">
      <c r="A31" s="56" t="s">
        <v>45</v>
      </c>
      <c r="B31" s="56" t="s">
        <v>35</v>
      </c>
      <c r="C31" s="8">
        <f t="shared" si="0"/>
        <v>3</v>
      </c>
      <c r="D31" s="8">
        <f t="shared" si="1"/>
        <v>14203</v>
      </c>
      <c r="F31" s="52">
        <v>1</v>
      </c>
      <c r="G31" s="52">
        <v>1</v>
      </c>
      <c r="H31" s="52">
        <v>1</v>
      </c>
      <c r="J31" s="41">
        <v>4470.5</v>
      </c>
      <c r="K31" s="41">
        <v>4618</v>
      </c>
      <c r="L31" s="41">
        <v>5114.5</v>
      </c>
    </row>
    <row r="32" spans="1:12" x14ac:dyDescent="0.2">
      <c r="A32" s="57" t="s">
        <v>45</v>
      </c>
      <c r="B32" s="57" t="s">
        <v>36</v>
      </c>
      <c r="C32" s="8">
        <f t="shared" si="0"/>
        <v>15578</v>
      </c>
      <c r="D32" s="8">
        <f t="shared" si="1"/>
        <v>44.3</v>
      </c>
      <c r="F32" s="53">
        <v>5175</v>
      </c>
      <c r="G32" s="53">
        <v>5201</v>
      </c>
      <c r="H32" s="53">
        <v>5202</v>
      </c>
      <c r="J32" s="42">
        <v>14.7</v>
      </c>
      <c r="K32" s="42">
        <v>13</v>
      </c>
      <c r="L32" s="42">
        <v>16.600000000000001</v>
      </c>
    </row>
    <row r="33" spans="1:12" x14ac:dyDescent="0.2">
      <c r="A33" s="56" t="s">
        <v>46</v>
      </c>
      <c r="B33" s="56" t="s">
        <v>34</v>
      </c>
      <c r="C33" s="8">
        <f t="shared" si="0"/>
        <v>185</v>
      </c>
      <c r="D33" s="8">
        <f t="shared" si="1"/>
        <v>194.3</v>
      </c>
      <c r="F33" s="52">
        <v>62</v>
      </c>
      <c r="G33" s="52">
        <v>62</v>
      </c>
      <c r="H33" s="52">
        <v>61</v>
      </c>
      <c r="J33" s="41">
        <v>72.900000000000006</v>
      </c>
      <c r="K33" s="41">
        <v>54</v>
      </c>
      <c r="L33" s="41">
        <v>67.400000000000006</v>
      </c>
    </row>
    <row r="34" spans="1:12" x14ac:dyDescent="0.2">
      <c r="A34" s="57" t="s">
        <v>46</v>
      </c>
      <c r="B34" s="57" t="s">
        <v>35</v>
      </c>
      <c r="C34" s="8">
        <f t="shared" si="0"/>
        <v>6</v>
      </c>
      <c r="D34" s="8">
        <f t="shared" si="1"/>
        <v>1540.4</v>
      </c>
      <c r="F34" s="53">
        <v>2</v>
      </c>
      <c r="G34" s="53">
        <v>2</v>
      </c>
      <c r="H34" s="53">
        <v>2</v>
      </c>
      <c r="J34" s="42">
        <v>293.89999999999998</v>
      </c>
      <c r="K34" s="42">
        <v>365</v>
      </c>
      <c r="L34" s="42">
        <v>881.5</v>
      </c>
    </row>
    <row r="35" spans="1:12" x14ac:dyDescent="0.2">
      <c r="A35" s="56" t="s">
        <v>46</v>
      </c>
      <c r="B35" s="56" t="s">
        <v>36</v>
      </c>
      <c r="C35" s="8">
        <f t="shared" ref="C35:C66" si="2">SUM(F35:H35)</f>
        <v>444</v>
      </c>
      <c r="D35" s="8">
        <f t="shared" ref="D35:D66" si="3">SUM(J35:L35)</f>
        <v>21.5</v>
      </c>
      <c r="F35" s="52">
        <v>148</v>
      </c>
      <c r="G35" s="52">
        <v>149</v>
      </c>
      <c r="H35" s="52">
        <v>147</v>
      </c>
      <c r="J35" s="41">
        <v>8.3000000000000007</v>
      </c>
      <c r="K35" s="41">
        <v>6</v>
      </c>
      <c r="L35" s="41">
        <v>7.2</v>
      </c>
    </row>
    <row r="36" spans="1:12" x14ac:dyDescent="0.2">
      <c r="A36" s="57" t="s">
        <v>47</v>
      </c>
      <c r="B36" s="57" t="s">
        <v>34</v>
      </c>
      <c r="C36" s="8">
        <f t="shared" si="2"/>
        <v>68</v>
      </c>
      <c r="D36" s="8">
        <f t="shared" si="3"/>
        <v>96.5</v>
      </c>
      <c r="F36" s="53">
        <v>20</v>
      </c>
      <c r="G36" s="53">
        <v>25</v>
      </c>
      <c r="H36" s="53">
        <v>23</v>
      </c>
      <c r="J36" s="42">
        <v>41.8</v>
      </c>
      <c r="K36" s="42">
        <v>20</v>
      </c>
      <c r="L36" s="42">
        <v>34.700000000000003</v>
      </c>
    </row>
    <row r="37" spans="1:12" x14ac:dyDescent="0.2">
      <c r="A37" s="56" t="s">
        <v>47</v>
      </c>
      <c r="B37" s="56" t="s">
        <v>35</v>
      </c>
      <c r="C37" s="8">
        <f t="shared" si="2"/>
        <v>0</v>
      </c>
      <c r="D37" s="8">
        <f t="shared" si="3"/>
        <v>0</v>
      </c>
      <c r="F37" s="52">
        <v>0</v>
      </c>
      <c r="G37" s="52">
        <v>0</v>
      </c>
      <c r="H37" s="52">
        <v>0</v>
      </c>
      <c r="J37" s="41">
        <v>0</v>
      </c>
      <c r="K37" s="41">
        <v>0</v>
      </c>
      <c r="L37" s="41">
        <v>0</v>
      </c>
    </row>
    <row r="38" spans="1:12" x14ac:dyDescent="0.2">
      <c r="A38" s="57" t="s">
        <v>47</v>
      </c>
      <c r="B38" s="57" t="s">
        <v>36</v>
      </c>
      <c r="C38" s="8">
        <f t="shared" si="2"/>
        <v>1242</v>
      </c>
      <c r="D38" s="8">
        <f t="shared" si="3"/>
        <v>51.5</v>
      </c>
      <c r="F38" s="53">
        <v>412</v>
      </c>
      <c r="G38" s="53">
        <v>414</v>
      </c>
      <c r="H38" s="53">
        <v>416</v>
      </c>
      <c r="J38" s="42">
        <v>17.899999999999999</v>
      </c>
      <c r="K38" s="42">
        <v>14</v>
      </c>
      <c r="L38" s="42">
        <v>19.600000000000001</v>
      </c>
    </row>
    <row r="39" spans="1:12" x14ac:dyDescent="0.2">
      <c r="A39" s="56" t="s">
        <v>48</v>
      </c>
      <c r="B39" s="56" t="s">
        <v>34</v>
      </c>
      <c r="C39" s="8">
        <f t="shared" si="2"/>
        <v>1014</v>
      </c>
      <c r="D39" s="8">
        <f t="shared" si="3"/>
        <v>414.8</v>
      </c>
      <c r="F39" s="52">
        <v>341</v>
      </c>
      <c r="G39" s="52">
        <v>340</v>
      </c>
      <c r="H39" s="52">
        <v>333</v>
      </c>
      <c r="J39" s="41">
        <v>151.6</v>
      </c>
      <c r="K39" s="41">
        <v>120</v>
      </c>
      <c r="L39" s="41">
        <v>143.19999999999999</v>
      </c>
    </row>
    <row r="40" spans="1:12" x14ac:dyDescent="0.2">
      <c r="A40" s="57" t="s">
        <v>48</v>
      </c>
      <c r="B40" s="57" t="s">
        <v>35</v>
      </c>
      <c r="C40" s="8">
        <f t="shared" si="2"/>
        <v>9</v>
      </c>
      <c r="D40" s="8">
        <f t="shared" si="3"/>
        <v>22721.4</v>
      </c>
      <c r="F40" s="53">
        <v>3</v>
      </c>
      <c r="G40" s="53">
        <v>3</v>
      </c>
      <c r="H40" s="53">
        <v>3</v>
      </c>
      <c r="J40" s="42">
        <v>8754</v>
      </c>
      <c r="K40" s="42">
        <v>7725</v>
      </c>
      <c r="L40" s="42">
        <v>6242.4</v>
      </c>
    </row>
    <row r="41" spans="1:12" x14ac:dyDescent="0.2">
      <c r="A41" s="56" t="s">
        <v>48</v>
      </c>
      <c r="B41" s="56" t="s">
        <v>36</v>
      </c>
      <c r="C41" s="8">
        <f t="shared" si="2"/>
        <v>26472</v>
      </c>
      <c r="D41" s="8">
        <f t="shared" si="3"/>
        <v>53.9</v>
      </c>
      <c r="F41" s="52">
        <v>8813</v>
      </c>
      <c r="G41" s="52">
        <v>8819</v>
      </c>
      <c r="H41" s="52">
        <v>8840</v>
      </c>
      <c r="J41" s="41">
        <v>21.5</v>
      </c>
      <c r="K41" s="41">
        <v>15</v>
      </c>
      <c r="L41" s="41">
        <v>17.399999999999999</v>
      </c>
    </row>
    <row r="42" spans="1:12" x14ac:dyDescent="0.2">
      <c r="A42" s="57" t="s">
        <v>49</v>
      </c>
      <c r="B42" s="57" t="s">
        <v>34</v>
      </c>
      <c r="C42" s="8">
        <f t="shared" si="2"/>
        <v>78</v>
      </c>
      <c r="D42" s="8">
        <f t="shared" si="3"/>
        <v>242.39999999999998</v>
      </c>
      <c r="F42" s="53">
        <v>26</v>
      </c>
      <c r="G42" s="53">
        <v>26</v>
      </c>
      <c r="H42" s="53">
        <v>26</v>
      </c>
      <c r="J42" s="42">
        <v>90.6</v>
      </c>
      <c r="K42" s="42">
        <v>69</v>
      </c>
      <c r="L42" s="42">
        <v>82.8</v>
      </c>
    </row>
    <row r="43" spans="1:12" x14ac:dyDescent="0.2">
      <c r="A43" s="56" t="s">
        <v>49</v>
      </c>
      <c r="B43" s="56" t="s">
        <v>35</v>
      </c>
      <c r="C43" s="8">
        <f t="shared" si="2"/>
        <v>0</v>
      </c>
      <c r="D43" s="8">
        <f t="shared" si="3"/>
        <v>0</v>
      </c>
      <c r="F43" s="52">
        <v>0</v>
      </c>
      <c r="G43" s="52">
        <v>0</v>
      </c>
      <c r="H43" s="52">
        <v>0</v>
      </c>
      <c r="J43" s="41">
        <v>0</v>
      </c>
      <c r="K43" s="41">
        <v>0</v>
      </c>
      <c r="L43" s="41">
        <v>0</v>
      </c>
    </row>
    <row r="44" spans="1:12" x14ac:dyDescent="0.2">
      <c r="A44" s="57" t="s">
        <v>49</v>
      </c>
      <c r="B44" s="57" t="s">
        <v>36</v>
      </c>
      <c r="C44" s="8">
        <f t="shared" si="2"/>
        <v>863</v>
      </c>
      <c r="D44" s="8">
        <f t="shared" si="3"/>
        <v>35.200000000000003</v>
      </c>
      <c r="F44" s="53">
        <v>290</v>
      </c>
      <c r="G44" s="53">
        <v>286</v>
      </c>
      <c r="H44" s="53">
        <v>287</v>
      </c>
      <c r="J44" s="42">
        <v>13.3</v>
      </c>
      <c r="K44" s="42">
        <v>10</v>
      </c>
      <c r="L44" s="42">
        <v>11.9</v>
      </c>
    </row>
    <row r="45" spans="1:12" x14ac:dyDescent="0.2">
      <c r="A45" s="56" t="s">
        <v>50</v>
      </c>
      <c r="B45" s="56" t="s">
        <v>34</v>
      </c>
      <c r="C45" s="8">
        <f t="shared" si="2"/>
        <v>0</v>
      </c>
      <c r="D45" s="8">
        <f t="shared" si="3"/>
        <v>0</v>
      </c>
      <c r="F45" s="52">
        <v>0</v>
      </c>
      <c r="G45" s="52">
        <v>0</v>
      </c>
      <c r="H45" s="52">
        <v>0</v>
      </c>
      <c r="J45" s="41">
        <v>0</v>
      </c>
      <c r="K45" s="41">
        <v>0</v>
      </c>
      <c r="L45" s="41">
        <v>0</v>
      </c>
    </row>
    <row r="46" spans="1:12" x14ac:dyDescent="0.2">
      <c r="A46" s="57" t="s">
        <v>50</v>
      </c>
      <c r="B46" s="57" t="s">
        <v>35</v>
      </c>
      <c r="C46" s="8">
        <f t="shared" si="2"/>
        <v>0</v>
      </c>
      <c r="D46" s="8">
        <f t="shared" si="3"/>
        <v>0</v>
      </c>
      <c r="F46" s="53">
        <v>0</v>
      </c>
      <c r="G46" s="53">
        <v>0</v>
      </c>
      <c r="H46" s="53">
        <v>0</v>
      </c>
      <c r="J46" s="42">
        <v>0</v>
      </c>
      <c r="K46" s="42">
        <v>0</v>
      </c>
      <c r="L46" s="42">
        <v>0</v>
      </c>
    </row>
    <row r="47" spans="1:12" x14ac:dyDescent="0.2">
      <c r="A47" s="56" t="s">
        <v>50</v>
      </c>
      <c r="B47" s="56" t="s">
        <v>36</v>
      </c>
      <c r="C47" s="8">
        <f t="shared" si="2"/>
        <v>0</v>
      </c>
      <c r="D47" s="8">
        <f t="shared" si="3"/>
        <v>0</v>
      </c>
      <c r="F47" s="52">
        <v>0</v>
      </c>
      <c r="G47" s="52">
        <v>0</v>
      </c>
      <c r="H47" s="52">
        <v>0</v>
      </c>
      <c r="J47" s="41">
        <v>0</v>
      </c>
      <c r="K47" s="41">
        <v>0</v>
      </c>
      <c r="L47" s="41">
        <v>0</v>
      </c>
    </row>
    <row r="48" spans="1:12" x14ac:dyDescent="0.2">
      <c r="A48" s="57" t="s">
        <v>51</v>
      </c>
      <c r="B48" s="57" t="s">
        <v>34</v>
      </c>
      <c r="C48" s="8">
        <f t="shared" si="2"/>
        <v>12</v>
      </c>
      <c r="D48" s="8">
        <f t="shared" si="3"/>
        <v>3785</v>
      </c>
      <c r="F48" s="53">
        <v>4</v>
      </c>
      <c r="G48" s="53">
        <v>4</v>
      </c>
      <c r="H48" s="53">
        <v>4</v>
      </c>
      <c r="J48" s="42">
        <v>1138.8</v>
      </c>
      <c r="K48" s="42">
        <v>1311</v>
      </c>
      <c r="L48" s="42">
        <v>1335.2</v>
      </c>
    </row>
    <row r="49" spans="1:12" x14ac:dyDescent="0.2">
      <c r="A49" s="56" t="s">
        <v>51</v>
      </c>
      <c r="B49" s="56" t="s">
        <v>35</v>
      </c>
      <c r="C49" s="8">
        <f t="shared" si="2"/>
        <v>6</v>
      </c>
      <c r="D49" s="8">
        <f t="shared" si="3"/>
        <v>4310.2</v>
      </c>
      <c r="F49" s="52">
        <v>2</v>
      </c>
      <c r="G49" s="52">
        <v>2</v>
      </c>
      <c r="H49" s="52">
        <v>2</v>
      </c>
      <c r="J49" s="41">
        <v>1690</v>
      </c>
      <c r="K49" s="41">
        <v>1311</v>
      </c>
      <c r="L49" s="41">
        <v>1309.2</v>
      </c>
    </row>
    <row r="50" spans="1:12" x14ac:dyDescent="0.2">
      <c r="A50" s="57" t="s">
        <v>51</v>
      </c>
      <c r="B50" s="57" t="s">
        <v>36</v>
      </c>
      <c r="C50" s="8">
        <f t="shared" si="2"/>
        <v>0</v>
      </c>
      <c r="D50" s="8">
        <f t="shared" si="3"/>
        <v>0</v>
      </c>
      <c r="F50" s="53">
        <v>0</v>
      </c>
      <c r="G50" s="53">
        <v>0</v>
      </c>
      <c r="H50" s="53">
        <v>0</v>
      </c>
      <c r="J50" s="42">
        <v>0</v>
      </c>
      <c r="K50" s="42">
        <v>0</v>
      </c>
      <c r="L50" s="42">
        <v>0</v>
      </c>
    </row>
    <row r="51" spans="1:12" x14ac:dyDescent="0.2">
      <c r="A51" s="56" t="s">
        <v>52</v>
      </c>
      <c r="B51" s="56" t="s">
        <v>34</v>
      </c>
      <c r="C51" s="8">
        <f t="shared" si="2"/>
        <v>0</v>
      </c>
      <c r="D51" s="8">
        <f t="shared" si="3"/>
        <v>0</v>
      </c>
      <c r="F51" s="52">
        <v>0</v>
      </c>
      <c r="G51" s="52">
        <v>0</v>
      </c>
      <c r="H51" s="52">
        <v>0</v>
      </c>
      <c r="J51" s="41">
        <v>0</v>
      </c>
      <c r="K51" s="41">
        <v>0</v>
      </c>
      <c r="L51" s="41">
        <v>0</v>
      </c>
    </row>
    <row r="52" spans="1:12" x14ac:dyDescent="0.2">
      <c r="A52" s="57" t="s">
        <v>52</v>
      </c>
      <c r="B52" s="57" t="s">
        <v>35</v>
      </c>
      <c r="C52" s="8">
        <f t="shared" si="2"/>
        <v>0</v>
      </c>
      <c r="D52" s="8">
        <f t="shared" si="3"/>
        <v>0</v>
      </c>
      <c r="F52" s="53">
        <v>0</v>
      </c>
      <c r="G52" s="53">
        <v>0</v>
      </c>
      <c r="H52" s="53">
        <v>0</v>
      </c>
      <c r="J52" s="42">
        <v>0</v>
      </c>
      <c r="K52" s="42">
        <v>0</v>
      </c>
      <c r="L52" s="42">
        <v>0</v>
      </c>
    </row>
    <row r="53" spans="1:12" x14ac:dyDescent="0.2">
      <c r="A53" s="56" t="s">
        <v>52</v>
      </c>
      <c r="B53" s="56" t="s">
        <v>36</v>
      </c>
      <c r="C53" s="8">
        <f t="shared" si="2"/>
        <v>0</v>
      </c>
      <c r="D53" s="8">
        <f t="shared" si="3"/>
        <v>0</v>
      </c>
      <c r="F53" s="52">
        <v>0</v>
      </c>
      <c r="G53" s="52">
        <v>0</v>
      </c>
      <c r="H53" s="52">
        <v>0</v>
      </c>
      <c r="J53" s="41">
        <v>0</v>
      </c>
      <c r="K53" s="41">
        <v>0</v>
      </c>
      <c r="L53" s="41">
        <v>0</v>
      </c>
    </row>
    <row r="54" spans="1:12" x14ac:dyDescent="0.2">
      <c r="A54" s="57" t="s">
        <v>53</v>
      </c>
      <c r="B54" s="57" t="s">
        <v>34</v>
      </c>
      <c r="C54" s="8">
        <f t="shared" si="2"/>
        <v>0</v>
      </c>
      <c r="D54" s="8">
        <f t="shared" si="3"/>
        <v>0</v>
      </c>
      <c r="F54" s="53">
        <v>0</v>
      </c>
      <c r="G54" s="53">
        <v>0</v>
      </c>
      <c r="H54" s="53">
        <v>0</v>
      </c>
      <c r="J54" s="42">
        <v>0</v>
      </c>
      <c r="K54" s="42">
        <v>0</v>
      </c>
      <c r="L54" s="42">
        <v>0</v>
      </c>
    </row>
    <row r="55" spans="1:12" x14ac:dyDescent="0.2">
      <c r="A55" s="56" t="s">
        <v>53</v>
      </c>
      <c r="B55" s="56" t="s">
        <v>35</v>
      </c>
      <c r="C55" s="8">
        <f t="shared" si="2"/>
        <v>0</v>
      </c>
      <c r="D55" s="8">
        <f t="shared" si="3"/>
        <v>0</v>
      </c>
      <c r="F55" s="52">
        <v>0</v>
      </c>
      <c r="G55" s="52">
        <v>0</v>
      </c>
      <c r="H55" s="52">
        <v>0</v>
      </c>
      <c r="J55" s="41">
        <v>0</v>
      </c>
      <c r="K55" s="41">
        <v>0</v>
      </c>
      <c r="L55" s="41">
        <v>0</v>
      </c>
    </row>
    <row r="56" spans="1:12" x14ac:dyDescent="0.2">
      <c r="A56" s="57" t="s">
        <v>53</v>
      </c>
      <c r="B56" s="57" t="s">
        <v>36</v>
      </c>
      <c r="C56" s="8">
        <f t="shared" si="2"/>
        <v>0</v>
      </c>
      <c r="D56" s="8">
        <f t="shared" si="3"/>
        <v>0</v>
      </c>
      <c r="F56" s="53">
        <v>0</v>
      </c>
      <c r="G56" s="53">
        <v>0</v>
      </c>
      <c r="H56" s="53">
        <v>0</v>
      </c>
      <c r="J56" s="42">
        <v>0</v>
      </c>
      <c r="K56" s="42">
        <v>0</v>
      </c>
      <c r="L56" s="42">
        <v>0</v>
      </c>
    </row>
    <row r="57" spans="1:12" x14ac:dyDescent="0.2">
      <c r="A57" s="56" t="s">
        <v>54</v>
      </c>
      <c r="B57" s="56" t="s">
        <v>34</v>
      </c>
      <c r="C57" s="8">
        <f t="shared" si="2"/>
        <v>27</v>
      </c>
      <c r="D57" s="8">
        <f t="shared" si="3"/>
        <v>159</v>
      </c>
      <c r="F57" s="52">
        <v>9</v>
      </c>
      <c r="G57" s="52">
        <v>9</v>
      </c>
      <c r="H57" s="52">
        <v>9</v>
      </c>
      <c r="J57" s="41">
        <v>55.2</v>
      </c>
      <c r="K57" s="41">
        <v>50</v>
      </c>
      <c r="L57" s="41">
        <v>53.8</v>
      </c>
    </row>
    <row r="58" spans="1:12" x14ac:dyDescent="0.2">
      <c r="A58" s="57" t="s">
        <v>54</v>
      </c>
      <c r="B58" s="57" t="s">
        <v>35</v>
      </c>
      <c r="C58" s="8">
        <f t="shared" si="2"/>
        <v>0</v>
      </c>
      <c r="D58" s="8">
        <f t="shared" si="3"/>
        <v>0</v>
      </c>
      <c r="F58" s="53">
        <v>0</v>
      </c>
      <c r="G58" s="53">
        <v>0</v>
      </c>
      <c r="H58" s="53">
        <v>0</v>
      </c>
      <c r="J58" s="42">
        <v>0</v>
      </c>
      <c r="K58" s="42">
        <v>0</v>
      </c>
      <c r="L58" s="42">
        <v>0</v>
      </c>
    </row>
    <row r="59" spans="1:12" x14ac:dyDescent="0.2">
      <c r="A59" s="56" t="s">
        <v>54</v>
      </c>
      <c r="B59" s="56" t="s">
        <v>36</v>
      </c>
      <c r="C59" s="8">
        <f t="shared" si="2"/>
        <v>332</v>
      </c>
      <c r="D59" s="8">
        <f t="shared" si="3"/>
        <v>21.1</v>
      </c>
      <c r="F59" s="52">
        <v>111</v>
      </c>
      <c r="G59" s="52">
        <v>110</v>
      </c>
      <c r="H59" s="52">
        <v>111</v>
      </c>
      <c r="J59" s="41">
        <v>7.7</v>
      </c>
      <c r="K59" s="41">
        <v>6</v>
      </c>
      <c r="L59" s="41">
        <v>7.4</v>
      </c>
    </row>
    <row r="60" spans="1:12" x14ac:dyDescent="0.2">
      <c r="A60" s="57" t="s">
        <v>55</v>
      </c>
      <c r="B60" s="57" t="s">
        <v>34</v>
      </c>
      <c r="C60" s="8">
        <f t="shared" si="2"/>
        <v>87</v>
      </c>
      <c r="D60" s="8">
        <f t="shared" si="3"/>
        <v>695.3</v>
      </c>
      <c r="F60" s="53">
        <v>28</v>
      </c>
      <c r="G60" s="53">
        <v>29</v>
      </c>
      <c r="H60" s="53">
        <v>30</v>
      </c>
      <c r="J60" s="42">
        <v>282.10000000000002</v>
      </c>
      <c r="K60" s="42">
        <v>223</v>
      </c>
      <c r="L60" s="42">
        <v>190.2</v>
      </c>
    </row>
    <row r="61" spans="1:12" x14ac:dyDescent="0.2">
      <c r="A61" s="56" t="s">
        <v>55</v>
      </c>
      <c r="B61" s="56" t="s">
        <v>35</v>
      </c>
      <c r="C61" s="8">
        <f t="shared" si="2"/>
        <v>0</v>
      </c>
      <c r="D61" s="8">
        <f t="shared" si="3"/>
        <v>0</v>
      </c>
      <c r="F61" s="52">
        <v>0</v>
      </c>
      <c r="G61" s="52">
        <v>0</v>
      </c>
      <c r="H61" s="52">
        <v>0</v>
      </c>
      <c r="J61" s="41">
        <v>0</v>
      </c>
      <c r="K61" s="41">
        <v>0</v>
      </c>
      <c r="L61" s="41">
        <v>0</v>
      </c>
    </row>
    <row r="62" spans="1:12" x14ac:dyDescent="0.2">
      <c r="A62" s="57" t="s">
        <v>55</v>
      </c>
      <c r="B62" s="57" t="s">
        <v>36</v>
      </c>
      <c r="C62" s="8">
        <f t="shared" si="2"/>
        <v>3457</v>
      </c>
      <c r="D62" s="8">
        <f t="shared" si="3"/>
        <v>47.8</v>
      </c>
      <c r="F62" s="53">
        <v>1148</v>
      </c>
      <c r="G62" s="53">
        <v>1151</v>
      </c>
      <c r="H62" s="53">
        <v>1158</v>
      </c>
      <c r="J62" s="42">
        <v>20.399999999999999</v>
      </c>
      <c r="K62" s="42">
        <v>15</v>
      </c>
      <c r="L62" s="42">
        <v>12.4</v>
      </c>
    </row>
    <row r="63" spans="1:12" x14ac:dyDescent="0.2">
      <c r="A63" s="56" t="s">
        <v>56</v>
      </c>
      <c r="B63" s="56" t="s">
        <v>34</v>
      </c>
      <c r="C63" s="8">
        <f t="shared" si="2"/>
        <v>0</v>
      </c>
      <c r="D63" s="8">
        <f t="shared" si="3"/>
        <v>0</v>
      </c>
      <c r="F63" s="52">
        <v>0</v>
      </c>
      <c r="G63" s="52">
        <v>0</v>
      </c>
      <c r="H63" s="52">
        <v>0</v>
      </c>
      <c r="J63" s="41">
        <v>0</v>
      </c>
      <c r="K63" s="41">
        <v>0</v>
      </c>
      <c r="L63" s="41">
        <v>0</v>
      </c>
    </row>
    <row r="64" spans="1:12" x14ac:dyDescent="0.2">
      <c r="A64" s="57" t="s">
        <v>56</v>
      </c>
      <c r="B64" s="57" t="s">
        <v>35</v>
      </c>
      <c r="C64" s="8">
        <f t="shared" si="2"/>
        <v>0</v>
      </c>
      <c r="D64" s="8">
        <f t="shared" si="3"/>
        <v>0</v>
      </c>
      <c r="F64" s="53">
        <v>0</v>
      </c>
      <c r="G64" s="53">
        <v>0</v>
      </c>
      <c r="H64" s="53">
        <v>0</v>
      </c>
      <c r="J64" s="42">
        <v>0</v>
      </c>
      <c r="K64" s="42">
        <v>0</v>
      </c>
      <c r="L64" s="42">
        <v>0</v>
      </c>
    </row>
    <row r="65" spans="1:12" x14ac:dyDescent="0.2">
      <c r="A65" s="56" t="s">
        <v>56</v>
      </c>
      <c r="B65" s="56" t="s">
        <v>36</v>
      </c>
      <c r="C65" s="8">
        <f t="shared" si="2"/>
        <v>6</v>
      </c>
      <c r="D65" s="8">
        <f t="shared" si="3"/>
        <v>52.6</v>
      </c>
      <c r="F65" s="52">
        <v>2</v>
      </c>
      <c r="G65" s="52">
        <v>2</v>
      </c>
      <c r="H65" s="52">
        <v>2</v>
      </c>
      <c r="J65" s="41">
        <v>16.600000000000001</v>
      </c>
      <c r="K65" s="41">
        <v>14</v>
      </c>
      <c r="L65" s="41">
        <v>22</v>
      </c>
    </row>
    <row r="66" spans="1:12" x14ac:dyDescent="0.2">
      <c r="A66" s="57" t="s">
        <v>57</v>
      </c>
      <c r="B66" s="57" t="s">
        <v>34</v>
      </c>
      <c r="C66" s="8">
        <f t="shared" si="2"/>
        <v>57</v>
      </c>
      <c r="D66" s="8">
        <f t="shared" si="3"/>
        <v>184.6</v>
      </c>
      <c r="F66" s="53">
        <v>19</v>
      </c>
      <c r="G66" s="53">
        <v>19</v>
      </c>
      <c r="H66" s="53">
        <v>19</v>
      </c>
      <c r="J66" s="42">
        <v>74.2</v>
      </c>
      <c r="K66" s="42">
        <v>55</v>
      </c>
      <c r="L66" s="42">
        <v>55.4</v>
      </c>
    </row>
    <row r="67" spans="1:12" x14ac:dyDescent="0.2">
      <c r="A67" s="56" t="s">
        <v>57</v>
      </c>
      <c r="B67" s="56" t="s">
        <v>35</v>
      </c>
      <c r="C67" s="8">
        <f t="shared" ref="C67:C98" si="4">SUM(F67:H67)</f>
        <v>0</v>
      </c>
      <c r="D67" s="8">
        <f t="shared" ref="D67:D98" si="5">SUM(J67:L67)</f>
        <v>0</v>
      </c>
      <c r="F67" s="52">
        <v>0</v>
      </c>
      <c r="G67" s="52">
        <v>0</v>
      </c>
      <c r="H67" s="52">
        <v>0</v>
      </c>
      <c r="J67" s="41">
        <v>0</v>
      </c>
      <c r="K67" s="41">
        <v>0</v>
      </c>
      <c r="L67" s="41">
        <v>0</v>
      </c>
    </row>
    <row r="68" spans="1:12" x14ac:dyDescent="0.2">
      <c r="A68" s="57" t="s">
        <v>57</v>
      </c>
      <c r="B68" s="57" t="s">
        <v>36</v>
      </c>
      <c r="C68" s="8">
        <f t="shared" si="4"/>
        <v>657</v>
      </c>
      <c r="D68" s="8">
        <f t="shared" si="5"/>
        <v>38.799999999999997</v>
      </c>
      <c r="F68" s="53">
        <v>219</v>
      </c>
      <c r="G68" s="53">
        <v>219</v>
      </c>
      <c r="H68" s="53">
        <v>219</v>
      </c>
      <c r="J68" s="42">
        <v>14.8</v>
      </c>
      <c r="K68" s="42">
        <v>11</v>
      </c>
      <c r="L68" s="42">
        <v>13</v>
      </c>
    </row>
    <row r="69" spans="1:12" x14ac:dyDescent="0.2">
      <c r="A69" s="56" t="s">
        <v>58</v>
      </c>
      <c r="B69" s="56" t="s">
        <v>34</v>
      </c>
      <c r="C69" s="8">
        <f t="shared" si="4"/>
        <v>703</v>
      </c>
      <c r="D69" s="8">
        <f t="shared" si="5"/>
        <v>578.29999999999995</v>
      </c>
      <c r="F69" s="52">
        <v>222</v>
      </c>
      <c r="G69" s="52">
        <v>242</v>
      </c>
      <c r="H69" s="52">
        <v>239</v>
      </c>
      <c r="J69" s="41">
        <v>238.8</v>
      </c>
      <c r="K69" s="41">
        <v>177</v>
      </c>
      <c r="L69" s="41">
        <v>162.5</v>
      </c>
    </row>
    <row r="70" spans="1:12" x14ac:dyDescent="0.2">
      <c r="A70" s="57" t="s">
        <v>58</v>
      </c>
      <c r="B70" s="57" t="s">
        <v>35</v>
      </c>
      <c r="C70" s="8">
        <f t="shared" si="4"/>
        <v>12</v>
      </c>
      <c r="D70" s="8">
        <f t="shared" si="5"/>
        <v>30361.7</v>
      </c>
      <c r="F70" s="53">
        <v>4</v>
      </c>
      <c r="G70" s="53">
        <v>4</v>
      </c>
      <c r="H70" s="53">
        <v>4</v>
      </c>
      <c r="J70" s="42">
        <v>11233.4</v>
      </c>
      <c r="K70" s="42">
        <v>9683</v>
      </c>
      <c r="L70" s="42">
        <v>9445.2999999999993</v>
      </c>
    </row>
    <row r="71" spans="1:12" x14ac:dyDescent="0.2">
      <c r="A71" s="56" t="s">
        <v>58</v>
      </c>
      <c r="B71" s="56" t="s">
        <v>36</v>
      </c>
      <c r="C71" s="8">
        <f t="shared" si="4"/>
        <v>16809</v>
      </c>
      <c r="D71" s="8">
        <f t="shared" si="5"/>
        <v>37.799999999999997</v>
      </c>
      <c r="F71" s="52">
        <v>5586</v>
      </c>
      <c r="G71" s="52">
        <v>5601</v>
      </c>
      <c r="H71" s="52">
        <v>5622</v>
      </c>
      <c r="J71" s="41">
        <v>16.3</v>
      </c>
      <c r="K71" s="41">
        <v>11</v>
      </c>
      <c r="L71" s="41">
        <v>10.5</v>
      </c>
    </row>
    <row r="72" spans="1:12" x14ac:dyDescent="0.2">
      <c r="A72" s="57" t="s">
        <v>59</v>
      </c>
      <c r="B72" s="57" t="s">
        <v>34</v>
      </c>
      <c r="C72" s="8">
        <f t="shared" si="4"/>
        <v>0</v>
      </c>
      <c r="D72" s="8">
        <f t="shared" si="5"/>
        <v>0</v>
      </c>
      <c r="F72" s="53">
        <v>0</v>
      </c>
      <c r="G72" s="53">
        <v>0</v>
      </c>
      <c r="H72" s="53">
        <v>0</v>
      </c>
      <c r="J72" s="42">
        <v>0</v>
      </c>
      <c r="K72" s="42">
        <v>0</v>
      </c>
      <c r="L72" s="42">
        <v>0</v>
      </c>
    </row>
    <row r="73" spans="1:12" x14ac:dyDescent="0.2">
      <c r="A73" s="56" t="s">
        <v>59</v>
      </c>
      <c r="B73" s="56" t="s">
        <v>35</v>
      </c>
      <c r="C73" s="8">
        <f t="shared" si="4"/>
        <v>0</v>
      </c>
      <c r="D73" s="8">
        <f t="shared" si="5"/>
        <v>0</v>
      </c>
      <c r="F73" s="52">
        <v>0</v>
      </c>
      <c r="G73" s="52">
        <v>0</v>
      </c>
      <c r="H73" s="52">
        <v>0</v>
      </c>
      <c r="J73" s="41">
        <v>0</v>
      </c>
      <c r="K73" s="41">
        <v>0</v>
      </c>
      <c r="L73" s="41">
        <v>0</v>
      </c>
    </row>
    <row r="74" spans="1:12" x14ac:dyDescent="0.2">
      <c r="A74" s="57" t="s">
        <v>59</v>
      </c>
      <c r="B74" s="57" t="s">
        <v>36</v>
      </c>
      <c r="C74" s="8">
        <f t="shared" si="4"/>
        <v>0</v>
      </c>
      <c r="D74" s="8">
        <f t="shared" si="5"/>
        <v>0</v>
      </c>
      <c r="F74" s="53">
        <v>0</v>
      </c>
      <c r="G74" s="53">
        <v>0</v>
      </c>
      <c r="H74" s="53">
        <v>0</v>
      </c>
      <c r="J74" s="42">
        <v>0</v>
      </c>
      <c r="K74" s="42">
        <v>0</v>
      </c>
      <c r="L74" s="42">
        <v>0</v>
      </c>
    </row>
    <row r="75" spans="1:12" x14ac:dyDescent="0.2">
      <c r="A75" s="56" t="s">
        <v>60</v>
      </c>
      <c r="B75" s="56" t="s">
        <v>34</v>
      </c>
      <c r="C75" s="8">
        <f t="shared" si="4"/>
        <v>1549</v>
      </c>
      <c r="D75" s="8">
        <f t="shared" si="5"/>
        <v>597.29999999999995</v>
      </c>
      <c r="F75" s="52">
        <v>519</v>
      </c>
      <c r="G75" s="52">
        <v>515</v>
      </c>
      <c r="H75" s="52">
        <v>515</v>
      </c>
      <c r="J75" s="41">
        <v>230</v>
      </c>
      <c r="K75" s="41">
        <v>182</v>
      </c>
      <c r="L75" s="41">
        <v>185.3</v>
      </c>
    </row>
    <row r="76" spans="1:12" x14ac:dyDescent="0.2">
      <c r="A76" s="57" t="s">
        <v>60</v>
      </c>
      <c r="B76" s="57" t="s">
        <v>35</v>
      </c>
      <c r="C76" s="8">
        <f t="shared" si="4"/>
        <v>63</v>
      </c>
      <c r="D76" s="8">
        <f t="shared" si="5"/>
        <v>5447.6</v>
      </c>
      <c r="F76" s="53">
        <v>21</v>
      </c>
      <c r="G76" s="53">
        <v>21</v>
      </c>
      <c r="H76" s="53">
        <v>21</v>
      </c>
      <c r="J76" s="42">
        <v>1966.8</v>
      </c>
      <c r="K76" s="42">
        <v>1750</v>
      </c>
      <c r="L76" s="42">
        <v>1730.8</v>
      </c>
    </row>
    <row r="77" spans="1:12" x14ac:dyDescent="0.2">
      <c r="A77" s="56" t="s">
        <v>60</v>
      </c>
      <c r="B77" s="56" t="s">
        <v>36</v>
      </c>
      <c r="C77" s="8">
        <f t="shared" si="4"/>
        <v>7222</v>
      </c>
      <c r="D77" s="8">
        <f t="shared" si="5"/>
        <v>22.8</v>
      </c>
      <c r="F77" s="52">
        <v>2412</v>
      </c>
      <c r="G77" s="52">
        <v>2409</v>
      </c>
      <c r="H77" s="52">
        <v>2401</v>
      </c>
      <c r="J77" s="41">
        <v>10.3</v>
      </c>
      <c r="K77" s="41">
        <v>6</v>
      </c>
      <c r="L77" s="41">
        <v>6.5</v>
      </c>
    </row>
    <row r="78" spans="1:12" x14ac:dyDescent="0.2">
      <c r="A78" s="57" t="s">
        <v>61</v>
      </c>
      <c r="B78" s="57" t="s">
        <v>34</v>
      </c>
      <c r="C78" s="8">
        <f t="shared" si="4"/>
        <v>2933</v>
      </c>
      <c r="D78" s="8">
        <f t="shared" si="5"/>
        <v>376.90000000000003</v>
      </c>
      <c r="F78" s="53">
        <v>989</v>
      </c>
      <c r="G78" s="53">
        <v>977</v>
      </c>
      <c r="H78" s="53">
        <v>967</v>
      </c>
      <c r="J78" s="42">
        <v>146.1</v>
      </c>
      <c r="K78" s="42">
        <v>110</v>
      </c>
      <c r="L78" s="42">
        <v>120.8</v>
      </c>
    </row>
    <row r="79" spans="1:12" x14ac:dyDescent="0.2">
      <c r="A79" s="56" t="s">
        <v>61</v>
      </c>
      <c r="B79" s="56" t="s">
        <v>35</v>
      </c>
      <c r="C79" s="8">
        <f t="shared" si="4"/>
        <v>36</v>
      </c>
      <c r="D79" s="8">
        <f t="shared" si="5"/>
        <v>6841</v>
      </c>
      <c r="F79" s="52">
        <v>12</v>
      </c>
      <c r="G79" s="52">
        <v>12</v>
      </c>
      <c r="H79" s="52">
        <v>12</v>
      </c>
      <c r="J79" s="41">
        <v>2394.6</v>
      </c>
      <c r="K79" s="41">
        <v>2224</v>
      </c>
      <c r="L79" s="41">
        <v>2222.4</v>
      </c>
    </row>
    <row r="80" spans="1:12" x14ac:dyDescent="0.2">
      <c r="A80" s="57" t="s">
        <v>61</v>
      </c>
      <c r="B80" s="57" t="s">
        <v>36</v>
      </c>
      <c r="C80" s="8">
        <f t="shared" si="4"/>
        <v>16280</v>
      </c>
      <c r="D80" s="8">
        <f t="shared" si="5"/>
        <v>42.599999999999994</v>
      </c>
      <c r="F80" s="53">
        <v>5418</v>
      </c>
      <c r="G80" s="53">
        <v>5427</v>
      </c>
      <c r="H80" s="53">
        <v>5435</v>
      </c>
      <c r="J80" s="42">
        <v>18.399999999999999</v>
      </c>
      <c r="K80" s="42">
        <v>11</v>
      </c>
      <c r="L80" s="42">
        <v>13.2</v>
      </c>
    </row>
    <row r="81" spans="1:12" x14ac:dyDescent="0.2">
      <c r="A81" s="56" t="s">
        <v>62</v>
      </c>
      <c r="B81" s="56" t="s">
        <v>34</v>
      </c>
      <c r="C81" s="8">
        <f t="shared" si="4"/>
        <v>1850</v>
      </c>
      <c r="D81" s="8">
        <f t="shared" si="5"/>
        <v>403.6</v>
      </c>
      <c r="F81" s="52">
        <v>620</v>
      </c>
      <c r="G81" s="52">
        <v>616</v>
      </c>
      <c r="H81" s="52">
        <v>614</v>
      </c>
      <c r="J81" s="41">
        <v>151.6</v>
      </c>
      <c r="K81" s="41">
        <v>118</v>
      </c>
      <c r="L81" s="41">
        <v>134</v>
      </c>
    </row>
    <row r="82" spans="1:12" x14ac:dyDescent="0.2">
      <c r="A82" s="57" t="s">
        <v>62</v>
      </c>
      <c r="B82" s="57" t="s">
        <v>35</v>
      </c>
      <c r="C82" s="8">
        <f t="shared" si="4"/>
        <v>0</v>
      </c>
      <c r="D82" s="8">
        <f t="shared" si="5"/>
        <v>0</v>
      </c>
      <c r="F82" s="53">
        <v>0</v>
      </c>
      <c r="G82" s="53">
        <v>0</v>
      </c>
      <c r="H82" s="53">
        <v>0</v>
      </c>
      <c r="J82" s="42">
        <v>0</v>
      </c>
      <c r="K82" s="42">
        <v>0</v>
      </c>
      <c r="L82" s="42">
        <v>0</v>
      </c>
    </row>
    <row r="83" spans="1:12" x14ac:dyDescent="0.2">
      <c r="A83" s="56" t="s">
        <v>62</v>
      </c>
      <c r="B83" s="56" t="s">
        <v>36</v>
      </c>
      <c r="C83" s="8">
        <f t="shared" si="4"/>
        <v>19311</v>
      </c>
      <c r="D83" s="8">
        <f t="shared" si="5"/>
        <v>41.6</v>
      </c>
      <c r="F83" s="52">
        <v>6430</v>
      </c>
      <c r="G83" s="52">
        <v>6436</v>
      </c>
      <c r="H83" s="52">
        <v>6445</v>
      </c>
      <c r="J83" s="41">
        <v>17</v>
      </c>
      <c r="K83" s="41">
        <v>11</v>
      </c>
      <c r="L83" s="41">
        <v>13.6</v>
      </c>
    </row>
    <row r="84" spans="1:12" x14ac:dyDescent="0.2">
      <c r="A84" s="57" t="s">
        <v>63</v>
      </c>
      <c r="B84" s="57" t="s">
        <v>34</v>
      </c>
      <c r="C84" s="8">
        <f t="shared" si="4"/>
        <v>612</v>
      </c>
      <c r="D84" s="8">
        <f t="shared" si="5"/>
        <v>374.3</v>
      </c>
      <c r="F84" s="53">
        <v>201</v>
      </c>
      <c r="G84" s="53">
        <v>205</v>
      </c>
      <c r="H84" s="53">
        <v>206</v>
      </c>
      <c r="J84" s="42">
        <v>165.8</v>
      </c>
      <c r="K84" s="42">
        <v>98</v>
      </c>
      <c r="L84" s="42">
        <v>110.5</v>
      </c>
    </row>
    <row r="85" spans="1:12" x14ac:dyDescent="0.2">
      <c r="A85" s="56" t="s">
        <v>63</v>
      </c>
      <c r="B85" s="56" t="s">
        <v>35</v>
      </c>
      <c r="C85" s="8">
        <f t="shared" si="4"/>
        <v>3</v>
      </c>
      <c r="D85" s="8">
        <f t="shared" si="5"/>
        <v>778.90000000000009</v>
      </c>
      <c r="F85" s="52">
        <v>1</v>
      </c>
      <c r="G85" s="52">
        <v>1</v>
      </c>
      <c r="H85" s="52">
        <v>1</v>
      </c>
      <c r="J85" s="41">
        <v>368.2</v>
      </c>
      <c r="K85" s="41">
        <v>269</v>
      </c>
      <c r="L85" s="41">
        <v>141.69999999999999</v>
      </c>
    </row>
    <row r="86" spans="1:12" x14ac:dyDescent="0.2">
      <c r="A86" s="57" t="s">
        <v>63</v>
      </c>
      <c r="B86" s="57" t="s">
        <v>36</v>
      </c>
      <c r="C86" s="8">
        <f t="shared" si="4"/>
        <v>6992</v>
      </c>
      <c r="D86" s="8">
        <f t="shared" si="5"/>
        <v>35</v>
      </c>
      <c r="F86" s="53">
        <v>2335</v>
      </c>
      <c r="G86" s="53">
        <v>2327</v>
      </c>
      <c r="H86" s="53">
        <v>2330</v>
      </c>
      <c r="J86" s="42">
        <v>15.9</v>
      </c>
      <c r="K86" s="42">
        <v>9</v>
      </c>
      <c r="L86" s="42">
        <v>10.1</v>
      </c>
    </row>
    <row r="87" spans="1:12" x14ac:dyDescent="0.2">
      <c r="A87" s="56" t="s">
        <v>64</v>
      </c>
      <c r="B87" s="56" t="s">
        <v>34</v>
      </c>
      <c r="C87" s="8">
        <f t="shared" si="4"/>
        <v>385</v>
      </c>
      <c r="D87" s="8">
        <f t="shared" si="5"/>
        <v>419.29999999999995</v>
      </c>
      <c r="F87" s="52">
        <v>129</v>
      </c>
      <c r="G87" s="52">
        <v>128</v>
      </c>
      <c r="H87" s="52">
        <v>128</v>
      </c>
      <c r="J87" s="41">
        <v>160.9</v>
      </c>
      <c r="K87" s="41">
        <v>114</v>
      </c>
      <c r="L87" s="41">
        <v>144.4</v>
      </c>
    </row>
    <row r="88" spans="1:12" x14ac:dyDescent="0.2">
      <c r="A88" s="57" t="s">
        <v>64</v>
      </c>
      <c r="B88" s="57" t="s">
        <v>35</v>
      </c>
      <c r="C88" s="8">
        <f t="shared" si="4"/>
        <v>0</v>
      </c>
      <c r="D88" s="8">
        <f t="shared" si="5"/>
        <v>0</v>
      </c>
      <c r="F88" s="53">
        <v>0</v>
      </c>
      <c r="G88" s="53">
        <v>0</v>
      </c>
      <c r="H88" s="53">
        <v>0</v>
      </c>
      <c r="J88" s="42">
        <v>0</v>
      </c>
      <c r="K88" s="42">
        <v>0</v>
      </c>
      <c r="L88" s="42">
        <v>0</v>
      </c>
    </row>
    <row r="89" spans="1:12" x14ac:dyDescent="0.2">
      <c r="A89" s="56" t="s">
        <v>64</v>
      </c>
      <c r="B89" s="56" t="s">
        <v>36</v>
      </c>
      <c r="C89" s="8">
        <f t="shared" si="4"/>
        <v>11696</v>
      </c>
      <c r="D89" s="8">
        <f t="shared" si="5"/>
        <v>49.699999999999996</v>
      </c>
      <c r="F89" s="52">
        <v>3886</v>
      </c>
      <c r="G89" s="52">
        <v>3905</v>
      </c>
      <c r="H89" s="52">
        <v>3905</v>
      </c>
      <c r="J89" s="41">
        <v>20.8</v>
      </c>
      <c r="K89" s="41">
        <v>13</v>
      </c>
      <c r="L89" s="41">
        <v>15.9</v>
      </c>
    </row>
    <row r="90" spans="1:12" x14ac:dyDescent="0.2">
      <c r="A90" s="57" t="s">
        <v>65</v>
      </c>
      <c r="B90" s="57" t="s">
        <v>34</v>
      </c>
      <c r="C90" s="8">
        <f t="shared" si="4"/>
        <v>1864</v>
      </c>
      <c r="D90" s="8">
        <f t="shared" si="5"/>
        <v>293.8</v>
      </c>
      <c r="F90" s="53">
        <v>623</v>
      </c>
      <c r="G90" s="53">
        <v>621</v>
      </c>
      <c r="H90" s="53">
        <v>620</v>
      </c>
      <c r="J90" s="42">
        <v>115.8</v>
      </c>
      <c r="K90" s="42">
        <v>84</v>
      </c>
      <c r="L90" s="42">
        <v>94</v>
      </c>
    </row>
    <row r="91" spans="1:12" x14ac:dyDescent="0.2">
      <c r="A91" s="56" t="s">
        <v>65</v>
      </c>
      <c r="B91" s="56" t="s">
        <v>35</v>
      </c>
      <c r="C91" s="8">
        <f t="shared" si="4"/>
        <v>6</v>
      </c>
      <c r="D91" s="8">
        <f t="shared" si="5"/>
        <v>24.7</v>
      </c>
      <c r="F91" s="52">
        <v>2</v>
      </c>
      <c r="G91" s="52">
        <v>2</v>
      </c>
      <c r="H91" s="52">
        <v>2</v>
      </c>
      <c r="J91" s="41">
        <v>8.6999999999999993</v>
      </c>
      <c r="K91" s="41">
        <v>8</v>
      </c>
      <c r="L91" s="41">
        <v>8</v>
      </c>
    </row>
    <row r="92" spans="1:12" x14ac:dyDescent="0.2">
      <c r="A92" s="57" t="s">
        <v>65</v>
      </c>
      <c r="B92" s="57" t="s">
        <v>36</v>
      </c>
      <c r="C92" s="8">
        <f t="shared" si="4"/>
        <v>15643</v>
      </c>
      <c r="D92" s="8">
        <f t="shared" si="5"/>
        <v>44.4</v>
      </c>
      <c r="F92" s="53">
        <v>5218</v>
      </c>
      <c r="G92" s="53">
        <v>5209</v>
      </c>
      <c r="H92" s="53">
        <v>5216</v>
      </c>
      <c r="J92" s="42">
        <v>19.5</v>
      </c>
      <c r="K92" s="42">
        <v>12</v>
      </c>
      <c r="L92" s="42">
        <v>12.9</v>
      </c>
    </row>
    <row r="93" spans="1:12" x14ac:dyDescent="0.2">
      <c r="A93" s="56" t="s">
        <v>66</v>
      </c>
      <c r="B93" s="56" t="s">
        <v>34</v>
      </c>
      <c r="C93" s="8">
        <f t="shared" si="4"/>
        <v>3</v>
      </c>
      <c r="D93" s="8">
        <f t="shared" si="5"/>
        <v>0</v>
      </c>
      <c r="F93" s="52">
        <v>1</v>
      </c>
      <c r="G93" s="52">
        <v>1</v>
      </c>
      <c r="H93" s="52">
        <v>1</v>
      </c>
      <c r="J93" s="41">
        <v>0</v>
      </c>
      <c r="K93" s="41">
        <v>0</v>
      </c>
      <c r="L93" s="41">
        <v>0</v>
      </c>
    </row>
    <row r="94" spans="1:12" x14ac:dyDescent="0.2">
      <c r="A94" s="57" t="s">
        <v>66</v>
      </c>
      <c r="B94" s="57" t="s">
        <v>35</v>
      </c>
      <c r="C94" s="8">
        <f t="shared" si="4"/>
        <v>0</v>
      </c>
      <c r="D94" s="8">
        <f t="shared" si="5"/>
        <v>0</v>
      </c>
      <c r="F94" s="53">
        <v>0</v>
      </c>
      <c r="G94" s="53">
        <v>0</v>
      </c>
      <c r="H94" s="53">
        <v>0</v>
      </c>
      <c r="J94" s="42">
        <v>0</v>
      </c>
      <c r="K94" s="42">
        <v>0</v>
      </c>
      <c r="L94" s="42">
        <v>0</v>
      </c>
    </row>
    <row r="95" spans="1:12" x14ac:dyDescent="0.2">
      <c r="A95" s="56" t="s">
        <v>66</v>
      </c>
      <c r="B95" s="56" t="s">
        <v>36</v>
      </c>
      <c r="C95" s="8">
        <f t="shared" si="4"/>
        <v>0</v>
      </c>
      <c r="D95" s="8">
        <f t="shared" si="5"/>
        <v>0</v>
      </c>
      <c r="F95" s="52">
        <v>0</v>
      </c>
      <c r="G95" s="52">
        <v>0</v>
      </c>
      <c r="H95" s="52">
        <v>0</v>
      </c>
      <c r="J95" s="41">
        <v>0</v>
      </c>
      <c r="K95" s="41">
        <v>0</v>
      </c>
      <c r="L95" s="41">
        <v>0</v>
      </c>
    </row>
    <row r="96" spans="1:12" x14ac:dyDescent="0.2">
      <c r="A96" s="57" t="s">
        <v>67</v>
      </c>
      <c r="B96" s="57" t="s">
        <v>34</v>
      </c>
      <c r="C96" s="8">
        <f t="shared" si="4"/>
        <v>0</v>
      </c>
      <c r="D96" s="8">
        <f t="shared" si="5"/>
        <v>0</v>
      </c>
      <c r="F96" s="53">
        <v>0</v>
      </c>
      <c r="G96" s="53">
        <v>0</v>
      </c>
      <c r="H96" s="53">
        <v>0</v>
      </c>
      <c r="J96" s="42">
        <v>0</v>
      </c>
      <c r="K96" s="42">
        <v>0</v>
      </c>
      <c r="L96" s="42">
        <v>0</v>
      </c>
    </row>
    <row r="97" spans="1:12" x14ac:dyDescent="0.2">
      <c r="A97" s="56" t="s">
        <v>67</v>
      </c>
      <c r="B97" s="56" t="s">
        <v>35</v>
      </c>
      <c r="C97" s="8">
        <f t="shared" si="4"/>
        <v>0</v>
      </c>
      <c r="D97" s="8">
        <f t="shared" si="5"/>
        <v>0</v>
      </c>
      <c r="F97" s="52">
        <v>0</v>
      </c>
      <c r="G97" s="52">
        <v>0</v>
      </c>
      <c r="H97" s="52">
        <v>0</v>
      </c>
      <c r="J97" s="41">
        <v>0</v>
      </c>
      <c r="K97" s="41">
        <v>0</v>
      </c>
      <c r="L97" s="41">
        <v>0</v>
      </c>
    </row>
    <row r="98" spans="1:12" x14ac:dyDescent="0.2">
      <c r="A98" s="57" t="s">
        <v>67</v>
      </c>
      <c r="B98" s="57" t="s">
        <v>36</v>
      </c>
      <c r="C98" s="8">
        <f t="shared" si="4"/>
        <v>0</v>
      </c>
      <c r="D98" s="8">
        <f t="shared" si="5"/>
        <v>0</v>
      </c>
      <c r="F98" s="53">
        <v>0</v>
      </c>
      <c r="G98" s="53">
        <v>0</v>
      </c>
      <c r="H98" s="53">
        <v>0</v>
      </c>
      <c r="J98" s="42">
        <v>0</v>
      </c>
      <c r="K98" s="42">
        <v>0</v>
      </c>
      <c r="L98" s="42">
        <v>0</v>
      </c>
    </row>
    <row r="99" spans="1:12" x14ac:dyDescent="0.2">
      <c r="A99" s="56" t="s">
        <v>68</v>
      </c>
      <c r="B99" s="56" t="s">
        <v>34</v>
      </c>
      <c r="C99" s="8">
        <f t="shared" ref="C99:C128" si="6">SUM(F99:H99)</f>
        <v>699</v>
      </c>
      <c r="D99" s="8">
        <f t="shared" ref="D99:D128" si="7">SUM(J99:L99)</f>
        <v>162.30000000000001</v>
      </c>
      <c r="F99" s="52">
        <v>228</v>
      </c>
      <c r="G99" s="52">
        <v>236</v>
      </c>
      <c r="H99" s="52">
        <v>235</v>
      </c>
      <c r="J99" s="41">
        <v>57.1</v>
      </c>
      <c r="K99" s="41">
        <v>47</v>
      </c>
      <c r="L99" s="41">
        <v>58.2</v>
      </c>
    </row>
    <row r="100" spans="1:12" x14ac:dyDescent="0.2">
      <c r="A100" s="57" t="s">
        <v>68</v>
      </c>
      <c r="B100" s="57" t="s">
        <v>35</v>
      </c>
      <c r="C100" s="8">
        <f t="shared" si="6"/>
        <v>33</v>
      </c>
      <c r="D100" s="8">
        <f t="shared" si="7"/>
        <v>6928.9</v>
      </c>
      <c r="F100" s="53">
        <v>11</v>
      </c>
      <c r="G100" s="53">
        <v>11</v>
      </c>
      <c r="H100" s="53">
        <v>11</v>
      </c>
      <c r="J100" s="42">
        <v>2154.5</v>
      </c>
      <c r="K100" s="42">
        <v>2445</v>
      </c>
      <c r="L100" s="42">
        <v>2329.4</v>
      </c>
    </row>
    <row r="101" spans="1:12" x14ac:dyDescent="0.2">
      <c r="A101" s="56" t="s">
        <v>68</v>
      </c>
      <c r="B101" s="56" t="s">
        <v>36</v>
      </c>
      <c r="C101" s="8">
        <f t="shared" si="6"/>
        <v>11210</v>
      </c>
      <c r="D101" s="8">
        <f t="shared" si="7"/>
        <v>46.4</v>
      </c>
      <c r="F101" s="52">
        <v>3729</v>
      </c>
      <c r="G101" s="52">
        <v>3736</v>
      </c>
      <c r="H101" s="52">
        <v>3745</v>
      </c>
      <c r="J101" s="41">
        <v>16.399999999999999</v>
      </c>
      <c r="K101" s="41">
        <v>14</v>
      </c>
      <c r="L101" s="41">
        <v>16</v>
      </c>
    </row>
    <row r="102" spans="1:12" x14ac:dyDescent="0.2">
      <c r="A102" s="57" t="s">
        <v>69</v>
      </c>
      <c r="B102" s="57" t="s">
        <v>34</v>
      </c>
      <c r="C102" s="8">
        <f t="shared" si="6"/>
        <v>285</v>
      </c>
      <c r="D102" s="8">
        <f t="shared" si="7"/>
        <v>332.4</v>
      </c>
      <c r="F102" s="53">
        <v>96</v>
      </c>
      <c r="G102" s="53">
        <v>95</v>
      </c>
      <c r="H102" s="53">
        <v>94</v>
      </c>
      <c r="J102" s="42">
        <v>127.1</v>
      </c>
      <c r="K102" s="42">
        <v>97</v>
      </c>
      <c r="L102" s="42">
        <v>108.3</v>
      </c>
    </row>
    <row r="103" spans="1:12" x14ac:dyDescent="0.2">
      <c r="A103" s="56" t="s">
        <v>69</v>
      </c>
      <c r="B103" s="56" t="s">
        <v>35</v>
      </c>
      <c r="C103" s="8">
        <f t="shared" si="6"/>
        <v>3</v>
      </c>
      <c r="D103" s="8">
        <f t="shared" si="7"/>
        <v>1168.5999999999999</v>
      </c>
      <c r="F103" s="52">
        <v>1</v>
      </c>
      <c r="G103" s="52">
        <v>1</v>
      </c>
      <c r="H103" s="52">
        <v>1</v>
      </c>
      <c r="J103" s="41">
        <v>432.9</v>
      </c>
      <c r="K103" s="41">
        <v>339</v>
      </c>
      <c r="L103" s="41">
        <v>396.7</v>
      </c>
    </row>
    <row r="104" spans="1:12" x14ac:dyDescent="0.2">
      <c r="A104" s="57" t="s">
        <v>69</v>
      </c>
      <c r="B104" s="57" t="s">
        <v>36</v>
      </c>
      <c r="C104" s="8">
        <f t="shared" si="6"/>
        <v>3581</v>
      </c>
      <c r="D104" s="8">
        <f t="shared" si="7"/>
        <v>35.099999999999994</v>
      </c>
      <c r="F104" s="53">
        <v>1193</v>
      </c>
      <c r="G104" s="53">
        <v>1194</v>
      </c>
      <c r="H104" s="53">
        <v>1194</v>
      </c>
      <c r="J104" s="42">
        <v>13.4</v>
      </c>
      <c r="K104" s="42">
        <v>10</v>
      </c>
      <c r="L104" s="42">
        <v>11.7</v>
      </c>
    </row>
    <row r="105" spans="1:12" x14ac:dyDescent="0.2">
      <c r="A105" s="56" t="s">
        <v>70</v>
      </c>
      <c r="B105" s="56" t="s">
        <v>34</v>
      </c>
      <c r="C105" s="8">
        <f t="shared" si="6"/>
        <v>6</v>
      </c>
      <c r="D105" s="8">
        <f t="shared" si="7"/>
        <v>31.4</v>
      </c>
      <c r="F105" s="52">
        <v>2</v>
      </c>
      <c r="G105" s="52">
        <v>2</v>
      </c>
      <c r="H105" s="52">
        <v>2</v>
      </c>
      <c r="J105" s="41">
        <v>10.5</v>
      </c>
      <c r="K105" s="41">
        <v>11</v>
      </c>
      <c r="L105" s="41">
        <v>9.9</v>
      </c>
    </row>
    <row r="106" spans="1:12" x14ac:dyDescent="0.2">
      <c r="A106" s="57" t="s">
        <v>70</v>
      </c>
      <c r="B106" s="57" t="s">
        <v>35</v>
      </c>
      <c r="C106" s="8">
        <f t="shared" si="6"/>
        <v>0</v>
      </c>
      <c r="D106" s="8">
        <f t="shared" si="7"/>
        <v>0</v>
      </c>
      <c r="F106" s="53">
        <v>0</v>
      </c>
      <c r="G106" s="53">
        <v>0</v>
      </c>
      <c r="H106" s="53">
        <v>0</v>
      </c>
      <c r="J106" s="42">
        <v>0</v>
      </c>
      <c r="K106" s="42">
        <v>0</v>
      </c>
      <c r="L106" s="42">
        <v>0</v>
      </c>
    </row>
    <row r="107" spans="1:12" x14ac:dyDescent="0.2">
      <c r="A107" s="56" t="s">
        <v>70</v>
      </c>
      <c r="B107" s="56" t="s">
        <v>36</v>
      </c>
      <c r="C107" s="8">
        <f t="shared" si="6"/>
        <v>0</v>
      </c>
      <c r="D107" s="8">
        <f t="shared" si="7"/>
        <v>0</v>
      </c>
      <c r="F107" s="52">
        <v>0</v>
      </c>
      <c r="G107" s="52">
        <v>0</v>
      </c>
      <c r="H107" s="52">
        <v>0</v>
      </c>
      <c r="J107" s="41">
        <v>0</v>
      </c>
      <c r="K107" s="41">
        <v>0</v>
      </c>
      <c r="L107" s="41">
        <v>0</v>
      </c>
    </row>
    <row r="108" spans="1:12" x14ac:dyDescent="0.2">
      <c r="A108" s="57" t="s">
        <v>71</v>
      </c>
      <c r="B108" s="57" t="s">
        <v>34</v>
      </c>
      <c r="C108" s="8">
        <f t="shared" si="6"/>
        <v>0</v>
      </c>
      <c r="D108" s="8">
        <f t="shared" si="7"/>
        <v>0</v>
      </c>
      <c r="F108" s="53">
        <v>0</v>
      </c>
      <c r="G108" s="53">
        <v>0</v>
      </c>
      <c r="H108" s="53">
        <v>0</v>
      </c>
      <c r="J108" s="42">
        <v>0</v>
      </c>
      <c r="K108" s="42">
        <v>0</v>
      </c>
      <c r="L108" s="42">
        <v>0</v>
      </c>
    </row>
    <row r="109" spans="1:12" x14ac:dyDescent="0.2">
      <c r="A109" s="56" t="s">
        <v>71</v>
      </c>
      <c r="B109" s="56" t="s">
        <v>35</v>
      </c>
      <c r="C109" s="8">
        <f t="shared" si="6"/>
        <v>0</v>
      </c>
      <c r="D109" s="8">
        <f t="shared" si="7"/>
        <v>0</v>
      </c>
      <c r="F109" s="52">
        <v>0</v>
      </c>
      <c r="G109" s="52">
        <v>0</v>
      </c>
      <c r="H109" s="52">
        <v>0</v>
      </c>
      <c r="J109" s="41">
        <v>0</v>
      </c>
      <c r="K109" s="41">
        <v>0</v>
      </c>
      <c r="L109" s="41">
        <v>0</v>
      </c>
    </row>
    <row r="110" spans="1:12" x14ac:dyDescent="0.2">
      <c r="A110" s="57" t="s">
        <v>71</v>
      </c>
      <c r="B110" s="57" t="s">
        <v>36</v>
      </c>
      <c r="C110" s="8">
        <f t="shared" si="6"/>
        <v>0</v>
      </c>
      <c r="D110" s="8">
        <f t="shared" si="7"/>
        <v>0</v>
      </c>
      <c r="F110" s="53">
        <v>0</v>
      </c>
      <c r="G110" s="53">
        <v>0</v>
      </c>
      <c r="H110" s="53">
        <v>0</v>
      </c>
      <c r="J110" s="42">
        <v>0</v>
      </c>
      <c r="K110" s="42">
        <v>0</v>
      </c>
      <c r="L110" s="42">
        <v>0</v>
      </c>
    </row>
    <row r="111" spans="1:12" x14ac:dyDescent="0.2">
      <c r="A111" s="56" t="s">
        <v>72</v>
      </c>
      <c r="B111" s="56" t="s">
        <v>34</v>
      </c>
      <c r="C111" s="8">
        <f t="shared" si="6"/>
        <v>3011</v>
      </c>
      <c r="D111" s="8">
        <f t="shared" si="7"/>
        <v>142.19999999999999</v>
      </c>
      <c r="F111" s="52">
        <v>1006</v>
      </c>
      <c r="G111" s="52">
        <v>1001</v>
      </c>
      <c r="H111" s="52">
        <v>1004</v>
      </c>
      <c r="J111" s="41">
        <v>54.9</v>
      </c>
      <c r="K111" s="41">
        <v>38</v>
      </c>
      <c r="L111" s="41">
        <v>49.3</v>
      </c>
    </row>
    <row r="112" spans="1:12" x14ac:dyDescent="0.2">
      <c r="A112" s="57" t="s">
        <v>72</v>
      </c>
      <c r="B112" s="57" t="s">
        <v>35</v>
      </c>
      <c r="C112" s="8">
        <f t="shared" si="6"/>
        <v>15</v>
      </c>
      <c r="D112" s="8">
        <f t="shared" si="7"/>
        <v>14075.1</v>
      </c>
      <c r="F112" s="53">
        <v>5</v>
      </c>
      <c r="G112" s="53">
        <v>5</v>
      </c>
      <c r="H112" s="53">
        <v>5</v>
      </c>
      <c r="J112" s="42">
        <v>4629</v>
      </c>
      <c r="K112" s="42">
        <v>4484</v>
      </c>
      <c r="L112" s="42">
        <v>4962.1000000000004</v>
      </c>
    </row>
    <row r="113" spans="1:12" x14ac:dyDescent="0.2">
      <c r="A113" s="56" t="s">
        <v>72</v>
      </c>
      <c r="B113" s="56" t="s">
        <v>36</v>
      </c>
      <c r="C113" s="8">
        <f t="shared" si="6"/>
        <v>35759</v>
      </c>
      <c r="D113" s="8">
        <f t="shared" si="7"/>
        <v>39.4</v>
      </c>
      <c r="F113" s="52">
        <v>11903</v>
      </c>
      <c r="G113" s="52">
        <v>11920</v>
      </c>
      <c r="H113" s="52">
        <v>11936</v>
      </c>
      <c r="J113" s="41">
        <v>14.3</v>
      </c>
      <c r="K113" s="41">
        <v>11</v>
      </c>
      <c r="L113" s="41">
        <v>14.1</v>
      </c>
    </row>
    <row r="114" spans="1:12" x14ac:dyDescent="0.2">
      <c r="A114" s="57" t="s">
        <v>73</v>
      </c>
      <c r="B114" s="57" t="s">
        <v>34</v>
      </c>
      <c r="C114" s="8">
        <f t="shared" si="6"/>
        <v>1563</v>
      </c>
      <c r="D114" s="8">
        <f t="shared" si="7"/>
        <v>585.70000000000005</v>
      </c>
      <c r="F114" s="53">
        <v>521</v>
      </c>
      <c r="G114" s="53">
        <v>521</v>
      </c>
      <c r="H114" s="53">
        <v>521</v>
      </c>
      <c r="J114" s="42">
        <v>244.1</v>
      </c>
      <c r="K114" s="42">
        <v>173</v>
      </c>
      <c r="L114" s="42">
        <v>168.6</v>
      </c>
    </row>
    <row r="115" spans="1:12" x14ac:dyDescent="0.2">
      <c r="A115" s="56" t="s">
        <v>73</v>
      </c>
      <c r="B115" s="56" t="s">
        <v>35</v>
      </c>
      <c r="C115" s="8">
        <f t="shared" si="6"/>
        <v>0</v>
      </c>
      <c r="D115" s="8">
        <f t="shared" si="7"/>
        <v>0</v>
      </c>
      <c r="F115" s="52">
        <v>0</v>
      </c>
      <c r="G115" s="52">
        <v>0</v>
      </c>
      <c r="H115" s="52">
        <v>0</v>
      </c>
      <c r="J115" s="41">
        <v>0</v>
      </c>
      <c r="K115" s="41">
        <v>0</v>
      </c>
      <c r="L115" s="41">
        <v>0</v>
      </c>
    </row>
    <row r="116" spans="1:12" x14ac:dyDescent="0.2">
      <c r="A116" s="57" t="s">
        <v>73</v>
      </c>
      <c r="B116" s="57" t="s">
        <v>36</v>
      </c>
      <c r="C116" s="8">
        <f t="shared" si="6"/>
        <v>19837</v>
      </c>
      <c r="D116" s="8">
        <f t="shared" si="7"/>
        <v>47.199999999999996</v>
      </c>
      <c r="F116" s="53">
        <v>6614</v>
      </c>
      <c r="G116" s="53">
        <v>6619</v>
      </c>
      <c r="H116" s="53">
        <v>6604</v>
      </c>
      <c r="J116" s="42">
        <v>19.3</v>
      </c>
      <c r="K116" s="42">
        <v>13</v>
      </c>
      <c r="L116" s="42">
        <v>14.9</v>
      </c>
    </row>
    <row r="117" spans="1:12" x14ac:dyDescent="0.2">
      <c r="A117" s="56" t="s">
        <v>74</v>
      </c>
      <c r="B117" s="56" t="s">
        <v>34</v>
      </c>
      <c r="C117" s="8">
        <f t="shared" si="6"/>
        <v>1540</v>
      </c>
      <c r="D117" s="8">
        <f t="shared" si="7"/>
        <v>374.6</v>
      </c>
      <c r="F117" s="52">
        <v>515</v>
      </c>
      <c r="G117" s="52">
        <v>516</v>
      </c>
      <c r="H117" s="52">
        <v>509</v>
      </c>
      <c r="J117" s="41">
        <v>134.4</v>
      </c>
      <c r="K117" s="41">
        <v>105</v>
      </c>
      <c r="L117" s="41">
        <v>135.19999999999999</v>
      </c>
    </row>
    <row r="118" spans="1:12" x14ac:dyDescent="0.2">
      <c r="A118" s="57" t="s">
        <v>74</v>
      </c>
      <c r="B118" s="57" t="s">
        <v>35</v>
      </c>
      <c r="C118" s="8">
        <f t="shared" si="6"/>
        <v>9</v>
      </c>
      <c r="D118" s="8">
        <f t="shared" si="7"/>
        <v>3430</v>
      </c>
      <c r="F118" s="53">
        <v>3</v>
      </c>
      <c r="G118" s="53">
        <v>3</v>
      </c>
      <c r="H118" s="53">
        <v>3</v>
      </c>
      <c r="J118" s="42">
        <v>1156.3</v>
      </c>
      <c r="K118" s="42">
        <v>1009</v>
      </c>
      <c r="L118" s="42">
        <v>1264.7</v>
      </c>
    </row>
    <row r="119" spans="1:12" x14ac:dyDescent="0.2">
      <c r="A119" s="56" t="s">
        <v>74</v>
      </c>
      <c r="B119" s="56" t="s">
        <v>36</v>
      </c>
      <c r="C119" s="8">
        <f t="shared" si="6"/>
        <v>16268</v>
      </c>
      <c r="D119" s="8">
        <f t="shared" si="7"/>
        <v>41.5</v>
      </c>
      <c r="F119" s="52">
        <v>5417</v>
      </c>
      <c r="G119" s="52">
        <v>5432</v>
      </c>
      <c r="H119" s="52">
        <v>5419</v>
      </c>
      <c r="J119" s="41">
        <v>14.9</v>
      </c>
      <c r="K119" s="41">
        <v>12</v>
      </c>
      <c r="L119" s="41">
        <v>14.6</v>
      </c>
    </row>
    <row r="120" spans="1:12" x14ac:dyDescent="0.2">
      <c r="A120" s="57" t="s">
        <v>75</v>
      </c>
      <c r="B120" s="57" t="s">
        <v>34</v>
      </c>
      <c r="C120" s="8">
        <f t="shared" si="6"/>
        <v>703</v>
      </c>
      <c r="D120" s="8">
        <f t="shared" si="7"/>
        <v>240.39999999999998</v>
      </c>
      <c r="F120" s="53">
        <v>236</v>
      </c>
      <c r="G120" s="53">
        <v>234</v>
      </c>
      <c r="H120" s="53">
        <v>233</v>
      </c>
      <c r="J120" s="42">
        <v>91.1</v>
      </c>
      <c r="K120" s="42">
        <v>69</v>
      </c>
      <c r="L120" s="42">
        <v>80.3</v>
      </c>
    </row>
    <row r="121" spans="1:12" x14ac:dyDescent="0.2">
      <c r="A121" s="56" t="s">
        <v>75</v>
      </c>
      <c r="B121" s="56" t="s">
        <v>35</v>
      </c>
      <c r="C121" s="8">
        <f t="shared" si="6"/>
        <v>3</v>
      </c>
      <c r="D121" s="8">
        <f t="shared" si="7"/>
        <v>1130.8</v>
      </c>
      <c r="F121" s="52">
        <v>1</v>
      </c>
      <c r="G121" s="52">
        <v>1</v>
      </c>
      <c r="H121" s="52">
        <v>1</v>
      </c>
      <c r="J121" s="41">
        <v>825.8</v>
      </c>
      <c r="K121" s="41">
        <v>194</v>
      </c>
      <c r="L121" s="41">
        <v>111</v>
      </c>
    </row>
    <row r="122" spans="1:12" x14ac:dyDescent="0.2">
      <c r="A122" s="57" t="s">
        <v>75</v>
      </c>
      <c r="B122" s="57" t="s">
        <v>36</v>
      </c>
      <c r="C122" s="8">
        <f t="shared" si="6"/>
        <v>20064</v>
      </c>
      <c r="D122" s="8">
        <f t="shared" si="7"/>
        <v>58.6</v>
      </c>
      <c r="F122" s="53">
        <v>6681</v>
      </c>
      <c r="G122" s="53">
        <v>6691</v>
      </c>
      <c r="H122" s="53">
        <v>6692</v>
      </c>
      <c r="J122" s="42">
        <v>24.5</v>
      </c>
      <c r="K122" s="42">
        <v>18</v>
      </c>
      <c r="L122" s="42">
        <v>16.100000000000001</v>
      </c>
    </row>
    <row r="123" spans="1:12" x14ac:dyDescent="0.2">
      <c r="A123" s="56" t="s">
        <v>76</v>
      </c>
      <c r="B123" s="56" t="s">
        <v>34</v>
      </c>
      <c r="C123" s="8">
        <f t="shared" si="6"/>
        <v>699</v>
      </c>
      <c r="D123" s="8">
        <f t="shared" si="7"/>
        <v>975.2</v>
      </c>
      <c r="F123" s="52">
        <v>226</v>
      </c>
      <c r="G123" s="52">
        <v>236</v>
      </c>
      <c r="H123" s="52">
        <v>237</v>
      </c>
      <c r="J123" s="41">
        <v>374.5</v>
      </c>
      <c r="K123" s="41">
        <v>293</v>
      </c>
      <c r="L123" s="41">
        <v>307.7</v>
      </c>
    </row>
    <row r="124" spans="1:12" x14ac:dyDescent="0.2">
      <c r="A124" s="57" t="s">
        <v>76</v>
      </c>
      <c r="B124" s="57" t="s">
        <v>35</v>
      </c>
      <c r="C124" s="8">
        <f t="shared" si="6"/>
        <v>0</v>
      </c>
      <c r="D124" s="8">
        <f t="shared" si="7"/>
        <v>0</v>
      </c>
      <c r="F124" s="53">
        <v>0</v>
      </c>
      <c r="G124" s="53">
        <v>0</v>
      </c>
      <c r="H124" s="53">
        <v>0</v>
      </c>
      <c r="J124" s="42">
        <v>0</v>
      </c>
      <c r="K124" s="42">
        <v>0</v>
      </c>
      <c r="L124" s="42">
        <v>0</v>
      </c>
    </row>
    <row r="125" spans="1:12" x14ac:dyDescent="0.2">
      <c r="A125" s="56" t="s">
        <v>76</v>
      </c>
      <c r="B125" s="56" t="s">
        <v>36</v>
      </c>
      <c r="C125" s="8">
        <f t="shared" si="6"/>
        <v>13968</v>
      </c>
      <c r="D125" s="8">
        <f t="shared" si="7"/>
        <v>46.2</v>
      </c>
      <c r="F125" s="52">
        <v>4654</v>
      </c>
      <c r="G125" s="52">
        <v>4653</v>
      </c>
      <c r="H125" s="52">
        <v>4661</v>
      </c>
      <c r="J125" s="41">
        <v>20.7</v>
      </c>
      <c r="K125" s="41">
        <v>12</v>
      </c>
      <c r="L125" s="41">
        <v>13.5</v>
      </c>
    </row>
    <row r="126" spans="1:12" x14ac:dyDescent="0.2">
      <c r="A126" s="57" t="s">
        <v>77</v>
      </c>
      <c r="B126" s="57" t="s">
        <v>34</v>
      </c>
      <c r="C126" s="8">
        <f t="shared" si="6"/>
        <v>0</v>
      </c>
      <c r="D126" s="8">
        <f t="shared" si="7"/>
        <v>0</v>
      </c>
      <c r="F126" s="53">
        <v>0</v>
      </c>
      <c r="G126" s="53">
        <v>0</v>
      </c>
      <c r="H126" s="53">
        <v>0</v>
      </c>
      <c r="J126" s="42">
        <v>0</v>
      </c>
      <c r="K126" s="42">
        <v>0</v>
      </c>
      <c r="L126" s="42">
        <v>0</v>
      </c>
    </row>
    <row r="127" spans="1:12" x14ac:dyDescent="0.2">
      <c r="A127" s="56" t="s">
        <v>77</v>
      </c>
      <c r="B127" s="56" t="s">
        <v>35</v>
      </c>
      <c r="C127" s="8">
        <f t="shared" si="6"/>
        <v>0</v>
      </c>
      <c r="D127" s="8">
        <f t="shared" si="7"/>
        <v>0</v>
      </c>
      <c r="E127" s="8"/>
      <c r="F127" s="52">
        <v>0</v>
      </c>
      <c r="G127" s="52">
        <v>0</v>
      </c>
      <c r="H127" s="52">
        <v>0</v>
      </c>
      <c r="I127" s="8"/>
      <c r="J127" s="41">
        <v>0</v>
      </c>
      <c r="K127" s="41">
        <v>0</v>
      </c>
      <c r="L127" s="41">
        <v>0</v>
      </c>
    </row>
    <row r="128" spans="1:12" x14ac:dyDescent="0.2">
      <c r="A128" s="57" t="s">
        <v>77</v>
      </c>
      <c r="B128" s="57" t="s">
        <v>36</v>
      </c>
      <c r="C128" s="8">
        <f t="shared" si="6"/>
        <v>0</v>
      </c>
      <c r="D128" s="8">
        <f t="shared" si="7"/>
        <v>0</v>
      </c>
      <c r="F128" s="53">
        <v>0</v>
      </c>
      <c r="G128" s="53">
        <v>0</v>
      </c>
      <c r="H128" s="53">
        <v>0</v>
      </c>
      <c r="J128" s="42">
        <v>0</v>
      </c>
      <c r="K128" s="42">
        <v>0</v>
      </c>
      <c r="L128" s="42">
        <v>0</v>
      </c>
    </row>
    <row r="129" spans="1:12" x14ac:dyDescent="0.2">
      <c r="A129" s="56" t="s">
        <v>125</v>
      </c>
      <c r="B129" s="56" t="s">
        <v>34</v>
      </c>
      <c r="C129" s="8">
        <f t="shared" ref="C129:C131" si="8">SUM(F129:H129)</f>
        <v>0</v>
      </c>
      <c r="D129" s="8">
        <f t="shared" ref="D129:D131" si="9">SUM(J129:L129)</f>
        <v>0</v>
      </c>
      <c r="F129" s="52">
        <v>0</v>
      </c>
      <c r="G129" s="52">
        <v>0</v>
      </c>
      <c r="H129" s="52">
        <v>0</v>
      </c>
      <c r="J129" s="41">
        <v>0</v>
      </c>
      <c r="K129" s="41">
        <v>0</v>
      </c>
      <c r="L129" s="41">
        <v>0</v>
      </c>
    </row>
    <row r="130" spans="1:12" x14ac:dyDescent="0.2">
      <c r="A130" s="57" t="s">
        <v>125</v>
      </c>
      <c r="B130" s="57" t="s">
        <v>35</v>
      </c>
      <c r="C130" s="8">
        <f t="shared" si="8"/>
        <v>0</v>
      </c>
      <c r="D130" s="8">
        <f t="shared" si="9"/>
        <v>0</v>
      </c>
      <c r="F130" s="53">
        <v>0</v>
      </c>
      <c r="G130" s="53">
        <v>0</v>
      </c>
      <c r="H130" s="53">
        <v>0</v>
      </c>
      <c r="J130" s="42">
        <v>0</v>
      </c>
      <c r="K130" s="42">
        <v>0</v>
      </c>
      <c r="L130" s="42">
        <v>0</v>
      </c>
    </row>
    <row r="131" spans="1:12" x14ac:dyDescent="0.2">
      <c r="A131" s="56" t="s">
        <v>125</v>
      </c>
      <c r="B131" s="56" t="s">
        <v>36</v>
      </c>
      <c r="C131" s="8">
        <f t="shared" si="8"/>
        <v>0</v>
      </c>
      <c r="D131" s="8">
        <f t="shared" si="9"/>
        <v>0</v>
      </c>
      <c r="F131" s="52">
        <v>0</v>
      </c>
      <c r="G131" s="52">
        <v>0</v>
      </c>
      <c r="H131" s="52">
        <v>0</v>
      </c>
      <c r="J131" s="41">
        <v>0</v>
      </c>
      <c r="K131" s="41">
        <v>0</v>
      </c>
      <c r="L131" s="41">
        <v>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3Q and September 2022
&amp;P of 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4"/>
  <sheetViews>
    <sheetView zoomScaleNormal="100" workbookViewId="0">
      <pane xSplit="2" ySplit="4" topLeftCell="C99" activePane="bottomRight" state="frozen"/>
      <selection activeCell="E3" sqref="E3"/>
      <selection pane="topRight" activeCell="E3" sqref="E3"/>
      <selection pane="bottomLeft" activeCell="E3" sqref="E3"/>
      <selection pane="bottomRight" activeCell="D134" sqref="D134:F134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6" width="14.6640625" customWidth="1"/>
    <col min="7" max="7" width="2.83203125" style="1" customWidth="1"/>
    <col min="8" max="19" width="14.6640625" customWidth="1"/>
    <col min="20" max="20" width="2.6640625" style="1" customWidth="1"/>
    <col min="21" max="23" width="14.6640625" customWidth="1"/>
    <col min="24" max="24" width="2.83203125" style="1" customWidth="1"/>
    <col min="25" max="27" width="24.6640625" customWidth="1"/>
  </cols>
  <sheetData>
    <row r="1" spans="1:27" ht="30" customHeight="1" thickBot="1" x14ac:dyDescent="0.25">
      <c r="A1" s="2" t="s">
        <v>111</v>
      </c>
      <c r="B1" s="2"/>
      <c r="D1" s="9" t="s">
        <v>17</v>
      </c>
      <c r="E1" s="26"/>
      <c r="F1" s="26"/>
      <c r="H1" s="9" t="s">
        <v>78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U1" s="9" t="s">
        <v>18</v>
      </c>
      <c r="V1" s="9"/>
      <c r="W1" s="9"/>
      <c r="Y1" s="9" t="s">
        <v>19</v>
      </c>
      <c r="Z1" s="9"/>
      <c r="AA1" s="9"/>
    </row>
    <row r="2" spans="1:27" ht="14" customHeight="1" x14ac:dyDescent="0.2">
      <c r="D2" s="19"/>
      <c r="E2" s="28"/>
      <c r="F2" s="28"/>
      <c r="H2" s="48">
        <f>+D4</f>
        <v>44743</v>
      </c>
      <c r="I2" s="29"/>
      <c r="J2" s="29"/>
      <c r="K2" s="29"/>
      <c r="L2" s="48">
        <f>+E4</f>
        <v>44774</v>
      </c>
      <c r="M2" s="29"/>
      <c r="N2" s="29"/>
      <c r="O2" s="29"/>
      <c r="P2" s="48">
        <f>+F4</f>
        <v>44805</v>
      </c>
      <c r="Q2" s="29"/>
      <c r="R2" s="29"/>
      <c r="S2" s="29"/>
      <c r="U2" s="19"/>
      <c r="V2" s="19"/>
      <c r="W2" s="19"/>
      <c r="Y2" s="19"/>
      <c r="Z2" s="19"/>
      <c r="AA2" s="19"/>
    </row>
    <row r="3" spans="1:27" ht="14" customHeight="1" x14ac:dyDescent="0.2">
      <c r="A3" s="32"/>
      <c r="B3" s="32"/>
      <c r="D3" s="33"/>
      <c r="E3" s="34"/>
      <c r="F3" s="34"/>
      <c r="H3" s="30" t="s">
        <v>96</v>
      </c>
      <c r="I3" s="31" t="s">
        <v>96</v>
      </c>
      <c r="J3" s="31" t="s">
        <v>96</v>
      </c>
      <c r="K3" s="31" t="s">
        <v>96</v>
      </c>
      <c r="L3" s="30" t="s">
        <v>96</v>
      </c>
      <c r="M3" s="31" t="s">
        <v>96</v>
      </c>
      <c r="N3" s="31" t="s">
        <v>96</v>
      </c>
      <c r="O3" s="31" t="s">
        <v>96</v>
      </c>
      <c r="P3" s="30" t="s">
        <v>96</v>
      </c>
      <c r="Q3" s="31" t="s">
        <v>96</v>
      </c>
      <c r="R3" s="31" t="s">
        <v>96</v>
      </c>
      <c r="S3" s="31" t="s">
        <v>96</v>
      </c>
      <c r="U3" s="19"/>
      <c r="V3" s="19"/>
      <c r="W3" s="19"/>
      <c r="Y3" s="19"/>
      <c r="Z3" s="19"/>
      <c r="AA3" s="19"/>
    </row>
    <row r="4" spans="1:27" x14ac:dyDescent="0.2">
      <c r="A4" s="27" t="s">
        <v>0</v>
      </c>
      <c r="B4" s="27" t="s">
        <v>1</v>
      </c>
      <c r="D4" s="40">
        <v>44743</v>
      </c>
      <c r="E4" s="40">
        <v>44774</v>
      </c>
      <c r="F4" s="40">
        <v>44805</v>
      </c>
      <c r="H4" s="30" t="s">
        <v>97</v>
      </c>
      <c r="I4" s="31" t="s">
        <v>98</v>
      </c>
      <c r="J4" s="31" t="s">
        <v>99</v>
      </c>
      <c r="K4" s="31" t="s">
        <v>100</v>
      </c>
      <c r="L4" s="30" t="s">
        <v>97</v>
      </c>
      <c r="M4" s="31" t="s">
        <v>98</v>
      </c>
      <c r="N4" s="31" t="s">
        <v>99</v>
      </c>
      <c r="O4" s="31" t="s">
        <v>100</v>
      </c>
      <c r="P4" s="30" t="s">
        <v>97</v>
      </c>
      <c r="Q4" s="31" t="s">
        <v>98</v>
      </c>
      <c r="R4" s="31" t="s">
        <v>99</v>
      </c>
      <c r="S4" s="31" t="s">
        <v>100</v>
      </c>
      <c r="U4" s="4">
        <f>+D4</f>
        <v>44743</v>
      </c>
      <c r="V4" s="4">
        <f t="shared" ref="V4:W4" si="0">+E4</f>
        <v>44774</v>
      </c>
      <c r="W4" s="4">
        <f t="shared" si="0"/>
        <v>44805</v>
      </c>
      <c r="Y4" s="4">
        <f>+D4</f>
        <v>44743</v>
      </c>
      <c r="Z4" s="4">
        <f t="shared" ref="Z4:AA4" si="1">+E4</f>
        <v>44774</v>
      </c>
      <c r="AA4" s="4">
        <f t="shared" si="1"/>
        <v>44805</v>
      </c>
    </row>
    <row r="5" spans="1:27" x14ac:dyDescent="0.2">
      <c r="A5" s="38" t="s">
        <v>80</v>
      </c>
      <c r="B5" s="38" t="s">
        <v>34</v>
      </c>
      <c r="D5" s="38">
        <v>0</v>
      </c>
      <c r="E5" s="38">
        <v>0</v>
      </c>
      <c r="F5" s="38">
        <v>0</v>
      </c>
      <c r="H5" s="38">
        <v>0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U5" s="38">
        <v>0</v>
      </c>
      <c r="V5" s="38">
        <v>0</v>
      </c>
      <c r="W5" s="38">
        <v>0</v>
      </c>
      <c r="Y5" t="s">
        <v>83</v>
      </c>
    </row>
    <row r="6" spans="1:27" x14ac:dyDescent="0.2">
      <c r="A6" s="39" t="s">
        <v>81</v>
      </c>
      <c r="B6" s="39" t="s">
        <v>34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U6" s="39">
        <v>0</v>
      </c>
      <c r="V6" s="39">
        <v>0</v>
      </c>
      <c r="W6" s="39">
        <v>0</v>
      </c>
      <c r="Y6" t="s">
        <v>84</v>
      </c>
    </row>
    <row r="7" spans="1:27" x14ac:dyDescent="0.2">
      <c r="A7" s="38" t="s">
        <v>82</v>
      </c>
      <c r="B7" s="38" t="s">
        <v>34</v>
      </c>
      <c r="D7" s="38">
        <v>0</v>
      </c>
      <c r="E7" s="38">
        <v>0</v>
      </c>
      <c r="F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U7" s="38">
        <v>0</v>
      </c>
      <c r="V7" s="38">
        <v>0</v>
      </c>
      <c r="W7" s="38">
        <v>0</v>
      </c>
      <c r="Y7" t="s">
        <v>85</v>
      </c>
    </row>
    <row r="8" spans="1:27" x14ac:dyDescent="0.2">
      <c r="A8" s="39" t="s">
        <v>39</v>
      </c>
      <c r="B8" s="39" t="s">
        <v>34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U8" s="39">
        <v>0</v>
      </c>
      <c r="V8" s="39">
        <v>0</v>
      </c>
      <c r="W8" s="39">
        <v>0</v>
      </c>
    </row>
    <row r="9" spans="1:27" x14ac:dyDescent="0.2">
      <c r="A9" s="38" t="s">
        <v>40</v>
      </c>
      <c r="B9" s="38" t="s">
        <v>34</v>
      </c>
      <c r="D9" s="38">
        <v>0</v>
      </c>
      <c r="E9" s="38">
        <v>0</v>
      </c>
      <c r="F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U9" s="38">
        <v>0</v>
      </c>
      <c r="V9" s="38">
        <v>0</v>
      </c>
      <c r="W9" s="38">
        <v>0</v>
      </c>
    </row>
    <row r="10" spans="1:27" x14ac:dyDescent="0.2">
      <c r="A10" s="39" t="s">
        <v>41</v>
      </c>
      <c r="B10" s="39" t="s">
        <v>34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U10" s="39">
        <v>0</v>
      </c>
      <c r="V10" s="39">
        <v>0</v>
      </c>
      <c r="W10" s="39">
        <v>0</v>
      </c>
    </row>
    <row r="11" spans="1:27" x14ac:dyDescent="0.2">
      <c r="A11" s="38" t="s">
        <v>42</v>
      </c>
      <c r="B11" s="38" t="s">
        <v>34</v>
      </c>
      <c r="D11" s="38">
        <v>0</v>
      </c>
      <c r="E11" s="38">
        <v>0</v>
      </c>
      <c r="F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U11" s="38">
        <v>0</v>
      </c>
      <c r="V11" s="38">
        <v>0</v>
      </c>
      <c r="W11" s="38">
        <v>0</v>
      </c>
    </row>
    <row r="12" spans="1:27" x14ac:dyDescent="0.2">
      <c r="A12" s="39" t="s">
        <v>43</v>
      </c>
      <c r="B12" s="39" t="s">
        <v>34</v>
      </c>
      <c r="D12" s="39">
        <v>0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U12" s="39">
        <v>0</v>
      </c>
      <c r="V12" s="39">
        <v>0</v>
      </c>
      <c r="W12" s="39">
        <v>0</v>
      </c>
    </row>
    <row r="13" spans="1:27" x14ac:dyDescent="0.2">
      <c r="A13" s="38" t="s">
        <v>44</v>
      </c>
      <c r="B13" s="38" t="s">
        <v>34</v>
      </c>
      <c r="D13" s="38">
        <v>0</v>
      </c>
      <c r="E13" s="38">
        <v>0</v>
      </c>
      <c r="F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U13" s="38">
        <v>0</v>
      </c>
      <c r="V13" s="38">
        <v>0</v>
      </c>
      <c r="W13" s="38">
        <v>0</v>
      </c>
    </row>
    <row r="14" spans="1:27" x14ac:dyDescent="0.2">
      <c r="A14" s="39" t="s">
        <v>45</v>
      </c>
      <c r="B14" s="39" t="s">
        <v>34</v>
      </c>
      <c r="D14" s="39">
        <v>0</v>
      </c>
      <c r="E14" s="39">
        <v>1</v>
      </c>
      <c r="F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U14" s="39">
        <v>11</v>
      </c>
      <c r="V14" s="39">
        <v>9</v>
      </c>
      <c r="W14" s="39">
        <v>9</v>
      </c>
    </row>
    <row r="15" spans="1:27" x14ac:dyDescent="0.2">
      <c r="A15" s="38" t="s">
        <v>46</v>
      </c>
      <c r="B15" s="38" t="s">
        <v>34</v>
      </c>
      <c r="D15" s="38">
        <v>0</v>
      </c>
      <c r="E15" s="38">
        <v>1</v>
      </c>
      <c r="F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U15" s="38">
        <v>2</v>
      </c>
      <c r="V15" s="38">
        <v>0</v>
      </c>
      <c r="W15" s="38">
        <v>1</v>
      </c>
    </row>
    <row r="16" spans="1:27" x14ac:dyDescent="0.2">
      <c r="A16" s="39" t="s">
        <v>47</v>
      </c>
      <c r="B16" s="39" t="s">
        <v>34</v>
      </c>
      <c r="D16" s="39">
        <v>0</v>
      </c>
      <c r="E16" s="39">
        <v>0</v>
      </c>
      <c r="F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U16" s="39">
        <v>3</v>
      </c>
      <c r="V16" s="39">
        <v>1</v>
      </c>
      <c r="W16" s="39">
        <v>0</v>
      </c>
    </row>
    <row r="17" spans="1:23" x14ac:dyDescent="0.2">
      <c r="A17" s="38" t="s">
        <v>48</v>
      </c>
      <c r="B17" s="38" t="s">
        <v>34</v>
      </c>
      <c r="D17" s="38">
        <v>0</v>
      </c>
      <c r="E17" s="38">
        <v>0</v>
      </c>
      <c r="F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U17" s="38">
        <v>12</v>
      </c>
      <c r="V17" s="38">
        <v>12</v>
      </c>
      <c r="W17" s="38">
        <v>6</v>
      </c>
    </row>
    <row r="18" spans="1:23" x14ac:dyDescent="0.2">
      <c r="A18" s="39" t="s">
        <v>49</v>
      </c>
      <c r="B18" s="39" t="s">
        <v>34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U18" s="39">
        <v>1</v>
      </c>
      <c r="V18" s="39">
        <v>0</v>
      </c>
      <c r="W18" s="39">
        <v>2</v>
      </c>
    </row>
    <row r="19" spans="1:23" x14ac:dyDescent="0.2">
      <c r="A19" s="38" t="s">
        <v>50</v>
      </c>
      <c r="B19" s="38" t="s">
        <v>34</v>
      </c>
      <c r="D19" s="38">
        <v>0</v>
      </c>
      <c r="E19" s="38">
        <v>0</v>
      </c>
      <c r="F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U19" s="38">
        <v>0</v>
      </c>
      <c r="V19" s="38">
        <v>0</v>
      </c>
      <c r="W19" s="38">
        <v>0</v>
      </c>
    </row>
    <row r="20" spans="1:23" x14ac:dyDescent="0.2">
      <c r="A20" s="39" t="s">
        <v>51</v>
      </c>
      <c r="B20" s="39" t="s">
        <v>34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U20" s="39">
        <v>0</v>
      </c>
      <c r="V20" s="39">
        <v>0</v>
      </c>
      <c r="W20" s="39">
        <v>0</v>
      </c>
    </row>
    <row r="21" spans="1:23" x14ac:dyDescent="0.2">
      <c r="A21" s="38" t="s">
        <v>52</v>
      </c>
      <c r="B21" s="38" t="s">
        <v>34</v>
      </c>
      <c r="D21" s="38">
        <v>0</v>
      </c>
      <c r="E21" s="38">
        <v>0</v>
      </c>
      <c r="F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U21" s="38">
        <v>0</v>
      </c>
      <c r="V21" s="38">
        <v>0</v>
      </c>
      <c r="W21" s="38">
        <v>0</v>
      </c>
    </row>
    <row r="22" spans="1:23" x14ac:dyDescent="0.2">
      <c r="A22" s="39" t="s">
        <v>53</v>
      </c>
      <c r="B22" s="39" t="s">
        <v>34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U22" s="39">
        <v>0</v>
      </c>
      <c r="V22" s="39">
        <v>0</v>
      </c>
      <c r="W22" s="39">
        <v>0</v>
      </c>
    </row>
    <row r="23" spans="1:23" x14ac:dyDescent="0.2">
      <c r="A23" s="38" t="s">
        <v>54</v>
      </c>
      <c r="B23" s="38" t="s">
        <v>34</v>
      </c>
      <c r="D23" s="38">
        <v>0</v>
      </c>
      <c r="E23" s="38">
        <v>0</v>
      </c>
      <c r="F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U23" s="38">
        <v>0</v>
      </c>
      <c r="V23" s="38">
        <v>0</v>
      </c>
      <c r="W23" s="38">
        <v>1</v>
      </c>
    </row>
    <row r="24" spans="1:23" x14ac:dyDescent="0.2">
      <c r="A24" s="39" t="s">
        <v>55</v>
      </c>
      <c r="B24" s="39" t="s">
        <v>34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U24" s="39">
        <v>0</v>
      </c>
      <c r="V24" s="39">
        <v>1</v>
      </c>
      <c r="W24" s="39">
        <v>1</v>
      </c>
    </row>
    <row r="25" spans="1:23" x14ac:dyDescent="0.2">
      <c r="A25" s="38" t="s">
        <v>56</v>
      </c>
      <c r="B25" s="38" t="s">
        <v>34</v>
      </c>
      <c r="D25" s="38">
        <v>0</v>
      </c>
      <c r="E25" s="38">
        <v>0</v>
      </c>
      <c r="F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U25" s="38">
        <v>0</v>
      </c>
      <c r="V25" s="38">
        <v>0</v>
      </c>
      <c r="W25" s="38">
        <v>0</v>
      </c>
    </row>
    <row r="26" spans="1:23" x14ac:dyDescent="0.2">
      <c r="A26" s="39" t="s">
        <v>57</v>
      </c>
      <c r="B26" s="39" t="s">
        <v>34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U26" s="39">
        <v>0</v>
      </c>
      <c r="V26" s="39">
        <v>0</v>
      </c>
      <c r="W26" s="39">
        <v>0</v>
      </c>
    </row>
    <row r="27" spans="1:23" x14ac:dyDescent="0.2">
      <c r="A27" s="38" t="s">
        <v>58</v>
      </c>
      <c r="B27" s="38" t="s">
        <v>34</v>
      </c>
      <c r="D27" s="38">
        <v>0</v>
      </c>
      <c r="E27" s="38">
        <v>0</v>
      </c>
      <c r="F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U27" s="38">
        <v>5</v>
      </c>
      <c r="V27" s="38">
        <v>3</v>
      </c>
      <c r="W27" s="38">
        <v>9</v>
      </c>
    </row>
    <row r="28" spans="1:23" x14ac:dyDescent="0.2">
      <c r="A28" s="39" t="s">
        <v>59</v>
      </c>
      <c r="B28" s="39" t="s">
        <v>34</v>
      </c>
      <c r="D28" s="39">
        <v>0</v>
      </c>
      <c r="E28" s="39">
        <v>0</v>
      </c>
      <c r="F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U28" s="39">
        <v>0</v>
      </c>
      <c r="V28" s="39">
        <v>0</v>
      </c>
      <c r="W28" s="39">
        <v>0</v>
      </c>
    </row>
    <row r="29" spans="1:23" x14ac:dyDescent="0.2">
      <c r="A29" s="38" t="s">
        <v>60</v>
      </c>
      <c r="B29" s="38" t="s">
        <v>34</v>
      </c>
      <c r="D29" s="38">
        <v>0</v>
      </c>
      <c r="E29" s="38">
        <v>0</v>
      </c>
      <c r="F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U29" s="38">
        <v>25</v>
      </c>
      <c r="V29" s="38">
        <v>20</v>
      </c>
      <c r="W29" s="38">
        <v>12</v>
      </c>
    </row>
    <row r="30" spans="1:23" x14ac:dyDescent="0.2">
      <c r="A30" s="39" t="s">
        <v>61</v>
      </c>
      <c r="B30" s="39" t="s">
        <v>34</v>
      </c>
      <c r="D30" s="39">
        <v>1</v>
      </c>
      <c r="E30" s="39">
        <v>0</v>
      </c>
      <c r="F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U30" s="39">
        <v>34</v>
      </c>
      <c r="V30" s="39">
        <v>29</v>
      </c>
      <c r="W30" s="39">
        <v>24</v>
      </c>
    </row>
    <row r="31" spans="1:23" x14ac:dyDescent="0.2">
      <c r="A31" s="38" t="s">
        <v>62</v>
      </c>
      <c r="B31" s="38" t="s">
        <v>34</v>
      </c>
      <c r="D31" s="38">
        <v>2</v>
      </c>
      <c r="E31" s="38">
        <v>2</v>
      </c>
      <c r="F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1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U31" s="38">
        <v>27</v>
      </c>
      <c r="V31" s="38">
        <v>23</v>
      </c>
      <c r="W31" s="38">
        <v>18</v>
      </c>
    </row>
    <row r="32" spans="1:23" x14ac:dyDescent="0.2">
      <c r="A32" s="39" t="s">
        <v>63</v>
      </c>
      <c r="B32" s="39" t="s">
        <v>34</v>
      </c>
      <c r="D32" s="39">
        <v>0</v>
      </c>
      <c r="E32" s="39">
        <v>0</v>
      </c>
      <c r="F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U32" s="39">
        <v>3</v>
      </c>
      <c r="V32" s="39">
        <v>2</v>
      </c>
      <c r="W32" s="39">
        <v>2</v>
      </c>
    </row>
    <row r="33" spans="1:23" x14ac:dyDescent="0.2">
      <c r="A33" s="38" t="s">
        <v>64</v>
      </c>
      <c r="B33" s="38" t="s">
        <v>34</v>
      </c>
      <c r="D33" s="38">
        <v>0</v>
      </c>
      <c r="E33" s="38">
        <v>0</v>
      </c>
      <c r="F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U33" s="38">
        <v>2</v>
      </c>
      <c r="V33" s="38">
        <v>7</v>
      </c>
      <c r="W33" s="38">
        <v>2</v>
      </c>
    </row>
    <row r="34" spans="1:23" x14ac:dyDescent="0.2">
      <c r="A34" s="39" t="s">
        <v>65</v>
      </c>
      <c r="B34" s="39" t="s">
        <v>34</v>
      </c>
      <c r="D34" s="39">
        <v>1</v>
      </c>
      <c r="E34" s="39">
        <v>1</v>
      </c>
      <c r="F34" s="39">
        <v>1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U34" s="39">
        <v>15</v>
      </c>
      <c r="V34" s="39">
        <v>10</v>
      </c>
      <c r="W34" s="39">
        <v>17</v>
      </c>
    </row>
    <row r="35" spans="1:23" x14ac:dyDescent="0.2">
      <c r="A35" s="38" t="s">
        <v>66</v>
      </c>
      <c r="B35" s="38" t="s">
        <v>34</v>
      </c>
      <c r="D35" s="38">
        <v>0</v>
      </c>
      <c r="E35" s="38">
        <v>0</v>
      </c>
      <c r="F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U35" s="38">
        <v>0</v>
      </c>
      <c r="V35" s="38">
        <v>0</v>
      </c>
      <c r="W35" s="38">
        <v>0</v>
      </c>
    </row>
    <row r="36" spans="1:23" x14ac:dyDescent="0.2">
      <c r="A36" s="39" t="s">
        <v>67</v>
      </c>
      <c r="B36" s="39" t="s">
        <v>34</v>
      </c>
      <c r="D36" s="39">
        <v>0</v>
      </c>
      <c r="E36" s="39">
        <v>0</v>
      </c>
      <c r="F36" s="39">
        <v>0</v>
      </c>
      <c r="H36" s="39">
        <v>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U36" s="39">
        <v>0</v>
      </c>
      <c r="V36" s="39">
        <v>0</v>
      </c>
      <c r="W36" s="39">
        <v>0</v>
      </c>
    </row>
    <row r="37" spans="1:23" x14ac:dyDescent="0.2">
      <c r="A37" s="38" t="s">
        <v>68</v>
      </c>
      <c r="B37" s="38" t="s">
        <v>34</v>
      </c>
      <c r="D37" s="38">
        <v>0</v>
      </c>
      <c r="E37" s="38">
        <v>0</v>
      </c>
      <c r="F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U37" s="38">
        <v>8</v>
      </c>
      <c r="V37" s="38">
        <v>5</v>
      </c>
      <c r="W37" s="38">
        <v>6</v>
      </c>
    </row>
    <row r="38" spans="1:23" x14ac:dyDescent="0.2">
      <c r="A38" s="39" t="s">
        <v>69</v>
      </c>
      <c r="B38" s="39" t="s">
        <v>34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U38" s="39">
        <v>1</v>
      </c>
      <c r="V38" s="39">
        <v>0</v>
      </c>
      <c r="W38" s="39">
        <v>1</v>
      </c>
    </row>
    <row r="39" spans="1:23" x14ac:dyDescent="0.2">
      <c r="A39" s="38" t="s">
        <v>70</v>
      </c>
      <c r="B39" s="38" t="s">
        <v>34</v>
      </c>
      <c r="D39" s="38">
        <v>0</v>
      </c>
      <c r="E39" s="38">
        <v>0</v>
      </c>
      <c r="F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U39" s="38">
        <v>1</v>
      </c>
      <c r="V39" s="38">
        <v>1</v>
      </c>
      <c r="W39" s="38">
        <v>1</v>
      </c>
    </row>
    <row r="40" spans="1:23" x14ac:dyDescent="0.2">
      <c r="A40" s="39" t="s">
        <v>71</v>
      </c>
      <c r="B40" s="39" t="s">
        <v>34</v>
      </c>
      <c r="D40" s="39">
        <v>0</v>
      </c>
      <c r="E40" s="39">
        <v>0</v>
      </c>
      <c r="F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U40" s="39">
        <v>0</v>
      </c>
      <c r="V40" s="39">
        <v>0</v>
      </c>
      <c r="W40" s="39">
        <v>0</v>
      </c>
    </row>
    <row r="41" spans="1:23" x14ac:dyDescent="0.2">
      <c r="A41" s="38" t="s">
        <v>72</v>
      </c>
      <c r="B41" s="38" t="s">
        <v>34</v>
      </c>
      <c r="D41" s="38">
        <v>1</v>
      </c>
      <c r="E41" s="38">
        <v>1</v>
      </c>
      <c r="F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0</v>
      </c>
      <c r="R41" s="38">
        <v>0</v>
      </c>
      <c r="S41" s="38">
        <v>0</v>
      </c>
      <c r="U41" s="38">
        <v>32</v>
      </c>
      <c r="V41" s="38">
        <v>42</v>
      </c>
      <c r="W41" s="38">
        <v>40</v>
      </c>
    </row>
    <row r="42" spans="1:23" x14ac:dyDescent="0.2">
      <c r="A42" s="39" t="s">
        <v>73</v>
      </c>
      <c r="B42" s="39" t="s">
        <v>34</v>
      </c>
      <c r="D42" s="39">
        <v>0</v>
      </c>
      <c r="E42" s="39">
        <v>0</v>
      </c>
      <c r="F42" s="39">
        <v>0</v>
      </c>
      <c r="H42" s="39">
        <v>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U42" s="39">
        <v>16</v>
      </c>
      <c r="V42" s="39">
        <v>16</v>
      </c>
      <c r="W42" s="39">
        <v>14</v>
      </c>
    </row>
    <row r="43" spans="1:23" x14ac:dyDescent="0.2">
      <c r="A43" s="38" t="s">
        <v>74</v>
      </c>
      <c r="B43" s="38" t="s">
        <v>34</v>
      </c>
      <c r="D43" s="38">
        <v>0</v>
      </c>
      <c r="E43" s="38">
        <v>1</v>
      </c>
      <c r="F43" s="38">
        <v>0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U43" s="38">
        <v>18</v>
      </c>
      <c r="V43" s="38">
        <v>14</v>
      </c>
      <c r="W43" s="38">
        <v>13</v>
      </c>
    </row>
    <row r="44" spans="1:23" x14ac:dyDescent="0.2">
      <c r="A44" s="39" t="s">
        <v>75</v>
      </c>
      <c r="B44" s="39" t="s">
        <v>34</v>
      </c>
      <c r="D44" s="39">
        <v>1</v>
      </c>
      <c r="E44" s="39">
        <v>0</v>
      </c>
      <c r="F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U44" s="39">
        <v>4</v>
      </c>
      <c r="V44" s="39">
        <v>2</v>
      </c>
      <c r="W44" s="39">
        <v>5</v>
      </c>
    </row>
    <row r="45" spans="1:23" x14ac:dyDescent="0.2">
      <c r="A45" s="38" t="s">
        <v>76</v>
      </c>
      <c r="B45" s="38" t="s">
        <v>34</v>
      </c>
      <c r="D45" s="38">
        <v>0</v>
      </c>
      <c r="E45" s="38">
        <v>0</v>
      </c>
      <c r="F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U45" s="38">
        <v>6</v>
      </c>
      <c r="V45" s="38">
        <v>6</v>
      </c>
      <c r="W45" s="38">
        <v>7</v>
      </c>
    </row>
    <row r="46" spans="1:23" x14ac:dyDescent="0.2">
      <c r="A46" s="39" t="s">
        <v>77</v>
      </c>
      <c r="B46" s="39" t="s">
        <v>34</v>
      </c>
      <c r="D46" s="39">
        <v>0</v>
      </c>
      <c r="E46" s="39">
        <v>0</v>
      </c>
      <c r="F46" s="39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U46" s="39">
        <v>0</v>
      </c>
      <c r="V46" s="39">
        <v>0</v>
      </c>
      <c r="W46" s="39">
        <v>0</v>
      </c>
    </row>
    <row r="47" spans="1:23" x14ac:dyDescent="0.2">
      <c r="A47" s="38" t="s">
        <v>125</v>
      </c>
      <c r="B47" s="38" t="s">
        <v>34</v>
      </c>
      <c r="D47" s="38">
        <v>0</v>
      </c>
      <c r="E47" s="38">
        <v>0</v>
      </c>
      <c r="F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U47" s="38">
        <v>0</v>
      </c>
      <c r="V47" s="38">
        <v>0</v>
      </c>
      <c r="W47" s="38">
        <v>0</v>
      </c>
    </row>
    <row r="48" spans="1:23" x14ac:dyDescent="0.2">
      <c r="A48" s="39" t="s">
        <v>80</v>
      </c>
      <c r="B48" s="39" t="s">
        <v>35</v>
      </c>
      <c r="D48" s="39">
        <v>0</v>
      </c>
      <c r="E48" s="39">
        <v>0</v>
      </c>
      <c r="F48" s="39">
        <v>0</v>
      </c>
      <c r="H48" s="39">
        <v>0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U48" s="39">
        <v>0</v>
      </c>
      <c r="V48" s="39">
        <v>0</v>
      </c>
      <c r="W48" s="39">
        <v>0</v>
      </c>
    </row>
    <row r="49" spans="1:23" x14ac:dyDescent="0.2">
      <c r="A49" s="38" t="s">
        <v>81</v>
      </c>
      <c r="B49" s="38" t="s">
        <v>35</v>
      </c>
      <c r="D49" s="38">
        <v>0</v>
      </c>
      <c r="E49" s="38">
        <v>0</v>
      </c>
      <c r="F49" s="38">
        <v>0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U49" s="38">
        <v>0</v>
      </c>
      <c r="V49" s="38">
        <v>0</v>
      </c>
      <c r="W49" s="38">
        <v>0</v>
      </c>
    </row>
    <row r="50" spans="1:23" x14ac:dyDescent="0.2">
      <c r="A50" s="39" t="s">
        <v>82</v>
      </c>
      <c r="B50" s="39" t="s">
        <v>35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U50" s="39">
        <v>0</v>
      </c>
      <c r="V50" s="39">
        <v>0</v>
      </c>
      <c r="W50" s="39">
        <v>0</v>
      </c>
    </row>
    <row r="51" spans="1:23" x14ac:dyDescent="0.2">
      <c r="A51" s="38" t="s">
        <v>39</v>
      </c>
      <c r="B51" s="38" t="s">
        <v>35</v>
      </c>
      <c r="D51" s="38">
        <v>0</v>
      </c>
      <c r="E51" s="38">
        <v>0</v>
      </c>
      <c r="F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0</v>
      </c>
      <c r="Q51" s="38">
        <v>0</v>
      </c>
      <c r="R51" s="38">
        <v>0</v>
      </c>
      <c r="S51" s="38">
        <v>0</v>
      </c>
      <c r="U51" s="38">
        <v>0</v>
      </c>
      <c r="V51" s="38">
        <v>0</v>
      </c>
      <c r="W51" s="38">
        <v>0</v>
      </c>
    </row>
    <row r="52" spans="1:23" x14ac:dyDescent="0.2">
      <c r="A52" s="39" t="s">
        <v>40</v>
      </c>
      <c r="B52" s="39" t="s">
        <v>35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U52" s="39">
        <v>0</v>
      </c>
      <c r="V52" s="39">
        <v>0</v>
      </c>
      <c r="W52" s="39">
        <v>0</v>
      </c>
    </row>
    <row r="53" spans="1:23" x14ac:dyDescent="0.2">
      <c r="A53" s="38" t="s">
        <v>41</v>
      </c>
      <c r="B53" s="38" t="s">
        <v>35</v>
      </c>
      <c r="D53" s="38">
        <v>0</v>
      </c>
      <c r="E53" s="38">
        <v>0</v>
      </c>
      <c r="F53" s="38">
        <v>0</v>
      </c>
      <c r="H53" s="38">
        <v>0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U53" s="38">
        <v>0</v>
      </c>
      <c r="V53" s="38">
        <v>0</v>
      </c>
      <c r="W53" s="38">
        <v>0</v>
      </c>
    </row>
    <row r="54" spans="1:23" x14ac:dyDescent="0.2">
      <c r="A54" s="39" t="s">
        <v>42</v>
      </c>
      <c r="B54" s="39" t="s">
        <v>35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9">
        <v>0</v>
      </c>
      <c r="Q54" s="39">
        <v>0</v>
      </c>
      <c r="R54" s="39">
        <v>0</v>
      </c>
      <c r="S54" s="39">
        <v>0</v>
      </c>
      <c r="U54" s="39">
        <v>0</v>
      </c>
      <c r="V54" s="39">
        <v>0</v>
      </c>
      <c r="W54" s="39">
        <v>0</v>
      </c>
    </row>
    <row r="55" spans="1:23" x14ac:dyDescent="0.2">
      <c r="A55" s="38" t="s">
        <v>43</v>
      </c>
      <c r="B55" s="38" t="s">
        <v>35</v>
      </c>
      <c r="D55" s="38">
        <v>0</v>
      </c>
      <c r="E55" s="38">
        <v>0</v>
      </c>
      <c r="F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8">
        <v>0</v>
      </c>
      <c r="S55" s="38">
        <v>0</v>
      </c>
      <c r="U55" s="38">
        <v>0</v>
      </c>
      <c r="V55" s="38">
        <v>0</v>
      </c>
      <c r="W55" s="38">
        <v>0</v>
      </c>
    </row>
    <row r="56" spans="1:23" x14ac:dyDescent="0.2">
      <c r="A56" s="39" t="s">
        <v>44</v>
      </c>
      <c r="B56" s="39" t="s">
        <v>35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0</v>
      </c>
      <c r="S56" s="39">
        <v>0</v>
      </c>
      <c r="U56" s="39">
        <v>0</v>
      </c>
      <c r="V56" s="39">
        <v>0</v>
      </c>
      <c r="W56" s="39">
        <v>0</v>
      </c>
    </row>
    <row r="57" spans="1:23" x14ac:dyDescent="0.2">
      <c r="A57" s="38" t="s">
        <v>45</v>
      </c>
      <c r="B57" s="38" t="s">
        <v>35</v>
      </c>
      <c r="D57" s="38">
        <v>0</v>
      </c>
      <c r="E57" s="38">
        <v>0</v>
      </c>
      <c r="F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U57" s="38">
        <v>0</v>
      </c>
      <c r="V57" s="38">
        <v>0</v>
      </c>
      <c r="W57" s="38">
        <v>0</v>
      </c>
    </row>
    <row r="58" spans="1:23" x14ac:dyDescent="0.2">
      <c r="A58" s="39" t="s">
        <v>46</v>
      </c>
      <c r="B58" s="39" t="s">
        <v>35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U58" s="39">
        <v>0</v>
      </c>
      <c r="V58" s="39">
        <v>0</v>
      </c>
      <c r="W58" s="39">
        <v>0</v>
      </c>
    </row>
    <row r="59" spans="1:23" x14ac:dyDescent="0.2">
      <c r="A59" s="38" t="s">
        <v>47</v>
      </c>
      <c r="B59" s="38" t="s">
        <v>35</v>
      </c>
      <c r="D59" s="38">
        <v>0</v>
      </c>
      <c r="E59" s="38">
        <v>0</v>
      </c>
      <c r="F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8">
        <v>0</v>
      </c>
      <c r="R59" s="38">
        <v>0</v>
      </c>
      <c r="S59" s="38">
        <v>0</v>
      </c>
      <c r="U59" s="38">
        <v>0</v>
      </c>
      <c r="V59" s="38">
        <v>0</v>
      </c>
      <c r="W59" s="38">
        <v>0</v>
      </c>
    </row>
    <row r="60" spans="1:23" x14ac:dyDescent="0.2">
      <c r="A60" s="39" t="s">
        <v>48</v>
      </c>
      <c r="B60" s="39" t="s">
        <v>35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U60" s="39">
        <v>0</v>
      </c>
      <c r="V60" s="39">
        <v>0</v>
      </c>
      <c r="W60" s="39">
        <v>1</v>
      </c>
    </row>
    <row r="61" spans="1:23" x14ac:dyDescent="0.2">
      <c r="A61" s="38" t="s">
        <v>49</v>
      </c>
      <c r="B61" s="38" t="s">
        <v>35</v>
      </c>
      <c r="D61" s="38">
        <v>0</v>
      </c>
      <c r="E61" s="38">
        <v>0</v>
      </c>
      <c r="F61" s="38">
        <v>0</v>
      </c>
      <c r="H61" s="38">
        <v>0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8">
        <v>0</v>
      </c>
      <c r="P61" s="38">
        <v>0</v>
      </c>
      <c r="Q61" s="38">
        <v>0</v>
      </c>
      <c r="R61" s="38">
        <v>0</v>
      </c>
      <c r="S61" s="38">
        <v>0</v>
      </c>
      <c r="U61" s="38">
        <v>0</v>
      </c>
      <c r="V61" s="38">
        <v>0</v>
      </c>
      <c r="W61" s="38">
        <v>0</v>
      </c>
    </row>
    <row r="62" spans="1:23" x14ac:dyDescent="0.2">
      <c r="A62" s="39" t="s">
        <v>50</v>
      </c>
      <c r="B62" s="39" t="s">
        <v>35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0</v>
      </c>
      <c r="S62" s="39">
        <v>0</v>
      </c>
      <c r="U62" s="39">
        <v>0</v>
      </c>
      <c r="V62" s="39">
        <v>0</v>
      </c>
      <c r="W62" s="39">
        <v>0</v>
      </c>
    </row>
    <row r="63" spans="1:23" x14ac:dyDescent="0.2">
      <c r="A63" s="38" t="s">
        <v>51</v>
      </c>
      <c r="B63" s="38" t="s">
        <v>35</v>
      </c>
      <c r="D63" s="38">
        <v>0</v>
      </c>
      <c r="E63" s="38">
        <v>0</v>
      </c>
      <c r="F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U63" s="38">
        <v>0</v>
      </c>
      <c r="V63" s="38">
        <v>0</v>
      </c>
      <c r="W63" s="38">
        <v>0</v>
      </c>
    </row>
    <row r="64" spans="1:23" x14ac:dyDescent="0.2">
      <c r="A64" s="39" t="s">
        <v>52</v>
      </c>
      <c r="B64" s="39" t="s">
        <v>35</v>
      </c>
      <c r="D64" s="39">
        <v>0</v>
      </c>
      <c r="E64" s="39">
        <v>0</v>
      </c>
      <c r="F64" s="39">
        <v>0</v>
      </c>
      <c r="H64" s="39">
        <v>0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U64" s="39">
        <v>0</v>
      </c>
      <c r="V64" s="39">
        <v>0</v>
      </c>
      <c r="W64" s="39">
        <v>0</v>
      </c>
    </row>
    <row r="65" spans="1:23" x14ac:dyDescent="0.2">
      <c r="A65" s="38" t="s">
        <v>53</v>
      </c>
      <c r="B65" s="38" t="s">
        <v>35</v>
      </c>
      <c r="D65" s="38">
        <v>0</v>
      </c>
      <c r="E65" s="38">
        <v>0</v>
      </c>
      <c r="F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U65" s="38">
        <v>0</v>
      </c>
      <c r="V65" s="38">
        <v>0</v>
      </c>
      <c r="W65" s="38">
        <v>0</v>
      </c>
    </row>
    <row r="66" spans="1:23" x14ac:dyDescent="0.2">
      <c r="A66" s="39" t="s">
        <v>54</v>
      </c>
      <c r="B66" s="39" t="s">
        <v>35</v>
      </c>
      <c r="D66" s="39">
        <v>0</v>
      </c>
      <c r="E66" s="39">
        <v>0</v>
      </c>
      <c r="F66" s="39">
        <v>0</v>
      </c>
      <c r="H66" s="39">
        <v>0</v>
      </c>
      <c r="I66" s="39">
        <v>0</v>
      </c>
      <c r="J66" s="39">
        <v>0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  <c r="P66" s="39">
        <v>0</v>
      </c>
      <c r="Q66" s="39">
        <v>0</v>
      </c>
      <c r="R66" s="39">
        <v>0</v>
      </c>
      <c r="S66" s="39">
        <v>0</v>
      </c>
      <c r="U66" s="39">
        <v>0</v>
      </c>
      <c r="V66" s="39">
        <v>0</v>
      </c>
      <c r="W66" s="39">
        <v>0</v>
      </c>
    </row>
    <row r="67" spans="1:23" x14ac:dyDescent="0.2">
      <c r="A67" s="38" t="s">
        <v>55</v>
      </c>
      <c r="B67" s="38" t="s">
        <v>35</v>
      </c>
      <c r="D67" s="38">
        <v>0</v>
      </c>
      <c r="E67" s="38">
        <v>0</v>
      </c>
      <c r="F67" s="38">
        <v>0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8">
        <v>0</v>
      </c>
      <c r="S67" s="38">
        <v>0</v>
      </c>
      <c r="U67" s="38">
        <v>0</v>
      </c>
      <c r="V67" s="38">
        <v>0</v>
      </c>
      <c r="W67" s="38">
        <v>0</v>
      </c>
    </row>
    <row r="68" spans="1:23" x14ac:dyDescent="0.2">
      <c r="A68" s="39" t="s">
        <v>56</v>
      </c>
      <c r="B68" s="39" t="s">
        <v>35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0</v>
      </c>
      <c r="Q68" s="39">
        <v>0</v>
      </c>
      <c r="R68" s="39">
        <v>0</v>
      </c>
      <c r="S68" s="39">
        <v>0</v>
      </c>
      <c r="U68" s="39">
        <v>0</v>
      </c>
      <c r="V68" s="39">
        <v>0</v>
      </c>
      <c r="W68" s="39">
        <v>0</v>
      </c>
    </row>
    <row r="69" spans="1:23" x14ac:dyDescent="0.2">
      <c r="A69" s="38" t="s">
        <v>57</v>
      </c>
      <c r="B69" s="38" t="s">
        <v>35</v>
      </c>
      <c r="D69" s="38">
        <v>0</v>
      </c>
      <c r="E69" s="38">
        <v>0</v>
      </c>
      <c r="F69" s="38">
        <v>0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U69" s="38">
        <v>0</v>
      </c>
      <c r="V69" s="38">
        <v>0</v>
      </c>
      <c r="W69" s="38">
        <v>0</v>
      </c>
    </row>
    <row r="70" spans="1:23" x14ac:dyDescent="0.2">
      <c r="A70" s="39" t="s">
        <v>58</v>
      </c>
      <c r="B70" s="39" t="s">
        <v>35</v>
      </c>
      <c r="D70" s="39">
        <v>0</v>
      </c>
      <c r="E70" s="39">
        <v>0</v>
      </c>
      <c r="F70" s="39">
        <v>0</v>
      </c>
      <c r="H70" s="39">
        <v>0</v>
      </c>
      <c r="I70" s="39">
        <v>0</v>
      </c>
      <c r="J70" s="39">
        <v>0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0</v>
      </c>
      <c r="U70" s="39">
        <v>0</v>
      </c>
      <c r="V70" s="39">
        <v>0</v>
      </c>
      <c r="W70" s="39">
        <v>0</v>
      </c>
    </row>
    <row r="71" spans="1:23" x14ac:dyDescent="0.2">
      <c r="A71" s="38" t="s">
        <v>59</v>
      </c>
      <c r="B71" s="38" t="s">
        <v>35</v>
      </c>
      <c r="D71" s="38">
        <v>0</v>
      </c>
      <c r="E71" s="38">
        <v>0</v>
      </c>
      <c r="F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8">
        <v>0</v>
      </c>
      <c r="S71" s="38">
        <v>0</v>
      </c>
      <c r="U71" s="38">
        <v>0</v>
      </c>
      <c r="V71" s="38">
        <v>0</v>
      </c>
      <c r="W71" s="38">
        <v>0</v>
      </c>
    </row>
    <row r="72" spans="1:23" x14ac:dyDescent="0.2">
      <c r="A72" s="39" t="s">
        <v>60</v>
      </c>
      <c r="B72" s="39" t="s">
        <v>35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U72" s="39">
        <v>3</v>
      </c>
      <c r="V72" s="39">
        <v>3</v>
      </c>
      <c r="W72" s="39">
        <v>0</v>
      </c>
    </row>
    <row r="73" spans="1:23" x14ac:dyDescent="0.2">
      <c r="A73" s="38" t="s">
        <v>61</v>
      </c>
      <c r="B73" s="38" t="s">
        <v>35</v>
      </c>
      <c r="D73" s="38">
        <v>0</v>
      </c>
      <c r="E73" s="38">
        <v>0</v>
      </c>
      <c r="F73" s="38">
        <v>0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  <c r="S73" s="38">
        <v>0</v>
      </c>
      <c r="U73" s="38">
        <v>2</v>
      </c>
      <c r="V73" s="38">
        <v>2</v>
      </c>
      <c r="W73" s="38">
        <v>3</v>
      </c>
    </row>
    <row r="74" spans="1:23" x14ac:dyDescent="0.2">
      <c r="A74" s="39" t="s">
        <v>62</v>
      </c>
      <c r="B74" s="39" t="s">
        <v>35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U74" s="39">
        <v>0</v>
      </c>
      <c r="V74" s="39">
        <v>0</v>
      </c>
      <c r="W74" s="39">
        <v>0</v>
      </c>
    </row>
    <row r="75" spans="1:23" x14ac:dyDescent="0.2">
      <c r="A75" s="38" t="s">
        <v>63</v>
      </c>
      <c r="B75" s="38" t="s">
        <v>35</v>
      </c>
      <c r="D75" s="38">
        <v>0</v>
      </c>
      <c r="E75" s="38">
        <v>0</v>
      </c>
      <c r="F75" s="38">
        <v>0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U75" s="38">
        <v>0</v>
      </c>
      <c r="V75" s="38">
        <v>0</v>
      </c>
      <c r="W75" s="38">
        <v>0</v>
      </c>
    </row>
    <row r="76" spans="1:23" x14ac:dyDescent="0.2">
      <c r="A76" s="39" t="s">
        <v>64</v>
      </c>
      <c r="B76" s="39" t="s">
        <v>35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U76" s="39">
        <v>0</v>
      </c>
      <c r="V76" s="39">
        <v>0</v>
      </c>
      <c r="W76" s="39">
        <v>0</v>
      </c>
    </row>
    <row r="77" spans="1:23" x14ac:dyDescent="0.2">
      <c r="A77" s="38" t="s">
        <v>65</v>
      </c>
      <c r="B77" s="38" t="s">
        <v>35</v>
      </c>
      <c r="D77" s="38">
        <v>0</v>
      </c>
      <c r="E77" s="38">
        <v>0</v>
      </c>
      <c r="F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38">
        <v>0</v>
      </c>
      <c r="U77" s="38">
        <v>0</v>
      </c>
      <c r="V77" s="38">
        <v>0</v>
      </c>
      <c r="W77" s="38">
        <v>0</v>
      </c>
    </row>
    <row r="78" spans="1:23" x14ac:dyDescent="0.2">
      <c r="A78" s="39" t="s">
        <v>66</v>
      </c>
      <c r="B78" s="39" t="s">
        <v>35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U78" s="39">
        <v>0</v>
      </c>
      <c r="V78" s="39">
        <v>0</v>
      </c>
      <c r="W78" s="39">
        <v>0</v>
      </c>
    </row>
    <row r="79" spans="1:23" x14ac:dyDescent="0.2">
      <c r="A79" s="38" t="s">
        <v>67</v>
      </c>
      <c r="B79" s="38" t="s">
        <v>35</v>
      </c>
      <c r="D79" s="38">
        <v>0</v>
      </c>
      <c r="E79" s="38">
        <v>0</v>
      </c>
      <c r="F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0</v>
      </c>
      <c r="S79" s="38">
        <v>0</v>
      </c>
      <c r="U79" s="38">
        <v>0</v>
      </c>
      <c r="V79" s="38">
        <v>0</v>
      </c>
      <c r="W79" s="38">
        <v>0</v>
      </c>
    </row>
    <row r="80" spans="1:23" x14ac:dyDescent="0.2">
      <c r="A80" s="39" t="s">
        <v>68</v>
      </c>
      <c r="B80" s="39" t="s">
        <v>35</v>
      </c>
      <c r="D80" s="39">
        <v>0</v>
      </c>
      <c r="E80" s="39">
        <v>0</v>
      </c>
      <c r="F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U80" s="39">
        <v>0</v>
      </c>
      <c r="V80" s="39">
        <v>0</v>
      </c>
      <c r="W80" s="39">
        <v>0</v>
      </c>
    </row>
    <row r="81" spans="1:23" x14ac:dyDescent="0.2">
      <c r="A81" s="38" t="s">
        <v>69</v>
      </c>
      <c r="B81" s="38" t="s">
        <v>35</v>
      </c>
      <c r="D81" s="38">
        <v>0</v>
      </c>
      <c r="E81" s="38">
        <v>0</v>
      </c>
      <c r="F81" s="38">
        <v>0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0</v>
      </c>
      <c r="U81" s="38">
        <v>0</v>
      </c>
      <c r="V81" s="38">
        <v>0</v>
      </c>
      <c r="W81" s="38">
        <v>0</v>
      </c>
    </row>
    <row r="82" spans="1:23" x14ac:dyDescent="0.2">
      <c r="A82" s="39" t="s">
        <v>70</v>
      </c>
      <c r="B82" s="39" t="s">
        <v>35</v>
      </c>
      <c r="D82" s="39">
        <v>0</v>
      </c>
      <c r="E82" s="39">
        <v>0</v>
      </c>
      <c r="F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U82" s="39">
        <v>0</v>
      </c>
      <c r="V82" s="39">
        <v>0</v>
      </c>
      <c r="W82" s="39">
        <v>0</v>
      </c>
    </row>
    <row r="83" spans="1:23" x14ac:dyDescent="0.2">
      <c r="A83" s="38" t="s">
        <v>71</v>
      </c>
      <c r="B83" s="38" t="s">
        <v>35</v>
      </c>
      <c r="D83" s="38">
        <v>0</v>
      </c>
      <c r="E83" s="38">
        <v>0</v>
      </c>
      <c r="F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U83" s="38">
        <v>0</v>
      </c>
      <c r="V83" s="38">
        <v>0</v>
      </c>
      <c r="W83" s="38">
        <v>0</v>
      </c>
    </row>
    <row r="84" spans="1:23" x14ac:dyDescent="0.2">
      <c r="A84" s="39" t="s">
        <v>72</v>
      </c>
      <c r="B84" s="39" t="s">
        <v>35</v>
      </c>
      <c r="D84" s="39">
        <v>0</v>
      </c>
      <c r="E84" s="39">
        <v>0</v>
      </c>
      <c r="F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U84" s="39">
        <v>2</v>
      </c>
      <c r="V84" s="39">
        <v>2</v>
      </c>
      <c r="W84" s="39">
        <v>1</v>
      </c>
    </row>
    <row r="85" spans="1:23" x14ac:dyDescent="0.2">
      <c r="A85" s="38" t="s">
        <v>73</v>
      </c>
      <c r="B85" s="38" t="s">
        <v>35</v>
      </c>
      <c r="D85" s="38">
        <v>0</v>
      </c>
      <c r="E85" s="38">
        <v>0</v>
      </c>
      <c r="F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U85" s="38">
        <v>0</v>
      </c>
      <c r="V85" s="38">
        <v>0</v>
      </c>
      <c r="W85" s="38">
        <v>0</v>
      </c>
    </row>
    <row r="86" spans="1:23" x14ac:dyDescent="0.2">
      <c r="A86" s="39" t="s">
        <v>74</v>
      </c>
      <c r="B86" s="39" t="s">
        <v>35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U86" s="39">
        <v>0</v>
      </c>
      <c r="V86" s="39">
        <v>0</v>
      </c>
      <c r="W86" s="39">
        <v>0</v>
      </c>
    </row>
    <row r="87" spans="1:23" x14ac:dyDescent="0.2">
      <c r="A87" s="38" t="s">
        <v>75</v>
      </c>
      <c r="B87" s="38" t="s">
        <v>35</v>
      </c>
      <c r="D87" s="38">
        <v>0</v>
      </c>
      <c r="E87" s="38">
        <v>0</v>
      </c>
      <c r="F87" s="38">
        <v>0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8">
        <v>0</v>
      </c>
      <c r="R87" s="38">
        <v>0</v>
      </c>
      <c r="S87" s="38">
        <v>0</v>
      </c>
      <c r="U87" s="38">
        <v>0</v>
      </c>
      <c r="V87" s="38">
        <v>0</v>
      </c>
      <c r="W87" s="38">
        <v>0</v>
      </c>
    </row>
    <row r="88" spans="1:23" x14ac:dyDescent="0.2">
      <c r="A88" s="39" t="s">
        <v>76</v>
      </c>
      <c r="B88" s="39" t="s">
        <v>35</v>
      </c>
      <c r="D88" s="39">
        <v>0</v>
      </c>
      <c r="E88" s="39">
        <v>0</v>
      </c>
      <c r="F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U88" s="39">
        <v>0</v>
      </c>
      <c r="V88" s="39">
        <v>0</v>
      </c>
      <c r="W88" s="39">
        <v>0</v>
      </c>
    </row>
    <row r="89" spans="1:23" x14ac:dyDescent="0.2">
      <c r="A89" s="38" t="s">
        <v>77</v>
      </c>
      <c r="B89" s="38" t="s">
        <v>35</v>
      </c>
      <c r="D89" s="38">
        <v>0</v>
      </c>
      <c r="E89" s="38">
        <v>0</v>
      </c>
      <c r="F89" s="38">
        <v>0</v>
      </c>
      <c r="H89" s="38">
        <v>0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8">
        <v>0</v>
      </c>
      <c r="R89" s="38">
        <v>0</v>
      </c>
      <c r="S89" s="38">
        <v>0</v>
      </c>
      <c r="U89" s="38">
        <v>0</v>
      </c>
      <c r="V89" s="38">
        <v>0</v>
      </c>
      <c r="W89" s="38">
        <v>0</v>
      </c>
    </row>
    <row r="90" spans="1:23" x14ac:dyDescent="0.2">
      <c r="A90" s="39" t="s">
        <v>125</v>
      </c>
      <c r="B90" s="39" t="s">
        <v>35</v>
      </c>
      <c r="D90" s="39">
        <v>0</v>
      </c>
      <c r="E90" s="39">
        <v>0</v>
      </c>
      <c r="F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U90" s="39">
        <v>0</v>
      </c>
      <c r="V90" s="39">
        <v>0</v>
      </c>
      <c r="W90" s="39">
        <v>0</v>
      </c>
    </row>
    <row r="91" spans="1:23" x14ac:dyDescent="0.2">
      <c r="A91" s="38" t="s">
        <v>80</v>
      </c>
      <c r="B91" s="38" t="s">
        <v>36</v>
      </c>
      <c r="D91" s="38">
        <v>0</v>
      </c>
      <c r="E91" s="38">
        <v>0</v>
      </c>
      <c r="F91" s="38">
        <v>0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8">
        <v>0</v>
      </c>
      <c r="R91" s="38">
        <v>0</v>
      </c>
      <c r="S91" s="38">
        <v>0</v>
      </c>
      <c r="U91" s="38">
        <v>0</v>
      </c>
      <c r="V91" s="38">
        <v>0</v>
      </c>
      <c r="W91" s="38">
        <v>0</v>
      </c>
    </row>
    <row r="92" spans="1:23" x14ac:dyDescent="0.2">
      <c r="A92" s="39" t="s">
        <v>81</v>
      </c>
      <c r="B92" s="39" t="s">
        <v>36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U92" s="39">
        <v>0</v>
      </c>
      <c r="V92" s="39">
        <v>0</v>
      </c>
      <c r="W92" s="39">
        <v>0</v>
      </c>
    </row>
    <row r="93" spans="1:23" x14ac:dyDescent="0.2">
      <c r="A93" s="38" t="s">
        <v>82</v>
      </c>
      <c r="B93" s="38" t="s">
        <v>36</v>
      </c>
      <c r="D93" s="38">
        <v>0</v>
      </c>
      <c r="E93" s="38">
        <v>0</v>
      </c>
      <c r="F93" s="38">
        <v>0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8">
        <v>0</v>
      </c>
      <c r="R93" s="38">
        <v>0</v>
      </c>
      <c r="S93" s="38">
        <v>0</v>
      </c>
      <c r="U93" s="38">
        <v>0</v>
      </c>
      <c r="V93" s="38">
        <v>0</v>
      </c>
      <c r="W93" s="38">
        <v>0</v>
      </c>
    </row>
    <row r="94" spans="1:23" x14ac:dyDescent="0.2">
      <c r="A94" s="39" t="s">
        <v>39</v>
      </c>
      <c r="B94" s="39" t="s">
        <v>36</v>
      </c>
      <c r="D94" s="39">
        <v>0</v>
      </c>
      <c r="E94" s="39">
        <v>0</v>
      </c>
      <c r="F94" s="39">
        <v>0</v>
      </c>
      <c r="H94" s="39">
        <v>0</v>
      </c>
      <c r="I94" s="39">
        <v>0</v>
      </c>
      <c r="J94" s="39">
        <v>0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U94" s="39">
        <v>0</v>
      </c>
      <c r="V94" s="39">
        <v>0</v>
      </c>
      <c r="W94" s="39">
        <v>0</v>
      </c>
    </row>
    <row r="95" spans="1:23" x14ac:dyDescent="0.2">
      <c r="A95" s="38" t="s">
        <v>40</v>
      </c>
      <c r="B95" s="38" t="s">
        <v>36</v>
      </c>
      <c r="D95" s="38">
        <v>0</v>
      </c>
      <c r="E95" s="38">
        <v>0</v>
      </c>
      <c r="F95" s="38">
        <v>0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  <c r="U95" s="38">
        <v>0</v>
      </c>
      <c r="V95" s="38">
        <v>0</v>
      </c>
      <c r="W95" s="38">
        <v>0</v>
      </c>
    </row>
    <row r="96" spans="1:23" x14ac:dyDescent="0.2">
      <c r="A96" s="39" t="s">
        <v>41</v>
      </c>
      <c r="B96" s="39" t="s">
        <v>36</v>
      </c>
      <c r="D96" s="39">
        <v>0</v>
      </c>
      <c r="E96" s="39">
        <v>0</v>
      </c>
      <c r="F96" s="39">
        <v>0</v>
      </c>
      <c r="H96" s="39">
        <v>0</v>
      </c>
      <c r="I96" s="39">
        <v>0</v>
      </c>
      <c r="J96" s="39">
        <v>0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</v>
      </c>
      <c r="S96" s="39">
        <v>0</v>
      </c>
      <c r="U96" s="39">
        <v>0</v>
      </c>
      <c r="V96" s="39">
        <v>0</v>
      </c>
      <c r="W96" s="39">
        <v>0</v>
      </c>
    </row>
    <row r="97" spans="1:23" x14ac:dyDescent="0.2">
      <c r="A97" s="38" t="s">
        <v>42</v>
      </c>
      <c r="B97" s="38" t="s">
        <v>36</v>
      </c>
      <c r="D97" s="38">
        <v>0</v>
      </c>
      <c r="E97" s="38">
        <v>0</v>
      </c>
      <c r="F97" s="38">
        <v>0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0</v>
      </c>
      <c r="R97" s="38">
        <v>0</v>
      </c>
      <c r="S97" s="38">
        <v>0</v>
      </c>
      <c r="U97" s="38">
        <v>0</v>
      </c>
      <c r="V97" s="38">
        <v>0</v>
      </c>
      <c r="W97" s="38">
        <v>0</v>
      </c>
    </row>
    <row r="98" spans="1:23" x14ac:dyDescent="0.2">
      <c r="A98" s="39" t="s">
        <v>43</v>
      </c>
      <c r="B98" s="39" t="s">
        <v>36</v>
      </c>
      <c r="D98" s="39">
        <v>0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U98" s="39">
        <v>0</v>
      </c>
      <c r="V98" s="39">
        <v>0</v>
      </c>
      <c r="W98" s="39">
        <v>0</v>
      </c>
    </row>
    <row r="99" spans="1:23" x14ac:dyDescent="0.2">
      <c r="A99" s="38" t="s">
        <v>44</v>
      </c>
      <c r="B99" s="38" t="s">
        <v>36</v>
      </c>
      <c r="D99" s="38">
        <v>0</v>
      </c>
      <c r="E99" s="38">
        <v>0</v>
      </c>
      <c r="F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8">
        <v>0</v>
      </c>
      <c r="S99" s="38">
        <v>0</v>
      </c>
      <c r="U99" s="38">
        <v>0</v>
      </c>
      <c r="V99" s="38">
        <v>0</v>
      </c>
      <c r="W99" s="38">
        <v>0</v>
      </c>
    </row>
    <row r="100" spans="1:23" x14ac:dyDescent="0.2">
      <c r="A100" s="39" t="s">
        <v>45</v>
      </c>
      <c r="B100" s="39" t="s">
        <v>36</v>
      </c>
      <c r="D100" s="39">
        <v>1</v>
      </c>
      <c r="E100" s="39">
        <v>1</v>
      </c>
      <c r="F100" s="39">
        <v>0</v>
      </c>
      <c r="H100" s="39">
        <v>1</v>
      </c>
      <c r="I100" s="39">
        <v>0</v>
      </c>
      <c r="J100" s="39">
        <v>0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39">
        <v>0</v>
      </c>
      <c r="R100" s="39">
        <v>0</v>
      </c>
      <c r="S100" s="39">
        <v>0</v>
      </c>
      <c r="U100" s="39">
        <v>79</v>
      </c>
      <c r="V100" s="39">
        <v>72</v>
      </c>
      <c r="W100" s="39">
        <v>131</v>
      </c>
    </row>
    <row r="101" spans="1:23" x14ac:dyDescent="0.2">
      <c r="A101" s="38" t="s">
        <v>46</v>
      </c>
      <c r="B101" s="38" t="s">
        <v>36</v>
      </c>
      <c r="D101" s="38">
        <v>0</v>
      </c>
      <c r="E101" s="38">
        <v>0</v>
      </c>
      <c r="F101" s="38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0</v>
      </c>
      <c r="U101" s="38">
        <v>3</v>
      </c>
      <c r="V101" s="38">
        <v>2</v>
      </c>
      <c r="W101" s="38">
        <v>6</v>
      </c>
    </row>
    <row r="102" spans="1:23" x14ac:dyDescent="0.2">
      <c r="A102" s="39" t="s">
        <v>47</v>
      </c>
      <c r="B102" s="39" t="s">
        <v>36</v>
      </c>
      <c r="D102" s="39">
        <v>0</v>
      </c>
      <c r="E102" s="39">
        <v>0</v>
      </c>
      <c r="F102" s="39">
        <v>0</v>
      </c>
      <c r="H102" s="39">
        <v>0</v>
      </c>
      <c r="I102" s="39">
        <v>0</v>
      </c>
      <c r="J102" s="39">
        <v>0</v>
      </c>
      <c r="K102" s="39">
        <v>0</v>
      </c>
      <c r="L102" s="39">
        <v>0</v>
      </c>
      <c r="M102" s="39">
        <v>0</v>
      </c>
      <c r="N102" s="39">
        <v>0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U102" s="39">
        <v>3</v>
      </c>
      <c r="V102" s="39">
        <v>6</v>
      </c>
      <c r="W102" s="39">
        <v>8</v>
      </c>
    </row>
    <row r="103" spans="1:23" x14ac:dyDescent="0.2">
      <c r="A103" s="38" t="s">
        <v>48</v>
      </c>
      <c r="B103" s="38" t="s">
        <v>36</v>
      </c>
      <c r="D103" s="38">
        <v>0</v>
      </c>
      <c r="E103" s="38">
        <v>0</v>
      </c>
      <c r="F103" s="38">
        <v>0</v>
      </c>
      <c r="H103" s="38">
        <v>0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38">
        <v>0</v>
      </c>
      <c r="R103" s="38">
        <v>0</v>
      </c>
      <c r="S103" s="38">
        <v>0</v>
      </c>
      <c r="U103" s="38">
        <v>83</v>
      </c>
      <c r="V103" s="38">
        <v>70</v>
      </c>
      <c r="W103" s="38">
        <v>71</v>
      </c>
    </row>
    <row r="104" spans="1:23" x14ac:dyDescent="0.2">
      <c r="A104" s="39" t="s">
        <v>49</v>
      </c>
      <c r="B104" s="39" t="s">
        <v>36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U104" s="39">
        <v>5</v>
      </c>
      <c r="V104" s="39">
        <v>5</v>
      </c>
      <c r="W104" s="39">
        <v>9</v>
      </c>
    </row>
    <row r="105" spans="1:23" x14ac:dyDescent="0.2">
      <c r="A105" s="38" t="s">
        <v>50</v>
      </c>
      <c r="B105" s="38" t="s">
        <v>36</v>
      </c>
      <c r="D105" s="38">
        <v>0</v>
      </c>
      <c r="E105" s="38">
        <v>0</v>
      </c>
      <c r="F105" s="38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0</v>
      </c>
      <c r="R105" s="38">
        <v>0</v>
      </c>
      <c r="S105" s="38">
        <v>0</v>
      </c>
      <c r="U105" s="38">
        <v>0</v>
      </c>
      <c r="V105" s="38">
        <v>0</v>
      </c>
      <c r="W105" s="38">
        <v>0</v>
      </c>
    </row>
    <row r="106" spans="1:23" x14ac:dyDescent="0.2">
      <c r="A106" s="39" t="s">
        <v>51</v>
      </c>
      <c r="B106" s="39" t="s">
        <v>36</v>
      </c>
      <c r="D106" s="39">
        <v>0</v>
      </c>
      <c r="E106" s="39">
        <v>0</v>
      </c>
      <c r="F106" s="39">
        <v>0</v>
      </c>
      <c r="H106" s="39">
        <v>0</v>
      </c>
      <c r="I106" s="39">
        <v>0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U106" s="39">
        <v>0</v>
      </c>
      <c r="V106" s="39">
        <v>0</v>
      </c>
      <c r="W106" s="39">
        <v>0</v>
      </c>
    </row>
    <row r="107" spans="1:23" x14ac:dyDescent="0.2">
      <c r="A107" s="38" t="s">
        <v>52</v>
      </c>
      <c r="B107" s="38" t="s">
        <v>36</v>
      </c>
      <c r="D107" s="38">
        <v>0</v>
      </c>
      <c r="E107" s="38">
        <v>0</v>
      </c>
      <c r="F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U107" s="38">
        <v>0</v>
      </c>
      <c r="V107" s="38">
        <v>0</v>
      </c>
      <c r="W107" s="38">
        <v>0</v>
      </c>
    </row>
    <row r="108" spans="1:23" x14ac:dyDescent="0.2">
      <c r="A108" s="39" t="s">
        <v>53</v>
      </c>
      <c r="B108" s="39" t="s">
        <v>36</v>
      </c>
      <c r="D108" s="39">
        <v>0</v>
      </c>
      <c r="E108" s="39">
        <v>0</v>
      </c>
      <c r="F108" s="39">
        <v>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U108" s="39">
        <v>0</v>
      </c>
      <c r="V108" s="39">
        <v>0</v>
      </c>
      <c r="W108" s="39">
        <v>0</v>
      </c>
    </row>
    <row r="109" spans="1:23" x14ac:dyDescent="0.2">
      <c r="A109" s="38" t="s">
        <v>54</v>
      </c>
      <c r="B109" s="38" t="s">
        <v>36</v>
      </c>
      <c r="D109" s="38">
        <v>0</v>
      </c>
      <c r="E109" s="38">
        <v>0</v>
      </c>
      <c r="F109" s="38">
        <v>0</v>
      </c>
      <c r="H109" s="38">
        <v>0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38">
        <v>0</v>
      </c>
      <c r="R109" s="38">
        <v>0</v>
      </c>
      <c r="S109" s="38">
        <v>0</v>
      </c>
      <c r="U109" s="38">
        <v>5</v>
      </c>
      <c r="V109" s="38">
        <v>6</v>
      </c>
      <c r="W109" s="38">
        <v>8</v>
      </c>
    </row>
    <row r="110" spans="1:23" x14ac:dyDescent="0.2">
      <c r="A110" s="39" t="s">
        <v>55</v>
      </c>
      <c r="B110" s="39" t="s">
        <v>36</v>
      </c>
      <c r="D110" s="39">
        <v>0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U110" s="39">
        <v>18</v>
      </c>
      <c r="V110" s="39">
        <v>15</v>
      </c>
      <c r="W110" s="39">
        <v>25</v>
      </c>
    </row>
    <row r="111" spans="1:23" x14ac:dyDescent="0.2">
      <c r="A111" s="38" t="s">
        <v>56</v>
      </c>
      <c r="B111" s="38" t="s">
        <v>36</v>
      </c>
      <c r="D111" s="38">
        <v>0</v>
      </c>
      <c r="E111" s="38">
        <v>0</v>
      </c>
      <c r="F111" s="38">
        <v>0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0</v>
      </c>
      <c r="R111" s="38">
        <v>0</v>
      </c>
      <c r="S111" s="38">
        <v>0</v>
      </c>
      <c r="U111" s="38">
        <v>0</v>
      </c>
      <c r="V111" s="38">
        <v>0</v>
      </c>
      <c r="W111" s="38">
        <v>0</v>
      </c>
    </row>
    <row r="112" spans="1:23" x14ac:dyDescent="0.2">
      <c r="A112" s="39" t="s">
        <v>57</v>
      </c>
      <c r="B112" s="39" t="s">
        <v>36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U112" s="39">
        <v>1</v>
      </c>
      <c r="V112" s="39">
        <v>2</v>
      </c>
      <c r="W112" s="39">
        <v>8</v>
      </c>
    </row>
    <row r="113" spans="1:23" x14ac:dyDescent="0.2">
      <c r="A113" s="38" t="s">
        <v>58</v>
      </c>
      <c r="B113" s="38" t="s">
        <v>36</v>
      </c>
      <c r="D113" s="38">
        <v>0</v>
      </c>
      <c r="E113" s="38">
        <v>1</v>
      </c>
      <c r="F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1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U113" s="38">
        <v>65</v>
      </c>
      <c r="V113" s="38">
        <v>53</v>
      </c>
      <c r="W113" s="38">
        <v>99</v>
      </c>
    </row>
    <row r="114" spans="1:23" x14ac:dyDescent="0.2">
      <c r="A114" s="39" t="s">
        <v>59</v>
      </c>
      <c r="B114" s="39" t="s">
        <v>36</v>
      </c>
      <c r="D114" s="39">
        <v>0</v>
      </c>
      <c r="E114" s="39">
        <v>0</v>
      </c>
      <c r="F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U114" s="39">
        <v>0</v>
      </c>
      <c r="V114" s="39">
        <v>0</v>
      </c>
      <c r="W114" s="39">
        <v>0</v>
      </c>
    </row>
    <row r="115" spans="1:23" x14ac:dyDescent="0.2">
      <c r="A115" s="38" t="s">
        <v>60</v>
      </c>
      <c r="B115" s="38" t="s">
        <v>36</v>
      </c>
      <c r="D115" s="38">
        <v>0</v>
      </c>
      <c r="E115" s="38">
        <v>0</v>
      </c>
      <c r="F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U115" s="38">
        <v>34</v>
      </c>
      <c r="V115" s="38">
        <v>32</v>
      </c>
      <c r="W115" s="38">
        <v>27</v>
      </c>
    </row>
    <row r="116" spans="1:23" x14ac:dyDescent="0.2">
      <c r="A116" s="39" t="s">
        <v>61</v>
      </c>
      <c r="B116" s="39" t="s">
        <v>36</v>
      </c>
      <c r="D116" s="39">
        <v>1</v>
      </c>
      <c r="E116" s="39">
        <v>3</v>
      </c>
      <c r="F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39">
        <v>0</v>
      </c>
      <c r="U116" s="39">
        <v>121</v>
      </c>
      <c r="V116" s="39">
        <v>113</v>
      </c>
      <c r="W116" s="39">
        <v>99</v>
      </c>
    </row>
    <row r="117" spans="1:23" x14ac:dyDescent="0.2">
      <c r="A117" s="38" t="s">
        <v>62</v>
      </c>
      <c r="B117" s="38" t="s">
        <v>36</v>
      </c>
      <c r="D117" s="38">
        <v>1</v>
      </c>
      <c r="E117" s="38">
        <v>0</v>
      </c>
      <c r="F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U117" s="38">
        <v>111</v>
      </c>
      <c r="V117" s="38">
        <v>92</v>
      </c>
      <c r="W117" s="38">
        <v>125</v>
      </c>
    </row>
    <row r="118" spans="1:23" x14ac:dyDescent="0.2">
      <c r="A118" s="39" t="s">
        <v>63</v>
      </c>
      <c r="B118" s="39" t="s">
        <v>36</v>
      </c>
      <c r="D118" s="39">
        <v>0</v>
      </c>
      <c r="E118" s="39">
        <v>0</v>
      </c>
      <c r="F118" s="39">
        <v>0</v>
      </c>
      <c r="H118" s="39">
        <v>0</v>
      </c>
      <c r="I118" s="39">
        <v>0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0</v>
      </c>
      <c r="U118" s="39">
        <v>48</v>
      </c>
      <c r="V118" s="39">
        <v>38</v>
      </c>
      <c r="W118" s="39">
        <v>39</v>
      </c>
    </row>
    <row r="119" spans="1:23" x14ac:dyDescent="0.2">
      <c r="A119" s="38" t="s">
        <v>64</v>
      </c>
      <c r="B119" s="38" t="s">
        <v>36</v>
      </c>
      <c r="D119" s="38">
        <v>0</v>
      </c>
      <c r="E119" s="38">
        <v>0</v>
      </c>
      <c r="F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U119" s="38">
        <v>73</v>
      </c>
      <c r="V119" s="38">
        <v>68</v>
      </c>
      <c r="W119" s="38">
        <v>68</v>
      </c>
    </row>
    <row r="120" spans="1:23" x14ac:dyDescent="0.2">
      <c r="A120" s="39" t="s">
        <v>65</v>
      </c>
      <c r="B120" s="39" t="s">
        <v>36</v>
      </c>
      <c r="D120" s="39">
        <v>0</v>
      </c>
      <c r="E120" s="39">
        <v>4</v>
      </c>
      <c r="F120" s="39">
        <v>0</v>
      </c>
      <c r="H120" s="39">
        <v>0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1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U120" s="39">
        <v>169</v>
      </c>
      <c r="V120" s="39">
        <v>110</v>
      </c>
      <c r="W120" s="39">
        <v>134</v>
      </c>
    </row>
    <row r="121" spans="1:23" x14ac:dyDescent="0.2">
      <c r="A121" s="38" t="s">
        <v>66</v>
      </c>
      <c r="B121" s="38" t="s">
        <v>36</v>
      </c>
      <c r="D121" s="38">
        <v>0</v>
      </c>
      <c r="E121" s="38">
        <v>0</v>
      </c>
      <c r="F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U121" s="38">
        <v>0</v>
      </c>
      <c r="V121" s="38">
        <v>0</v>
      </c>
      <c r="W121" s="38">
        <v>0</v>
      </c>
    </row>
    <row r="122" spans="1:23" x14ac:dyDescent="0.2">
      <c r="A122" s="39" t="s">
        <v>67</v>
      </c>
      <c r="B122" s="39" t="s">
        <v>36</v>
      </c>
      <c r="D122" s="39">
        <v>0</v>
      </c>
      <c r="E122" s="39">
        <v>0</v>
      </c>
      <c r="F122" s="39">
        <v>0</v>
      </c>
      <c r="H122" s="39">
        <v>0</v>
      </c>
      <c r="I122" s="39">
        <v>0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U122" s="39">
        <v>0</v>
      </c>
      <c r="V122" s="39">
        <v>0</v>
      </c>
      <c r="W122" s="39">
        <v>0</v>
      </c>
    </row>
    <row r="123" spans="1:23" x14ac:dyDescent="0.2">
      <c r="A123" s="38" t="s">
        <v>68</v>
      </c>
      <c r="B123" s="38" t="s">
        <v>36</v>
      </c>
      <c r="D123" s="38">
        <v>0</v>
      </c>
      <c r="E123" s="38">
        <v>0</v>
      </c>
      <c r="F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U123" s="38">
        <v>59</v>
      </c>
      <c r="V123" s="38">
        <v>51</v>
      </c>
      <c r="W123" s="38">
        <v>50</v>
      </c>
    </row>
    <row r="124" spans="1:23" x14ac:dyDescent="0.2">
      <c r="A124" s="39" t="s">
        <v>69</v>
      </c>
      <c r="B124" s="39" t="s">
        <v>36</v>
      </c>
      <c r="D124" s="39">
        <v>0</v>
      </c>
      <c r="E124" s="39">
        <v>0</v>
      </c>
      <c r="F124" s="39">
        <v>0</v>
      </c>
      <c r="H124" s="39">
        <v>0</v>
      </c>
      <c r="I124" s="39">
        <v>0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0</v>
      </c>
      <c r="U124" s="39">
        <v>8</v>
      </c>
      <c r="V124" s="39">
        <v>8</v>
      </c>
      <c r="W124" s="39">
        <v>19</v>
      </c>
    </row>
    <row r="125" spans="1:23" x14ac:dyDescent="0.2">
      <c r="A125" s="38" t="s">
        <v>70</v>
      </c>
      <c r="B125" s="38" t="s">
        <v>36</v>
      </c>
      <c r="D125" s="38">
        <v>0</v>
      </c>
      <c r="E125" s="38">
        <v>0</v>
      </c>
      <c r="F125" s="38">
        <v>0</v>
      </c>
      <c r="H125" s="38">
        <v>0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0</v>
      </c>
      <c r="R125" s="38">
        <v>0</v>
      </c>
      <c r="S125" s="38">
        <v>0</v>
      </c>
      <c r="U125" s="38">
        <v>0</v>
      </c>
      <c r="V125" s="38">
        <v>0</v>
      </c>
      <c r="W125" s="38">
        <v>0</v>
      </c>
    </row>
    <row r="126" spans="1:23" x14ac:dyDescent="0.2">
      <c r="A126" s="39" t="s">
        <v>71</v>
      </c>
      <c r="B126" s="39" t="s">
        <v>36</v>
      </c>
      <c r="D126" s="39">
        <v>0</v>
      </c>
      <c r="E126" s="39">
        <v>0</v>
      </c>
      <c r="F126" s="39">
        <v>0</v>
      </c>
      <c r="H126" s="39">
        <v>0</v>
      </c>
      <c r="I126" s="39">
        <v>0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U126" s="39">
        <v>0</v>
      </c>
      <c r="V126" s="39">
        <v>0</v>
      </c>
      <c r="W126" s="39">
        <v>0</v>
      </c>
    </row>
    <row r="127" spans="1:23" x14ac:dyDescent="0.2">
      <c r="A127" s="38" t="s">
        <v>72</v>
      </c>
      <c r="B127" s="38" t="s">
        <v>36</v>
      </c>
      <c r="D127" s="38">
        <v>0</v>
      </c>
      <c r="E127" s="38">
        <v>2</v>
      </c>
      <c r="F127" s="38">
        <v>0</v>
      </c>
      <c r="H127" s="38">
        <v>0</v>
      </c>
      <c r="I127" s="38">
        <v>0</v>
      </c>
      <c r="J127" s="38">
        <v>0</v>
      </c>
      <c r="K127" s="38">
        <v>0</v>
      </c>
      <c r="L127" s="38">
        <v>1</v>
      </c>
      <c r="M127" s="38">
        <v>0</v>
      </c>
      <c r="N127" s="38">
        <v>0</v>
      </c>
      <c r="O127" s="38">
        <v>0</v>
      </c>
      <c r="P127" s="38">
        <v>0</v>
      </c>
      <c r="Q127" s="38">
        <v>0</v>
      </c>
      <c r="R127" s="38">
        <v>0</v>
      </c>
      <c r="S127" s="38">
        <v>0</v>
      </c>
      <c r="U127" s="38">
        <v>203</v>
      </c>
      <c r="V127" s="38">
        <v>184</v>
      </c>
      <c r="W127" s="38">
        <v>322</v>
      </c>
    </row>
    <row r="128" spans="1:23" x14ac:dyDescent="0.2">
      <c r="A128" s="39" t="s">
        <v>73</v>
      </c>
      <c r="B128" s="39" t="s">
        <v>36</v>
      </c>
      <c r="D128" s="39">
        <v>0</v>
      </c>
      <c r="E128" s="39">
        <v>0</v>
      </c>
      <c r="F128" s="39">
        <v>0</v>
      </c>
      <c r="H128" s="39">
        <v>0</v>
      </c>
      <c r="I128" s="39">
        <v>0</v>
      </c>
      <c r="J128" s="39">
        <v>0</v>
      </c>
      <c r="K128" s="39">
        <v>0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39">
        <v>0</v>
      </c>
      <c r="U128" s="39">
        <v>58</v>
      </c>
      <c r="V128" s="39">
        <v>58</v>
      </c>
      <c r="W128" s="39">
        <v>48</v>
      </c>
    </row>
    <row r="129" spans="1:23" x14ac:dyDescent="0.2">
      <c r="A129" s="38" t="s">
        <v>74</v>
      </c>
      <c r="B129" s="38" t="s">
        <v>36</v>
      </c>
      <c r="D129" s="38">
        <v>1</v>
      </c>
      <c r="E129" s="38">
        <v>0</v>
      </c>
      <c r="F129" s="38">
        <v>0</v>
      </c>
      <c r="H129" s="38">
        <v>0</v>
      </c>
      <c r="I129" s="38">
        <v>0</v>
      </c>
      <c r="J129" s="38">
        <v>0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38">
        <v>0</v>
      </c>
      <c r="Q129" s="38">
        <v>0</v>
      </c>
      <c r="R129" s="38">
        <v>0</v>
      </c>
      <c r="S129" s="38">
        <v>0</v>
      </c>
      <c r="U129" s="38">
        <v>110</v>
      </c>
      <c r="V129" s="38">
        <v>96</v>
      </c>
      <c r="W129" s="38">
        <v>87</v>
      </c>
    </row>
    <row r="130" spans="1:23" x14ac:dyDescent="0.2">
      <c r="A130" s="39" t="s">
        <v>75</v>
      </c>
      <c r="B130" s="39" t="s">
        <v>36</v>
      </c>
      <c r="D130" s="39">
        <v>1</v>
      </c>
      <c r="E130" s="39">
        <v>0</v>
      </c>
      <c r="F130" s="39">
        <v>0</v>
      </c>
      <c r="H130" s="39">
        <v>0</v>
      </c>
      <c r="I130" s="39">
        <v>0</v>
      </c>
      <c r="J130" s="39">
        <v>0</v>
      </c>
      <c r="K130" s="39">
        <v>1</v>
      </c>
      <c r="L130" s="39">
        <v>0</v>
      </c>
      <c r="M130" s="39">
        <v>0</v>
      </c>
      <c r="N130" s="39">
        <v>0</v>
      </c>
      <c r="O130" s="39">
        <v>0</v>
      </c>
      <c r="P130" s="39">
        <v>0</v>
      </c>
      <c r="Q130" s="39">
        <v>0</v>
      </c>
      <c r="R130" s="39">
        <v>0</v>
      </c>
      <c r="S130" s="39">
        <v>0</v>
      </c>
      <c r="U130" s="39">
        <v>108</v>
      </c>
      <c r="V130" s="39">
        <v>87</v>
      </c>
      <c r="W130" s="39">
        <v>140</v>
      </c>
    </row>
    <row r="131" spans="1:23" x14ac:dyDescent="0.2">
      <c r="A131" s="38" t="s">
        <v>76</v>
      </c>
      <c r="B131" s="38" t="s">
        <v>36</v>
      </c>
      <c r="D131" s="38">
        <v>0</v>
      </c>
      <c r="E131" s="38">
        <v>0</v>
      </c>
      <c r="F131" s="38">
        <v>0</v>
      </c>
      <c r="H131" s="38">
        <v>0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  <c r="N131" s="38">
        <v>0</v>
      </c>
      <c r="O131" s="38">
        <v>0</v>
      </c>
      <c r="P131" s="38">
        <v>0</v>
      </c>
      <c r="Q131" s="38">
        <v>0</v>
      </c>
      <c r="R131" s="38">
        <v>0</v>
      </c>
      <c r="S131" s="38">
        <v>0</v>
      </c>
      <c r="U131" s="38">
        <v>61</v>
      </c>
      <c r="V131" s="38">
        <v>61</v>
      </c>
      <c r="W131" s="38">
        <v>61</v>
      </c>
    </row>
    <row r="132" spans="1:23" x14ac:dyDescent="0.2">
      <c r="A132" s="39" t="s">
        <v>77</v>
      </c>
      <c r="B132" s="39" t="s">
        <v>36</v>
      </c>
      <c r="D132" s="39">
        <v>0</v>
      </c>
      <c r="E132" s="39">
        <v>0</v>
      </c>
      <c r="F132" s="39">
        <v>0</v>
      </c>
      <c r="H132" s="39">
        <v>0</v>
      </c>
      <c r="I132" s="39">
        <v>0</v>
      </c>
      <c r="J132" s="39">
        <v>0</v>
      </c>
      <c r="K132" s="39">
        <v>0</v>
      </c>
      <c r="L132" s="39">
        <v>0</v>
      </c>
      <c r="M132" s="39">
        <v>0</v>
      </c>
      <c r="N132" s="39">
        <v>0</v>
      </c>
      <c r="O132" s="39">
        <v>0</v>
      </c>
      <c r="P132" s="39">
        <v>0</v>
      </c>
      <c r="Q132" s="39">
        <v>0</v>
      </c>
      <c r="R132" s="39">
        <v>0</v>
      </c>
      <c r="S132" s="39">
        <v>0</v>
      </c>
      <c r="U132" s="39">
        <v>0</v>
      </c>
      <c r="V132" s="39">
        <v>0</v>
      </c>
      <c r="W132" s="39">
        <v>0</v>
      </c>
    </row>
    <row r="133" spans="1:23" ht="16" thickBot="1" x14ac:dyDescent="0.25">
      <c r="A133" s="38" t="s">
        <v>125</v>
      </c>
      <c r="B133" s="38" t="s">
        <v>36</v>
      </c>
      <c r="D133" s="80">
        <v>0</v>
      </c>
      <c r="E133" s="80">
        <v>0</v>
      </c>
      <c r="F133" s="80">
        <v>0</v>
      </c>
      <c r="H133" s="38">
        <v>0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U133" s="80">
        <v>0</v>
      </c>
      <c r="V133" s="80">
        <v>0</v>
      </c>
      <c r="W133" s="80">
        <v>0</v>
      </c>
    </row>
    <row r="134" spans="1:23" ht="16" thickBot="1" x14ac:dyDescent="0.25">
      <c r="D134" s="81">
        <f>SUM(D91:D133)</f>
        <v>5</v>
      </c>
      <c r="E134" s="81">
        <f t="shared" ref="E134:F134" si="2">SUM(E91:E133)</f>
        <v>11</v>
      </c>
      <c r="F134" s="81">
        <f t="shared" si="2"/>
        <v>0</v>
      </c>
      <c r="U134" s="81">
        <f>SUM(U91:U133)</f>
        <v>1425</v>
      </c>
      <c r="V134" s="81">
        <f t="shared" ref="V134:W134" si="3">SUM(V91:V133)</f>
        <v>1229</v>
      </c>
      <c r="W134" s="81">
        <f t="shared" si="3"/>
        <v>1584</v>
      </c>
    </row>
  </sheetData>
  <sortState xmlns:xlrd2="http://schemas.microsoft.com/office/spreadsheetml/2017/richdata2" ref="A5:W133">
    <sortCondition ref="B5:B133"/>
  </sortState>
  <pageMargins left="0.5" right="0.5" top="0.5" bottom="0.5" header="0.25" footer="0.25"/>
  <pageSetup scale="60" orientation="portrait" r:id="rId1"/>
  <headerFooter>
    <oddHeader>&amp;RU-200281 NWN COVID Data Rpt 3Q and September 2022
&amp;P of  &amp;N</oddHeader>
  </headerFooter>
  <colBreaks count="1" manualBreakCount="1">
    <brk id="20" max="12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zoomScale="125" zoomScaleNormal="100" workbookViewId="0">
      <pane xSplit="2" ySplit="2" topLeftCell="C99" activePane="bottomRight" state="frozen"/>
      <selection activeCell="C5" sqref="C5"/>
      <selection pane="topRight" activeCell="C5" sqref="C5"/>
      <selection pane="bottomLeft" activeCell="C5" sqref="C5"/>
      <selection pane="bottomRight" activeCell="D132" sqref="D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2.83203125" style="1" customWidth="1"/>
    <col min="20" max="22" width="14.6640625" customWidth="1"/>
    <col min="23" max="23" width="2.83203125" style="1" customWidth="1"/>
    <col min="24" max="26" width="14.6640625" customWidth="1"/>
  </cols>
  <sheetData>
    <row r="1" spans="1:29" ht="30" customHeight="1" x14ac:dyDescent="0.2">
      <c r="A1" s="2" t="s">
        <v>109</v>
      </c>
      <c r="B1" s="2"/>
      <c r="D1" s="9" t="s">
        <v>20</v>
      </c>
      <c r="E1" s="9"/>
      <c r="F1" s="9"/>
      <c r="H1" s="9" t="s">
        <v>89</v>
      </c>
      <c r="I1" s="9"/>
      <c r="J1" s="9"/>
      <c r="L1" s="9" t="s">
        <v>90</v>
      </c>
      <c r="M1" s="9"/>
      <c r="N1" s="9"/>
      <c r="P1" s="9" t="s">
        <v>91</v>
      </c>
      <c r="Q1" s="9"/>
      <c r="R1" s="9"/>
      <c r="T1" s="9" t="s">
        <v>92</v>
      </c>
      <c r="U1" s="9"/>
      <c r="V1" s="9"/>
      <c r="X1" s="9" t="s">
        <v>93</v>
      </c>
      <c r="Y1" s="9"/>
      <c r="Z1" s="9"/>
    </row>
    <row r="2" spans="1:29" x14ac:dyDescent="0.2">
      <c r="A2" s="2" t="s">
        <v>123</v>
      </c>
      <c r="B2" s="2" t="s">
        <v>124</v>
      </c>
      <c r="D2" s="58" t="s">
        <v>126</v>
      </c>
      <c r="E2" s="58" t="s">
        <v>127</v>
      </c>
      <c r="F2" s="58" t="s">
        <v>128</v>
      </c>
      <c r="H2" s="59" t="str">
        <f>+D2</f>
        <v>Jul</v>
      </c>
      <c r="I2" s="59" t="str">
        <f t="shared" ref="I2:J2" si="0">+E2</f>
        <v>Aug</v>
      </c>
      <c r="J2" s="59" t="str">
        <f t="shared" si="0"/>
        <v>Sep</v>
      </c>
      <c r="K2" s="60"/>
      <c r="L2" s="59" t="str">
        <f>+H2</f>
        <v>Jul</v>
      </c>
      <c r="M2" s="59" t="str">
        <f>+I2</f>
        <v>Aug</v>
      </c>
      <c r="N2" s="59" t="str">
        <f>+J2</f>
        <v>Sep</v>
      </c>
      <c r="O2" s="60"/>
      <c r="P2" s="59" t="str">
        <f>+L2</f>
        <v>Jul</v>
      </c>
      <c r="Q2" s="59" t="str">
        <f>+M2</f>
        <v>Aug</v>
      </c>
      <c r="R2" s="59" t="str">
        <f>+N2</f>
        <v>Sep</v>
      </c>
      <c r="S2" s="60"/>
      <c r="T2" s="59" t="str">
        <f>+P2</f>
        <v>Jul</v>
      </c>
      <c r="U2" s="59" t="str">
        <f>+Q2</f>
        <v>Aug</v>
      </c>
      <c r="V2" s="59" t="str">
        <f>+R2</f>
        <v>Sep</v>
      </c>
      <c r="W2" s="60"/>
      <c r="X2" s="59" t="str">
        <f>+T2</f>
        <v>Jul</v>
      </c>
      <c r="Y2" s="59" t="str">
        <f t="shared" ref="Y2" si="1">+U2</f>
        <v>Aug</v>
      </c>
      <c r="Z2" s="59" t="str">
        <f t="shared" ref="Z2" si="2">+V2</f>
        <v>Sep</v>
      </c>
      <c r="AA2" s="61"/>
      <c r="AB2" s="61"/>
      <c r="AC2" s="61"/>
    </row>
    <row r="3" spans="1:29" x14ac:dyDescent="0.2">
      <c r="A3" s="52" t="s">
        <v>80</v>
      </c>
      <c r="B3" s="52" t="s">
        <v>34</v>
      </c>
      <c r="D3" s="38">
        <v>0</v>
      </c>
      <c r="E3" s="38">
        <v>0</v>
      </c>
      <c r="F3" s="38">
        <v>0</v>
      </c>
      <c r="H3" s="46">
        <v>0</v>
      </c>
      <c r="I3" s="46">
        <v>0</v>
      </c>
      <c r="J3" s="46">
        <v>0</v>
      </c>
      <c r="L3" s="22" t="s">
        <v>87</v>
      </c>
      <c r="M3" s="22" t="s">
        <v>87</v>
      </c>
      <c r="N3" s="22" t="s">
        <v>87</v>
      </c>
      <c r="P3" s="22" t="s">
        <v>87</v>
      </c>
      <c r="Q3" s="22" t="s">
        <v>87</v>
      </c>
      <c r="R3" s="22" t="s">
        <v>87</v>
      </c>
      <c r="T3" s="38">
        <v>0</v>
      </c>
      <c r="U3" s="38">
        <v>0</v>
      </c>
      <c r="V3" s="38">
        <v>0</v>
      </c>
      <c r="X3" s="46">
        <v>0</v>
      </c>
      <c r="Y3" s="46">
        <v>0</v>
      </c>
      <c r="Z3" s="46">
        <v>0</v>
      </c>
    </row>
    <row r="4" spans="1:29" x14ac:dyDescent="0.2">
      <c r="A4" s="53" t="s">
        <v>80</v>
      </c>
      <c r="B4" s="53" t="s">
        <v>35</v>
      </c>
      <c r="D4" s="39">
        <v>0</v>
      </c>
      <c r="E4" s="39">
        <v>0</v>
      </c>
      <c r="F4" s="39">
        <v>0</v>
      </c>
      <c r="H4" s="47">
        <v>0</v>
      </c>
      <c r="I4" s="47">
        <v>0</v>
      </c>
      <c r="J4" s="47">
        <v>0</v>
      </c>
      <c r="L4" s="22" t="s">
        <v>87</v>
      </c>
      <c r="M4" s="22" t="s">
        <v>87</v>
      </c>
      <c r="N4" s="22" t="s">
        <v>87</v>
      </c>
      <c r="P4" s="22" t="s">
        <v>87</v>
      </c>
      <c r="Q4" s="22" t="s">
        <v>87</v>
      </c>
      <c r="R4" s="22" t="s">
        <v>87</v>
      </c>
      <c r="T4" s="39">
        <v>0</v>
      </c>
      <c r="U4" s="39">
        <v>0</v>
      </c>
      <c r="V4" s="39">
        <v>0</v>
      </c>
      <c r="X4" s="47">
        <v>0</v>
      </c>
      <c r="Y4" s="47">
        <v>0</v>
      </c>
      <c r="Z4" s="47">
        <v>0</v>
      </c>
    </row>
    <row r="5" spans="1:29" x14ac:dyDescent="0.2">
      <c r="A5" s="52" t="s">
        <v>80</v>
      </c>
      <c r="B5" s="52" t="s">
        <v>36</v>
      </c>
      <c r="D5" s="38">
        <v>0</v>
      </c>
      <c r="E5" s="38">
        <v>0</v>
      </c>
      <c r="F5" s="38">
        <v>0</v>
      </c>
      <c r="H5" s="46">
        <v>0</v>
      </c>
      <c r="I5" s="46">
        <v>0</v>
      </c>
      <c r="J5" s="46">
        <v>0</v>
      </c>
      <c r="L5" s="22" t="s">
        <v>87</v>
      </c>
      <c r="M5" s="22" t="s">
        <v>87</v>
      </c>
      <c r="N5" s="22" t="s">
        <v>87</v>
      </c>
      <c r="P5" s="22" t="s">
        <v>87</v>
      </c>
      <c r="Q5" s="22" t="s">
        <v>87</v>
      </c>
      <c r="R5" s="22" t="s">
        <v>87</v>
      </c>
      <c r="T5" s="38">
        <v>0</v>
      </c>
      <c r="U5" s="38">
        <v>0</v>
      </c>
      <c r="V5" s="38">
        <v>0</v>
      </c>
      <c r="X5" s="46">
        <v>0</v>
      </c>
      <c r="Y5" s="46">
        <v>0</v>
      </c>
      <c r="Z5" s="46">
        <v>0</v>
      </c>
    </row>
    <row r="6" spans="1:29" x14ac:dyDescent="0.2">
      <c r="A6" s="53" t="s">
        <v>81</v>
      </c>
      <c r="B6" s="53" t="s">
        <v>34</v>
      </c>
      <c r="D6" s="39">
        <v>0</v>
      </c>
      <c r="E6" s="39">
        <v>0</v>
      </c>
      <c r="F6" s="39">
        <v>0</v>
      </c>
      <c r="H6" s="47">
        <v>0</v>
      </c>
      <c r="I6" s="47">
        <v>0</v>
      </c>
      <c r="J6" s="47">
        <v>0</v>
      </c>
      <c r="L6" s="22" t="s">
        <v>87</v>
      </c>
      <c r="M6" s="22" t="s">
        <v>87</v>
      </c>
      <c r="N6" s="22" t="s">
        <v>87</v>
      </c>
      <c r="P6" s="22" t="s">
        <v>87</v>
      </c>
      <c r="Q6" s="22" t="s">
        <v>87</v>
      </c>
      <c r="R6" s="22" t="s">
        <v>87</v>
      </c>
      <c r="T6" s="39">
        <v>0</v>
      </c>
      <c r="U6" s="39">
        <v>0</v>
      </c>
      <c r="V6" s="39">
        <v>0</v>
      </c>
      <c r="X6" s="47">
        <v>0</v>
      </c>
      <c r="Y6" s="47">
        <v>0</v>
      </c>
      <c r="Z6" s="47">
        <v>0</v>
      </c>
    </row>
    <row r="7" spans="1:29" x14ac:dyDescent="0.2">
      <c r="A7" s="52" t="s">
        <v>82</v>
      </c>
      <c r="B7" s="52" t="s">
        <v>34</v>
      </c>
      <c r="D7" s="38">
        <v>0</v>
      </c>
      <c r="E7" s="38">
        <v>0</v>
      </c>
      <c r="F7" s="38">
        <v>0</v>
      </c>
      <c r="H7" s="46">
        <v>0</v>
      </c>
      <c r="I7" s="46">
        <v>0</v>
      </c>
      <c r="J7" s="46">
        <v>0</v>
      </c>
      <c r="L7" s="22" t="s">
        <v>87</v>
      </c>
      <c r="M7" s="22" t="s">
        <v>87</v>
      </c>
      <c r="N7" s="22" t="s">
        <v>87</v>
      </c>
      <c r="P7" s="22" t="s">
        <v>87</v>
      </c>
      <c r="Q7" s="22" t="s">
        <v>87</v>
      </c>
      <c r="R7" s="22" t="s">
        <v>87</v>
      </c>
      <c r="T7" s="38">
        <v>0</v>
      </c>
      <c r="U7" s="38">
        <v>0</v>
      </c>
      <c r="V7" s="38">
        <v>0</v>
      </c>
      <c r="X7" s="46">
        <v>0</v>
      </c>
      <c r="Y7" s="46">
        <v>0</v>
      </c>
      <c r="Z7" s="46">
        <v>0</v>
      </c>
    </row>
    <row r="8" spans="1:29" x14ac:dyDescent="0.2">
      <c r="A8" s="53" t="s">
        <v>39</v>
      </c>
      <c r="B8" s="53" t="s">
        <v>34</v>
      </c>
      <c r="D8" s="39">
        <v>0</v>
      </c>
      <c r="E8" s="39">
        <v>0</v>
      </c>
      <c r="F8" s="39">
        <v>0</v>
      </c>
      <c r="H8" s="47">
        <v>0</v>
      </c>
      <c r="I8" s="47">
        <v>0</v>
      </c>
      <c r="J8" s="47">
        <v>0</v>
      </c>
      <c r="L8" s="22" t="s">
        <v>87</v>
      </c>
      <c r="M8" s="22" t="s">
        <v>87</v>
      </c>
      <c r="N8" s="22" t="s">
        <v>87</v>
      </c>
      <c r="P8" s="22" t="s">
        <v>87</v>
      </c>
      <c r="Q8" s="22" t="s">
        <v>87</v>
      </c>
      <c r="R8" s="22" t="s">
        <v>87</v>
      </c>
      <c r="T8" s="39">
        <v>0</v>
      </c>
      <c r="U8" s="39">
        <v>0</v>
      </c>
      <c r="V8" s="39">
        <v>0</v>
      </c>
      <c r="X8" s="47">
        <v>0</v>
      </c>
      <c r="Y8" s="47">
        <v>0</v>
      </c>
      <c r="Z8" s="47">
        <v>0</v>
      </c>
    </row>
    <row r="9" spans="1:29" x14ac:dyDescent="0.2">
      <c r="A9" s="52" t="s">
        <v>40</v>
      </c>
      <c r="B9" s="52" t="s">
        <v>34</v>
      </c>
      <c r="D9" s="38">
        <v>0</v>
      </c>
      <c r="E9" s="38">
        <v>0</v>
      </c>
      <c r="F9" s="38">
        <v>0</v>
      </c>
      <c r="H9" s="46">
        <v>0</v>
      </c>
      <c r="I9" s="46">
        <v>0</v>
      </c>
      <c r="J9" s="46">
        <v>0</v>
      </c>
      <c r="L9" s="22" t="s">
        <v>87</v>
      </c>
      <c r="M9" s="22" t="s">
        <v>87</v>
      </c>
      <c r="N9" s="22" t="s">
        <v>87</v>
      </c>
      <c r="P9" s="22" t="s">
        <v>87</v>
      </c>
      <c r="Q9" s="22" t="s">
        <v>87</v>
      </c>
      <c r="R9" s="22" t="s">
        <v>87</v>
      </c>
      <c r="T9" s="38">
        <v>0</v>
      </c>
      <c r="U9" s="38">
        <v>0</v>
      </c>
      <c r="V9" s="38">
        <v>0</v>
      </c>
      <c r="X9" s="46">
        <v>0</v>
      </c>
      <c r="Y9" s="46">
        <v>0</v>
      </c>
      <c r="Z9" s="46">
        <v>0</v>
      </c>
    </row>
    <row r="10" spans="1:29" x14ac:dyDescent="0.2">
      <c r="A10" s="53" t="s">
        <v>41</v>
      </c>
      <c r="B10" s="53" t="s">
        <v>34</v>
      </c>
      <c r="D10" s="39">
        <v>0</v>
      </c>
      <c r="E10" s="39">
        <v>0</v>
      </c>
      <c r="F10" s="39">
        <v>0</v>
      </c>
      <c r="H10" s="47">
        <v>0</v>
      </c>
      <c r="I10" s="47">
        <v>0</v>
      </c>
      <c r="J10" s="47">
        <v>0</v>
      </c>
      <c r="L10" s="22" t="s">
        <v>87</v>
      </c>
      <c r="M10" s="22" t="s">
        <v>87</v>
      </c>
      <c r="N10" s="22" t="s">
        <v>87</v>
      </c>
      <c r="P10" s="22" t="s">
        <v>87</v>
      </c>
      <c r="Q10" s="22" t="s">
        <v>87</v>
      </c>
      <c r="R10" s="22" t="s">
        <v>87</v>
      </c>
      <c r="T10" s="39">
        <v>0</v>
      </c>
      <c r="U10" s="39">
        <v>0</v>
      </c>
      <c r="V10" s="39">
        <v>0</v>
      </c>
      <c r="X10" s="47">
        <v>0</v>
      </c>
      <c r="Y10" s="47">
        <v>0</v>
      </c>
      <c r="Z10" s="47">
        <v>0</v>
      </c>
    </row>
    <row r="11" spans="1:29" x14ac:dyDescent="0.2">
      <c r="A11" s="52" t="s">
        <v>42</v>
      </c>
      <c r="B11" s="52" t="s">
        <v>34</v>
      </c>
      <c r="D11" s="38">
        <v>0</v>
      </c>
      <c r="E11" s="38">
        <v>0</v>
      </c>
      <c r="F11" s="38">
        <v>0</v>
      </c>
      <c r="H11" s="46">
        <v>0</v>
      </c>
      <c r="I11" s="46">
        <v>0</v>
      </c>
      <c r="J11" s="46">
        <v>0</v>
      </c>
      <c r="L11" s="22" t="s">
        <v>87</v>
      </c>
      <c r="M11" s="22" t="s">
        <v>87</v>
      </c>
      <c r="N11" s="22" t="s">
        <v>87</v>
      </c>
      <c r="P11" s="22" t="s">
        <v>87</v>
      </c>
      <c r="Q11" s="22" t="s">
        <v>87</v>
      </c>
      <c r="R11" s="22" t="s">
        <v>87</v>
      </c>
      <c r="T11" s="38">
        <v>0</v>
      </c>
      <c r="U11" s="38">
        <v>0</v>
      </c>
      <c r="V11" s="38">
        <v>0</v>
      </c>
      <c r="X11" s="46">
        <v>0</v>
      </c>
      <c r="Y11" s="46">
        <v>0</v>
      </c>
      <c r="Z11" s="46">
        <v>0</v>
      </c>
    </row>
    <row r="12" spans="1:29" x14ac:dyDescent="0.2">
      <c r="A12" s="53" t="s">
        <v>43</v>
      </c>
      <c r="B12" s="53" t="s">
        <v>34</v>
      </c>
      <c r="D12" s="39">
        <v>0</v>
      </c>
      <c r="E12" s="39">
        <v>0</v>
      </c>
      <c r="F12" s="39">
        <v>0</v>
      </c>
      <c r="H12" s="47">
        <v>0</v>
      </c>
      <c r="I12" s="47">
        <v>0</v>
      </c>
      <c r="J12" s="47">
        <v>0</v>
      </c>
      <c r="L12" s="22" t="s">
        <v>87</v>
      </c>
      <c r="M12" s="22" t="s">
        <v>87</v>
      </c>
      <c r="N12" s="22" t="s">
        <v>87</v>
      </c>
      <c r="P12" s="22" t="s">
        <v>87</v>
      </c>
      <c r="Q12" s="22" t="s">
        <v>87</v>
      </c>
      <c r="R12" s="22" t="s">
        <v>87</v>
      </c>
      <c r="T12" s="39">
        <v>0</v>
      </c>
      <c r="U12" s="39">
        <v>0</v>
      </c>
      <c r="V12" s="39">
        <v>0</v>
      </c>
      <c r="X12" s="47">
        <v>0</v>
      </c>
      <c r="Y12" s="47">
        <v>0</v>
      </c>
      <c r="Z12" s="47">
        <v>0</v>
      </c>
    </row>
    <row r="13" spans="1:29" x14ac:dyDescent="0.2">
      <c r="A13" s="52" t="s">
        <v>44</v>
      </c>
      <c r="B13" s="52" t="s">
        <v>34</v>
      </c>
      <c r="D13" s="38">
        <v>0</v>
      </c>
      <c r="E13" s="38">
        <v>0</v>
      </c>
      <c r="F13" s="38">
        <v>0</v>
      </c>
      <c r="H13" s="46">
        <v>0</v>
      </c>
      <c r="I13" s="46">
        <v>0</v>
      </c>
      <c r="J13" s="46">
        <v>0</v>
      </c>
      <c r="L13" s="22" t="s">
        <v>87</v>
      </c>
      <c r="M13" s="22" t="s">
        <v>87</v>
      </c>
      <c r="N13" s="22" t="s">
        <v>87</v>
      </c>
      <c r="P13" s="22" t="s">
        <v>87</v>
      </c>
      <c r="Q13" s="22" t="s">
        <v>87</v>
      </c>
      <c r="R13" s="22" t="s">
        <v>87</v>
      </c>
      <c r="T13" s="38">
        <v>0</v>
      </c>
      <c r="U13" s="38">
        <v>0</v>
      </c>
      <c r="V13" s="38">
        <v>0</v>
      </c>
      <c r="X13" s="46">
        <v>0</v>
      </c>
      <c r="Y13" s="46">
        <v>0</v>
      </c>
      <c r="Z13" s="46">
        <v>0</v>
      </c>
    </row>
    <row r="14" spans="1:29" x14ac:dyDescent="0.2">
      <c r="A14" s="53" t="s">
        <v>45</v>
      </c>
      <c r="B14" s="53" t="s">
        <v>34</v>
      </c>
      <c r="D14" s="39">
        <v>1</v>
      </c>
      <c r="E14" s="39">
        <v>3</v>
      </c>
      <c r="F14" s="39">
        <v>2</v>
      </c>
      <c r="H14" s="47">
        <v>4.1500000000000004</v>
      </c>
      <c r="I14" s="47">
        <v>8.56</v>
      </c>
      <c r="J14" s="47">
        <v>7.75</v>
      </c>
      <c r="L14" s="22" t="s">
        <v>87</v>
      </c>
      <c r="M14" s="22" t="s">
        <v>87</v>
      </c>
      <c r="N14" s="22" t="s">
        <v>87</v>
      </c>
      <c r="P14" s="22" t="s">
        <v>87</v>
      </c>
      <c r="Q14" s="22" t="s">
        <v>87</v>
      </c>
      <c r="R14" s="22" t="s">
        <v>87</v>
      </c>
      <c r="T14" s="39">
        <v>0</v>
      </c>
      <c r="U14" s="39">
        <v>0</v>
      </c>
      <c r="V14" s="39">
        <v>0</v>
      </c>
      <c r="X14" s="47">
        <v>0</v>
      </c>
      <c r="Y14" s="47">
        <v>0</v>
      </c>
      <c r="Z14" s="47">
        <v>0</v>
      </c>
    </row>
    <row r="15" spans="1:29" x14ac:dyDescent="0.2">
      <c r="A15" s="52" t="s">
        <v>46</v>
      </c>
      <c r="B15" s="52" t="s">
        <v>34</v>
      </c>
      <c r="D15" s="38">
        <v>0</v>
      </c>
      <c r="E15" s="38">
        <v>0</v>
      </c>
      <c r="F15" s="38">
        <v>0</v>
      </c>
      <c r="H15" s="46">
        <v>0</v>
      </c>
      <c r="I15" s="46">
        <v>0</v>
      </c>
      <c r="J15" s="46">
        <v>0</v>
      </c>
      <c r="L15" s="22" t="s">
        <v>87</v>
      </c>
      <c r="M15" s="22" t="s">
        <v>87</v>
      </c>
      <c r="N15" s="22" t="s">
        <v>87</v>
      </c>
      <c r="P15" s="22" t="s">
        <v>87</v>
      </c>
      <c r="Q15" s="22" t="s">
        <v>87</v>
      </c>
      <c r="R15" s="22" t="s">
        <v>87</v>
      </c>
      <c r="T15" s="38">
        <v>0</v>
      </c>
      <c r="U15" s="38">
        <v>0</v>
      </c>
      <c r="V15" s="38">
        <v>0</v>
      </c>
      <c r="X15" s="46">
        <v>0</v>
      </c>
      <c r="Y15" s="46">
        <v>0</v>
      </c>
      <c r="Z15" s="46">
        <v>0</v>
      </c>
    </row>
    <row r="16" spans="1:29" x14ac:dyDescent="0.2">
      <c r="A16" s="53" t="s">
        <v>47</v>
      </c>
      <c r="B16" s="53" t="s">
        <v>34</v>
      </c>
      <c r="D16" s="39">
        <v>0</v>
      </c>
      <c r="E16" s="39">
        <v>0</v>
      </c>
      <c r="F16" s="39">
        <v>0</v>
      </c>
      <c r="H16" s="47">
        <v>0</v>
      </c>
      <c r="I16" s="47">
        <v>0</v>
      </c>
      <c r="J16" s="47">
        <v>0</v>
      </c>
      <c r="L16" s="22" t="s">
        <v>87</v>
      </c>
      <c r="M16" s="22" t="s">
        <v>87</v>
      </c>
      <c r="N16" s="22" t="s">
        <v>87</v>
      </c>
      <c r="P16" s="22" t="s">
        <v>87</v>
      </c>
      <c r="Q16" s="22" t="s">
        <v>87</v>
      </c>
      <c r="R16" s="22" t="s">
        <v>87</v>
      </c>
      <c r="T16" s="39">
        <v>0</v>
      </c>
      <c r="U16" s="39">
        <v>0</v>
      </c>
      <c r="V16" s="39">
        <v>0</v>
      </c>
      <c r="X16" s="47">
        <v>0</v>
      </c>
      <c r="Y16" s="47">
        <v>0</v>
      </c>
      <c r="Z16" s="47">
        <v>0</v>
      </c>
    </row>
    <row r="17" spans="1:26" x14ac:dyDescent="0.2">
      <c r="A17" s="52" t="s">
        <v>48</v>
      </c>
      <c r="B17" s="52" t="s">
        <v>34</v>
      </c>
      <c r="D17" s="38">
        <v>1</v>
      </c>
      <c r="E17" s="38">
        <v>2</v>
      </c>
      <c r="F17" s="38">
        <v>0</v>
      </c>
      <c r="H17" s="46">
        <v>6.68</v>
      </c>
      <c r="I17" s="46">
        <v>47.05</v>
      </c>
      <c r="J17" s="46">
        <v>0</v>
      </c>
      <c r="L17" s="22" t="s">
        <v>87</v>
      </c>
      <c r="M17" s="22" t="s">
        <v>87</v>
      </c>
      <c r="N17" s="22" t="s">
        <v>87</v>
      </c>
      <c r="P17" s="22" t="s">
        <v>87</v>
      </c>
      <c r="Q17" s="22" t="s">
        <v>87</v>
      </c>
      <c r="R17" s="22" t="s">
        <v>87</v>
      </c>
      <c r="T17" s="38">
        <v>0</v>
      </c>
      <c r="U17" s="38">
        <v>0</v>
      </c>
      <c r="V17" s="38">
        <v>0</v>
      </c>
      <c r="X17" s="46">
        <v>0</v>
      </c>
      <c r="Y17" s="46">
        <v>0</v>
      </c>
      <c r="Z17" s="46">
        <v>0</v>
      </c>
    </row>
    <row r="18" spans="1:26" x14ac:dyDescent="0.2">
      <c r="A18" s="53" t="s">
        <v>49</v>
      </c>
      <c r="B18" s="53" t="s">
        <v>34</v>
      </c>
      <c r="D18" s="39">
        <v>0</v>
      </c>
      <c r="E18" s="39">
        <v>0</v>
      </c>
      <c r="F18" s="39">
        <v>0</v>
      </c>
      <c r="H18" s="47">
        <v>0</v>
      </c>
      <c r="I18" s="47">
        <v>0</v>
      </c>
      <c r="J18" s="47">
        <v>0</v>
      </c>
      <c r="L18" s="22" t="s">
        <v>87</v>
      </c>
      <c r="M18" s="22" t="s">
        <v>87</v>
      </c>
      <c r="N18" s="22" t="s">
        <v>87</v>
      </c>
      <c r="P18" s="22" t="s">
        <v>87</v>
      </c>
      <c r="Q18" s="22" t="s">
        <v>87</v>
      </c>
      <c r="R18" s="22" t="s">
        <v>87</v>
      </c>
      <c r="T18" s="39">
        <v>0</v>
      </c>
      <c r="U18" s="39">
        <v>0</v>
      </c>
      <c r="V18" s="39">
        <v>0</v>
      </c>
      <c r="X18" s="47">
        <v>0</v>
      </c>
      <c r="Y18" s="47">
        <v>0</v>
      </c>
      <c r="Z18" s="47">
        <v>0</v>
      </c>
    </row>
    <row r="19" spans="1:26" x14ac:dyDescent="0.2">
      <c r="A19" s="52" t="s">
        <v>50</v>
      </c>
      <c r="B19" s="52" t="s">
        <v>34</v>
      </c>
      <c r="D19" s="38">
        <v>0</v>
      </c>
      <c r="E19" s="38">
        <v>0</v>
      </c>
      <c r="F19" s="38">
        <v>0</v>
      </c>
      <c r="H19" s="46">
        <v>0</v>
      </c>
      <c r="I19" s="46">
        <v>0</v>
      </c>
      <c r="J19" s="46">
        <v>0</v>
      </c>
      <c r="L19" s="22" t="s">
        <v>87</v>
      </c>
      <c r="M19" s="22" t="s">
        <v>87</v>
      </c>
      <c r="N19" s="22" t="s">
        <v>87</v>
      </c>
      <c r="P19" s="22" t="s">
        <v>87</v>
      </c>
      <c r="Q19" s="22" t="s">
        <v>87</v>
      </c>
      <c r="R19" s="22" t="s">
        <v>87</v>
      </c>
      <c r="T19" s="38">
        <v>0</v>
      </c>
      <c r="U19" s="38">
        <v>0</v>
      </c>
      <c r="V19" s="38">
        <v>0</v>
      </c>
      <c r="X19" s="46">
        <v>0</v>
      </c>
      <c r="Y19" s="46">
        <v>0</v>
      </c>
      <c r="Z19" s="46">
        <v>0</v>
      </c>
    </row>
    <row r="20" spans="1:26" x14ac:dyDescent="0.2">
      <c r="A20" s="53" t="s">
        <v>51</v>
      </c>
      <c r="B20" s="53" t="s">
        <v>34</v>
      </c>
      <c r="D20" s="39">
        <v>0</v>
      </c>
      <c r="E20" s="39">
        <v>0</v>
      </c>
      <c r="F20" s="39">
        <v>0</v>
      </c>
      <c r="H20" s="47">
        <v>0</v>
      </c>
      <c r="I20" s="47">
        <v>0</v>
      </c>
      <c r="J20" s="47">
        <v>0</v>
      </c>
      <c r="L20" s="22" t="s">
        <v>87</v>
      </c>
      <c r="M20" s="22" t="s">
        <v>87</v>
      </c>
      <c r="N20" s="22" t="s">
        <v>87</v>
      </c>
      <c r="P20" s="22" t="s">
        <v>87</v>
      </c>
      <c r="Q20" s="22" t="s">
        <v>87</v>
      </c>
      <c r="R20" s="22" t="s">
        <v>87</v>
      </c>
      <c r="T20" s="39">
        <v>0</v>
      </c>
      <c r="U20" s="39">
        <v>0</v>
      </c>
      <c r="V20" s="39">
        <v>0</v>
      </c>
      <c r="X20" s="47">
        <v>0</v>
      </c>
      <c r="Y20" s="47">
        <v>0</v>
      </c>
      <c r="Z20" s="47">
        <v>0</v>
      </c>
    </row>
    <row r="21" spans="1:26" x14ac:dyDescent="0.2">
      <c r="A21" s="52" t="s">
        <v>52</v>
      </c>
      <c r="B21" s="52" t="s">
        <v>34</v>
      </c>
      <c r="D21" s="38">
        <v>0</v>
      </c>
      <c r="E21" s="38">
        <v>0</v>
      </c>
      <c r="F21" s="38">
        <v>0</v>
      </c>
      <c r="H21" s="46">
        <v>0</v>
      </c>
      <c r="I21" s="46">
        <v>0</v>
      </c>
      <c r="J21" s="46">
        <v>0</v>
      </c>
      <c r="L21" s="22" t="s">
        <v>87</v>
      </c>
      <c r="M21" s="22" t="s">
        <v>87</v>
      </c>
      <c r="N21" s="22" t="s">
        <v>87</v>
      </c>
      <c r="P21" s="22" t="s">
        <v>87</v>
      </c>
      <c r="Q21" s="22" t="s">
        <v>87</v>
      </c>
      <c r="R21" s="22" t="s">
        <v>87</v>
      </c>
      <c r="T21" s="38">
        <v>0</v>
      </c>
      <c r="U21" s="38">
        <v>0</v>
      </c>
      <c r="V21" s="38">
        <v>0</v>
      </c>
      <c r="X21" s="46">
        <v>0</v>
      </c>
      <c r="Y21" s="46">
        <v>0</v>
      </c>
      <c r="Z21" s="46">
        <v>0</v>
      </c>
    </row>
    <row r="22" spans="1:26" x14ac:dyDescent="0.2">
      <c r="A22" s="53" t="s">
        <v>53</v>
      </c>
      <c r="B22" s="53" t="s">
        <v>34</v>
      </c>
      <c r="D22" s="39">
        <v>0</v>
      </c>
      <c r="E22" s="39">
        <v>0</v>
      </c>
      <c r="F22" s="39">
        <v>0</v>
      </c>
      <c r="H22" s="47">
        <v>0</v>
      </c>
      <c r="I22" s="47">
        <v>0</v>
      </c>
      <c r="J22" s="47">
        <v>0</v>
      </c>
      <c r="L22" s="22" t="s">
        <v>87</v>
      </c>
      <c r="M22" s="22" t="s">
        <v>87</v>
      </c>
      <c r="N22" s="22" t="s">
        <v>87</v>
      </c>
      <c r="P22" s="22" t="s">
        <v>87</v>
      </c>
      <c r="Q22" s="22" t="s">
        <v>87</v>
      </c>
      <c r="R22" s="22" t="s">
        <v>87</v>
      </c>
      <c r="T22" s="39">
        <v>0</v>
      </c>
      <c r="U22" s="39">
        <v>0</v>
      </c>
      <c r="V22" s="39">
        <v>0</v>
      </c>
      <c r="X22" s="47">
        <v>0</v>
      </c>
      <c r="Y22" s="47">
        <v>0</v>
      </c>
      <c r="Z22" s="47">
        <v>0</v>
      </c>
    </row>
    <row r="23" spans="1:26" x14ac:dyDescent="0.2">
      <c r="A23" s="52" t="s">
        <v>54</v>
      </c>
      <c r="B23" s="52" t="s">
        <v>34</v>
      </c>
      <c r="D23" s="38">
        <v>0</v>
      </c>
      <c r="E23" s="38">
        <v>0</v>
      </c>
      <c r="F23" s="38">
        <v>0</v>
      </c>
      <c r="H23" s="46">
        <v>0</v>
      </c>
      <c r="I23" s="46">
        <v>0</v>
      </c>
      <c r="J23" s="46">
        <v>0</v>
      </c>
      <c r="L23" s="22" t="s">
        <v>87</v>
      </c>
      <c r="M23" s="22" t="s">
        <v>87</v>
      </c>
      <c r="N23" s="22" t="s">
        <v>87</v>
      </c>
      <c r="P23" s="22" t="s">
        <v>87</v>
      </c>
      <c r="Q23" s="22" t="s">
        <v>87</v>
      </c>
      <c r="R23" s="22" t="s">
        <v>87</v>
      </c>
      <c r="T23" s="38">
        <v>0</v>
      </c>
      <c r="U23" s="38">
        <v>0</v>
      </c>
      <c r="V23" s="38">
        <v>0</v>
      </c>
      <c r="X23" s="46">
        <v>0</v>
      </c>
      <c r="Y23" s="46">
        <v>0</v>
      </c>
      <c r="Z23" s="46">
        <v>0</v>
      </c>
    </row>
    <row r="24" spans="1:26" x14ac:dyDescent="0.2">
      <c r="A24" s="53" t="s">
        <v>55</v>
      </c>
      <c r="B24" s="53" t="s">
        <v>34</v>
      </c>
      <c r="D24" s="39">
        <v>0</v>
      </c>
      <c r="E24" s="39">
        <v>0</v>
      </c>
      <c r="F24" s="39">
        <v>0</v>
      </c>
      <c r="H24" s="47">
        <v>0</v>
      </c>
      <c r="I24" s="47">
        <v>0</v>
      </c>
      <c r="J24" s="47">
        <v>0</v>
      </c>
      <c r="L24" s="22" t="s">
        <v>87</v>
      </c>
      <c r="M24" s="22" t="s">
        <v>87</v>
      </c>
      <c r="N24" s="22" t="s">
        <v>87</v>
      </c>
      <c r="P24" s="22" t="s">
        <v>87</v>
      </c>
      <c r="Q24" s="22" t="s">
        <v>87</v>
      </c>
      <c r="R24" s="22" t="s">
        <v>87</v>
      </c>
      <c r="T24" s="39">
        <v>0</v>
      </c>
      <c r="U24" s="39">
        <v>0</v>
      </c>
      <c r="V24" s="39">
        <v>0</v>
      </c>
      <c r="X24" s="47">
        <v>0</v>
      </c>
      <c r="Y24" s="47">
        <v>0</v>
      </c>
      <c r="Z24" s="47">
        <v>0</v>
      </c>
    </row>
    <row r="25" spans="1:26" x14ac:dyDescent="0.2">
      <c r="A25" s="52" t="s">
        <v>56</v>
      </c>
      <c r="B25" s="52" t="s">
        <v>34</v>
      </c>
      <c r="D25" s="38">
        <v>0</v>
      </c>
      <c r="E25" s="38">
        <v>0</v>
      </c>
      <c r="F25" s="38">
        <v>0</v>
      </c>
      <c r="H25" s="46">
        <v>0</v>
      </c>
      <c r="I25" s="46">
        <v>0</v>
      </c>
      <c r="J25" s="46">
        <v>0</v>
      </c>
      <c r="L25" s="22" t="s">
        <v>87</v>
      </c>
      <c r="M25" s="22" t="s">
        <v>87</v>
      </c>
      <c r="N25" s="22" t="s">
        <v>87</v>
      </c>
      <c r="P25" s="22" t="s">
        <v>87</v>
      </c>
      <c r="Q25" s="22" t="s">
        <v>87</v>
      </c>
      <c r="R25" s="22" t="s">
        <v>87</v>
      </c>
      <c r="T25" s="38">
        <v>0</v>
      </c>
      <c r="U25" s="38">
        <v>0</v>
      </c>
      <c r="V25" s="38">
        <v>0</v>
      </c>
      <c r="X25" s="46">
        <v>0</v>
      </c>
      <c r="Y25" s="46">
        <v>0</v>
      </c>
      <c r="Z25" s="46">
        <v>0</v>
      </c>
    </row>
    <row r="26" spans="1:26" x14ac:dyDescent="0.2">
      <c r="A26" s="53" t="s">
        <v>57</v>
      </c>
      <c r="B26" s="53" t="s">
        <v>34</v>
      </c>
      <c r="D26" s="39">
        <v>0</v>
      </c>
      <c r="E26" s="39">
        <v>0</v>
      </c>
      <c r="F26" s="39">
        <v>0</v>
      </c>
      <c r="H26" s="47">
        <v>0</v>
      </c>
      <c r="I26" s="47">
        <v>0</v>
      </c>
      <c r="J26" s="47">
        <v>0</v>
      </c>
      <c r="L26" s="22" t="s">
        <v>87</v>
      </c>
      <c r="M26" s="22" t="s">
        <v>87</v>
      </c>
      <c r="N26" s="22" t="s">
        <v>87</v>
      </c>
      <c r="P26" s="22" t="s">
        <v>87</v>
      </c>
      <c r="Q26" s="22" t="s">
        <v>87</v>
      </c>
      <c r="R26" s="22" t="s">
        <v>87</v>
      </c>
      <c r="T26" s="39">
        <v>0</v>
      </c>
      <c r="U26" s="39">
        <v>0</v>
      </c>
      <c r="V26" s="39">
        <v>0</v>
      </c>
      <c r="X26" s="47">
        <v>0</v>
      </c>
      <c r="Y26" s="47">
        <v>0</v>
      </c>
      <c r="Z26" s="47">
        <v>0</v>
      </c>
    </row>
    <row r="27" spans="1:26" x14ac:dyDescent="0.2">
      <c r="A27" s="52" t="s">
        <v>58</v>
      </c>
      <c r="B27" s="52" t="s">
        <v>34</v>
      </c>
      <c r="D27" s="38">
        <v>1</v>
      </c>
      <c r="E27" s="38">
        <v>1</v>
      </c>
      <c r="F27" s="38">
        <v>0</v>
      </c>
      <c r="H27" s="46">
        <v>3.16</v>
      </c>
      <c r="I27" s="46">
        <v>2.15</v>
      </c>
      <c r="J27" s="46">
        <v>0</v>
      </c>
      <c r="L27" s="22" t="s">
        <v>87</v>
      </c>
      <c r="M27" s="22" t="s">
        <v>87</v>
      </c>
      <c r="N27" s="22" t="s">
        <v>87</v>
      </c>
      <c r="P27" s="22" t="s">
        <v>87</v>
      </c>
      <c r="Q27" s="22" t="s">
        <v>87</v>
      </c>
      <c r="R27" s="22" t="s">
        <v>87</v>
      </c>
      <c r="T27" s="38">
        <v>0</v>
      </c>
      <c r="U27" s="38">
        <v>0</v>
      </c>
      <c r="V27" s="38">
        <v>0</v>
      </c>
      <c r="X27" s="46">
        <v>0</v>
      </c>
      <c r="Y27" s="46">
        <v>0</v>
      </c>
      <c r="Z27" s="46">
        <v>0</v>
      </c>
    </row>
    <row r="28" spans="1:26" x14ac:dyDescent="0.2">
      <c r="A28" s="53" t="s">
        <v>59</v>
      </c>
      <c r="B28" s="53" t="s">
        <v>34</v>
      </c>
      <c r="D28" s="39">
        <v>0</v>
      </c>
      <c r="E28" s="39">
        <v>0</v>
      </c>
      <c r="F28" s="39">
        <v>0</v>
      </c>
      <c r="H28" s="47">
        <v>0</v>
      </c>
      <c r="I28" s="47">
        <v>0</v>
      </c>
      <c r="J28" s="47">
        <v>0</v>
      </c>
      <c r="L28" s="22" t="s">
        <v>87</v>
      </c>
      <c r="M28" s="22" t="s">
        <v>87</v>
      </c>
      <c r="N28" s="22" t="s">
        <v>87</v>
      </c>
      <c r="P28" s="22" t="s">
        <v>87</v>
      </c>
      <c r="Q28" s="22" t="s">
        <v>87</v>
      </c>
      <c r="R28" s="22" t="s">
        <v>87</v>
      </c>
      <c r="T28" s="39">
        <v>0</v>
      </c>
      <c r="U28" s="39">
        <v>0</v>
      </c>
      <c r="V28" s="39">
        <v>0</v>
      </c>
      <c r="X28" s="47">
        <v>0</v>
      </c>
      <c r="Y28" s="47">
        <v>0</v>
      </c>
      <c r="Z28" s="47">
        <v>0</v>
      </c>
    </row>
    <row r="29" spans="1:26" x14ac:dyDescent="0.2">
      <c r="A29" s="52" t="s">
        <v>60</v>
      </c>
      <c r="B29" s="52" t="s">
        <v>34</v>
      </c>
      <c r="D29" s="38">
        <v>3</v>
      </c>
      <c r="E29" s="38">
        <v>4</v>
      </c>
      <c r="F29" s="38">
        <v>4</v>
      </c>
      <c r="H29" s="46">
        <v>46.14</v>
      </c>
      <c r="I29" s="46">
        <v>34.43</v>
      </c>
      <c r="J29" s="46">
        <v>113.51</v>
      </c>
      <c r="L29" s="22" t="s">
        <v>87</v>
      </c>
      <c r="M29" s="22" t="s">
        <v>87</v>
      </c>
      <c r="N29" s="22" t="s">
        <v>87</v>
      </c>
      <c r="P29" s="22" t="s">
        <v>87</v>
      </c>
      <c r="Q29" s="22" t="s">
        <v>87</v>
      </c>
      <c r="R29" s="22" t="s">
        <v>87</v>
      </c>
      <c r="T29" s="38">
        <v>0</v>
      </c>
      <c r="U29" s="38">
        <v>0</v>
      </c>
      <c r="V29" s="38">
        <v>0</v>
      </c>
      <c r="X29" s="46">
        <v>0</v>
      </c>
      <c r="Y29" s="46">
        <v>0</v>
      </c>
      <c r="Z29" s="46">
        <v>0</v>
      </c>
    </row>
    <row r="30" spans="1:26" x14ac:dyDescent="0.2">
      <c r="A30" s="53" t="s">
        <v>61</v>
      </c>
      <c r="B30" s="53" t="s">
        <v>34</v>
      </c>
      <c r="D30" s="39">
        <v>3</v>
      </c>
      <c r="E30" s="39">
        <v>4</v>
      </c>
      <c r="F30" s="39">
        <v>6</v>
      </c>
      <c r="H30" s="47">
        <v>33.56</v>
      </c>
      <c r="I30" s="47">
        <v>42.32</v>
      </c>
      <c r="J30" s="47">
        <v>86.38</v>
      </c>
      <c r="L30" s="22" t="s">
        <v>87</v>
      </c>
      <c r="M30" s="22" t="s">
        <v>87</v>
      </c>
      <c r="N30" s="22" t="s">
        <v>87</v>
      </c>
      <c r="P30" s="22" t="s">
        <v>87</v>
      </c>
      <c r="Q30" s="22" t="s">
        <v>87</v>
      </c>
      <c r="R30" s="22" t="s">
        <v>87</v>
      </c>
      <c r="T30" s="39">
        <v>0</v>
      </c>
      <c r="U30" s="39">
        <v>0</v>
      </c>
      <c r="V30" s="39">
        <v>0</v>
      </c>
      <c r="X30" s="47">
        <v>0</v>
      </c>
      <c r="Y30" s="47">
        <v>0</v>
      </c>
      <c r="Z30" s="47">
        <v>0</v>
      </c>
    </row>
    <row r="31" spans="1:26" x14ac:dyDescent="0.2">
      <c r="A31" s="52" t="s">
        <v>62</v>
      </c>
      <c r="B31" s="52" t="s">
        <v>34</v>
      </c>
      <c r="D31" s="38">
        <v>1</v>
      </c>
      <c r="E31" s="38">
        <v>1</v>
      </c>
      <c r="F31" s="38">
        <v>0</v>
      </c>
      <c r="H31" s="46">
        <v>32.75</v>
      </c>
      <c r="I31" s="46">
        <v>27.94</v>
      </c>
      <c r="J31" s="46">
        <v>0</v>
      </c>
      <c r="L31" s="22" t="s">
        <v>87</v>
      </c>
      <c r="M31" s="22" t="s">
        <v>87</v>
      </c>
      <c r="N31" s="22" t="s">
        <v>87</v>
      </c>
      <c r="P31" s="22" t="s">
        <v>87</v>
      </c>
      <c r="Q31" s="22" t="s">
        <v>87</v>
      </c>
      <c r="R31" s="22" t="s">
        <v>87</v>
      </c>
      <c r="T31" s="38">
        <v>0</v>
      </c>
      <c r="U31" s="38">
        <v>0</v>
      </c>
      <c r="V31" s="38">
        <v>0</v>
      </c>
      <c r="X31" s="46">
        <v>0</v>
      </c>
      <c r="Y31" s="46">
        <v>0</v>
      </c>
      <c r="Z31" s="46">
        <v>0</v>
      </c>
    </row>
    <row r="32" spans="1:26" x14ac:dyDescent="0.2">
      <c r="A32" s="53" t="s">
        <v>63</v>
      </c>
      <c r="B32" s="53" t="s">
        <v>34</v>
      </c>
      <c r="D32" s="39">
        <v>1</v>
      </c>
      <c r="E32" s="39">
        <v>0</v>
      </c>
      <c r="F32" s="39">
        <v>0</v>
      </c>
      <c r="H32" s="47">
        <v>1</v>
      </c>
      <c r="I32" s="47">
        <v>0</v>
      </c>
      <c r="J32" s="47">
        <v>0</v>
      </c>
      <c r="L32" s="22" t="s">
        <v>87</v>
      </c>
      <c r="M32" s="22" t="s">
        <v>87</v>
      </c>
      <c r="N32" s="22" t="s">
        <v>87</v>
      </c>
      <c r="P32" s="22" t="s">
        <v>87</v>
      </c>
      <c r="Q32" s="22" t="s">
        <v>87</v>
      </c>
      <c r="R32" s="22" t="s">
        <v>87</v>
      </c>
      <c r="T32" s="39">
        <v>0</v>
      </c>
      <c r="U32" s="39">
        <v>0</v>
      </c>
      <c r="V32" s="39">
        <v>0</v>
      </c>
      <c r="X32" s="47">
        <v>0</v>
      </c>
      <c r="Y32" s="47">
        <v>0</v>
      </c>
      <c r="Z32" s="47">
        <v>0</v>
      </c>
    </row>
    <row r="33" spans="1:26" x14ac:dyDescent="0.2">
      <c r="A33" s="52" t="s">
        <v>64</v>
      </c>
      <c r="B33" s="52" t="s">
        <v>34</v>
      </c>
      <c r="D33" s="38">
        <v>1</v>
      </c>
      <c r="E33" s="38">
        <v>1</v>
      </c>
      <c r="F33" s="38">
        <v>0</v>
      </c>
      <c r="H33" s="46">
        <v>35.06</v>
      </c>
      <c r="I33" s="46">
        <v>29.02</v>
      </c>
      <c r="J33" s="46">
        <v>0</v>
      </c>
      <c r="L33" s="22" t="s">
        <v>87</v>
      </c>
      <c r="M33" s="22" t="s">
        <v>87</v>
      </c>
      <c r="N33" s="22" t="s">
        <v>87</v>
      </c>
      <c r="P33" s="22" t="s">
        <v>87</v>
      </c>
      <c r="Q33" s="22" t="s">
        <v>87</v>
      </c>
      <c r="R33" s="22" t="s">
        <v>87</v>
      </c>
      <c r="T33" s="38">
        <v>0</v>
      </c>
      <c r="U33" s="38">
        <v>0</v>
      </c>
      <c r="V33" s="38">
        <v>0</v>
      </c>
      <c r="X33" s="46">
        <v>0</v>
      </c>
      <c r="Y33" s="46">
        <v>0</v>
      </c>
      <c r="Z33" s="46">
        <v>0</v>
      </c>
    </row>
    <row r="34" spans="1:26" x14ac:dyDescent="0.2">
      <c r="A34" s="53" t="s">
        <v>65</v>
      </c>
      <c r="B34" s="53" t="s">
        <v>34</v>
      </c>
      <c r="D34" s="39">
        <v>0</v>
      </c>
      <c r="E34" s="39">
        <v>1</v>
      </c>
      <c r="F34" s="39">
        <v>0</v>
      </c>
      <c r="H34" s="47">
        <v>0</v>
      </c>
      <c r="I34" s="47">
        <v>1.69</v>
      </c>
      <c r="J34" s="47">
        <v>0</v>
      </c>
      <c r="L34" s="22" t="s">
        <v>87</v>
      </c>
      <c r="M34" s="22" t="s">
        <v>87</v>
      </c>
      <c r="N34" s="22" t="s">
        <v>87</v>
      </c>
      <c r="P34" s="22" t="s">
        <v>87</v>
      </c>
      <c r="Q34" s="22" t="s">
        <v>87</v>
      </c>
      <c r="R34" s="22" t="s">
        <v>87</v>
      </c>
      <c r="T34" s="39">
        <v>0</v>
      </c>
      <c r="U34" s="39">
        <v>0</v>
      </c>
      <c r="V34" s="39">
        <v>0</v>
      </c>
      <c r="X34" s="47">
        <v>0</v>
      </c>
      <c r="Y34" s="47">
        <v>0</v>
      </c>
      <c r="Z34" s="47">
        <v>0</v>
      </c>
    </row>
    <row r="35" spans="1:26" x14ac:dyDescent="0.2">
      <c r="A35" s="52" t="s">
        <v>66</v>
      </c>
      <c r="B35" s="52" t="s">
        <v>34</v>
      </c>
      <c r="D35" s="38">
        <v>0</v>
      </c>
      <c r="E35" s="38">
        <v>0</v>
      </c>
      <c r="F35" s="38">
        <v>0</v>
      </c>
      <c r="H35" s="46">
        <v>0</v>
      </c>
      <c r="I35" s="46">
        <v>0</v>
      </c>
      <c r="J35" s="46">
        <v>0</v>
      </c>
      <c r="L35" s="22" t="s">
        <v>87</v>
      </c>
      <c r="M35" s="22" t="s">
        <v>87</v>
      </c>
      <c r="N35" s="22" t="s">
        <v>87</v>
      </c>
      <c r="P35" s="22" t="s">
        <v>87</v>
      </c>
      <c r="Q35" s="22" t="s">
        <v>87</v>
      </c>
      <c r="R35" s="22" t="s">
        <v>87</v>
      </c>
      <c r="T35" s="38">
        <v>0</v>
      </c>
      <c r="U35" s="38">
        <v>0</v>
      </c>
      <c r="V35" s="38">
        <v>0</v>
      </c>
      <c r="X35" s="46">
        <v>0</v>
      </c>
      <c r="Y35" s="46">
        <v>0</v>
      </c>
      <c r="Z35" s="46">
        <v>0</v>
      </c>
    </row>
    <row r="36" spans="1:26" x14ac:dyDescent="0.2">
      <c r="A36" s="53" t="s">
        <v>67</v>
      </c>
      <c r="B36" s="53" t="s">
        <v>34</v>
      </c>
      <c r="D36" s="39">
        <v>0</v>
      </c>
      <c r="E36" s="39">
        <v>0</v>
      </c>
      <c r="F36" s="39">
        <v>0</v>
      </c>
      <c r="H36" s="47">
        <v>0</v>
      </c>
      <c r="I36" s="47">
        <v>0</v>
      </c>
      <c r="J36" s="47">
        <v>0</v>
      </c>
      <c r="L36" s="22" t="s">
        <v>87</v>
      </c>
      <c r="M36" s="22" t="s">
        <v>87</v>
      </c>
      <c r="N36" s="22" t="s">
        <v>87</v>
      </c>
      <c r="P36" s="22" t="s">
        <v>87</v>
      </c>
      <c r="Q36" s="22" t="s">
        <v>87</v>
      </c>
      <c r="R36" s="22" t="s">
        <v>87</v>
      </c>
      <c r="T36" s="39">
        <v>0</v>
      </c>
      <c r="U36" s="39">
        <v>0</v>
      </c>
      <c r="V36" s="39">
        <v>0</v>
      </c>
      <c r="X36" s="47">
        <v>0</v>
      </c>
      <c r="Y36" s="47">
        <v>0</v>
      </c>
      <c r="Z36" s="47">
        <v>0</v>
      </c>
    </row>
    <row r="37" spans="1:26" x14ac:dyDescent="0.2">
      <c r="A37" s="52" t="s">
        <v>68</v>
      </c>
      <c r="B37" s="52" t="s">
        <v>34</v>
      </c>
      <c r="D37" s="38">
        <v>1</v>
      </c>
      <c r="E37" s="38">
        <v>0</v>
      </c>
      <c r="F37" s="38">
        <v>1</v>
      </c>
      <c r="H37" s="46">
        <v>5.51</v>
      </c>
      <c r="I37" s="46">
        <v>0</v>
      </c>
      <c r="J37" s="46">
        <v>2.65</v>
      </c>
      <c r="L37" s="22" t="s">
        <v>87</v>
      </c>
      <c r="M37" s="22" t="s">
        <v>87</v>
      </c>
      <c r="N37" s="22" t="s">
        <v>87</v>
      </c>
      <c r="P37" s="22" t="s">
        <v>87</v>
      </c>
      <c r="Q37" s="22" t="s">
        <v>87</v>
      </c>
      <c r="R37" s="22" t="s">
        <v>87</v>
      </c>
      <c r="T37" s="38">
        <v>0</v>
      </c>
      <c r="U37" s="38">
        <v>0</v>
      </c>
      <c r="V37" s="38">
        <v>0</v>
      </c>
      <c r="X37" s="46">
        <v>0</v>
      </c>
      <c r="Y37" s="46">
        <v>0</v>
      </c>
      <c r="Z37" s="46">
        <v>0</v>
      </c>
    </row>
    <row r="38" spans="1:26" x14ac:dyDescent="0.2">
      <c r="A38" s="53" t="s">
        <v>69</v>
      </c>
      <c r="B38" s="53" t="s">
        <v>34</v>
      </c>
      <c r="D38" s="39">
        <v>0</v>
      </c>
      <c r="E38" s="39">
        <v>0</v>
      </c>
      <c r="F38" s="39">
        <v>0</v>
      </c>
      <c r="H38" s="47">
        <v>0</v>
      </c>
      <c r="I38" s="47">
        <v>0</v>
      </c>
      <c r="J38" s="47">
        <v>0</v>
      </c>
      <c r="L38" s="22" t="s">
        <v>87</v>
      </c>
      <c r="M38" s="22" t="s">
        <v>87</v>
      </c>
      <c r="N38" s="22" t="s">
        <v>87</v>
      </c>
      <c r="P38" s="22" t="s">
        <v>87</v>
      </c>
      <c r="Q38" s="22" t="s">
        <v>87</v>
      </c>
      <c r="R38" s="22" t="s">
        <v>87</v>
      </c>
      <c r="T38" s="39">
        <v>0</v>
      </c>
      <c r="U38" s="39">
        <v>0</v>
      </c>
      <c r="V38" s="39">
        <v>0</v>
      </c>
      <c r="X38" s="47">
        <v>0</v>
      </c>
      <c r="Y38" s="47">
        <v>0</v>
      </c>
      <c r="Z38" s="47">
        <v>0</v>
      </c>
    </row>
    <row r="39" spans="1:26" x14ac:dyDescent="0.2">
      <c r="A39" s="52" t="s">
        <v>70</v>
      </c>
      <c r="B39" s="52" t="s">
        <v>34</v>
      </c>
      <c r="D39" s="38">
        <v>0</v>
      </c>
      <c r="E39" s="38">
        <v>0</v>
      </c>
      <c r="F39" s="38">
        <v>0</v>
      </c>
      <c r="H39" s="46">
        <v>0</v>
      </c>
      <c r="I39" s="46">
        <v>0</v>
      </c>
      <c r="J39" s="46">
        <v>0</v>
      </c>
      <c r="L39" s="22" t="s">
        <v>87</v>
      </c>
      <c r="M39" s="22" t="s">
        <v>87</v>
      </c>
      <c r="N39" s="22" t="s">
        <v>87</v>
      </c>
      <c r="P39" s="22" t="s">
        <v>87</v>
      </c>
      <c r="Q39" s="22" t="s">
        <v>87</v>
      </c>
      <c r="R39" s="22" t="s">
        <v>87</v>
      </c>
      <c r="T39" s="38">
        <v>0</v>
      </c>
      <c r="U39" s="38">
        <v>0</v>
      </c>
      <c r="V39" s="38">
        <v>0</v>
      </c>
      <c r="X39" s="46">
        <v>0</v>
      </c>
      <c r="Y39" s="46">
        <v>0</v>
      </c>
      <c r="Z39" s="46">
        <v>0</v>
      </c>
    </row>
    <row r="40" spans="1:26" x14ac:dyDescent="0.2">
      <c r="A40" s="53" t="s">
        <v>71</v>
      </c>
      <c r="B40" s="53" t="s">
        <v>34</v>
      </c>
      <c r="D40" s="39">
        <v>0</v>
      </c>
      <c r="E40" s="39">
        <v>0</v>
      </c>
      <c r="F40" s="39">
        <v>0</v>
      </c>
      <c r="H40" s="47">
        <v>0</v>
      </c>
      <c r="I40" s="47">
        <v>0</v>
      </c>
      <c r="J40" s="47">
        <v>0</v>
      </c>
      <c r="L40" s="22" t="s">
        <v>87</v>
      </c>
      <c r="M40" s="22" t="s">
        <v>87</v>
      </c>
      <c r="N40" s="22" t="s">
        <v>87</v>
      </c>
      <c r="P40" s="22" t="s">
        <v>87</v>
      </c>
      <c r="Q40" s="22" t="s">
        <v>87</v>
      </c>
      <c r="R40" s="22" t="s">
        <v>87</v>
      </c>
      <c r="T40" s="39">
        <v>0</v>
      </c>
      <c r="U40" s="39">
        <v>0</v>
      </c>
      <c r="V40" s="39">
        <v>0</v>
      </c>
      <c r="X40" s="47">
        <v>0</v>
      </c>
      <c r="Y40" s="47">
        <v>0</v>
      </c>
      <c r="Z40" s="47">
        <v>0</v>
      </c>
    </row>
    <row r="41" spans="1:26" x14ac:dyDescent="0.2">
      <c r="A41" s="52" t="s">
        <v>72</v>
      </c>
      <c r="B41" s="52" t="s">
        <v>34</v>
      </c>
      <c r="D41" s="38">
        <v>8</v>
      </c>
      <c r="E41" s="38">
        <v>7</v>
      </c>
      <c r="F41" s="38">
        <v>8</v>
      </c>
      <c r="H41" s="46">
        <v>44.12</v>
      </c>
      <c r="I41" s="46">
        <v>41.49</v>
      </c>
      <c r="J41" s="46">
        <v>64.86</v>
      </c>
      <c r="L41" s="22" t="s">
        <v>87</v>
      </c>
      <c r="M41" s="22" t="s">
        <v>87</v>
      </c>
      <c r="N41" s="22" t="s">
        <v>87</v>
      </c>
      <c r="P41" s="22" t="s">
        <v>87</v>
      </c>
      <c r="Q41" s="22" t="s">
        <v>87</v>
      </c>
      <c r="R41" s="22" t="s">
        <v>87</v>
      </c>
      <c r="T41" s="38">
        <v>0</v>
      </c>
      <c r="U41" s="38">
        <v>0</v>
      </c>
      <c r="V41" s="38">
        <v>0</v>
      </c>
      <c r="X41" s="46">
        <v>0</v>
      </c>
      <c r="Y41" s="46">
        <v>0</v>
      </c>
      <c r="Z41" s="46">
        <v>0</v>
      </c>
    </row>
    <row r="42" spans="1:26" x14ac:dyDescent="0.2">
      <c r="A42" s="53" t="s">
        <v>73</v>
      </c>
      <c r="B42" s="53" t="s">
        <v>34</v>
      </c>
      <c r="D42" s="39">
        <v>1</v>
      </c>
      <c r="E42" s="39">
        <v>1</v>
      </c>
      <c r="F42" s="39">
        <v>2</v>
      </c>
      <c r="H42" s="47">
        <v>26.8</v>
      </c>
      <c r="I42" s="47">
        <v>11.57</v>
      </c>
      <c r="J42" s="47">
        <v>35.94</v>
      </c>
      <c r="L42" s="22" t="s">
        <v>87</v>
      </c>
      <c r="M42" s="22" t="s">
        <v>87</v>
      </c>
      <c r="N42" s="22" t="s">
        <v>87</v>
      </c>
      <c r="P42" s="22" t="s">
        <v>87</v>
      </c>
      <c r="Q42" s="22" t="s">
        <v>87</v>
      </c>
      <c r="R42" s="22" t="s">
        <v>87</v>
      </c>
      <c r="T42" s="39">
        <v>0</v>
      </c>
      <c r="U42" s="39">
        <v>0</v>
      </c>
      <c r="V42" s="39">
        <v>0</v>
      </c>
      <c r="X42" s="47">
        <v>0</v>
      </c>
      <c r="Y42" s="47">
        <v>0</v>
      </c>
      <c r="Z42" s="47">
        <v>0</v>
      </c>
    </row>
    <row r="43" spans="1:26" x14ac:dyDescent="0.2">
      <c r="A43" s="52" t="s">
        <v>74</v>
      </c>
      <c r="B43" s="52" t="s">
        <v>34</v>
      </c>
      <c r="D43" s="38">
        <v>3</v>
      </c>
      <c r="E43" s="38">
        <v>2</v>
      </c>
      <c r="F43" s="38">
        <v>1</v>
      </c>
      <c r="H43" s="46">
        <v>63.53</v>
      </c>
      <c r="I43" s="46">
        <v>27.57</v>
      </c>
      <c r="J43" s="46">
        <v>14.5</v>
      </c>
      <c r="L43" s="22" t="s">
        <v>87</v>
      </c>
      <c r="M43" s="22" t="s">
        <v>87</v>
      </c>
      <c r="N43" s="22" t="s">
        <v>87</v>
      </c>
      <c r="P43" s="22" t="s">
        <v>87</v>
      </c>
      <c r="Q43" s="22" t="s">
        <v>87</v>
      </c>
      <c r="R43" s="22" t="s">
        <v>87</v>
      </c>
      <c r="T43" s="38">
        <v>0</v>
      </c>
      <c r="U43" s="38">
        <v>0</v>
      </c>
      <c r="V43" s="38">
        <v>0</v>
      </c>
      <c r="X43" s="46">
        <v>0</v>
      </c>
      <c r="Y43" s="46">
        <v>0</v>
      </c>
      <c r="Z43" s="46">
        <v>0</v>
      </c>
    </row>
    <row r="44" spans="1:26" x14ac:dyDescent="0.2">
      <c r="A44" s="53" t="s">
        <v>75</v>
      </c>
      <c r="B44" s="53" t="s">
        <v>34</v>
      </c>
      <c r="D44" s="39">
        <v>0</v>
      </c>
      <c r="E44" s="39">
        <v>0</v>
      </c>
      <c r="F44" s="39">
        <v>0</v>
      </c>
      <c r="H44" s="47">
        <v>0</v>
      </c>
      <c r="I44" s="47">
        <v>0</v>
      </c>
      <c r="J44" s="47">
        <v>0</v>
      </c>
      <c r="L44" s="22" t="s">
        <v>87</v>
      </c>
      <c r="M44" s="22" t="s">
        <v>87</v>
      </c>
      <c r="N44" s="22" t="s">
        <v>87</v>
      </c>
      <c r="P44" s="22" t="s">
        <v>87</v>
      </c>
      <c r="Q44" s="22" t="s">
        <v>87</v>
      </c>
      <c r="R44" s="22" t="s">
        <v>87</v>
      </c>
      <c r="T44" s="39">
        <v>0</v>
      </c>
      <c r="U44" s="39">
        <v>0</v>
      </c>
      <c r="V44" s="39">
        <v>0</v>
      </c>
      <c r="X44" s="47">
        <v>0</v>
      </c>
      <c r="Y44" s="47">
        <v>0</v>
      </c>
      <c r="Z44" s="47">
        <v>0</v>
      </c>
    </row>
    <row r="45" spans="1:26" x14ac:dyDescent="0.2">
      <c r="A45" s="52" t="s">
        <v>76</v>
      </c>
      <c r="B45" s="52" t="s">
        <v>34</v>
      </c>
      <c r="D45" s="38">
        <v>0</v>
      </c>
      <c r="E45" s="38">
        <v>1</v>
      </c>
      <c r="F45" s="38">
        <v>1</v>
      </c>
      <c r="H45" s="46">
        <v>0</v>
      </c>
      <c r="I45" s="46">
        <v>14.4</v>
      </c>
      <c r="J45" s="46">
        <v>7.02</v>
      </c>
      <c r="L45" s="22" t="s">
        <v>87</v>
      </c>
      <c r="M45" s="22" t="s">
        <v>87</v>
      </c>
      <c r="N45" s="22" t="s">
        <v>87</v>
      </c>
      <c r="P45" s="22" t="s">
        <v>87</v>
      </c>
      <c r="Q45" s="22" t="s">
        <v>87</v>
      </c>
      <c r="R45" s="22" t="s">
        <v>87</v>
      </c>
      <c r="T45" s="38">
        <v>0</v>
      </c>
      <c r="U45" s="38">
        <v>0</v>
      </c>
      <c r="V45" s="38">
        <v>0</v>
      </c>
      <c r="X45" s="46">
        <v>0</v>
      </c>
      <c r="Y45" s="46">
        <v>0</v>
      </c>
      <c r="Z45" s="46">
        <v>0</v>
      </c>
    </row>
    <row r="46" spans="1:26" x14ac:dyDescent="0.2">
      <c r="A46" s="53" t="s">
        <v>77</v>
      </c>
      <c r="B46" s="53" t="s">
        <v>34</v>
      </c>
      <c r="D46" s="39">
        <v>0</v>
      </c>
      <c r="E46" s="39">
        <v>0</v>
      </c>
      <c r="F46" s="39">
        <v>0</v>
      </c>
      <c r="H46" s="47">
        <v>0</v>
      </c>
      <c r="I46" s="47">
        <v>0</v>
      </c>
      <c r="J46" s="47">
        <v>0</v>
      </c>
      <c r="L46" s="22" t="s">
        <v>87</v>
      </c>
      <c r="M46" s="22" t="s">
        <v>87</v>
      </c>
      <c r="N46" s="22" t="s">
        <v>87</v>
      </c>
      <c r="P46" s="22" t="s">
        <v>87</v>
      </c>
      <c r="Q46" s="22" t="s">
        <v>87</v>
      </c>
      <c r="R46" s="22" t="s">
        <v>87</v>
      </c>
      <c r="T46" s="39">
        <v>0</v>
      </c>
      <c r="U46" s="39">
        <v>0</v>
      </c>
      <c r="V46" s="39">
        <v>0</v>
      </c>
      <c r="X46" s="47">
        <v>0</v>
      </c>
      <c r="Y46" s="47">
        <v>0</v>
      </c>
      <c r="Z46" s="47">
        <v>0</v>
      </c>
    </row>
    <row r="47" spans="1:26" x14ac:dyDescent="0.2">
      <c r="A47" s="38" t="s">
        <v>125</v>
      </c>
      <c r="B47" s="38" t="s">
        <v>34</v>
      </c>
      <c r="D47" s="38">
        <v>0</v>
      </c>
      <c r="E47" s="38">
        <v>0</v>
      </c>
      <c r="F47" s="38">
        <v>0</v>
      </c>
      <c r="H47" s="46">
        <v>0</v>
      </c>
      <c r="I47" s="46">
        <v>0</v>
      </c>
      <c r="J47" s="46">
        <v>0</v>
      </c>
      <c r="L47" s="22" t="s">
        <v>87</v>
      </c>
      <c r="M47" s="22" t="s">
        <v>87</v>
      </c>
      <c r="N47" s="22" t="s">
        <v>87</v>
      </c>
      <c r="P47" s="22" t="s">
        <v>87</v>
      </c>
      <c r="Q47" s="22" t="s">
        <v>87</v>
      </c>
      <c r="R47" s="22" t="s">
        <v>87</v>
      </c>
      <c r="T47" s="38">
        <v>0</v>
      </c>
      <c r="U47" s="38">
        <v>0</v>
      </c>
      <c r="V47" s="38">
        <v>0</v>
      </c>
      <c r="X47" s="46">
        <v>0</v>
      </c>
      <c r="Y47" s="46">
        <v>0</v>
      </c>
      <c r="Z47" s="46">
        <v>0</v>
      </c>
    </row>
    <row r="48" spans="1:26" x14ac:dyDescent="0.2">
      <c r="A48" s="52" t="s">
        <v>81</v>
      </c>
      <c r="B48" s="52" t="s">
        <v>35</v>
      </c>
      <c r="D48" s="38">
        <v>0</v>
      </c>
      <c r="E48" s="38">
        <v>0</v>
      </c>
      <c r="F48" s="38">
        <v>0</v>
      </c>
      <c r="H48" s="46">
        <v>0</v>
      </c>
      <c r="I48" s="46">
        <v>0</v>
      </c>
      <c r="J48" s="46">
        <v>0</v>
      </c>
      <c r="L48" s="22" t="s">
        <v>87</v>
      </c>
      <c r="M48" s="22" t="s">
        <v>87</v>
      </c>
      <c r="N48" s="22" t="s">
        <v>87</v>
      </c>
      <c r="P48" s="22" t="s">
        <v>87</v>
      </c>
      <c r="Q48" s="22" t="s">
        <v>87</v>
      </c>
      <c r="R48" s="22" t="s">
        <v>87</v>
      </c>
      <c r="T48" s="38">
        <v>0</v>
      </c>
      <c r="U48" s="38">
        <v>0</v>
      </c>
      <c r="V48" s="38">
        <v>0</v>
      </c>
      <c r="X48" s="46">
        <v>0</v>
      </c>
      <c r="Y48" s="46">
        <v>0</v>
      </c>
      <c r="Z48" s="46">
        <v>0</v>
      </c>
    </row>
    <row r="49" spans="1:26" x14ac:dyDescent="0.2">
      <c r="A49" s="53" t="s">
        <v>82</v>
      </c>
      <c r="B49" s="53" t="s">
        <v>35</v>
      </c>
      <c r="D49" s="39">
        <v>0</v>
      </c>
      <c r="E49" s="39">
        <v>0</v>
      </c>
      <c r="F49" s="39">
        <v>0</v>
      </c>
      <c r="H49" s="47">
        <v>0</v>
      </c>
      <c r="I49" s="47">
        <v>0</v>
      </c>
      <c r="J49" s="47">
        <v>0</v>
      </c>
      <c r="L49" s="22" t="s">
        <v>87</v>
      </c>
      <c r="M49" s="22" t="s">
        <v>87</v>
      </c>
      <c r="N49" s="22" t="s">
        <v>87</v>
      </c>
      <c r="P49" s="22" t="s">
        <v>87</v>
      </c>
      <c r="Q49" s="22" t="s">
        <v>87</v>
      </c>
      <c r="R49" s="22" t="s">
        <v>87</v>
      </c>
      <c r="T49" s="39">
        <v>0</v>
      </c>
      <c r="U49" s="39">
        <v>0</v>
      </c>
      <c r="V49" s="39">
        <v>0</v>
      </c>
      <c r="X49" s="47">
        <v>0</v>
      </c>
      <c r="Y49" s="47">
        <v>0</v>
      </c>
      <c r="Z49" s="47">
        <v>0</v>
      </c>
    </row>
    <row r="50" spans="1:26" x14ac:dyDescent="0.2">
      <c r="A50" s="52" t="s">
        <v>39</v>
      </c>
      <c r="B50" s="52" t="s">
        <v>35</v>
      </c>
      <c r="D50" s="38">
        <v>0</v>
      </c>
      <c r="E50" s="38">
        <v>0</v>
      </c>
      <c r="F50" s="38">
        <v>0</v>
      </c>
      <c r="H50" s="46">
        <v>0</v>
      </c>
      <c r="I50" s="46">
        <v>0</v>
      </c>
      <c r="J50" s="46">
        <v>0</v>
      </c>
      <c r="L50" s="22" t="s">
        <v>87</v>
      </c>
      <c r="M50" s="22" t="s">
        <v>87</v>
      </c>
      <c r="N50" s="22" t="s">
        <v>87</v>
      </c>
      <c r="P50" s="22" t="s">
        <v>87</v>
      </c>
      <c r="Q50" s="22" t="s">
        <v>87</v>
      </c>
      <c r="R50" s="22" t="s">
        <v>87</v>
      </c>
      <c r="T50" s="38">
        <v>0</v>
      </c>
      <c r="U50" s="38">
        <v>0</v>
      </c>
      <c r="V50" s="38">
        <v>0</v>
      </c>
      <c r="X50" s="46">
        <v>0</v>
      </c>
      <c r="Y50" s="46">
        <v>0</v>
      </c>
      <c r="Z50" s="46">
        <v>0</v>
      </c>
    </row>
    <row r="51" spans="1:26" x14ac:dyDescent="0.2">
      <c r="A51" s="53" t="s">
        <v>40</v>
      </c>
      <c r="B51" s="53" t="s">
        <v>35</v>
      </c>
      <c r="D51" s="39">
        <v>0</v>
      </c>
      <c r="E51" s="39">
        <v>0</v>
      </c>
      <c r="F51" s="39">
        <v>0</v>
      </c>
      <c r="H51" s="47">
        <v>0</v>
      </c>
      <c r="I51" s="47">
        <v>0</v>
      </c>
      <c r="J51" s="47">
        <v>0</v>
      </c>
      <c r="L51" s="22" t="s">
        <v>87</v>
      </c>
      <c r="M51" s="22" t="s">
        <v>87</v>
      </c>
      <c r="N51" s="22" t="s">
        <v>87</v>
      </c>
      <c r="P51" s="22" t="s">
        <v>87</v>
      </c>
      <c r="Q51" s="22" t="s">
        <v>87</v>
      </c>
      <c r="R51" s="22" t="s">
        <v>87</v>
      </c>
      <c r="T51" s="39">
        <v>0</v>
      </c>
      <c r="U51" s="39">
        <v>0</v>
      </c>
      <c r="V51" s="39">
        <v>0</v>
      </c>
      <c r="X51" s="47">
        <v>0</v>
      </c>
      <c r="Y51" s="47">
        <v>0</v>
      </c>
      <c r="Z51" s="47">
        <v>0</v>
      </c>
    </row>
    <row r="52" spans="1:26" x14ac:dyDescent="0.2">
      <c r="A52" s="52" t="s">
        <v>41</v>
      </c>
      <c r="B52" s="52" t="s">
        <v>35</v>
      </c>
      <c r="D52" s="38">
        <v>0</v>
      </c>
      <c r="E52" s="38">
        <v>0</v>
      </c>
      <c r="F52" s="38">
        <v>0</v>
      </c>
      <c r="H52" s="46">
        <v>0</v>
      </c>
      <c r="I52" s="46">
        <v>0</v>
      </c>
      <c r="J52" s="46">
        <v>0</v>
      </c>
      <c r="L52" s="22" t="s">
        <v>87</v>
      </c>
      <c r="M52" s="22" t="s">
        <v>87</v>
      </c>
      <c r="N52" s="22" t="s">
        <v>87</v>
      </c>
      <c r="P52" s="22" t="s">
        <v>87</v>
      </c>
      <c r="Q52" s="22" t="s">
        <v>87</v>
      </c>
      <c r="R52" s="22" t="s">
        <v>87</v>
      </c>
      <c r="T52" s="38">
        <v>0</v>
      </c>
      <c r="U52" s="38">
        <v>0</v>
      </c>
      <c r="V52" s="38">
        <v>0</v>
      </c>
      <c r="X52" s="46">
        <v>0</v>
      </c>
      <c r="Y52" s="46">
        <v>0</v>
      </c>
      <c r="Z52" s="46">
        <v>0</v>
      </c>
    </row>
    <row r="53" spans="1:26" x14ac:dyDescent="0.2">
      <c r="A53" s="53" t="s">
        <v>42</v>
      </c>
      <c r="B53" s="53" t="s">
        <v>35</v>
      </c>
      <c r="D53" s="39">
        <v>0</v>
      </c>
      <c r="E53" s="39">
        <v>0</v>
      </c>
      <c r="F53" s="39">
        <v>0</v>
      </c>
      <c r="H53" s="47">
        <v>0</v>
      </c>
      <c r="I53" s="47">
        <v>0</v>
      </c>
      <c r="J53" s="47">
        <v>0</v>
      </c>
      <c r="L53" s="22" t="s">
        <v>87</v>
      </c>
      <c r="M53" s="22" t="s">
        <v>87</v>
      </c>
      <c r="N53" s="22" t="s">
        <v>87</v>
      </c>
      <c r="P53" s="22" t="s">
        <v>87</v>
      </c>
      <c r="Q53" s="22" t="s">
        <v>87</v>
      </c>
      <c r="R53" s="22" t="s">
        <v>87</v>
      </c>
      <c r="T53" s="39">
        <v>0</v>
      </c>
      <c r="U53" s="39">
        <v>0</v>
      </c>
      <c r="V53" s="39">
        <v>0</v>
      </c>
      <c r="X53" s="47">
        <v>0</v>
      </c>
      <c r="Y53" s="47">
        <v>0</v>
      </c>
      <c r="Z53" s="47">
        <v>0</v>
      </c>
    </row>
    <row r="54" spans="1:26" x14ac:dyDescent="0.2">
      <c r="A54" s="52" t="s">
        <v>43</v>
      </c>
      <c r="B54" s="52" t="s">
        <v>35</v>
      </c>
      <c r="D54" s="38">
        <v>0</v>
      </c>
      <c r="E54" s="38">
        <v>0</v>
      </c>
      <c r="F54" s="38">
        <v>0</v>
      </c>
      <c r="H54" s="46">
        <v>0</v>
      </c>
      <c r="I54" s="46">
        <v>0</v>
      </c>
      <c r="J54" s="46">
        <v>0</v>
      </c>
      <c r="L54" s="22" t="s">
        <v>87</v>
      </c>
      <c r="M54" s="22" t="s">
        <v>87</v>
      </c>
      <c r="N54" s="22" t="s">
        <v>87</v>
      </c>
      <c r="P54" s="22" t="s">
        <v>87</v>
      </c>
      <c r="Q54" s="22" t="s">
        <v>87</v>
      </c>
      <c r="R54" s="22" t="s">
        <v>87</v>
      </c>
      <c r="T54" s="38">
        <v>0</v>
      </c>
      <c r="U54" s="38">
        <v>0</v>
      </c>
      <c r="V54" s="38">
        <v>0</v>
      </c>
      <c r="X54" s="46">
        <v>0</v>
      </c>
      <c r="Y54" s="46">
        <v>0</v>
      </c>
      <c r="Z54" s="46">
        <v>0</v>
      </c>
    </row>
    <row r="55" spans="1:26" x14ac:dyDescent="0.2">
      <c r="A55" s="53" t="s">
        <v>44</v>
      </c>
      <c r="B55" s="53" t="s">
        <v>35</v>
      </c>
      <c r="D55" s="39">
        <v>0</v>
      </c>
      <c r="E55" s="39">
        <v>0</v>
      </c>
      <c r="F55" s="39">
        <v>0</v>
      </c>
      <c r="H55" s="47">
        <v>0</v>
      </c>
      <c r="I55" s="47">
        <v>0</v>
      </c>
      <c r="J55" s="47">
        <v>0</v>
      </c>
      <c r="L55" s="22" t="s">
        <v>87</v>
      </c>
      <c r="M55" s="22" t="s">
        <v>87</v>
      </c>
      <c r="N55" s="22" t="s">
        <v>87</v>
      </c>
      <c r="P55" s="22" t="s">
        <v>87</v>
      </c>
      <c r="Q55" s="22" t="s">
        <v>87</v>
      </c>
      <c r="R55" s="22" t="s">
        <v>87</v>
      </c>
      <c r="T55" s="39">
        <v>0</v>
      </c>
      <c r="U55" s="39">
        <v>0</v>
      </c>
      <c r="V55" s="39">
        <v>0</v>
      </c>
      <c r="X55" s="47">
        <v>0</v>
      </c>
      <c r="Y55" s="47">
        <v>0</v>
      </c>
      <c r="Z55" s="47">
        <v>0</v>
      </c>
    </row>
    <row r="56" spans="1:26" x14ac:dyDescent="0.2">
      <c r="A56" s="52" t="s">
        <v>45</v>
      </c>
      <c r="B56" s="52" t="s">
        <v>35</v>
      </c>
      <c r="D56" s="38">
        <v>0</v>
      </c>
      <c r="E56" s="38">
        <v>0</v>
      </c>
      <c r="F56" s="38">
        <v>0</v>
      </c>
      <c r="H56" s="46">
        <v>0</v>
      </c>
      <c r="I56" s="46">
        <v>0</v>
      </c>
      <c r="J56" s="46">
        <v>0</v>
      </c>
      <c r="L56" s="22" t="s">
        <v>87</v>
      </c>
      <c r="M56" s="22" t="s">
        <v>87</v>
      </c>
      <c r="N56" s="22" t="s">
        <v>87</v>
      </c>
      <c r="P56" s="22" t="s">
        <v>87</v>
      </c>
      <c r="Q56" s="22" t="s">
        <v>87</v>
      </c>
      <c r="R56" s="22" t="s">
        <v>87</v>
      </c>
      <c r="T56" s="38">
        <v>0</v>
      </c>
      <c r="U56" s="38">
        <v>0</v>
      </c>
      <c r="V56" s="38">
        <v>0</v>
      </c>
      <c r="X56" s="46">
        <v>0</v>
      </c>
      <c r="Y56" s="46">
        <v>0</v>
      </c>
      <c r="Z56" s="46">
        <v>0</v>
      </c>
    </row>
    <row r="57" spans="1:26" x14ac:dyDescent="0.2">
      <c r="A57" s="53" t="s">
        <v>46</v>
      </c>
      <c r="B57" s="53" t="s">
        <v>35</v>
      </c>
      <c r="D57" s="39">
        <v>0</v>
      </c>
      <c r="E57" s="39">
        <v>0</v>
      </c>
      <c r="F57" s="39">
        <v>0</v>
      </c>
      <c r="H57" s="47">
        <v>0</v>
      </c>
      <c r="I57" s="47">
        <v>0</v>
      </c>
      <c r="J57" s="47">
        <v>0</v>
      </c>
      <c r="L57" s="22" t="s">
        <v>87</v>
      </c>
      <c r="M57" s="22" t="s">
        <v>87</v>
      </c>
      <c r="N57" s="22" t="s">
        <v>87</v>
      </c>
      <c r="P57" s="22" t="s">
        <v>87</v>
      </c>
      <c r="Q57" s="22" t="s">
        <v>87</v>
      </c>
      <c r="R57" s="22" t="s">
        <v>87</v>
      </c>
      <c r="T57" s="39">
        <v>0</v>
      </c>
      <c r="U57" s="39">
        <v>0</v>
      </c>
      <c r="V57" s="39">
        <v>0</v>
      </c>
      <c r="X57" s="47">
        <v>0</v>
      </c>
      <c r="Y57" s="47">
        <v>0</v>
      </c>
      <c r="Z57" s="47">
        <v>0</v>
      </c>
    </row>
    <row r="58" spans="1:26" x14ac:dyDescent="0.2">
      <c r="A58" s="52" t="s">
        <v>47</v>
      </c>
      <c r="B58" s="52" t="s">
        <v>35</v>
      </c>
      <c r="D58" s="38">
        <v>0</v>
      </c>
      <c r="E58" s="38">
        <v>0</v>
      </c>
      <c r="F58" s="38">
        <v>0</v>
      </c>
      <c r="H58" s="46">
        <v>0</v>
      </c>
      <c r="I58" s="46">
        <v>0</v>
      </c>
      <c r="J58" s="46">
        <v>0</v>
      </c>
      <c r="L58" s="22" t="s">
        <v>87</v>
      </c>
      <c r="M58" s="22" t="s">
        <v>87</v>
      </c>
      <c r="N58" s="22" t="s">
        <v>87</v>
      </c>
      <c r="P58" s="22" t="s">
        <v>87</v>
      </c>
      <c r="Q58" s="22" t="s">
        <v>87</v>
      </c>
      <c r="R58" s="22" t="s">
        <v>87</v>
      </c>
      <c r="T58" s="38">
        <v>0</v>
      </c>
      <c r="U58" s="38">
        <v>0</v>
      </c>
      <c r="V58" s="38">
        <v>0</v>
      </c>
      <c r="X58" s="46">
        <v>0</v>
      </c>
      <c r="Y58" s="46">
        <v>0</v>
      </c>
      <c r="Z58" s="46">
        <v>0</v>
      </c>
    </row>
    <row r="59" spans="1:26" x14ac:dyDescent="0.2">
      <c r="A59" s="53" t="s">
        <v>48</v>
      </c>
      <c r="B59" s="53" t="s">
        <v>35</v>
      </c>
      <c r="D59" s="39">
        <v>0</v>
      </c>
      <c r="E59" s="39">
        <v>0</v>
      </c>
      <c r="F59" s="39">
        <v>1</v>
      </c>
      <c r="H59" s="47">
        <v>0</v>
      </c>
      <c r="I59" s="47">
        <v>0</v>
      </c>
      <c r="J59" s="47">
        <v>155.08000000000001</v>
      </c>
      <c r="L59" s="22" t="s">
        <v>87</v>
      </c>
      <c r="M59" s="22" t="s">
        <v>87</v>
      </c>
      <c r="N59" s="22" t="s">
        <v>87</v>
      </c>
      <c r="P59" s="22" t="s">
        <v>87</v>
      </c>
      <c r="Q59" s="22" t="s">
        <v>87</v>
      </c>
      <c r="R59" s="22" t="s">
        <v>87</v>
      </c>
      <c r="T59" s="39">
        <v>0</v>
      </c>
      <c r="U59" s="39">
        <v>0</v>
      </c>
      <c r="V59" s="39">
        <v>0</v>
      </c>
      <c r="X59" s="47">
        <v>0</v>
      </c>
      <c r="Y59" s="47">
        <v>0</v>
      </c>
      <c r="Z59" s="47">
        <v>0</v>
      </c>
    </row>
    <row r="60" spans="1:26" x14ac:dyDescent="0.2">
      <c r="A60" s="52" t="s">
        <v>49</v>
      </c>
      <c r="B60" s="52" t="s">
        <v>35</v>
      </c>
      <c r="D60" s="38">
        <v>0</v>
      </c>
      <c r="E60" s="38">
        <v>0</v>
      </c>
      <c r="F60" s="38">
        <v>0</v>
      </c>
      <c r="H60" s="46">
        <v>0</v>
      </c>
      <c r="I60" s="46">
        <v>0</v>
      </c>
      <c r="J60" s="46">
        <v>0</v>
      </c>
      <c r="L60" s="22" t="s">
        <v>87</v>
      </c>
      <c r="M60" s="22" t="s">
        <v>87</v>
      </c>
      <c r="N60" s="22" t="s">
        <v>87</v>
      </c>
      <c r="P60" s="22" t="s">
        <v>87</v>
      </c>
      <c r="Q60" s="22" t="s">
        <v>87</v>
      </c>
      <c r="R60" s="22" t="s">
        <v>87</v>
      </c>
      <c r="T60" s="38">
        <v>0</v>
      </c>
      <c r="U60" s="38">
        <v>0</v>
      </c>
      <c r="V60" s="38">
        <v>0</v>
      </c>
      <c r="X60" s="46">
        <v>0</v>
      </c>
      <c r="Y60" s="46">
        <v>0</v>
      </c>
      <c r="Z60" s="46">
        <v>0</v>
      </c>
    </row>
    <row r="61" spans="1:26" x14ac:dyDescent="0.2">
      <c r="A61" s="53" t="s">
        <v>50</v>
      </c>
      <c r="B61" s="53" t="s">
        <v>35</v>
      </c>
      <c r="D61" s="39">
        <v>0</v>
      </c>
      <c r="E61" s="39">
        <v>0</v>
      </c>
      <c r="F61" s="39">
        <v>0</v>
      </c>
      <c r="H61" s="47">
        <v>0</v>
      </c>
      <c r="I61" s="47">
        <v>0</v>
      </c>
      <c r="J61" s="47">
        <v>0</v>
      </c>
      <c r="L61" s="22" t="s">
        <v>87</v>
      </c>
      <c r="M61" s="22" t="s">
        <v>87</v>
      </c>
      <c r="N61" s="22" t="s">
        <v>87</v>
      </c>
      <c r="P61" s="22" t="s">
        <v>87</v>
      </c>
      <c r="Q61" s="22" t="s">
        <v>87</v>
      </c>
      <c r="R61" s="22" t="s">
        <v>87</v>
      </c>
      <c r="T61" s="39">
        <v>0</v>
      </c>
      <c r="U61" s="39">
        <v>0</v>
      </c>
      <c r="V61" s="39">
        <v>0</v>
      </c>
      <c r="X61" s="47">
        <v>0</v>
      </c>
      <c r="Y61" s="47">
        <v>0</v>
      </c>
      <c r="Z61" s="47">
        <v>0</v>
      </c>
    </row>
    <row r="62" spans="1:26" x14ac:dyDescent="0.2">
      <c r="A62" s="52" t="s">
        <v>51</v>
      </c>
      <c r="B62" s="52" t="s">
        <v>35</v>
      </c>
      <c r="D62" s="38">
        <v>0</v>
      </c>
      <c r="E62" s="38">
        <v>1</v>
      </c>
      <c r="F62" s="38">
        <v>0</v>
      </c>
      <c r="H62" s="46">
        <v>0</v>
      </c>
      <c r="I62" s="46">
        <v>28.64</v>
      </c>
      <c r="J62" s="46">
        <v>0</v>
      </c>
      <c r="L62" s="22" t="s">
        <v>87</v>
      </c>
      <c r="M62" s="22" t="s">
        <v>87</v>
      </c>
      <c r="N62" s="22" t="s">
        <v>87</v>
      </c>
      <c r="P62" s="22" t="s">
        <v>87</v>
      </c>
      <c r="Q62" s="22" t="s">
        <v>87</v>
      </c>
      <c r="R62" s="22" t="s">
        <v>87</v>
      </c>
      <c r="T62" s="38">
        <v>0</v>
      </c>
      <c r="U62" s="38">
        <v>0</v>
      </c>
      <c r="V62" s="38">
        <v>0</v>
      </c>
      <c r="X62" s="46">
        <v>0</v>
      </c>
      <c r="Y62" s="46">
        <v>0</v>
      </c>
      <c r="Z62" s="46">
        <v>0</v>
      </c>
    </row>
    <row r="63" spans="1:26" x14ac:dyDescent="0.2">
      <c r="A63" s="53" t="s">
        <v>52</v>
      </c>
      <c r="B63" s="53" t="s">
        <v>35</v>
      </c>
      <c r="D63" s="39">
        <v>0</v>
      </c>
      <c r="E63" s="39">
        <v>0</v>
      </c>
      <c r="F63" s="39">
        <v>0</v>
      </c>
      <c r="H63" s="47">
        <v>0</v>
      </c>
      <c r="I63" s="47">
        <v>0</v>
      </c>
      <c r="J63" s="47">
        <v>0</v>
      </c>
      <c r="L63" s="22" t="s">
        <v>87</v>
      </c>
      <c r="M63" s="22" t="s">
        <v>87</v>
      </c>
      <c r="N63" s="22" t="s">
        <v>87</v>
      </c>
      <c r="P63" s="22" t="s">
        <v>87</v>
      </c>
      <c r="Q63" s="22" t="s">
        <v>87</v>
      </c>
      <c r="R63" s="22" t="s">
        <v>87</v>
      </c>
      <c r="T63" s="39">
        <v>0</v>
      </c>
      <c r="U63" s="39">
        <v>0</v>
      </c>
      <c r="V63" s="39">
        <v>0</v>
      </c>
      <c r="X63" s="47">
        <v>0</v>
      </c>
      <c r="Y63" s="47">
        <v>0</v>
      </c>
      <c r="Z63" s="47">
        <v>0</v>
      </c>
    </row>
    <row r="64" spans="1:26" x14ac:dyDescent="0.2">
      <c r="A64" s="52" t="s">
        <v>53</v>
      </c>
      <c r="B64" s="52" t="s">
        <v>35</v>
      </c>
      <c r="D64" s="38">
        <v>0</v>
      </c>
      <c r="E64" s="38">
        <v>0</v>
      </c>
      <c r="F64" s="38">
        <v>0</v>
      </c>
      <c r="H64" s="46">
        <v>0</v>
      </c>
      <c r="I64" s="46">
        <v>0</v>
      </c>
      <c r="J64" s="46">
        <v>0</v>
      </c>
      <c r="L64" s="22" t="s">
        <v>87</v>
      </c>
      <c r="M64" s="22" t="s">
        <v>87</v>
      </c>
      <c r="N64" s="22" t="s">
        <v>87</v>
      </c>
      <c r="P64" s="22" t="s">
        <v>87</v>
      </c>
      <c r="Q64" s="22" t="s">
        <v>87</v>
      </c>
      <c r="R64" s="22" t="s">
        <v>87</v>
      </c>
      <c r="T64" s="38">
        <v>0</v>
      </c>
      <c r="U64" s="38">
        <v>0</v>
      </c>
      <c r="V64" s="38">
        <v>0</v>
      </c>
      <c r="X64" s="46">
        <v>0</v>
      </c>
      <c r="Y64" s="46">
        <v>0</v>
      </c>
      <c r="Z64" s="46">
        <v>0</v>
      </c>
    </row>
    <row r="65" spans="1:26" x14ac:dyDescent="0.2">
      <c r="A65" s="53" t="s">
        <v>54</v>
      </c>
      <c r="B65" s="53" t="s">
        <v>35</v>
      </c>
      <c r="D65" s="39">
        <v>0</v>
      </c>
      <c r="E65" s="39">
        <v>0</v>
      </c>
      <c r="F65" s="39">
        <v>0</v>
      </c>
      <c r="H65" s="47">
        <v>0</v>
      </c>
      <c r="I65" s="47">
        <v>0</v>
      </c>
      <c r="J65" s="47">
        <v>0</v>
      </c>
      <c r="L65" s="22" t="s">
        <v>87</v>
      </c>
      <c r="M65" s="22" t="s">
        <v>87</v>
      </c>
      <c r="N65" s="22" t="s">
        <v>87</v>
      </c>
      <c r="P65" s="22" t="s">
        <v>87</v>
      </c>
      <c r="Q65" s="22" t="s">
        <v>87</v>
      </c>
      <c r="R65" s="22" t="s">
        <v>87</v>
      </c>
      <c r="T65" s="39">
        <v>0</v>
      </c>
      <c r="U65" s="39">
        <v>0</v>
      </c>
      <c r="V65" s="39">
        <v>0</v>
      </c>
      <c r="X65" s="47">
        <v>0</v>
      </c>
      <c r="Y65" s="47">
        <v>0</v>
      </c>
      <c r="Z65" s="47">
        <v>0</v>
      </c>
    </row>
    <row r="66" spans="1:26" x14ac:dyDescent="0.2">
      <c r="A66" s="52" t="s">
        <v>55</v>
      </c>
      <c r="B66" s="52" t="s">
        <v>35</v>
      </c>
      <c r="D66" s="38">
        <v>0</v>
      </c>
      <c r="E66" s="38">
        <v>0</v>
      </c>
      <c r="F66" s="38">
        <v>0</v>
      </c>
      <c r="H66" s="46">
        <v>0</v>
      </c>
      <c r="I66" s="46">
        <v>0</v>
      </c>
      <c r="J66" s="46">
        <v>0</v>
      </c>
      <c r="L66" s="22" t="s">
        <v>87</v>
      </c>
      <c r="M66" s="22" t="s">
        <v>87</v>
      </c>
      <c r="N66" s="22" t="s">
        <v>87</v>
      </c>
      <c r="P66" s="22" t="s">
        <v>87</v>
      </c>
      <c r="Q66" s="22" t="s">
        <v>87</v>
      </c>
      <c r="R66" s="22" t="s">
        <v>87</v>
      </c>
      <c r="T66" s="38">
        <v>0</v>
      </c>
      <c r="U66" s="38">
        <v>0</v>
      </c>
      <c r="V66" s="38">
        <v>0</v>
      </c>
      <c r="X66" s="46">
        <v>0</v>
      </c>
      <c r="Y66" s="46">
        <v>0</v>
      </c>
      <c r="Z66" s="46">
        <v>0</v>
      </c>
    </row>
    <row r="67" spans="1:26" x14ac:dyDescent="0.2">
      <c r="A67" s="53" t="s">
        <v>56</v>
      </c>
      <c r="B67" s="53" t="s">
        <v>35</v>
      </c>
      <c r="D67" s="39">
        <v>0</v>
      </c>
      <c r="E67" s="39">
        <v>0</v>
      </c>
      <c r="F67" s="39">
        <v>0</v>
      </c>
      <c r="H67" s="47">
        <v>0</v>
      </c>
      <c r="I67" s="47">
        <v>0</v>
      </c>
      <c r="J67" s="47">
        <v>0</v>
      </c>
      <c r="L67" s="22" t="s">
        <v>87</v>
      </c>
      <c r="M67" s="22" t="s">
        <v>87</v>
      </c>
      <c r="N67" s="22" t="s">
        <v>87</v>
      </c>
      <c r="P67" s="22" t="s">
        <v>87</v>
      </c>
      <c r="Q67" s="22" t="s">
        <v>87</v>
      </c>
      <c r="R67" s="22" t="s">
        <v>87</v>
      </c>
      <c r="T67" s="39">
        <v>0</v>
      </c>
      <c r="U67" s="39">
        <v>0</v>
      </c>
      <c r="V67" s="39">
        <v>0</v>
      </c>
      <c r="X67" s="47">
        <v>0</v>
      </c>
      <c r="Y67" s="47">
        <v>0</v>
      </c>
      <c r="Z67" s="47">
        <v>0</v>
      </c>
    </row>
    <row r="68" spans="1:26" x14ac:dyDescent="0.2">
      <c r="A68" s="52" t="s">
        <v>57</v>
      </c>
      <c r="B68" s="52" t="s">
        <v>35</v>
      </c>
      <c r="D68" s="38">
        <v>0</v>
      </c>
      <c r="E68" s="38">
        <v>0</v>
      </c>
      <c r="F68" s="38">
        <v>0</v>
      </c>
      <c r="H68" s="46">
        <v>0</v>
      </c>
      <c r="I68" s="46">
        <v>0</v>
      </c>
      <c r="J68" s="46">
        <v>0</v>
      </c>
      <c r="L68" s="22" t="s">
        <v>87</v>
      </c>
      <c r="M68" s="22" t="s">
        <v>87</v>
      </c>
      <c r="N68" s="22" t="s">
        <v>87</v>
      </c>
      <c r="P68" s="22" t="s">
        <v>87</v>
      </c>
      <c r="Q68" s="22" t="s">
        <v>87</v>
      </c>
      <c r="R68" s="22" t="s">
        <v>87</v>
      </c>
      <c r="T68" s="38">
        <v>0</v>
      </c>
      <c r="U68" s="38">
        <v>0</v>
      </c>
      <c r="V68" s="38">
        <v>0</v>
      </c>
      <c r="X68" s="46">
        <v>0</v>
      </c>
      <c r="Y68" s="46">
        <v>0</v>
      </c>
      <c r="Z68" s="46">
        <v>0</v>
      </c>
    </row>
    <row r="69" spans="1:26" x14ac:dyDescent="0.2">
      <c r="A69" s="53" t="s">
        <v>58</v>
      </c>
      <c r="B69" s="53" t="s">
        <v>35</v>
      </c>
      <c r="D69" s="39">
        <v>0</v>
      </c>
      <c r="E69" s="39">
        <v>0</v>
      </c>
      <c r="F69" s="39">
        <v>0</v>
      </c>
      <c r="H69" s="47">
        <v>0</v>
      </c>
      <c r="I69" s="47">
        <v>0</v>
      </c>
      <c r="J69" s="47">
        <v>0</v>
      </c>
      <c r="L69" s="22" t="s">
        <v>87</v>
      </c>
      <c r="M69" s="22" t="s">
        <v>87</v>
      </c>
      <c r="N69" s="22" t="s">
        <v>87</v>
      </c>
      <c r="P69" s="22" t="s">
        <v>87</v>
      </c>
      <c r="Q69" s="22" t="s">
        <v>87</v>
      </c>
      <c r="R69" s="22" t="s">
        <v>87</v>
      </c>
      <c r="T69" s="39">
        <v>0</v>
      </c>
      <c r="U69" s="39">
        <v>0</v>
      </c>
      <c r="V69" s="39">
        <v>0</v>
      </c>
      <c r="X69" s="47">
        <v>0</v>
      </c>
      <c r="Y69" s="47">
        <v>0</v>
      </c>
      <c r="Z69" s="47">
        <v>0</v>
      </c>
    </row>
    <row r="70" spans="1:26" x14ac:dyDescent="0.2">
      <c r="A70" s="52" t="s">
        <v>59</v>
      </c>
      <c r="B70" s="52" t="s">
        <v>35</v>
      </c>
      <c r="D70" s="38">
        <v>0</v>
      </c>
      <c r="E70" s="38">
        <v>0</v>
      </c>
      <c r="F70" s="38">
        <v>0</v>
      </c>
      <c r="H70" s="46">
        <v>0</v>
      </c>
      <c r="I70" s="46">
        <v>0</v>
      </c>
      <c r="J70" s="46">
        <v>0</v>
      </c>
      <c r="L70" s="22" t="s">
        <v>87</v>
      </c>
      <c r="M70" s="22" t="s">
        <v>87</v>
      </c>
      <c r="N70" s="22" t="s">
        <v>87</v>
      </c>
      <c r="P70" s="22" t="s">
        <v>87</v>
      </c>
      <c r="Q70" s="22" t="s">
        <v>87</v>
      </c>
      <c r="R70" s="22" t="s">
        <v>87</v>
      </c>
      <c r="T70" s="38">
        <v>0</v>
      </c>
      <c r="U70" s="38">
        <v>0</v>
      </c>
      <c r="V70" s="38">
        <v>0</v>
      </c>
      <c r="X70" s="46">
        <v>0</v>
      </c>
      <c r="Y70" s="46">
        <v>0</v>
      </c>
      <c r="Z70" s="46">
        <v>0</v>
      </c>
    </row>
    <row r="71" spans="1:26" x14ac:dyDescent="0.2">
      <c r="A71" s="53" t="s">
        <v>60</v>
      </c>
      <c r="B71" s="53" t="s">
        <v>35</v>
      </c>
      <c r="D71" s="39">
        <v>3</v>
      </c>
      <c r="E71" s="39">
        <v>3</v>
      </c>
      <c r="F71" s="39">
        <v>1</v>
      </c>
      <c r="H71" s="47">
        <v>50.75</v>
      </c>
      <c r="I71" s="47">
        <v>241.53</v>
      </c>
      <c r="J71" s="47">
        <v>22.69</v>
      </c>
      <c r="L71" s="22" t="s">
        <v>87</v>
      </c>
      <c r="M71" s="22" t="s">
        <v>87</v>
      </c>
      <c r="N71" s="22" t="s">
        <v>87</v>
      </c>
      <c r="P71" s="22" t="s">
        <v>87</v>
      </c>
      <c r="Q71" s="22" t="s">
        <v>87</v>
      </c>
      <c r="R71" s="22" t="s">
        <v>87</v>
      </c>
      <c r="T71" s="39">
        <v>0</v>
      </c>
      <c r="U71" s="39">
        <v>0</v>
      </c>
      <c r="V71" s="39">
        <v>0</v>
      </c>
      <c r="X71" s="47">
        <v>0</v>
      </c>
      <c r="Y71" s="47">
        <v>0</v>
      </c>
      <c r="Z71" s="47">
        <v>0</v>
      </c>
    </row>
    <row r="72" spans="1:26" x14ac:dyDescent="0.2">
      <c r="A72" s="52" t="s">
        <v>61</v>
      </c>
      <c r="B72" s="52" t="s">
        <v>35</v>
      </c>
      <c r="D72" s="38">
        <v>2</v>
      </c>
      <c r="E72" s="38">
        <v>3</v>
      </c>
      <c r="F72" s="38">
        <v>3</v>
      </c>
      <c r="H72" s="46">
        <v>64.67</v>
      </c>
      <c r="I72" s="46">
        <v>63.74</v>
      </c>
      <c r="J72" s="46">
        <v>64.510000000000005</v>
      </c>
      <c r="L72" s="22" t="s">
        <v>87</v>
      </c>
      <c r="M72" s="22" t="s">
        <v>87</v>
      </c>
      <c r="N72" s="22" t="s">
        <v>87</v>
      </c>
      <c r="P72" s="22" t="s">
        <v>87</v>
      </c>
      <c r="Q72" s="22" t="s">
        <v>87</v>
      </c>
      <c r="R72" s="22" t="s">
        <v>87</v>
      </c>
      <c r="T72" s="38">
        <v>0</v>
      </c>
      <c r="U72" s="38">
        <v>0</v>
      </c>
      <c r="V72" s="38">
        <v>0</v>
      </c>
      <c r="X72" s="46">
        <v>0</v>
      </c>
      <c r="Y72" s="46">
        <v>0</v>
      </c>
      <c r="Z72" s="46">
        <v>0</v>
      </c>
    </row>
    <row r="73" spans="1:26" x14ac:dyDescent="0.2">
      <c r="A73" s="53" t="s">
        <v>62</v>
      </c>
      <c r="B73" s="53" t="s">
        <v>35</v>
      </c>
      <c r="D73" s="39">
        <v>0</v>
      </c>
      <c r="E73" s="39">
        <v>0</v>
      </c>
      <c r="F73" s="39">
        <v>0</v>
      </c>
      <c r="H73" s="47">
        <v>0</v>
      </c>
      <c r="I73" s="47">
        <v>0</v>
      </c>
      <c r="J73" s="47">
        <v>0</v>
      </c>
      <c r="L73" s="22" t="s">
        <v>87</v>
      </c>
      <c r="M73" s="22" t="s">
        <v>87</v>
      </c>
      <c r="N73" s="22" t="s">
        <v>87</v>
      </c>
      <c r="P73" s="22" t="s">
        <v>87</v>
      </c>
      <c r="Q73" s="22" t="s">
        <v>87</v>
      </c>
      <c r="R73" s="22" t="s">
        <v>87</v>
      </c>
      <c r="T73" s="39">
        <v>0</v>
      </c>
      <c r="U73" s="39">
        <v>0</v>
      </c>
      <c r="V73" s="39">
        <v>0</v>
      </c>
      <c r="X73" s="47">
        <v>0</v>
      </c>
      <c r="Y73" s="47">
        <v>0</v>
      </c>
      <c r="Z73" s="47">
        <v>0</v>
      </c>
    </row>
    <row r="74" spans="1:26" x14ac:dyDescent="0.2">
      <c r="A74" s="52" t="s">
        <v>63</v>
      </c>
      <c r="B74" s="52" t="s">
        <v>35</v>
      </c>
      <c r="D74" s="38">
        <v>0</v>
      </c>
      <c r="E74" s="38">
        <v>0</v>
      </c>
      <c r="F74" s="38">
        <v>0</v>
      </c>
      <c r="H74" s="46">
        <v>0</v>
      </c>
      <c r="I74" s="46">
        <v>0</v>
      </c>
      <c r="J74" s="46">
        <v>0</v>
      </c>
      <c r="L74" s="22" t="s">
        <v>87</v>
      </c>
      <c r="M74" s="22" t="s">
        <v>87</v>
      </c>
      <c r="N74" s="22" t="s">
        <v>87</v>
      </c>
      <c r="P74" s="22" t="s">
        <v>87</v>
      </c>
      <c r="Q74" s="22" t="s">
        <v>87</v>
      </c>
      <c r="R74" s="22" t="s">
        <v>87</v>
      </c>
      <c r="T74" s="38">
        <v>0</v>
      </c>
      <c r="U74" s="38">
        <v>0</v>
      </c>
      <c r="V74" s="38">
        <v>0</v>
      </c>
      <c r="X74" s="46">
        <v>0</v>
      </c>
      <c r="Y74" s="46">
        <v>0</v>
      </c>
      <c r="Z74" s="46">
        <v>0</v>
      </c>
    </row>
    <row r="75" spans="1:26" x14ac:dyDescent="0.2">
      <c r="A75" s="53" t="s">
        <v>64</v>
      </c>
      <c r="B75" s="53" t="s">
        <v>35</v>
      </c>
      <c r="D75" s="39">
        <v>0</v>
      </c>
      <c r="E75" s="39">
        <v>0</v>
      </c>
      <c r="F75" s="39">
        <v>0</v>
      </c>
      <c r="H75" s="47">
        <v>0</v>
      </c>
      <c r="I75" s="47">
        <v>0</v>
      </c>
      <c r="J75" s="47">
        <v>0</v>
      </c>
      <c r="L75" s="22" t="s">
        <v>87</v>
      </c>
      <c r="M75" s="22" t="s">
        <v>87</v>
      </c>
      <c r="N75" s="22" t="s">
        <v>87</v>
      </c>
      <c r="P75" s="22" t="s">
        <v>87</v>
      </c>
      <c r="Q75" s="22" t="s">
        <v>87</v>
      </c>
      <c r="R75" s="22" t="s">
        <v>87</v>
      </c>
      <c r="T75" s="39">
        <v>0</v>
      </c>
      <c r="U75" s="39">
        <v>0</v>
      </c>
      <c r="V75" s="39">
        <v>0</v>
      </c>
      <c r="X75" s="47">
        <v>0</v>
      </c>
      <c r="Y75" s="47">
        <v>0</v>
      </c>
      <c r="Z75" s="47">
        <v>0</v>
      </c>
    </row>
    <row r="76" spans="1:26" x14ac:dyDescent="0.2">
      <c r="A76" s="52" t="s">
        <v>65</v>
      </c>
      <c r="B76" s="52" t="s">
        <v>35</v>
      </c>
      <c r="D76" s="38">
        <v>0</v>
      </c>
      <c r="E76" s="38">
        <v>0</v>
      </c>
      <c r="F76" s="38">
        <v>0</v>
      </c>
      <c r="H76" s="46">
        <v>0</v>
      </c>
      <c r="I76" s="46">
        <v>0</v>
      </c>
      <c r="J76" s="46">
        <v>0</v>
      </c>
      <c r="L76" s="22" t="s">
        <v>87</v>
      </c>
      <c r="M76" s="22" t="s">
        <v>87</v>
      </c>
      <c r="N76" s="22" t="s">
        <v>87</v>
      </c>
      <c r="P76" s="22" t="s">
        <v>87</v>
      </c>
      <c r="Q76" s="22" t="s">
        <v>87</v>
      </c>
      <c r="R76" s="22" t="s">
        <v>87</v>
      </c>
      <c r="T76" s="38">
        <v>0</v>
      </c>
      <c r="U76" s="38">
        <v>0</v>
      </c>
      <c r="V76" s="38">
        <v>0</v>
      </c>
      <c r="X76" s="46">
        <v>0</v>
      </c>
      <c r="Y76" s="46">
        <v>0</v>
      </c>
      <c r="Z76" s="46">
        <v>0</v>
      </c>
    </row>
    <row r="77" spans="1:26" x14ac:dyDescent="0.2">
      <c r="A77" s="53" t="s">
        <v>66</v>
      </c>
      <c r="B77" s="53" t="s">
        <v>35</v>
      </c>
      <c r="D77" s="39">
        <v>0</v>
      </c>
      <c r="E77" s="39">
        <v>0</v>
      </c>
      <c r="F77" s="39">
        <v>0</v>
      </c>
      <c r="H77" s="47">
        <v>0</v>
      </c>
      <c r="I77" s="47">
        <v>0</v>
      </c>
      <c r="J77" s="47">
        <v>0</v>
      </c>
      <c r="L77" s="22" t="s">
        <v>87</v>
      </c>
      <c r="M77" s="22" t="s">
        <v>87</v>
      </c>
      <c r="N77" s="22" t="s">
        <v>87</v>
      </c>
      <c r="P77" s="22" t="s">
        <v>87</v>
      </c>
      <c r="Q77" s="22" t="s">
        <v>87</v>
      </c>
      <c r="R77" s="22" t="s">
        <v>87</v>
      </c>
      <c r="T77" s="39">
        <v>0</v>
      </c>
      <c r="U77" s="39">
        <v>0</v>
      </c>
      <c r="V77" s="39">
        <v>0</v>
      </c>
      <c r="X77" s="47">
        <v>0</v>
      </c>
      <c r="Y77" s="47">
        <v>0</v>
      </c>
      <c r="Z77" s="47">
        <v>0</v>
      </c>
    </row>
    <row r="78" spans="1:26" x14ac:dyDescent="0.2">
      <c r="A78" s="52" t="s">
        <v>67</v>
      </c>
      <c r="B78" s="52" t="s">
        <v>35</v>
      </c>
      <c r="D78" s="38">
        <v>0</v>
      </c>
      <c r="E78" s="38">
        <v>0</v>
      </c>
      <c r="F78" s="38">
        <v>0</v>
      </c>
      <c r="H78" s="46">
        <v>0</v>
      </c>
      <c r="I78" s="46">
        <v>0</v>
      </c>
      <c r="J78" s="46">
        <v>0</v>
      </c>
      <c r="L78" s="22" t="s">
        <v>87</v>
      </c>
      <c r="M78" s="22" t="s">
        <v>87</v>
      </c>
      <c r="N78" s="22" t="s">
        <v>87</v>
      </c>
      <c r="P78" s="22" t="s">
        <v>87</v>
      </c>
      <c r="Q78" s="22" t="s">
        <v>87</v>
      </c>
      <c r="R78" s="22" t="s">
        <v>87</v>
      </c>
      <c r="T78" s="38">
        <v>0</v>
      </c>
      <c r="U78" s="38">
        <v>0</v>
      </c>
      <c r="V78" s="38">
        <v>0</v>
      </c>
      <c r="X78" s="46">
        <v>0</v>
      </c>
      <c r="Y78" s="46">
        <v>0</v>
      </c>
      <c r="Z78" s="46">
        <v>0</v>
      </c>
    </row>
    <row r="79" spans="1:26" x14ac:dyDescent="0.2">
      <c r="A79" s="53" t="s">
        <v>68</v>
      </c>
      <c r="B79" s="53" t="s">
        <v>35</v>
      </c>
      <c r="D79" s="39">
        <v>1</v>
      </c>
      <c r="E79" s="39">
        <v>2</v>
      </c>
      <c r="F79" s="39">
        <v>1</v>
      </c>
      <c r="H79" s="47">
        <v>1.44</v>
      </c>
      <c r="I79" s="47">
        <v>4.17</v>
      </c>
      <c r="J79" s="47">
        <v>1</v>
      </c>
      <c r="L79" s="22" t="s">
        <v>87</v>
      </c>
      <c r="M79" s="22" t="s">
        <v>87</v>
      </c>
      <c r="N79" s="22" t="s">
        <v>87</v>
      </c>
      <c r="P79" s="22" t="s">
        <v>87</v>
      </c>
      <c r="Q79" s="22" t="s">
        <v>87</v>
      </c>
      <c r="R79" s="22" t="s">
        <v>87</v>
      </c>
      <c r="T79" s="39">
        <v>0</v>
      </c>
      <c r="U79" s="39">
        <v>0</v>
      </c>
      <c r="V79" s="39">
        <v>0</v>
      </c>
      <c r="X79" s="47">
        <v>0</v>
      </c>
      <c r="Y79" s="47">
        <v>0</v>
      </c>
      <c r="Z79" s="47">
        <v>0</v>
      </c>
    </row>
    <row r="80" spans="1:26" x14ac:dyDescent="0.2">
      <c r="A80" s="52" t="s">
        <v>69</v>
      </c>
      <c r="B80" s="52" t="s">
        <v>35</v>
      </c>
      <c r="D80" s="38">
        <v>0</v>
      </c>
      <c r="E80" s="38">
        <v>0</v>
      </c>
      <c r="F80" s="38">
        <v>0</v>
      </c>
      <c r="H80" s="46">
        <v>0</v>
      </c>
      <c r="I80" s="46">
        <v>0</v>
      </c>
      <c r="J80" s="46">
        <v>0</v>
      </c>
      <c r="L80" s="22" t="s">
        <v>87</v>
      </c>
      <c r="M80" s="22" t="s">
        <v>87</v>
      </c>
      <c r="N80" s="22" t="s">
        <v>87</v>
      </c>
      <c r="P80" s="22" t="s">
        <v>87</v>
      </c>
      <c r="Q80" s="22" t="s">
        <v>87</v>
      </c>
      <c r="R80" s="22" t="s">
        <v>87</v>
      </c>
      <c r="T80" s="38">
        <v>0</v>
      </c>
      <c r="U80" s="38">
        <v>0</v>
      </c>
      <c r="V80" s="38">
        <v>0</v>
      </c>
      <c r="X80" s="46">
        <v>0</v>
      </c>
      <c r="Y80" s="46">
        <v>0</v>
      </c>
      <c r="Z80" s="46">
        <v>0</v>
      </c>
    </row>
    <row r="81" spans="1:26" x14ac:dyDescent="0.2">
      <c r="A81" s="53" t="s">
        <v>70</v>
      </c>
      <c r="B81" s="53" t="s">
        <v>35</v>
      </c>
      <c r="D81" s="39">
        <v>0</v>
      </c>
      <c r="E81" s="39">
        <v>0</v>
      </c>
      <c r="F81" s="39">
        <v>0</v>
      </c>
      <c r="H81" s="47">
        <v>0</v>
      </c>
      <c r="I81" s="47">
        <v>0</v>
      </c>
      <c r="J81" s="47">
        <v>0</v>
      </c>
      <c r="L81" s="22" t="s">
        <v>87</v>
      </c>
      <c r="M81" s="22" t="s">
        <v>87</v>
      </c>
      <c r="N81" s="22" t="s">
        <v>87</v>
      </c>
      <c r="P81" s="22" t="s">
        <v>87</v>
      </c>
      <c r="Q81" s="22" t="s">
        <v>87</v>
      </c>
      <c r="R81" s="22" t="s">
        <v>87</v>
      </c>
      <c r="T81" s="39">
        <v>0</v>
      </c>
      <c r="U81" s="39">
        <v>0</v>
      </c>
      <c r="V81" s="39">
        <v>0</v>
      </c>
      <c r="X81" s="47">
        <v>0</v>
      </c>
      <c r="Y81" s="47">
        <v>0</v>
      </c>
      <c r="Z81" s="47">
        <v>0</v>
      </c>
    </row>
    <row r="82" spans="1:26" x14ac:dyDescent="0.2">
      <c r="A82" s="52" t="s">
        <v>71</v>
      </c>
      <c r="B82" s="52" t="s">
        <v>35</v>
      </c>
      <c r="D82" s="38">
        <v>0</v>
      </c>
      <c r="E82" s="38">
        <v>0</v>
      </c>
      <c r="F82" s="38">
        <v>0</v>
      </c>
      <c r="H82" s="46">
        <v>0</v>
      </c>
      <c r="I82" s="46">
        <v>0</v>
      </c>
      <c r="J82" s="46">
        <v>0</v>
      </c>
      <c r="L82" s="22" t="s">
        <v>87</v>
      </c>
      <c r="M82" s="22" t="s">
        <v>87</v>
      </c>
      <c r="N82" s="22" t="s">
        <v>87</v>
      </c>
      <c r="P82" s="22" t="s">
        <v>87</v>
      </c>
      <c r="Q82" s="22" t="s">
        <v>87</v>
      </c>
      <c r="R82" s="22" t="s">
        <v>87</v>
      </c>
      <c r="T82" s="38">
        <v>0</v>
      </c>
      <c r="U82" s="38">
        <v>0</v>
      </c>
      <c r="V82" s="38">
        <v>0</v>
      </c>
      <c r="X82" s="46">
        <v>0</v>
      </c>
      <c r="Y82" s="46">
        <v>0</v>
      </c>
      <c r="Z82" s="46">
        <v>0</v>
      </c>
    </row>
    <row r="83" spans="1:26" x14ac:dyDescent="0.2">
      <c r="A83" s="53" t="s">
        <v>72</v>
      </c>
      <c r="B83" s="53" t="s">
        <v>35</v>
      </c>
      <c r="D83" s="39">
        <v>3</v>
      </c>
      <c r="E83" s="39">
        <v>2</v>
      </c>
      <c r="F83" s="39">
        <v>1</v>
      </c>
      <c r="H83" s="47">
        <v>186.79</v>
      </c>
      <c r="I83" s="47">
        <v>107.22</v>
      </c>
      <c r="J83" s="47">
        <v>23.8</v>
      </c>
      <c r="L83" s="22" t="s">
        <v>87</v>
      </c>
      <c r="M83" s="22" t="s">
        <v>87</v>
      </c>
      <c r="N83" s="22" t="s">
        <v>87</v>
      </c>
      <c r="P83" s="22" t="s">
        <v>87</v>
      </c>
      <c r="Q83" s="22" t="s">
        <v>87</v>
      </c>
      <c r="R83" s="22" t="s">
        <v>87</v>
      </c>
      <c r="T83" s="39">
        <v>0</v>
      </c>
      <c r="U83" s="39">
        <v>0</v>
      </c>
      <c r="V83" s="39">
        <v>0</v>
      </c>
      <c r="X83" s="47">
        <v>0</v>
      </c>
      <c r="Y83" s="47">
        <v>0</v>
      </c>
      <c r="Z83" s="47">
        <v>0</v>
      </c>
    </row>
    <row r="84" spans="1:26" x14ac:dyDescent="0.2">
      <c r="A84" s="52" t="s">
        <v>73</v>
      </c>
      <c r="B84" s="52" t="s">
        <v>35</v>
      </c>
      <c r="D84" s="38">
        <v>0</v>
      </c>
      <c r="E84" s="38">
        <v>0</v>
      </c>
      <c r="F84" s="38">
        <v>0</v>
      </c>
      <c r="H84" s="46">
        <v>0</v>
      </c>
      <c r="I84" s="46">
        <v>0</v>
      </c>
      <c r="J84" s="46">
        <v>0</v>
      </c>
      <c r="L84" s="22" t="s">
        <v>87</v>
      </c>
      <c r="M84" s="22" t="s">
        <v>87</v>
      </c>
      <c r="N84" s="22" t="s">
        <v>87</v>
      </c>
      <c r="P84" s="22" t="s">
        <v>87</v>
      </c>
      <c r="Q84" s="22" t="s">
        <v>87</v>
      </c>
      <c r="R84" s="22" t="s">
        <v>87</v>
      </c>
      <c r="T84" s="38">
        <v>0</v>
      </c>
      <c r="U84" s="38">
        <v>0</v>
      </c>
      <c r="V84" s="38">
        <v>0</v>
      </c>
      <c r="X84" s="46">
        <v>0</v>
      </c>
      <c r="Y84" s="46">
        <v>0</v>
      </c>
      <c r="Z84" s="46">
        <v>0</v>
      </c>
    </row>
    <row r="85" spans="1:26" x14ac:dyDescent="0.2">
      <c r="A85" s="53" t="s">
        <v>74</v>
      </c>
      <c r="B85" s="53" t="s">
        <v>35</v>
      </c>
      <c r="D85" s="39">
        <v>0</v>
      </c>
      <c r="E85" s="39">
        <v>0</v>
      </c>
      <c r="F85" s="39">
        <v>0</v>
      </c>
      <c r="H85" s="47">
        <v>0</v>
      </c>
      <c r="I85" s="47">
        <v>0</v>
      </c>
      <c r="J85" s="47">
        <v>0</v>
      </c>
      <c r="L85" s="22" t="s">
        <v>87</v>
      </c>
      <c r="M85" s="22" t="s">
        <v>87</v>
      </c>
      <c r="N85" s="22" t="s">
        <v>87</v>
      </c>
      <c r="P85" s="22" t="s">
        <v>87</v>
      </c>
      <c r="Q85" s="22" t="s">
        <v>87</v>
      </c>
      <c r="R85" s="22" t="s">
        <v>87</v>
      </c>
      <c r="T85" s="39">
        <v>0</v>
      </c>
      <c r="U85" s="39">
        <v>0</v>
      </c>
      <c r="V85" s="39">
        <v>0</v>
      </c>
      <c r="X85" s="47">
        <v>0</v>
      </c>
      <c r="Y85" s="47">
        <v>0</v>
      </c>
      <c r="Z85" s="47">
        <v>0</v>
      </c>
    </row>
    <row r="86" spans="1:26" x14ac:dyDescent="0.2">
      <c r="A86" s="52" t="s">
        <v>75</v>
      </c>
      <c r="B86" s="52" t="s">
        <v>35</v>
      </c>
      <c r="D86" s="38">
        <v>0</v>
      </c>
      <c r="E86" s="38">
        <v>0</v>
      </c>
      <c r="F86" s="38">
        <v>0</v>
      </c>
      <c r="H86" s="46">
        <v>0</v>
      </c>
      <c r="I86" s="46">
        <v>0</v>
      </c>
      <c r="J86" s="46">
        <v>0</v>
      </c>
      <c r="L86" s="22" t="s">
        <v>87</v>
      </c>
      <c r="M86" s="22" t="s">
        <v>87</v>
      </c>
      <c r="N86" s="22" t="s">
        <v>87</v>
      </c>
      <c r="P86" s="22" t="s">
        <v>87</v>
      </c>
      <c r="Q86" s="22" t="s">
        <v>87</v>
      </c>
      <c r="R86" s="22" t="s">
        <v>87</v>
      </c>
      <c r="T86" s="38">
        <v>0</v>
      </c>
      <c r="U86" s="38">
        <v>0</v>
      </c>
      <c r="V86" s="38">
        <v>0</v>
      </c>
      <c r="X86" s="46">
        <v>0</v>
      </c>
      <c r="Y86" s="46">
        <v>0</v>
      </c>
      <c r="Z86" s="46">
        <v>0</v>
      </c>
    </row>
    <row r="87" spans="1:26" x14ac:dyDescent="0.2">
      <c r="A87" s="53" t="s">
        <v>76</v>
      </c>
      <c r="B87" s="53" t="s">
        <v>35</v>
      </c>
      <c r="D87" s="39">
        <v>0</v>
      </c>
      <c r="E87" s="39">
        <v>0</v>
      </c>
      <c r="F87" s="39">
        <v>0</v>
      </c>
      <c r="H87" s="47">
        <v>0</v>
      </c>
      <c r="I87" s="47">
        <v>0</v>
      </c>
      <c r="J87" s="47">
        <v>0</v>
      </c>
      <c r="L87" s="22" t="s">
        <v>87</v>
      </c>
      <c r="M87" s="22" t="s">
        <v>87</v>
      </c>
      <c r="N87" s="22" t="s">
        <v>87</v>
      </c>
      <c r="P87" s="22" t="s">
        <v>87</v>
      </c>
      <c r="Q87" s="22" t="s">
        <v>87</v>
      </c>
      <c r="R87" s="22" t="s">
        <v>87</v>
      </c>
      <c r="T87" s="39">
        <v>0</v>
      </c>
      <c r="U87" s="39">
        <v>0</v>
      </c>
      <c r="V87" s="39">
        <v>0</v>
      </c>
      <c r="X87" s="47">
        <v>0</v>
      </c>
      <c r="Y87" s="47">
        <v>0</v>
      </c>
      <c r="Z87" s="47">
        <v>0</v>
      </c>
    </row>
    <row r="88" spans="1:26" x14ac:dyDescent="0.2">
      <c r="A88" s="52" t="s">
        <v>77</v>
      </c>
      <c r="B88" s="52" t="s">
        <v>35</v>
      </c>
      <c r="D88" s="38">
        <v>0</v>
      </c>
      <c r="E88" s="38">
        <v>0</v>
      </c>
      <c r="F88" s="38">
        <v>0</v>
      </c>
      <c r="H88" s="46">
        <v>0</v>
      </c>
      <c r="I88" s="46">
        <v>0</v>
      </c>
      <c r="J88" s="46">
        <v>0</v>
      </c>
      <c r="L88" s="22" t="s">
        <v>87</v>
      </c>
      <c r="M88" s="22" t="s">
        <v>87</v>
      </c>
      <c r="N88" s="22" t="s">
        <v>87</v>
      </c>
      <c r="P88" s="22" t="s">
        <v>87</v>
      </c>
      <c r="Q88" s="22" t="s">
        <v>87</v>
      </c>
      <c r="R88" s="22" t="s">
        <v>87</v>
      </c>
      <c r="T88" s="38">
        <v>0</v>
      </c>
      <c r="U88" s="38">
        <v>0</v>
      </c>
      <c r="V88" s="38">
        <v>0</v>
      </c>
      <c r="X88" s="46">
        <v>0</v>
      </c>
      <c r="Y88" s="46">
        <v>0</v>
      </c>
      <c r="Z88" s="46">
        <v>0</v>
      </c>
    </row>
    <row r="89" spans="1:26" x14ac:dyDescent="0.2">
      <c r="A89" s="39" t="s">
        <v>125</v>
      </c>
      <c r="B89" s="39" t="s">
        <v>35</v>
      </c>
      <c r="D89" s="39">
        <v>0</v>
      </c>
      <c r="E89" s="39">
        <v>0</v>
      </c>
      <c r="F89" s="39">
        <v>0</v>
      </c>
      <c r="H89" s="47">
        <v>0</v>
      </c>
      <c r="I89" s="47">
        <v>0</v>
      </c>
      <c r="J89" s="47">
        <v>0</v>
      </c>
      <c r="L89" s="22" t="s">
        <v>87</v>
      </c>
      <c r="M89" s="22" t="s">
        <v>87</v>
      </c>
      <c r="N89" s="22" t="s">
        <v>87</v>
      </c>
      <c r="P89" s="22" t="s">
        <v>87</v>
      </c>
      <c r="Q89" s="22" t="s">
        <v>87</v>
      </c>
      <c r="R89" s="22" t="s">
        <v>87</v>
      </c>
      <c r="T89" s="39">
        <v>0</v>
      </c>
      <c r="U89" s="39">
        <v>0</v>
      </c>
      <c r="V89" s="39">
        <v>0</v>
      </c>
      <c r="X89" s="47">
        <v>0</v>
      </c>
      <c r="Y89" s="47">
        <v>0</v>
      </c>
      <c r="Z89" s="47">
        <v>0</v>
      </c>
    </row>
    <row r="90" spans="1:26" x14ac:dyDescent="0.2">
      <c r="A90" s="53" t="s">
        <v>81</v>
      </c>
      <c r="B90" s="53" t="s">
        <v>36</v>
      </c>
      <c r="D90" s="39">
        <v>0</v>
      </c>
      <c r="E90" s="39">
        <v>0</v>
      </c>
      <c r="F90" s="39">
        <v>0</v>
      </c>
      <c r="H90" s="47">
        <v>0</v>
      </c>
      <c r="I90" s="47">
        <v>0</v>
      </c>
      <c r="J90" s="47">
        <v>0</v>
      </c>
      <c r="L90" s="22" t="s">
        <v>87</v>
      </c>
      <c r="M90" s="22" t="s">
        <v>87</v>
      </c>
      <c r="N90" s="22" t="s">
        <v>87</v>
      </c>
      <c r="P90" s="22" t="s">
        <v>87</v>
      </c>
      <c r="Q90" s="22" t="s">
        <v>87</v>
      </c>
      <c r="R90" s="22" t="s">
        <v>87</v>
      </c>
      <c r="T90" s="39">
        <v>0</v>
      </c>
      <c r="U90" s="39">
        <v>0</v>
      </c>
      <c r="V90" s="39">
        <v>0</v>
      </c>
      <c r="X90" s="47">
        <v>0</v>
      </c>
      <c r="Y90" s="47">
        <v>0</v>
      </c>
      <c r="Z90" s="47">
        <v>0</v>
      </c>
    </row>
    <row r="91" spans="1:26" x14ac:dyDescent="0.2">
      <c r="A91" s="52" t="s">
        <v>82</v>
      </c>
      <c r="B91" s="52" t="s">
        <v>36</v>
      </c>
      <c r="D91" s="38">
        <v>0</v>
      </c>
      <c r="E91" s="38">
        <v>0</v>
      </c>
      <c r="F91" s="38">
        <v>0</v>
      </c>
      <c r="H91" s="46">
        <v>0</v>
      </c>
      <c r="I91" s="46">
        <v>0</v>
      </c>
      <c r="J91" s="46">
        <v>0</v>
      </c>
      <c r="L91" s="22" t="s">
        <v>87</v>
      </c>
      <c r="M91" s="22" t="s">
        <v>87</v>
      </c>
      <c r="N91" s="22" t="s">
        <v>87</v>
      </c>
      <c r="P91" s="22" t="s">
        <v>87</v>
      </c>
      <c r="Q91" s="22" t="s">
        <v>87</v>
      </c>
      <c r="R91" s="22" t="s">
        <v>87</v>
      </c>
      <c r="T91" s="38">
        <v>0</v>
      </c>
      <c r="U91" s="38">
        <v>0</v>
      </c>
      <c r="V91" s="38">
        <v>0</v>
      </c>
      <c r="X91" s="46">
        <v>0</v>
      </c>
      <c r="Y91" s="46">
        <v>0</v>
      </c>
      <c r="Z91" s="46">
        <v>0</v>
      </c>
    </row>
    <row r="92" spans="1:26" x14ac:dyDescent="0.2">
      <c r="A92" s="53" t="s">
        <v>39</v>
      </c>
      <c r="B92" s="53" t="s">
        <v>36</v>
      </c>
      <c r="D92" s="39">
        <v>0</v>
      </c>
      <c r="E92" s="39">
        <v>0</v>
      </c>
      <c r="F92" s="39">
        <v>0</v>
      </c>
      <c r="H92" s="47">
        <v>0</v>
      </c>
      <c r="I92" s="47">
        <v>0</v>
      </c>
      <c r="J92" s="47">
        <v>0</v>
      </c>
      <c r="L92" s="22" t="s">
        <v>87</v>
      </c>
      <c r="M92" s="22" t="s">
        <v>87</v>
      </c>
      <c r="N92" s="22" t="s">
        <v>87</v>
      </c>
      <c r="P92" s="22" t="s">
        <v>87</v>
      </c>
      <c r="Q92" s="22" t="s">
        <v>87</v>
      </c>
      <c r="R92" s="22" t="s">
        <v>87</v>
      </c>
      <c r="T92" s="39">
        <v>0</v>
      </c>
      <c r="U92" s="39">
        <v>0</v>
      </c>
      <c r="V92" s="39">
        <v>0</v>
      </c>
      <c r="X92" s="47">
        <v>0</v>
      </c>
      <c r="Y92" s="47">
        <v>0</v>
      </c>
      <c r="Z92" s="47">
        <v>0</v>
      </c>
    </row>
    <row r="93" spans="1:26" x14ac:dyDescent="0.2">
      <c r="A93" s="52" t="s">
        <v>40</v>
      </c>
      <c r="B93" s="52" t="s">
        <v>36</v>
      </c>
      <c r="D93" s="38">
        <v>0</v>
      </c>
      <c r="E93" s="38">
        <v>0</v>
      </c>
      <c r="F93" s="38">
        <v>0</v>
      </c>
      <c r="H93" s="46">
        <v>0</v>
      </c>
      <c r="I93" s="46">
        <v>0</v>
      </c>
      <c r="J93" s="46">
        <v>0</v>
      </c>
      <c r="L93" s="22" t="s">
        <v>87</v>
      </c>
      <c r="M93" s="22" t="s">
        <v>87</v>
      </c>
      <c r="N93" s="22" t="s">
        <v>87</v>
      </c>
      <c r="P93" s="22" t="s">
        <v>87</v>
      </c>
      <c r="Q93" s="22" t="s">
        <v>87</v>
      </c>
      <c r="R93" s="22" t="s">
        <v>87</v>
      </c>
      <c r="T93" s="38">
        <v>0</v>
      </c>
      <c r="U93" s="38">
        <v>0</v>
      </c>
      <c r="V93" s="38">
        <v>0</v>
      </c>
      <c r="X93" s="46">
        <v>0</v>
      </c>
      <c r="Y93" s="46">
        <v>0</v>
      </c>
      <c r="Z93" s="46">
        <v>0</v>
      </c>
    </row>
    <row r="94" spans="1:26" x14ac:dyDescent="0.2">
      <c r="A94" s="53" t="s">
        <v>41</v>
      </c>
      <c r="B94" s="53" t="s">
        <v>36</v>
      </c>
      <c r="D94" s="39">
        <v>0</v>
      </c>
      <c r="E94" s="39">
        <v>0</v>
      </c>
      <c r="F94" s="39">
        <v>0</v>
      </c>
      <c r="H94" s="47">
        <v>0</v>
      </c>
      <c r="I94" s="47">
        <v>0</v>
      </c>
      <c r="J94" s="47">
        <v>0</v>
      </c>
      <c r="L94" s="22" t="s">
        <v>87</v>
      </c>
      <c r="M94" s="22" t="s">
        <v>87</v>
      </c>
      <c r="N94" s="22" t="s">
        <v>87</v>
      </c>
      <c r="P94" s="22" t="s">
        <v>87</v>
      </c>
      <c r="Q94" s="22" t="s">
        <v>87</v>
      </c>
      <c r="R94" s="22" t="s">
        <v>87</v>
      </c>
      <c r="T94" s="39">
        <v>0</v>
      </c>
      <c r="U94" s="39">
        <v>0</v>
      </c>
      <c r="V94" s="39">
        <v>0</v>
      </c>
      <c r="X94" s="47">
        <v>0</v>
      </c>
      <c r="Y94" s="47">
        <v>0</v>
      </c>
      <c r="Z94" s="47">
        <v>0</v>
      </c>
    </row>
    <row r="95" spans="1:26" x14ac:dyDescent="0.2">
      <c r="A95" s="52" t="s">
        <v>42</v>
      </c>
      <c r="B95" s="52" t="s">
        <v>36</v>
      </c>
      <c r="D95" s="38">
        <v>0</v>
      </c>
      <c r="E95" s="38">
        <v>0</v>
      </c>
      <c r="F95" s="38">
        <v>0</v>
      </c>
      <c r="H95" s="46">
        <v>0</v>
      </c>
      <c r="I95" s="46">
        <v>0</v>
      </c>
      <c r="J95" s="46">
        <v>0</v>
      </c>
      <c r="L95" s="22" t="s">
        <v>87</v>
      </c>
      <c r="M95" s="22" t="s">
        <v>87</v>
      </c>
      <c r="N95" s="22" t="s">
        <v>87</v>
      </c>
      <c r="P95" s="22" t="s">
        <v>87</v>
      </c>
      <c r="Q95" s="22" t="s">
        <v>87</v>
      </c>
      <c r="R95" s="22" t="s">
        <v>87</v>
      </c>
      <c r="T95" s="38">
        <v>0</v>
      </c>
      <c r="U95" s="38">
        <v>0</v>
      </c>
      <c r="V95" s="38">
        <v>0</v>
      </c>
      <c r="X95" s="46">
        <v>0</v>
      </c>
      <c r="Y95" s="46">
        <v>0</v>
      </c>
      <c r="Z95" s="46">
        <v>0</v>
      </c>
    </row>
    <row r="96" spans="1:26" x14ac:dyDescent="0.2">
      <c r="A96" s="53" t="s">
        <v>43</v>
      </c>
      <c r="B96" s="53" t="s">
        <v>36</v>
      </c>
      <c r="D96" s="39">
        <v>0</v>
      </c>
      <c r="E96" s="39">
        <v>0</v>
      </c>
      <c r="F96" s="39">
        <v>0</v>
      </c>
      <c r="H96" s="47">
        <v>0</v>
      </c>
      <c r="I96" s="47">
        <v>0</v>
      </c>
      <c r="J96" s="47">
        <v>0</v>
      </c>
      <c r="L96" s="22" t="s">
        <v>87</v>
      </c>
      <c r="M96" s="22" t="s">
        <v>87</v>
      </c>
      <c r="N96" s="22" t="s">
        <v>87</v>
      </c>
      <c r="P96" s="22" t="s">
        <v>87</v>
      </c>
      <c r="Q96" s="22" t="s">
        <v>87</v>
      </c>
      <c r="R96" s="22" t="s">
        <v>87</v>
      </c>
      <c r="T96" s="39">
        <v>0</v>
      </c>
      <c r="U96" s="39">
        <v>0</v>
      </c>
      <c r="V96" s="39">
        <v>0</v>
      </c>
      <c r="X96" s="47">
        <v>0</v>
      </c>
      <c r="Y96" s="47">
        <v>0</v>
      </c>
      <c r="Z96" s="47">
        <v>0</v>
      </c>
    </row>
    <row r="97" spans="1:26" x14ac:dyDescent="0.2">
      <c r="A97" s="52" t="s">
        <v>44</v>
      </c>
      <c r="B97" s="52" t="s">
        <v>36</v>
      </c>
      <c r="D97" s="38">
        <v>0</v>
      </c>
      <c r="E97" s="38">
        <v>0</v>
      </c>
      <c r="F97" s="38">
        <v>0</v>
      </c>
      <c r="H97" s="46">
        <v>0</v>
      </c>
      <c r="I97" s="46">
        <v>0</v>
      </c>
      <c r="J97" s="46">
        <v>0</v>
      </c>
      <c r="L97" s="22" t="s">
        <v>87</v>
      </c>
      <c r="M97" s="22" t="s">
        <v>87</v>
      </c>
      <c r="N97" s="22" t="s">
        <v>87</v>
      </c>
      <c r="P97" s="22" t="s">
        <v>87</v>
      </c>
      <c r="Q97" s="22" t="s">
        <v>87</v>
      </c>
      <c r="R97" s="22" t="s">
        <v>87</v>
      </c>
      <c r="T97" s="38">
        <v>0</v>
      </c>
      <c r="U97" s="38">
        <v>0</v>
      </c>
      <c r="V97" s="38">
        <v>0</v>
      </c>
      <c r="X97" s="46">
        <v>0</v>
      </c>
      <c r="Y97" s="46">
        <v>0</v>
      </c>
      <c r="Z97" s="46">
        <v>0</v>
      </c>
    </row>
    <row r="98" spans="1:26" x14ac:dyDescent="0.2">
      <c r="A98" s="53" t="s">
        <v>45</v>
      </c>
      <c r="B98" s="53" t="s">
        <v>36</v>
      </c>
      <c r="D98" s="39">
        <v>0</v>
      </c>
      <c r="E98" s="39">
        <v>0</v>
      </c>
      <c r="F98" s="39">
        <v>0</v>
      </c>
      <c r="H98" s="47">
        <v>0</v>
      </c>
      <c r="I98" s="47">
        <v>0</v>
      </c>
      <c r="J98" s="47">
        <v>0</v>
      </c>
      <c r="L98" s="22" t="s">
        <v>87</v>
      </c>
      <c r="M98" s="22" t="s">
        <v>87</v>
      </c>
      <c r="N98" s="22" t="s">
        <v>87</v>
      </c>
      <c r="P98" s="22" t="s">
        <v>87</v>
      </c>
      <c r="Q98" s="22" t="s">
        <v>87</v>
      </c>
      <c r="R98" s="22" t="s">
        <v>87</v>
      </c>
      <c r="T98" s="39">
        <v>0</v>
      </c>
      <c r="U98" s="39">
        <v>0</v>
      </c>
      <c r="V98" s="39">
        <v>0</v>
      </c>
      <c r="X98" s="47">
        <v>0</v>
      </c>
      <c r="Y98" s="47">
        <v>0</v>
      </c>
      <c r="Z98" s="47">
        <v>0</v>
      </c>
    </row>
    <row r="99" spans="1:26" x14ac:dyDescent="0.2">
      <c r="A99" s="52" t="s">
        <v>46</v>
      </c>
      <c r="B99" s="52" t="s">
        <v>36</v>
      </c>
      <c r="D99" s="38">
        <v>0</v>
      </c>
      <c r="E99" s="38">
        <v>0</v>
      </c>
      <c r="F99" s="38">
        <v>0</v>
      </c>
      <c r="H99" s="46">
        <v>0</v>
      </c>
      <c r="I99" s="46">
        <v>0</v>
      </c>
      <c r="J99" s="46">
        <v>0</v>
      </c>
      <c r="L99" s="22" t="s">
        <v>87</v>
      </c>
      <c r="M99" s="22" t="s">
        <v>87</v>
      </c>
      <c r="N99" s="22" t="s">
        <v>87</v>
      </c>
      <c r="P99" s="22" t="s">
        <v>87</v>
      </c>
      <c r="Q99" s="22" t="s">
        <v>87</v>
      </c>
      <c r="R99" s="22" t="s">
        <v>87</v>
      </c>
      <c r="T99" s="38">
        <v>0</v>
      </c>
      <c r="U99" s="38">
        <v>0</v>
      </c>
      <c r="V99" s="38">
        <v>0</v>
      </c>
      <c r="X99" s="46">
        <v>0</v>
      </c>
      <c r="Y99" s="46">
        <v>0</v>
      </c>
      <c r="Z99" s="46">
        <v>0</v>
      </c>
    </row>
    <row r="100" spans="1:26" x14ac:dyDescent="0.2">
      <c r="A100" s="53" t="s">
        <v>47</v>
      </c>
      <c r="B100" s="53" t="s">
        <v>36</v>
      </c>
      <c r="D100" s="39">
        <v>0</v>
      </c>
      <c r="E100" s="39">
        <v>0</v>
      </c>
      <c r="F100" s="39">
        <v>0</v>
      </c>
      <c r="H100" s="47">
        <v>0</v>
      </c>
      <c r="I100" s="47">
        <v>0</v>
      </c>
      <c r="J100" s="47">
        <v>0</v>
      </c>
      <c r="L100" s="22" t="s">
        <v>87</v>
      </c>
      <c r="M100" s="22" t="s">
        <v>87</v>
      </c>
      <c r="N100" s="22" t="s">
        <v>87</v>
      </c>
      <c r="P100" s="22" t="s">
        <v>87</v>
      </c>
      <c r="Q100" s="22" t="s">
        <v>87</v>
      </c>
      <c r="R100" s="22" t="s">
        <v>87</v>
      </c>
      <c r="T100" s="39">
        <v>0</v>
      </c>
      <c r="U100" s="39">
        <v>0</v>
      </c>
      <c r="V100" s="39">
        <v>0</v>
      </c>
      <c r="X100" s="47">
        <v>0</v>
      </c>
      <c r="Y100" s="47">
        <v>0</v>
      </c>
      <c r="Z100" s="47">
        <v>0</v>
      </c>
    </row>
    <row r="101" spans="1:26" x14ac:dyDescent="0.2">
      <c r="A101" s="52" t="s">
        <v>48</v>
      </c>
      <c r="B101" s="52" t="s">
        <v>36</v>
      </c>
      <c r="D101" s="38">
        <v>0</v>
      </c>
      <c r="E101" s="38">
        <v>0</v>
      </c>
      <c r="F101" s="38">
        <v>-2</v>
      </c>
      <c r="H101" s="46">
        <v>0</v>
      </c>
      <c r="I101" s="46">
        <v>0</v>
      </c>
      <c r="J101" s="46">
        <v>-30</v>
      </c>
      <c r="L101" s="22" t="s">
        <v>87</v>
      </c>
      <c r="M101" s="22" t="s">
        <v>87</v>
      </c>
      <c r="N101" s="22" t="s">
        <v>87</v>
      </c>
      <c r="P101" s="22" t="s">
        <v>87</v>
      </c>
      <c r="Q101" s="22" t="s">
        <v>87</v>
      </c>
      <c r="R101" s="22" t="s">
        <v>87</v>
      </c>
      <c r="T101" s="38">
        <v>0</v>
      </c>
      <c r="U101" s="38">
        <v>0</v>
      </c>
      <c r="V101" s="38">
        <v>0</v>
      </c>
      <c r="X101" s="46">
        <v>0</v>
      </c>
      <c r="Y101" s="46">
        <v>0</v>
      </c>
      <c r="Z101" s="46">
        <v>0</v>
      </c>
    </row>
    <row r="102" spans="1:26" x14ac:dyDescent="0.2">
      <c r="A102" s="53" t="s">
        <v>49</v>
      </c>
      <c r="B102" s="53" t="s">
        <v>36</v>
      </c>
      <c r="D102" s="39">
        <v>0</v>
      </c>
      <c r="E102" s="39">
        <v>0</v>
      </c>
      <c r="F102" s="39">
        <v>0</v>
      </c>
      <c r="H102" s="47">
        <v>0</v>
      </c>
      <c r="I102" s="47">
        <v>0</v>
      </c>
      <c r="J102" s="47">
        <v>0</v>
      </c>
      <c r="L102" s="22" t="s">
        <v>87</v>
      </c>
      <c r="M102" s="22" t="s">
        <v>87</v>
      </c>
      <c r="N102" s="22" t="s">
        <v>87</v>
      </c>
      <c r="P102" s="22" t="s">
        <v>87</v>
      </c>
      <c r="Q102" s="22" t="s">
        <v>87</v>
      </c>
      <c r="R102" s="22" t="s">
        <v>87</v>
      </c>
      <c r="T102" s="39">
        <v>0</v>
      </c>
      <c r="U102" s="39">
        <v>0</v>
      </c>
      <c r="V102" s="39">
        <v>0</v>
      </c>
      <c r="X102" s="47">
        <v>0</v>
      </c>
      <c r="Y102" s="47">
        <v>0</v>
      </c>
      <c r="Z102" s="47">
        <v>0</v>
      </c>
    </row>
    <row r="103" spans="1:26" x14ac:dyDescent="0.2">
      <c r="A103" s="52" t="s">
        <v>50</v>
      </c>
      <c r="B103" s="52" t="s">
        <v>36</v>
      </c>
      <c r="D103" s="38">
        <v>0</v>
      </c>
      <c r="E103" s="38">
        <v>0</v>
      </c>
      <c r="F103" s="38">
        <v>0</v>
      </c>
      <c r="H103" s="46">
        <v>0</v>
      </c>
      <c r="I103" s="46">
        <v>0</v>
      </c>
      <c r="J103" s="46">
        <v>0</v>
      </c>
      <c r="L103" s="22" t="s">
        <v>87</v>
      </c>
      <c r="M103" s="22" t="s">
        <v>87</v>
      </c>
      <c r="N103" s="22" t="s">
        <v>87</v>
      </c>
      <c r="P103" s="22" t="s">
        <v>87</v>
      </c>
      <c r="Q103" s="22" t="s">
        <v>87</v>
      </c>
      <c r="R103" s="22" t="s">
        <v>87</v>
      </c>
      <c r="T103" s="38">
        <v>0</v>
      </c>
      <c r="U103" s="38">
        <v>0</v>
      </c>
      <c r="V103" s="38">
        <v>0</v>
      </c>
      <c r="X103" s="46">
        <v>0</v>
      </c>
      <c r="Y103" s="46">
        <v>0</v>
      </c>
      <c r="Z103" s="46">
        <v>0</v>
      </c>
    </row>
    <row r="104" spans="1:26" x14ac:dyDescent="0.2">
      <c r="A104" s="53" t="s">
        <v>51</v>
      </c>
      <c r="B104" s="53" t="s">
        <v>36</v>
      </c>
      <c r="D104" s="39">
        <v>0</v>
      </c>
      <c r="E104" s="39">
        <v>0</v>
      </c>
      <c r="F104" s="39">
        <v>0</v>
      </c>
      <c r="H104" s="47">
        <v>0</v>
      </c>
      <c r="I104" s="47">
        <v>0</v>
      </c>
      <c r="J104" s="47">
        <v>0</v>
      </c>
      <c r="L104" s="22" t="s">
        <v>87</v>
      </c>
      <c r="M104" s="22" t="s">
        <v>87</v>
      </c>
      <c r="N104" s="22" t="s">
        <v>87</v>
      </c>
      <c r="P104" s="22" t="s">
        <v>87</v>
      </c>
      <c r="Q104" s="22" t="s">
        <v>87</v>
      </c>
      <c r="R104" s="22" t="s">
        <v>87</v>
      </c>
      <c r="T104" s="39">
        <v>0</v>
      </c>
      <c r="U104" s="39">
        <v>0</v>
      </c>
      <c r="V104" s="39">
        <v>0</v>
      </c>
      <c r="X104" s="47">
        <v>0</v>
      </c>
      <c r="Y104" s="47">
        <v>0</v>
      </c>
      <c r="Z104" s="47">
        <v>0</v>
      </c>
    </row>
    <row r="105" spans="1:26" x14ac:dyDescent="0.2">
      <c r="A105" s="52" t="s">
        <v>52</v>
      </c>
      <c r="B105" s="52" t="s">
        <v>36</v>
      </c>
      <c r="D105" s="38">
        <v>0</v>
      </c>
      <c r="E105" s="38">
        <v>0</v>
      </c>
      <c r="F105" s="38">
        <v>0</v>
      </c>
      <c r="H105" s="46">
        <v>0</v>
      </c>
      <c r="I105" s="46">
        <v>0</v>
      </c>
      <c r="J105" s="46">
        <v>0</v>
      </c>
      <c r="L105" s="22" t="s">
        <v>87</v>
      </c>
      <c r="M105" s="22" t="s">
        <v>87</v>
      </c>
      <c r="N105" s="22" t="s">
        <v>87</v>
      </c>
      <c r="P105" s="22" t="s">
        <v>87</v>
      </c>
      <c r="Q105" s="22" t="s">
        <v>87</v>
      </c>
      <c r="R105" s="22" t="s">
        <v>87</v>
      </c>
      <c r="T105" s="38">
        <v>0</v>
      </c>
      <c r="U105" s="38">
        <v>0</v>
      </c>
      <c r="V105" s="38">
        <v>0</v>
      </c>
      <c r="X105" s="46">
        <v>0</v>
      </c>
      <c r="Y105" s="46">
        <v>0</v>
      </c>
      <c r="Z105" s="46">
        <v>0</v>
      </c>
    </row>
    <row r="106" spans="1:26" x14ac:dyDescent="0.2">
      <c r="A106" s="53" t="s">
        <v>53</v>
      </c>
      <c r="B106" s="53" t="s">
        <v>36</v>
      </c>
      <c r="D106" s="39">
        <v>0</v>
      </c>
      <c r="E106" s="39">
        <v>0</v>
      </c>
      <c r="F106" s="39">
        <v>0</v>
      </c>
      <c r="H106" s="47">
        <v>0</v>
      </c>
      <c r="I106" s="47">
        <v>0</v>
      </c>
      <c r="J106" s="47">
        <v>0</v>
      </c>
      <c r="L106" s="22" t="s">
        <v>87</v>
      </c>
      <c r="M106" s="22" t="s">
        <v>87</v>
      </c>
      <c r="N106" s="22" t="s">
        <v>87</v>
      </c>
      <c r="P106" s="22" t="s">
        <v>87</v>
      </c>
      <c r="Q106" s="22" t="s">
        <v>87</v>
      </c>
      <c r="R106" s="22" t="s">
        <v>87</v>
      </c>
      <c r="T106" s="39">
        <v>0</v>
      </c>
      <c r="U106" s="39">
        <v>0</v>
      </c>
      <c r="V106" s="39">
        <v>0</v>
      </c>
      <c r="X106" s="47">
        <v>0</v>
      </c>
      <c r="Y106" s="47">
        <v>0</v>
      </c>
      <c r="Z106" s="47">
        <v>0</v>
      </c>
    </row>
    <row r="107" spans="1:26" x14ac:dyDescent="0.2">
      <c r="A107" s="52" t="s">
        <v>54</v>
      </c>
      <c r="B107" s="52" t="s">
        <v>36</v>
      </c>
      <c r="D107" s="38">
        <v>0</v>
      </c>
      <c r="E107" s="38">
        <v>0</v>
      </c>
      <c r="F107" s="38">
        <v>0</v>
      </c>
      <c r="H107" s="46">
        <v>0</v>
      </c>
      <c r="I107" s="46">
        <v>0</v>
      </c>
      <c r="J107" s="46">
        <v>0</v>
      </c>
      <c r="L107" s="22" t="s">
        <v>87</v>
      </c>
      <c r="M107" s="22" t="s">
        <v>87</v>
      </c>
      <c r="N107" s="22" t="s">
        <v>87</v>
      </c>
      <c r="P107" s="22" t="s">
        <v>87</v>
      </c>
      <c r="Q107" s="22" t="s">
        <v>87</v>
      </c>
      <c r="R107" s="22" t="s">
        <v>87</v>
      </c>
      <c r="T107" s="38">
        <v>0</v>
      </c>
      <c r="U107" s="38">
        <v>0</v>
      </c>
      <c r="V107" s="38">
        <v>0</v>
      </c>
      <c r="X107" s="46">
        <v>0</v>
      </c>
      <c r="Y107" s="46">
        <v>0</v>
      </c>
      <c r="Z107" s="46">
        <v>0</v>
      </c>
    </row>
    <row r="108" spans="1:26" x14ac:dyDescent="0.2">
      <c r="A108" s="53" t="s">
        <v>55</v>
      </c>
      <c r="B108" s="53" t="s">
        <v>36</v>
      </c>
      <c r="D108" s="39">
        <v>0</v>
      </c>
      <c r="E108" s="39">
        <v>0</v>
      </c>
      <c r="F108" s="39">
        <v>0</v>
      </c>
      <c r="H108" s="47">
        <v>0</v>
      </c>
      <c r="I108" s="47">
        <v>0</v>
      </c>
      <c r="J108" s="47">
        <v>0</v>
      </c>
      <c r="L108" s="22" t="s">
        <v>87</v>
      </c>
      <c r="M108" s="22" t="s">
        <v>87</v>
      </c>
      <c r="N108" s="22" t="s">
        <v>87</v>
      </c>
      <c r="P108" s="22" t="s">
        <v>87</v>
      </c>
      <c r="Q108" s="22" t="s">
        <v>87</v>
      </c>
      <c r="R108" s="22" t="s">
        <v>87</v>
      </c>
      <c r="T108" s="39">
        <v>0</v>
      </c>
      <c r="U108" s="39">
        <v>0</v>
      </c>
      <c r="V108" s="39">
        <v>0</v>
      </c>
      <c r="X108" s="47">
        <v>0</v>
      </c>
      <c r="Y108" s="47">
        <v>0</v>
      </c>
      <c r="Z108" s="47">
        <v>0</v>
      </c>
    </row>
    <row r="109" spans="1:26" x14ac:dyDescent="0.2">
      <c r="A109" s="52" t="s">
        <v>56</v>
      </c>
      <c r="B109" s="52" t="s">
        <v>36</v>
      </c>
      <c r="D109" s="38">
        <v>0</v>
      </c>
      <c r="E109" s="38">
        <v>0</v>
      </c>
      <c r="F109" s="38">
        <v>0</v>
      </c>
      <c r="H109" s="46">
        <v>0</v>
      </c>
      <c r="I109" s="46">
        <v>0</v>
      </c>
      <c r="J109" s="46">
        <v>0</v>
      </c>
      <c r="L109" s="22" t="s">
        <v>87</v>
      </c>
      <c r="M109" s="22" t="s">
        <v>87</v>
      </c>
      <c r="N109" s="22" t="s">
        <v>87</v>
      </c>
      <c r="P109" s="22" t="s">
        <v>87</v>
      </c>
      <c r="Q109" s="22" t="s">
        <v>87</v>
      </c>
      <c r="R109" s="22" t="s">
        <v>87</v>
      </c>
      <c r="T109" s="38">
        <v>0</v>
      </c>
      <c r="U109" s="38">
        <v>0</v>
      </c>
      <c r="V109" s="38">
        <v>0</v>
      </c>
      <c r="X109" s="46">
        <v>0</v>
      </c>
      <c r="Y109" s="46">
        <v>0</v>
      </c>
      <c r="Z109" s="46">
        <v>0</v>
      </c>
    </row>
    <row r="110" spans="1:26" x14ac:dyDescent="0.2">
      <c r="A110" s="53" t="s">
        <v>57</v>
      </c>
      <c r="B110" s="53" t="s">
        <v>36</v>
      </c>
      <c r="D110" s="39">
        <v>0</v>
      </c>
      <c r="E110" s="39">
        <v>0</v>
      </c>
      <c r="F110" s="39">
        <v>0</v>
      </c>
      <c r="H110" s="47">
        <v>0</v>
      </c>
      <c r="I110" s="47">
        <v>0</v>
      </c>
      <c r="J110" s="47">
        <v>0</v>
      </c>
      <c r="L110" s="22" t="s">
        <v>87</v>
      </c>
      <c r="M110" s="22" t="s">
        <v>87</v>
      </c>
      <c r="N110" s="22" t="s">
        <v>87</v>
      </c>
      <c r="P110" s="22" t="s">
        <v>87</v>
      </c>
      <c r="Q110" s="22" t="s">
        <v>87</v>
      </c>
      <c r="R110" s="22" t="s">
        <v>87</v>
      </c>
      <c r="T110" s="39">
        <v>0</v>
      </c>
      <c r="U110" s="39">
        <v>0</v>
      </c>
      <c r="V110" s="39">
        <v>0</v>
      </c>
      <c r="X110" s="47">
        <v>0</v>
      </c>
      <c r="Y110" s="47">
        <v>0</v>
      </c>
      <c r="Z110" s="47">
        <v>0</v>
      </c>
    </row>
    <row r="111" spans="1:26" x14ac:dyDescent="0.2">
      <c r="A111" s="52" t="s">
        <v>58</v>
      </c>
      <c r="B111" s="52" t="s">
        <v>36</v>
      </c>
      <c r="D111" s="38">
        <v>0</v>
      </c>
      <c r="E111" s="38">
        <v>0</v>
      </c>
      <c r="F111" s="38">
        <v>0</v>
      </c>
      <c r="H111" s="46">
        <v>0</v>
      </c>
      <c r="I111" s="46">
        <v>0</v>
      </c>
      <c r="J111" s="46">
        <v>0</v>
      </c>
      <c r="L111" s="22" t="s">
        <v>87</v>
      </c>
      <c r="M111" s="22" t="s">
        <v>87</v>
      </c>
      <c r="N111" s="22" t="s">
        <v>87</v>
      </c>
      <c r="P111" s="22" t="s">
        <v>87</v>
      </c>
      <c r="Q111" s="22" t="s">
        <v>87</v>
      </c>
      <c r="R111" s="22" t="s">
        <v>87</v>
      </c>
      <c r="T111" s="38">
        <v>0</v>
      </c>
      <c r="U111" s="38">
        <v>0</v>
      </c>
      <c r="V111" s="38">
        <v>0</v>
      </c>
      <c r="X111" s="46">
        <v>0</v>
      </c>
      <c r="Y111" s="46">
        <v>0</v>
      </c>
      <c r="Z111" s="46">
        <v>0</v>
      </c>
    </row>
    <row r="112" spans="1:26" x14ac:dyDescent="0.2">
      <c r="A112" s="53" t="s">
        <v>59</v>
      </c>
      <c r="B112" s="53" t="s">
        <v>36</v>
      </c>
      <c r="D112" s="39">
        <v>0</v>
      </c>
      <c r="E112" s="39">
        <v>0</v>
      </c>
      <c r="F112" s="39">
        <v>0</v>
      </c>
      <c r="H112" s="47">
        <v>0</v>
      </c>
      <c r="I112" s="47">
        <v>0</v>
      </c>
      <c r="J112" s="47">
        <v>0</v>
      </c>
      <c r="L112" s="22" t="s">
        <v>87</v>
      </c>
      <c r="M112" s="22" t="s">
        <v>87</v>
      </c>
      <c r="N112" s="22" t="s">
        <v>87</v>
      </c>
      <c r="P112" s="22" t="s">
        <v>87</v>
      </c>
      <c r="Q112" s="22" t="s">
        <v>87</v>
      </c>
      <c r="R112" s="22" t="s">
        <v>87</v>
      </c>
      <c r="T112" s="39">
        <v>0</v>
      </c>
      <c r="U112" s="39">
        <v>0</v>
      </c>
      <c r="V112" s="39">
        <v>0</v>
      </c>
      <c r="X112" s="47">
        <v>0</v>
      </c>
      <c r="Y112" s="47">
        <v>0</v>
      </c>
      <c r="Z112" s="47">
        <v>0</v>
      </c>
    </row>
    <row r="113" spans="1:26" x14ac:dyDescent="0.2">
      <c r="A113" s="52" t="s">
        <v>60</v>
      </c>
      <c r="B113" s="52" t="s">
        <v>36</v>
      </c>
      <c r="D113" s="38">
        <v>0</v>
      </c>
      <c r="E113" s="38">
        <v>0</v>
      </c>
      <c r="F113" s="38">
        <v>0</v>
      </c>
      <c r="H113" s="46">
        <v>0</v>
      </c>
      <c r="I113" s="46">
        <v>0</v>
      </c>
      <c r="J113" s="46">
        <v>0</v>
      </c>
      <c r="L113" s="22" t="s">
        <v>87</v>
      </c>
      <c r="M113" s="22" t="s">
        <v>87</v>
      </c>
      <c r="N113" s="22" t="s">
        <v>87</v>
      </c>
      <c r="P113" s="22" t="s">
        <v>87</v>
      </c>
      <c r="Q113" s="22" t="s">
        <v>87</v>
      </c>
      <c r="R113" s="22" t="s">
        <v>87</v>
      </c>
      <c r="T113" s="38">
        <v>0</v>
      </c>
      <c r="U113" s="38">
        <v>0</v>
      </c>
      <c r="V113" s="38">
        <v>0</v>
      </c>
      <c r="X113" s="46">
        <v>0</v>
      </c>
      <c r="Y113" s="46">
        <v>0</v>
      </c>
      <c r="Z113" s="46">
        <v>0</v>
      </c>
    </row>
    <row r="114" spans="1:26" x14ac:dyDescent="0.2">
      <c r="A114" s="53" t="s">
        <v>61</v>
      </c>
      <c r="B114" s="53" t="s">
        <v>36</v>
      </c>
      <c r="D114" s="39">
        <v>0</v>
      </c>
      <c r="E114" s="39">
        <v>0</v>
      </c>
      <c r="F114" s="39">
        <v>0</v>
      </c>
      <c r="H114" s="47">
        <v>0</v>
      </c>
      <c r="I114" s="47">
        <v>0</v>
      </c>
      <c r="J114" s="47">
        <v>0</v>
      </c>
      <c r="L114" s="22" t="s">
        <v>87</v>
      </c>
      <c r="M114" s="22" t="s">
        <v>87</v>
      </c>
      <c r="N114" s="22" t="s">
        <v>87</v>
      </c>
      <c r="P114" s="22" t="s">
        <v>87</v>
      </c>
      <c r="Q114" s="22" t="s">
        <v>87</v>
      </c>
      <c r="R114" s="22" t="s">
        <v>87</v>
      </c>
      <c r="T114" s="39">
        <v>0</v>
      </c>
      <c r="U114" s="39">
        <v>0</v>
      </c>
      <c r="V114" s="39">
        <v>0</v>
      </c>
      <c r="X114" s="47">
        <v>0</v>
      </c>
      <c r="Y114" s="47">
        <v>0</v>
      </c>
      <c r="Z114" s="47">
        <v>0</v>
      </c>
    </row>
    <row r="115" spans="1:26" x14ac:dyDescent="0.2">
      <c r="A115" s="52" t="s">
        <v>62</v>
      </c>
      <c r="B115" s="52" t="s">
        <v>36</v>
      </c>
      <c r="D115" s="38">
        <v>0</v>
      </c>
      <c r="E115" s="38">
        <v>0</v>
      </c>
      <c r="F115" s="38">
        <v>0</v>
      </c>
      <c r="H115" s="46">
        <v>0</v>
      </c>
      <c r="I115" s="46">
        <v>0</v>
      </c>
      <c r="J115" s="46">
        <v>0</v>
      </c>
      <c r="L115" s="22" t="s">
        <v>87</v>
      </c>
      <c r="M115" s="22" t="s">
        <v>87</v>
      </c>
      <c r="N115" s="22" t="s">
        <v>87</v>
      </c>
      <c r="P115" s="22" t="s">
        <v>87</v>
      </c>
      <c r="Q115" s="22" t="s">
        <v>87</v>
      </c>
      <c r="R115" s="22" t="s">
        <v>87</v>
      </c>
      <c r="T115" s="38">
        <v>0</v>
      </c>
      <c r="U115" s="38">
        <v>0</v>
      </c>
      <c r="V115" s="38">
        <v>0</v>
      </c>
      <c r="X115" s="46">
        <v>0</v>
      </c>
      <c r="Y115" s="46">
        <v>0</v>
      </c>
      <c r="Z115" s="46">
        <v>0</v>
      </c>
    </row>
    <row r="116" spans="1:26" x14ac:dyDescent="0.2">
      <c r="A116" s="53" t="s">
        <v>63</v>
      </c>
      <c r="B116" s="53" t="s">
        <v>36</v>
      </c>
      <c r="D116" s="39">
        <v>0</v>
      </c>
      <c r="E116" s="39">
        <v>0</v>
      </c>
      <c r="F116" s="39">
        <v>0</v>
      </c>
      <c r="H116" s="47">
        <v>0</v>
      </c>
      <c r="I116" s="47">
        <v>0</v>
      </c>
      <c r="J116" s="47">
        <v>0</v>
      </c>
      <c r="L116" s="22" t="s">
        <v>87</v>
      </c>
      <c r="M116" s="22" t="s">
        <v>87</v>
      </c>
      <c r="N116" s="22" t="s">
        <v>87</v>
      </c>
      <c r="P116" s="22" t="s">
        <v>87</v>
      </c>
      <c r="Q116" s="22" t="s">
        <v>87</v>
      </c>
      <c r="R116" s="22" t="s">
        <v>87</v>
      </c>
      <c r="T116" s="39">
        <v>0</v>
      </c>
      <c r="U116" s="39">
        <v>0</v>
      </c>
      <c r="V116" s="39">
        <v>0</v>
      </c>
      <c r="X116" s="47">
        <v>0</v>
      </c>
      <c r="Y116" s="47">
        <v>0</v>
      </c>
      <c r="Z116" s="47">
        <v>0</v>
      </c>
    </row>
    <row r="117" spans="1:26" x14ac:dyDescent="0.2">
      <c r="A117" s="52" t="s">
        <v>64</v>
      </c>
      <c r="B117" s="52" t="s">
        <v>36</v>
      </c>
      <c r="D117" s="38">
        <v>0</v>
      </c>
      <c r="E117" s="38">
        <v>0</v>
      </c>
      <c r="F117" s="38">
        <v>0</v>
      </c>
      <c r="H117" s="46">
        <v>0</v>
      </c>
      <c r="I117" s="46">
        <v>0</v>
      </c>
      <c r="J117" s="46">
        <v>0</v>
      </c>
      <c r="L117" s="22" t="s">
        <v>87</v>
      </c>
      <c r="M117" s="22" t="s">
        <v>87</v>
      </c>
      <c r="N117" s="22" t="s">
        <v>87</v>
      </c>
      <c r="P117" s="22" t="s">
        <v>87</v>
      </c>
      <c r="Q117" s="22" t="s">
        <v>87</v>
      </c>
      <c r="R117" s="22" t="s">
        <v>87</v>
      </c>
      <c r="T117" s="38">
        <v>0</v>
      </c>
      <c r="U117" s="38">
        <v>0</v>
      </c>
      <c r="V117" s="38">
        <v>0</v>
      </c>
      <c r="X117" s="46">
        <v>0</v>
      </c>
      <c r="Y117" s="46">
        <v>0</v>
      </c>
      <c r="Z117" s="46">
        <v>0</v>
      </c>
    </row>
    <row r="118" spans="1:26" x14ac:dyDescent="0.2">
      <c r="A118" s="53" t="s">
        <v>65</v>
      </c>
      <c r="B118" s="53" t="s">
        <v>36</v>
      </c>
      <c r="D118" s="39">
        <v>0</v>
      </c>
      <c r="E118" s="39">
        <v>0</v>
      </c>
      <c r="F118" s="39">
        <v>0</v>
      </c>
      <c r="H118" s="47">
        <v>0</v>
      </c>
      <c r="I118" s="47">
        <v>0</v>
      </c>
      <c r="J118" s="47">
        <v>0</v>
      </c>
      <c r="L118" s="22" t="s">
        <v>87</v>
      </c>
      <c r="M118" s="22" t="s">
        <v>87</v>
      </c>
      <c r="N118" s="22" t="s">
        <v>87</v>
      </c>
      <c r="P118" s="22" t="s">
        <v>87</v>
      </c>
      <c r="Q118" s="22" t="s">
        <v>87</v>
      </c>
      <c r="R118" s="22" t="s">
        <v>87</v>
      </c>
      <c r="T118" s="39">
        <v>0</v>
      </c>
      <c r="U118" s="39">
        <v>0</v>
      </c>
      <c r="V118" s="39">
        <v>0</v>
      </c>
      <c r="X118" s="47">
        <v>0</v>
      </c>
      <c r="Y118" s="47">
        <v>0</v>
      </c>
      <c r="Z118" s="47">
        <v>0</v>
      </c>
    </row>
    <row r="119" spans="1:26" x14ac:dyDescent="0.2">
      <c r="A119" s="52" t="s">
        <v>66</v>
      </c>
      <c r="B119" s="52" t="s">
        <v>36</v>
      </c>
      <c r="D119" s="38">
        <v>0</v>
      </c>
      <c r="E119" s="38">
        <v>0</v>
      </c>
      <c r="F119" s="38">
        <v>0</v>
      </c>
      <c r="H119" s="46">
        <v>0</v>
      </c>
      <c r="I119" s="46">
        <v>0</v>
      </c>
      <c r="J119" s="46">
        <v>0</v>
      </c>
      <c r="L119" s="22" t="s">
        <v>87</v>
      </c>
      <c r="M119" s="22" t="s">
        <v>87</v>
      </c>
      <c r="N119" s="22" t="s">
        <v>87</v>
      </c>
      <c r="P119" s="22" t="s">
        <v>87</v>
      </c>
      <c r="Q119" s="22" t="s">
        <v>87</v>
      </c>
      <c r="R119" s="22" t="s">
        <v>87</v>
      </c>
      <c r="T119" s="38">
        <v>0</v>
      </c>
      <c r="U119" s="38">
        <v>0</v>
      </c>
      <c r="V119" s="38">
        <v>0</v>
      </c>
      <c r="X119" s="46">
        <v>0</v>
      </c>
      <c r="Y119" s="46">
        <v>0</v>
      </c>
      <c r="Z119" s="46">
        <v>0</v>
      </c>
    </row>
    <row r="120" spans="1:26" x14ac:dyDescent="0.2">
      <c r="A120" s="53" t="s">
        <v>67</v>
      </c>
      <c r="B120" s="53" t="s">
        <v>36</v>
      </c>
      <c r="D120" s="39">
        <v>0</v>
      </c>
      <c r="E120" s="39">
        <v>0</v>
      </c>
      <c r="F120" s="39">
        <v>0</v>
      </c>
      <c r="H120" s="47">
        <v>0</v>
      </c>
      <c r="I120" s="47">
        <v>0</v>
      </c>
      <c r="J120" s="47">
        <v>0</v>
      </c>
      <c r="L120" s="22" t="s">
        <v>87</v>
      </c>
      <c r="M120" s="22" t="s">
        <v>87</v>
      </c>
      <c r="N120" s="22" t="s">
        <v>87</v>
      </c>
      <c r="P120" s="22" t="s">
        <v>87</v>
      </c>
      <c r="Q120" s="22" t="s">
        <v>87</v>
      </c>
      <c r="R120" s="22" t="s">
        <v>87</v>
      </c>
      <c r="T120" s="39">
        <v>0</v>
      </c>
      <c r="U120" s="39">
        <v>0</v>
      </c>
      <c r="V120" s="39">
        <v>0</v>
      </c>
      <c r="X120" s="47">
        <v>0</v>
      </c>
      <c r="Y120" s="47">
        <v>0</v>
      </c>
      <c r="Z120" s="47">
        <v>0</v>
      </c>
    </row>
    <row r="121" spans="1:26" x14ac:dyDescent="0.2">
      <c r="A121" s="52" t="s">
        <v>68</v>
      </c>
      <c r="B121" s="52" t="s">
        <v>36</v>
      </c>
      <c r="D121" s="38">
        <v>0</v>
      </c>
      <c r="E121" s="38">
        <v>0</v>
      </c>
      <c r="F121" s="38">
        <v>0</v>
      </c>
      <c r="H121" s="46">
        <v>0</v>
      </c>
      <c r="I121" s="46">
        <v>0</v>
      </c>
      <c r="J121" s="46">
        <v>0</v>
      </c>
      <c r="L121" s="22" t="s">
        <v>87</v>
      </c>
      <c r="M121" s="22" t="s">
        <v>87</v>
      </c>
      <c r="N121" s="22" t="s">
        <v>87</v>
      </c>
      <c r="P121" s="22" t="s">
        <v>87</v>
      </c>
      <c r="Q121" s="22" t="s">
        <v>87</v>
      </c>
      <c r="R121" s="22" t="s">
        <v>87</v>
      </c>
      <c r="T121" s="38">
        <v>0</v>
      </c>
      <c r="U121" s="38">
        <v>0</v>
      </c>
      <c r="V121" s="38">
        <v>0</v>
      </c>
      <c r="X121" s="46">
        <v>0</v>
      </c>
      <c r="Y121" s="46">
        <v>0</v>
      </c>
      <c r="Z121" s="46">
        <v>0</v>
      </c>
    </row>
    <row r="122" spans="1:26" x14ac:dyDescent="0.2">
      <c r="A122" s="53" t="s">
        <v>69</v>
      </c>
      <c r="B122" s="53" t="s">
        <v>36</v>
      </c>
      <c r="D122" s="39">
        <v>0</v>
      </c>
      <c r="E122" s="39">
        <v>0</v>
      </c>
      <c r="F122" s="39">
        <v>0</v>
      </c>
      <c r="H122" s="47">
        <v>0</v>
      </c>
      <c r="I122" s="47">
        <v>0</v>
      </c>
      <c r="J122" s="47">
        <v>0</v>
      </c>
      <c r="L122" s="22" t="s">
        <v>87</v>
      </c>
      <c r="M122" s="22" t="s">
        <v>87</v>
      </c>
      <c r="N122" s="22" t="s">
        <v>87</v>
      </c>
      <c r="P122" s="22" t="s">
        <v>87</v>
      </c>
      <c r="Q122" s="22" t="s">
        <v>87</v>
      </c>
      <c r="R122" s="22" t="s">
        <v>87</v>
      </c>
      <c r="T122" s="39">
        <v>0</v>
      </c>
      <c r="U122" s="39">
        <v>0</v>
      </c>
      <c r="V122" s="39">
        <v>0</v>
      </c>
      <c r="X122" s="47">
        <v>0</v>
      </c>
      <c r="Y122" s="47">
        <v>0</v>
      </c>
      <c r="Z122" s="47">
        <v>0</v>
      </c>
    </row>
    <row r="123" spans="1:26" x14ac:dyDescent="0.2">
      <c r="A123" s="52" t="s">
        <v>70</v>
      </c>
      <c r="B123" s="52" t="s">
        <v>36</v>
      </c>
      <c r="D123" s="38">
        <v>0</v>
      </c>
      <c r="E123" s="38">
        <v>0</v>
      </c>
      <c r="F123" s="38">
        <v>0</v>
      </c>
      <c r="H123" s="46">
        <v>0</v>
      </c>
      <c r="I123" s="46">
        <v>0</v>
      </c>
      <c r="J123" s="46">
        <v>0</v>
      </c>
      <c r="L123" s="22" t="s">
        <v>87</v>
      </c>
      <c r="M123" s="22" t="s">
        <v>87</v>
      </c>
      <c r="N123" s="22" t="s">
        <v>87</v>
      </c>
      <c r="P123" s="22" t="s">
        <v>87</v>
      </c>
      <c r="Q123" s="22" t="s">
        <v>87</v>
      </c>
      <c r="R123" s="22" t="s">
        <v>87</v>
      </c>
      <c r="T123" s="38">
        <v>0</v>
      </c>
      <c r="U123" s="38">
        <v>0</v>
      </c>
      <c r="V123" s="38">
        <v>0</v>
      </c>
      <c r="X123" s="46">
        <v>0</v>
      </c>
      <c r="Y123" s="46">
        <v>0</v>
      </c>
      <c r="Z123" s="46">
        <v>0</v>
      </c>
    </row>
    <row r="124" spans="1:26" x14ac:dyDescent="0.2">
      <c r="A124" s="53" t="s">
        <v>71</v>
      </c>
      <c r="B124" s="53" t="s">
        <v>36</v>
      </c>
      <c r="D124" s="39">
        <v>0</v>
      </c>
      <c r="E124" s="39">
        <v>0</v>
      </c>
      <c r="F124" s="39">
        <v>0</v>
      </c>
      <c r="H124" s="47">
        <v>0</v>
      </c>
      <c r="I124" s="47">
        <v>0</v>
      </c>
      <c r="J124" s="47">
        <v>0</v>
      </c>
      <c r="L124" s="22" t="s">
        <v>87</v>
      </c>
      <c r="M124" s="22" t="s">
        <v>87</v>
      </c>
      <c r="N124" s="22" t="s">
        <v>87</v>
      </c>
      <c r="P124" s="22" t="s">
        <v>87</v>
      </c>
      <c r="Q124" s="22" t="s">
        <v>87</v>
      </c>
      <c r="R124" s="22" t="s">
        <v>87</v>
      </c>
      <c r="T124" s="39">
        <v>0</v>
      </c>
      <c r="U124" s="39">
        <v>0</v>
      </c>
      <c r="V124" s="39">
        <v>0</v>
      </c>
      <c r="X124" s="47">
        <v>0</v>
      </c>
      <c r="Y124" s="47">
        <v>0</v>
      </c>
      <c r="Z124" s="47">
        <v>0</v>
      </c>
    </row>
    <row r="125" spans="1:26" x14ac:dyDescent="0.2">
      <c r="A125" s="52" t="s">
        <v>72</v>
      </c>
      <c r="B125" s="52" t="s">
        <v>36</v>
      </c>
      <c r="D125" s="38">
        <v>0</v>
      </c>
      <c r="E125" s="38">
        <v>0</v>
      </c>
      <c r="F125" s="38">
        <v>0</v>
      </c>
      <c r="H125" s="46">
        <v>0</v>
      </c>
      <c r="I125" s="46">
        <v>0</v>
      </c>
      <c r="J125" s="46">
        <v>0</v>
      </c>
      <c r="L125" s="22" t="s">
        <v>87</v>
      </c>
      <c r="M125" s="22" t="s">
        <v>87</v>
      </c>
      <c r="N125" s="22" t="s">
        <v>87</v>
      </c>
      <c r="P125" s="22" t="s">
        <v>87</v>
      </c>
      <c r="Q125" s="22" t="s">
        <v>87</v>
      </c>
      <c r="R125" s="22" t="s">
        <v>87</v>
      </c>
      <c r="T125" s="38">
        <v>0</v>
      </c>
      <c r="U125" s="38">
        <v>0</v>
      </c>
      <c r="V125" s="38">
        <v>0</v>
      </c>
      <c r="X125" s="46">
        <v>0</v>
      </c>
      <c r="Y125" s="46">
        <v>0</v>
      </c>
      <c r="Z125" s="46">
        <v>0</v>
      </c>
    </row>
    <row r="126" spans="1:26" x14ac:dyDescent="0.2">
      <c r="A126" s="53" t="s">
        <v>73</v>
      </c>
      <c r="B126" s="53" t="s">
        <v>36</v>
      </c>
      <c r="D126" s="39">
        <v>0</v>
      </c>
      <c r="E126" s="39">
        <v>0</v>
      </c>
      <c r="F126" s="39">
        <v>0</v>
      </c>
      <c r="H126" s="47">
        <v>0</v>
      </c>
      <c r="I126" s="47">
        <v>0</v>
      </c>
      <c r="J126" s="47">
        <v>0</v>
      </c>
      <c r="L126" s="22" t="s">
        <v>87</v>
      </c>
      <c r="M126" s="22" t="s">
        <v>87</v>
      </c>
      <c r="N126" s="22" t="s">
        <v>87</v>
      </c>
      <c r="P126" s="22" t="s">
        <v>87</v>
      </c>
      <c r="Q126" s="22" t="s">
        <v>87</v>
      </c>
      <c r="R126" s="22" t="s">
        <v>87</v>
      </c>
      <c r="T126" s="39">
        <v>0</v>
      </c>
      <c r="U126" s="39">
        <v>0</v>
      </c>
      <c r="V126" s="39">
        <v>0</v>
      </c>
      <c r="X126" s="47">
        <v>0</v>
      </c>
      <c r="Y126" s="47">
        <v>0</v>
      </c>
      <c r="Z126" s="47">
        <v>0</v>
      </c>
    </row>
    <row r="127" spans="1:26" x14ac:dyDescent="0.2">
      <c r="A127" s="52" t="s">
        <v>74</v>
      </c>
      <c r="B127" s="52" t="s">
        <v>36</v>
      </c>
      <c r="D127" s="38">
        <v>0</v>
      </c>
      <c r="E127" s="38">
        <v>0</v>
      </c>
      <c r="F127" s="38">
        <v>0</v>
      </c>
      <c r="H127" s="46">
        <v>0</v>
      </c>
      <c r="I127" s="46">
        <v>0</v>
      </c>
      <c r="J127" s="46">
        <v>0</v>
      </c>
      <c r="L127" s="22" t="s">
        <v>87</v>
      </c>
      <c r="M127" s="22" t="s">
        <v>87</v>
      </c>
      <c r="N127" s="22" t="s">
        <v>87</v>
      </c>
      <c r="P127" s="22" t="s">
        <v>87</v>
      </c>
      <c r="Q127" s="22" t="s">
        <v>87</v>
      </c>
      <c r="R127" s="22" t="s">
        <v>87</v>
      </c>
      <c r="T127" s="38">
        <v>0</v>
      </c>
      <c r="U127" s="38">
        <v>0</v>
      </c>
      <c r="V127" s="38">
        <v>0</v>
      </c>
      <c r="X127" s="46">
        <v>0</v>
      </c>
      <c r="Y127" s="46">
        <v>0</v>
      </c>
      <c r="Z127" s="46">
        <v>0</v>
      </c>
    </row>
    <row r="128" spans="1:26" x14ac:dyDescent="0.2">
      <c r="A128" s="53" t="s">
        <v>75</v>
      </c>
      <c r="B128" s="53" t="s">
        <v>36</v>
      </c>
      <c r="D128" s="39">
        <v>0</v>
      </c>
      <c r="E128" s="39">
        <v>0</v>
      </c>
      <c r="F128" s="39">
        <v>0</v>
      </c>
      <c r="H128" s="47">
        <v>0</v>
      </c>
      <c r="I128" s="47">
        <v>0</v>
      </c>
      <c r="J128" s="47">
        <v>0</v>
      </c>
      <c r="L128" s="22" t="s">
        <v>87</v>
      </c>
      <c r="M128" s="22" t="s">
        <v>87</v>
      </c>
      <c r="N128" s="22" t="s">
        <v>87</v>
      </c>
      <c r="P128" s="22" t="s">
        <v>87</v>
      </c>
      <c r="Q128" s="22" t="s">
        <v>87</v>
      </c>
      <c r="R128" s="22" t="s">
        <v>87</v>
      </c>
      <c r="T128" s="39">
        <v>0</v>
      </c>
      <c r="U128" s="39">
        <v>0</v>
      </c>
      <c r="V128" s="39">
        <v>0</v>
      </c>
      <c r="X128" s="47">
        <v>0</v>
      </c>
      <c r="Y128" s="47">
        <v>0</v>
      </c>
      <c r="Z128" s="47">
        <v>0</v>
      </c>
    </row>
    <row r="129" spans="1:26" x14ac:dyDescent="0.2">
      <c r="A129" s="52" t="s">
        <v>76</v>
      </c>
      <c r="B129" s="52" t="s">
        <v>36</v>
      </c>
      <c r="D129" s="38">
        <v>0</v>
      </c>
      <c r="E129" s="38">
        <v>0</v>
      </c>
      <c r="F129" s="38">
        <v>0</v>
      </c>
      <c r="H129" s="46">
        <v>0</v>
      </c>
      <c r="I129" s="46">
        <v>0</v>
      </c>
      <c r="J129" s="46">
        <v>0</v>
      </c>
      <c r="L129" s="22" t="s">
        <v>87</v>
      </c>
      <c r="M129" s="22" t="s">
        <v>87</v>
      </c>
      <c r="N129" s="22" t="s">
        <v>87</v>
      </c>
      <c r="P129" s="22" t="s">
        <v>87</v>
      </c>
      <c r="Q129" s="22" t="s">
        <v>87</v>
      </c>
      <c r="R129" s="22" t="s">
        <v>87</v>
      </c>
      <c r="T129" s="38">
        <v>0</v>
      </c>
      <c r="U129" s="38">
        <v>0</v>
      </c>
      <c r="V129" s="38">
        <v>0</v>
      </c>
      <c r="X129" s="46">
        <v>0</v>
      </c>
      <c r="Y129" s="46">
        <v>0</v>
      </c>
      <c r="Z129" s="46">
        <v>0</v>
      </c>
    </row>
    <row r="130" spans="1:26" x14ac:dyDescent="0.2">
      <c r="A130" s="53" t="s">
        <v>77</v>
      </c>
      <c r="B130" s="53" t="s">
        <v>36</v>
      </c>
      <c r="D130" s="39">
        <v>0</v>
      </c>
      <c r="E130" s="39">
        <v>0</v>
      </c>
      <c r="F130" s="39">
        <v>0</v>
      </c>
      <c r="H130" s="47">
        <v>0</v>
      </c>
      <c r="I130" s="47">
        <v>0</v>
      </c>
      <c r="J130" s="47">
        <v>0</v>
      </c>
      <c r="L130" s="22" t="s">
        <v>87</v>
      </c>
      <c r="M130" s="22" t="s">
        <v>87</v>
      </c>
      <c r="N130" s="22" t="s">
        <v>87</v>
      </c>
      <c r="P130" s="22" t="s">
        <v>87</v>
      </c>
      <c r="Q130" s="22" t="s">
        <v>87</v>
      </c>
      <c r="R130" s="22" t="s">
        <v>87</v>
      </c>
      <c r="T130" s="39">
        <v>0</v>
      </c>
      <c r="U130" s="39">
        <v>0</v>
      </c>
      <c r="V130" s="39">
        <v>0</v>
      </c>
      <c r="X130" s="47">
        <v>0</v>
      </c>
      <c r="Y130" s="47">
        <v>0</v>
      </c>
      <c r="Z130" s="47">
        <v>0</v>
      </c>
    </row>
    <row r="131" spans="1:26" ht="16" thickBot="1" x14ac:dyDescent="0.25">
      <c r="A131" s="80" t="s">
        <v>125</v>
      </c>
      <c r="B131" s="80" t="s">
        <v>36</v>
      </c>
      <c r="D131" s="80">
        <v>0</v>
      </c>
      <c r="E131" s="80">
        <v>0</v>
      </c>
      <c r="F131" s="80">
        <v>0</v>
      </c>
      <c r="H131" s="83">
        <v>0</v>
      </c>
      <c r="I131" s="83">
        <v>0</v>
      </c>
      <c r="J131" s="83">
        <v>0</v>
      </c>
      <c r="L131" s="22" t="s">
        <v>87</v>
      </c>
      <c r="M131" s="22" t="s">
        <v>87</v>
      </c>
      <c r="N131" s="22" t="s">
        <v>87</v>
      </c>
      <c r="P131" s="22" t="s">
        <v>87</v>
      </c>
      <c r="Q131" s="22" t="s">
        <v>87</v>
      </c>
      <c r="R131" s="22" t="s">
        <v>87</v>
      </c>
      <c r="T131" s="80">
        <v>0</v>
      </c>
      <c r="U131" s="80">
        <v>0</v>
      </c>
      <c r="V131" s="80">
        <v>0</v>
      </c>
      <c r="X131" s="83">
        <v>0</v>
      </c>
      <c r="Y131" s="83">
        <v>0</v>
      </c>
      <c r="Z131" s="83">
        <v>0</v>
      </c>
    </row>
    <row r="132" spans="1:26" ht="16" thickBot="1" x14ac:dyDescent="0.25">
      <c r="A132" s="81"/>
      <c r="B132" s="82"/>
      <c r="C132" s="82"/>
      <c r="D132" s="82">
        <f>SUM(D90:D131)</f>
        <v>0</v>
      </c>
      <c r="E132" s="82">
        <f t="shared" ref="E132:Z132" si="3">SUM(E90:E131)</f>
        <v>0</v>
      </c>
      <c r="F132" s="82">
        <f t="shared" si="3"/>
        <v>-2</v>
      </c>
      <c r="G132" s="82">
        <f t="shared" si="3"/>
        <v>0</v>
      </c>
      <c r="H132" s="82">
        <f t="shared" si="3"/>
        <v>0</v>
      </c>
      <c r="I132" s="82">
        <f t="shared" si="3"/>
        <v>0</v>
      </c>
      <c r="J132" s="82">
        <f t="shared" si="3"/>
        <v>-30</v>
      </c>
      <c r="K132" s="82">
        <f t="shared" si="3"/>
        <v>0</v>
      </c>
      <c r="L132" s="82">
        <f t="shared" si="3"/>
        <v>0</v>
      </c>
      <c r="M132" s="82">
        <f t="shared" si="3"/>
        <v>0</v>
      </c>
      <c r="N132" s="82">
        <f t="shared" si="3"/>
        <v>0</v>
      </c>
      <c r="O132" s="82">
        <f t="shared" si="3"/>
        <v>0</v>
      </c>
      <c r="P132" s="82">
        <f t="shared" si="3"/>
        <v>0</v>
      </c>
      <c r="Q132" s="82">
        <f t="shared" si="3"/>
        <v>0</v>
      </c>
      <c r="R132" s="82">
        <f t="shared" si="3"/>
        <v>0</v>
      </c>
      <c r="S132" s="82">
        <f t="shared" si="3"/>
        <v>0</v>
      </c>
      <c r="T132" s="82">
        <f t="shared" si="3"/>
        <v>0</v>
      </c>
      <c r="U132" s="82">
        <f t="shared" si="3"/>
        <v>0</v>
      </c>
      <c r="V132" s="82">
        <f t="shared" si="3"/>
        <v>0</v>
      </c>
      <c r="W132" s="82">
        <f t="shared" si="3"/>
        <v>0</v>
      </c>
      <c r="X132" s="82">
        <f t="shared" si="3"/>
        <v>0</v>
      </c>
      <c r="Y132" s="82">
        <f t="shared" si="3"/>
        <v>0</v>
      </c>
      <c r="Z132" s="82">
        <f t="shared" si="3"/>
        <v>0</v>
      </c>
    </row>
    <row r="133" spans="1:26" x14ac:dyDescent="0.2">
      <c r="G133"/>
      <c r="W133"/>
    </row>
    <row r="137" spans="1:26" x14ac:dyDescent="0.2">
      <c r="G137"/>
      <c r="K137"/>
      <c r="O137"/>
      <c r="S137"/>
      <c r="W137"/>
    </row>
  </sheetData>
  <sortState xmlns:xlrd2="http://schemas.microsoft.com/office/spreadsheetml/2017/richdata2" ref="A7:Z131">
    <sortCondition ref="B7:B131"/>
  </sortState>
  <phoneticPr fontId="1" type="noConversion"/>
  <pageMargins left="0.5" right="0.5" top="0.5" bottom="0.5" header="0.25" footer="0.25"/>
  <pageSetup scale="60" orientation="portrait" r:id="rId1"/>
  <headerFooter>
    <oddHeader>&amp;RU-200281 NWN COVID Data Rpt 3Q and September 2022
&amp;P of  &amp;N</oddHeader>
  </headerFooter>
  <colBreaks count="5" manualBreakCount="5">
    <brk id="6" max="126" man="1"/>
    <brk id="10" max="126" man="1"/>
    <brk id="15" max="126" man="1"/>
    <brk id="19" max="126" man="1"/>
    <brk id="23" max="12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2"/>
  <sheetViews>
    <sheetView zoomScale="81" zoomScaleNormal="100" workbookViewId="0">
      <pane xSplit="2" ySplit="2" topLeftCell="C86" activePane="bottomRight" state="frozen"/>
      <selection activeCell="C5" sqref="C5"/>
      <selection pane="topRight" activeCell="C5" sqref="C5"/>
      <selection pane="bottomLeft" activeCell="C5" sqref="C5"/>
      <selection pane="bottomRight" activeCell="D132" sqref="D132:F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9.1640625" customWidth="1"/>
  </cols>
  <sheetData>
    <row r="1" spans="1:26" ht="57" customHeight="1" x14ac:dyDescent="0.2">
      <c r="A1" s="2" t="s">
        <v>110</v>
      </c>
      <c r="B1" s="2"/>
      <c r="D1" s="9" t="s">
        <v>21</v>
      </c>
      <c r="E1" s="9"/>
      <c r="F1" s="9"/>
      <c r="H1" s="76" t="s">
        <v>22</v>
      </c>
      <c r="I1" s="76"/>
      <c r="J1" s="76"/>
      <c r="L1" s="76" t="s">
        <v>23</v>
      </c>
      <c r="M1" s="76"/>
      <c r="N1" s="76"/>
      <c r="P1" s="76" t="s">
        <v>24</v>
      </c>
      <c r="Q1" s="76"/>
      <c r="R1" s="76"/>
    </row>
    <row r="2" spans="1:26" x14ac:dyDescent="0.2">
      <c r="A2" s="2" t="s">
        <v>0</v>
      </c>
      <c r="B2" s="2" t="s">
        <v>1</v>
      </c>
      <c r="D2" s="58">
        <v>44743</v>
      </c>
      <c r="E2" s="58">
        <v>44774</v>
      </c>
      <c r="F2" s="58">
        <v>44805</v>
      </c>
      <c r="H2" s="59">
        <f>+D2</f>
        <v>44743</v>
      </c>
      <c r="I2" s="59">
        <f t="shared" ref="I2:J2" si="0">+E2</f>
        <v>44774</v>
      </c>
      <c r="J2" s="59">
        <f t="shared" si="0"/>
        <v>44805</v>
      </c>
      <c r="K2" s="60"/>
      <c r="L2" s="59">
        <f>+H2</f>
        <v>44743</v>
      </c>
      <c r="M2" s="59">
        <f t="shared" ref="M2" si="1">+I2</f>
        <v>44774</v>
      </c>
      <c r="N2" s="59">
        <f t="shared" ref="N2" si="2">+J2</f>
        <v>44805</v>
      </c>
      <c r="O2" s="60"/>
      <c r="P2" s="59">
        <f>+L2</f>
        <v>44743</v>
      </c>
      <c r="Q2" s="59">
        <f t="shared" ref="Q2" si="3">+M2</f>
        <v>44774</v>
      </c>
      <c r="R2" s="59">
        <f t="shared" ref="R2" si="4">+N2</f>
        <v>44805</v>
      </c>
      <c r="S2" s="61"/>
      <c r="T2" s="61"/>
      <c r="U2" s="61"/>
      <c r="V2" s="61"/>
      <c r="W2" s="61"/>
      <c r="X2" s="61"/>
      <c r="Y2" s="61"/>
      <c r="Z2" s="61"/>
    </row>
    <row r="3" spans="1:26" x14ac:dyDescent="0.2">
      <c r="A3" s="38" t="s">
        <v>80</v>
      </c>
      <c r="B3" s="38" t="s">
        <v>34</v>
      </c>
      <c r="D3" s="38">
        <v>0</v>
      </c>
      <c r="E3" s="38">
        <v>0</v>
      </c>
      <c r="F3" s="38">
        <v>0</v>
      </c>
      <c r="H3" s="38">
        <v>0</v>
      </c>
      <c r="I3" s="38">
        <v>0</v>
      </c>
      <c r="J3" s="38">
        <v>0</v>
      </c>
      <c r="L3" s="38">
        <v>0</v>
      </c>
      <c r="M3" s="38">
        <v>0</v>
      </c>
      <c r="N3" s="38">
        <v>0</v>
      </c>
      <c r="P3" s="38">
        <v>0</v>
      </c>
      <c r="Q3" s="38">
        <v>0</v>
      </c>
      <c r="R3" s="38">
        <v>0</v>
      </c>
    </row>
    <row r="4" spans="1:26" x14ac:dyDescent="0.2">
      <c r="A4" s="39" t="s">
        <v>81</v>
      </c>
      <c r="B4" s="39" t="s">
        <v>34</v>
      </c>
      <c r="D4" s="39">
        <v>0</v>
      </c>
      <c r="E4" s="39">
        <v>0</v>
      </c>
      <c r="F4" s="39">
        <v>0</v>
      </c>
      <c r="H4" s="39">
        <v>0</v>
      </c>
      <c r="I4" s="39">
        <v>0</v>
      </c>
      <c r="J4" s="39">
        <v>0</v>
      </c>
      <c r="L4" s="39">
        <v>0</v>
      </c>
      <c r="M4" s="39">
        <v>0</v>
      </c>
      <c r="N4" s="39">
        <v>0</v>
      </c>
      <c r="P4" s="39">
        <v>0</v>
      </c>
      <c r="Q4" s="39">
        <v>0</v>
      </c>
      <c r="R4" s="39">
        <v>0</v>
      </c>
    </row>
    <row r="5" spans="1:26" x14ac:dyDescent="0.2">
      <c r="A5" s="38" t="s">
        <v>82</v>
      </c>
      <c r="B5" s="38" t="s">
        <v>34</v>
      </c>
      <c r="D5" s="38">
        <v>0</v>
      </c>
      <c r="E5" s="38">
        <v>0</v>
      </c>
      <c r="F5" s="38">
        <v>0</v>
      </c>
      <c r="H5" s="38">
        <v>0</v>
      </c>
      <c r="I5" s="38">
        <v>0</v>
      </c>
      <c r="J5" s="38">
        <v>0</v>
      </c>
      <c r="L5" s="38">
        <v>0</v>
      </c>
      <c r="M5" s="38">
        <v>0</v>
      </c>
      <c r="N5" s="38">
        <v>0</v>
      </c>
      <c r="P5" s="38">
        <v>0</v>
      </c>
      <c r="Q5" s="38">
        <v>0</v>
      </c>
      <c r="R5" s="38">
        <v>0</v>
      </c>
    </row>
    <row r="6" spans="1:26" x14ac:dyDescent="0.2">
      <c r="A6" s="39" t="s">
        <v>39</v>
      </c>
      <c r="B6" s="39" t="s">
        <v>34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L6" s="39">
        <v>0</v>
      </c>
      <c r="M6" s="39">
        <v>0</v>
      </c>
      <c r="N6" s="39">
        <v>0</v>
      </c>
      <c r="P6" s="39">
        <v>0</v>
      </c>
      <c r="Q6" s="39">
        <v>0</v>
      </c>
      <c r="R6" s="39">
        <v>0</v>
      </c>
    </row>
    <row r="7" spans="1:26" x14ac:dyDescent="0.2">
      <c r="A7" s="38" t="s">
        <v>40</v>
      </c>
      <c r="B7" s="38" t="s">
        <v>34</v>
      </c>
      <c r="D7" s="38">
        <v>0</v>
      </c>
      <c r="E7" s="38">
        <v>0</v>
      </c>
      <c r="F7" s="38">
        <v>0</v>
      </c>
      <c r="H7" s="38">
        <v>0</v>
      </c>
      <c r="I7" s="38">
        <v>0</v>
      </c>
      <c r="J7" s="38">
        <v>0</v>
      </c>
      <c r="L7" s="38">
        <v>0</v>
      </c>
      <c r="M7" s="38">
        <v>0</v>
      </c>
      <c r="N7" s="38">
        <v>0</v>
      </c>
      <c r="P7" s="38">
        <v>0</v>
      </c>
      <c r="Q7" s="38">
        <v>0</v>
      </c>
      <c r="R7" s="38">
        <v>0</v>
      </c>
    </row>
    <row r="8" spans="1:26" x14ac:dyDescent="0.2">
      <c r="A8" s="39" t="s">
        <v>41</v>
      </c>
      <c r="B8" s="39" t="s">
        <v>34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L8" s="39">
        <v>0</v>
      </c>
      <c r="M8" s="39">
        <v>0</v>
      </c>
      <c r="N8" s="39">
        <v>0</v>
      </c>
      <c r="P8" s="39">
        <v>0</v>
      </c>
      <c r="Q8" s="39">
        <v>0</v>
      </c>
      <c r="R8" s="39">
        <v>0</v>
      </c>
    </row>
    <row r="9" spans="1:26" x14ac:dyDescent="0.2">
      <c r="A9" s="38" t="s">
        <v>42</v>
      </c>
      <c r="B9" s="38" t="s">
        <v>34</v>
      </c>
      <c r="D9" s="38">
        <v>0</v>
      </c>
      <c r="E9" s="38">
        <v>0</v>
      </c>
      <c r="F9" s="38">
        <v>0</v>
      </c>
      <c r="H9" s="38">
        <v>0</v>
      </c>
      <c r="I9" s="38">
        <v>0</v>
      </c>
      <c r="J9" s="38">
        <v>0</v>
      </c>
      <c r="L9" s="38">
        <v>0</v>
      </c>
      <c r="M9" s="38">
        <v>0</v>
      </c>
      <c r="N9" s="38">
        <v>0</v>
      </c>
      <c r="P9" s="38">
        <v>0</v>
      </c>
      <c r="Q9" s="38">
        <v>0</v>
      </c>
      <c r="R9" s="38">
        <v>0</v>
      </c>
    </row>
    <row r="10" spans="1:26" x14ac:dyDescent="0.2">
      <c r="A10" s="39" t="s">
        <v>43</v>
      </c>
      <c r="B10" s="39" t="s">
        <v>34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L10" s="39">
        <v>0</v>
      </c>
      <c r="M10" s="39">
        <v>0</v>
      </c>
      <c r="N10" s="39">
        <v>0</v>
      </c>
      <c r="P10" s="39">
        <v>0</v>
      </c>
      <c r="Q10" s="39">
        <v>0</v>
      </c>
      <c r="R10" s="39">
        <v>0</v>
      </c>
    </row>
    <row r="11" spans="1:26" x14ac:dyDescent="0.2">
      <c r="A11" s="38" t="s">
        <v>44</v>
      </c>
      <c r="B11" s="38" t="s">
        <v>34</v>
      </c>
      <c r="D11" s="38">
        <v>0</v>
      </c>
      <c r="E11" s="38">
        <v>0</v>
      </c>
      <c r="F11" s="38">
        <v>0</v>
      </c>
      <c r="H11" s="38">
        <v>0</v>
      </c>
      <c r="I11" s="38">
        <v>0</v>
      </c>
      <c r="J11" s="38">
        <v>0</v>
      </c>
      <c r="L11" s="38">
        <v>0</v>
      </c>
      <c r="M11" s="38">
        <v>0</v>
      </c>
      <c r="N11" s="38">
        <v>0</v>
      </c>
      <c r="P11" s="38">
        <v>0</v>
      </c>
      <c r="Q11" s="38">
        <v>0</v>
      </c>
      <c r="R11" s="38">
        <v>0</v>
      </c>
    </row>
    <row r="12" spans="1:26" x14ac:dyDescent="0.2">
      <c r="A12" s="39" t="s">
        <v>45</v>
      </c>
      <c r="B12" s="39" t="s">
        <v>34</v>
      </c>
      <c r="D12" s="39">
        <v>7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L12" s="39">
        <v>1</v>
      </c>
      <c r="M12" s="39">
        <v>0</v>
      </c>
      <c r="N12" s="39">
        <v>0</v>
      </c>
      <c r="P12" s="39">
        <v>0</v>
      </c>
      <c r="Q12" s="39">
        <v>0</v>
      </c>
      <c r="R12" s="39">
        <v>0</v>
      </c>
    </row>
    <row r="13" spans="1:26" x14ac:dyDescent="0.2">
      <c r="A13" s="38" t="s">
        <v>46</v>
      </c>
      <c r="B13" s="38" t="s">
        <v>34</v>
      </c>
      <c r="D13" s="38">
        <v>0</v>
      </c>
      <c r="E13" s="38">
        <v>0</v>
      </c>
      <c r="F13" s="38">
        <v>0</v>
      </c>
      <c r="H13" s="38">
        <v>0</v>
      </c>
      <c r="I13" s="38">
        <v>0</v>
      </c>
      <c r="J13" s="38">
        <v>0</v>
      </c>
      <c r="L13" s="38">
        <v>0</v>
      </c>
      <c r="M13" s="38">
        <v>0</v>
      </c>
      <c r="N13" s="38">
        <v>0</v>
      </c>
      <c r="P13" s="38">
        <v>0</v>
      </c>
      <c r="Q13" s="38">
        <v>0</v>
      </c>
      <c r="R13" s="38">
        <v>0</v>
      </c>
    </row>
    <row r="14" spans="1:26" x14ac:dyDescent="0.2">
      <c r="A14" s="39" t="s">
        <v>47</v>
      </c>
      <c r="B14" s="39" t="s">
        <v>34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L14" s="39">
        <v>0</v>
      </c>
      <c r="M14" s="39">
        <v>0</v>
      </c>
      <c r="N14" s="39">
        <v>0</v>
      </c>
      <c r="P14" s="39">
        <v>0</v>
      </c>
      <c r="Q14" s="39">
        <v>0</v>
      </c>
      <c r="R14" s="39">
        <v>0</v>
      </c>
    </row>
    <row r="15" spans="1:26" x14ac:dyDescent="0.2">
      <c r="A15" s="38" t="s">
        <v>48</v>
      </c>
      <c r="B15" s="38" t="s">
        <v>34</v>
      </c>
      <c r="D15" s="38">
        <v>7</v>
      </c>
      <c r="E15" s="38">
        <v>0</v>
      </c>
      <c r="F15" s="38">
        <v>0</v>
      </c>
      <c r="H15" s="38">
        <v>0</v>
      </c>
      <c r="I15" s="38">
        <v>0</v>
      </c>
      <c r="J15" s="38">
        <v>0</v>
      </c>
      <c r="L15" s="38">
        <v>0</v>
      </c>
      <c r="M15" s="38">
        <v>0</v>
      </c>
      <c r="N15" s="38">
        <v>0</v>
      </c>
      <c r="P15" s="38">
        <v>0</v>
      </c>
      <c r="Q15" s="38">
        <v>0</v>
      </c>
      <c r="R15" s="38">
        <v>0</v>
      </c>
    </row>
    <row r="16" spans="1:26" x14ac:dyDescent="0.2">
      <c r="A16" s="39" t="s">
        <v>49</v>
      </c>
      <c r="B16" s="39" t="s">
        <v>34</v>
      </c>
      <c r="D16" s="39">
        <v>1</v>
      </c>
      <c r="E16" s="39">
        <v>0</v>
      </c>
      <c r="F16" s="39">
        <v>0</v>
      </c>
      <c r="H16" s="39">
        <v>0</v>
      </c>
      <c r="I16" s="39">
        <v>0</v>
      </c>
      <c r="J16" s="39">
        <v>0</v>
      </c>
      <c r="L16" s="39">
        <v>0</v>
      </c>
      <c r="M16" s="39">
        <v>0</v>
      </c>
      <c r="N16" s="39">
        <v>0</v>
      </c>
      <c r="P16" s="39">
        <v>0</v>
      </c>
      <c r="Q16" s="39">
        <v>0</v>
      </c>
      <c r="R16" s="39">
        <v>0</v>
      </c>
    </row>
    <row r="17" spans="1:18" x14ac:dyDescent="0.2">
      <c r="A17" s="38" t="s">
        <v>50</v>
      </c>
      <c r="B17" s="38" t="s">
        <v>34</v>
      </c>
      <c r="D17" s="38">
        <v>0</v>
      </c>
      <c r="E17" s="38">
        <v>0</v>
      </c>
      <c r="F17" s="38">
        <v>0</v>
      </c>
      <c r="H17" s="38">
        <v>0</v>
      </c>
      <c r="I17" s="38">
        <v>0</v>
      </c>
      <c r="J17" s="38">
        <v>0</v>
      </c>
      <c r="L17" s="38">
        <v>0</v>
      </c>
      <c r="M17" s="38">
        <v>0</v>
      </c>
      <c r="N17" s="38">
        <v>0</v>
      </c>
      <c r="P17" s="38">
        <v>0</v>
      </c>
      <c r="Q17" s="38">
        <v>0</v>
      </c>
      <c r="R17" s="38">
        <v>0</v>
      </c>
    </row>
    <row r="18" spans="1:18" x14ac:dyDescent="0.2">
      <c r="A18" s="39" t="s">
        <v>51</v>
      </c>
      <c r="B18" s="39" t="s">
        <v>34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L18" s="39">
        <v>0</v>
      </c>
      <c r="M18" s="39">
        <v>0</v>
      </c>
      <c r="N18" s="39">
        <v>0</v>
      </c>
      <c r="P18" s="39">
        <v>0</v>
      </c>
      <c r="Q18" s="39">
        <v>0</v>
      </c>
      <c r="R18" s="39">
        <v>0</v>
      </c>
    </row>
    <row r="19" spans="1:18" x14ac:dyDescent="0.2">
      <c r="A19" s="38" t="s">
        <v>52</v>
      </c>
      <c r="B19" s="38" t="s">
        <v>34</v>
      </c>
      <c r="D19" s="38">
        <v>0</v>
      </c>
      <c r="E19" s="38">
        <v>0</v>
      </c>
      <c r="F19" s="38">
        <v>0</v>
      </c>
      <c r="H19" s="38">
        <v>0</v>
      </c>
      <c r="I19" s="38">
        <v>0</v>
      </c>
      <c r="J19" s="38">
        <v>0</v>
      </c>
      <c r="L19" s="38">
        <v>0</v>
      </c>
      <c r="M19" s="38">
        <v>0</v>
      </c>
      <c r="N19" s="38">
        <v>0</v>
      </c>
      <c r="P19" s="38">
        <v>0</v>
      </c>
      <c r="Q19" s="38">
        <v>0</v>
      </c>
      <c r="R19" s="38">
        <v>0</v>
      </c>
    </row>
    <row r="20" spans="1:18" x14ac:dyDescent="0.2">
      <c r="A20" s="39" t="s">
        <v>53</v>
      </c>
      <c r="B20" s="39" t="s">
        <v>34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L20" s="39">
        <v>0</v>
      </c>
      <c r="M20" s="39">
        <v>0</v>
      </c>
      <c r="N20" s="39">
        <v>0</v>
      </c>
      <c r="P20" s="39">
        <v>0</v>
      </c>
      <c r="Q20" s="39">
        <v>0</v>
      </c>
      <c r="R20" s="39">
        <v>0</v>
      </c>
    </row>
    <row r="21" spans="1:18" x14ac:dyDescent="0.2">
      <c r="A21" s="38" t="s">
        <v>54</v>
      </c>
      <c r="B21" s="38" t="s">
        <v>34</v>
      </c>
      <c r="D21" s="38">
        <v>1</v>
      </c>
      <c r="E21" s="38">
        <v>0</v>
      </c>
      <c r="F21" s="38">
        <v>0</v>
      </c>
      <c r="H21" s="38">
        <v>0</v>
      </c>
      <c r="I21" s="38">
        <v>0</v>
      </c>
      <c r="J21" s="38">
        <v>0</v>
      </c>
      <c r="L21" s="38">
        <v>0</v>
      </c>
      <c r="M21" s="38">
        <v>0</v>
      </c>
      <c r="N21" s="38">
        <v>0</v>
      </c>
      <c r="P21" s="38">
        <v>0</v>
      </c>
      <c r="Q21" s="38">
        <v>0</v>
      </c>
      <c r="R21" s="38">
        <v>0</v>
      </c>
    </row>
    <row r="22" spans="1:18" x14ac:dyDescent="0.2">
      <c r="A22" s="39" t="s">
        <v>55</v>
      </c>
      <c r="B22" s="39" t="s">
        <v>34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L22" s="39">
        <v>0</v>
      </c>
      <c r="M22" s="39">
        <v>0</v>
      </c>
      <c r="N22" s="39">
        <v>0</v>
      </c>
      <c r="P22" s="39">
        <v>0</v>
      </c>
      <c r="Q22" s="39">
        <v>0</v>
      </c>
      <c r="R22" s="39">
        <v>0</v>
      </c>
    </row>
    <row r="23" spans="1:18" x14ac:dyDescent="0.2">
      <c r="A23" s="38" t="s">
        <v>56</v>
      </c>
      <c r="B23" s="38" t="s">
        <v>34</v>
      </c>
      <c r="D23" s="38">
        <v>0</v>
      </c>
      <c r="E23" s="38">
        <v>0</v>
      </c>
      <c r="F23" s="38">
        <v>0</v>
      </c>
      <c r="H23" s="38">
        <v>0</v>
      </c>
      <c r="I23" s="38">
        <v>0</v>
      </c>
      <c r="J23" s="38">
        <v>0</v>
      </c>
      <c r="L23" s="38">
        <v>0</v>
      </c>
      <c r="M23" s="38">
        <v>0</v>
      </c>
      <c r="N23" s="38">
        <v>0</v>
      </c>
      <c r="P23" s="38">
        <v>0</v>
      </c>
      <c r="Q23" s="38">
        <v>0</v>
      </c>
      <c r="R23" s="38">
        <v>0</v>
      </c>
    </row>
    <row r="24" spans="1:18" x14ac:dyDescent="0.2">
      <c r="A24" s="39" t="s">
        <v>57</v>
      </c>
      <c r="B24" s="39" t="s">
        <v>34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L24" s="39">
        <v>0</v>
      </c>
      <c r="M24" s="39">
        <v>0</v>
      </c>
      <c r="N24" s="39">
        <v>0</v>
      </c>
      <c r="P24" s="39">
        <v>0</v>
      </c>
      <c r="Q24" s="39">
        <v>0</v>
      </c>
      <c r="R24" s="39">
        <v>0</v>
      </c>
    </row>
    <row r="25" spans="1:18" x14ac:dyDescent="0.2">
      <c r="A25" s="38" t="s">
        <v>58</v>
      </c>
      <c r="B25" s="38" t="s">
        <v>34</v>
      </c>
      <c r="D25" s="38">
        <v>1</v>
      </c>
      <c r="E25" s="38">
        <v>0</v>
      </c>
      <c r="F25" s="38">
        <v>0</v>
      </c>
      <c r="H25" s="38">
        <v>0</v>
      </c>
      <c r="I25" s="38">
        <v>0</v>
      </c>
      <c r="J25" s="38">
        <v>0</v>
      </c>
      <c r="L25" s="38">
        <v>0</v>
      </c>
      <c r="M25" s="38">
        <v>0</v>
      </c>
      <c r="N25" s="38">
        <v>0</v>
      </c>
      <c r="P25" s="38">
        <v>0</v>
      </c>
      <c r="Q25" s="38">
        <v>0</v>
      </c>
      <c r="R25" s="38">
        <v>0</v>
      </c>
    </row>
    <row r="26" spans="1:18" x14ac:dyDescent="0.2">
      <c r="A26" s="39" t="s">
        <v>59</v>
      </c>
      <c r="B26" s="39" t="s">
        <v>34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L26" s="39">
        <v>0</v>
      </c>
      <c r="M26" s="39">
        <v>0</v>
      </c>
      <c r="N26" s="39">
        <v>0</v>
      </c>
      <c r="P26" s="39">
        <v>0</v>
      </c>
      <c r="Q26" s="39">
        <v>0</v>
      </c>
      <c r="R26" s="39">
        <v>0</v>
      </c>
    </row>
    <row r="27" spans="1:18" x14ac:dyDescent="0.2">
      <c r="A27" s="38" t="s">
        <v>60</v>
      </c>
      <c r="B27" s="38" t="s">
        <v>34</v>
      </c>
      <c r="D27" s="38">
        <v>8</v>
      </c>
      <c r="E27" s="38">
        <v>0</v>
      </c>
      <c r="F27" s="38">
        <v>0</v>
      </c>
      <c r="H27" s="38">
        <v>0</v>
      </c>
      <c r="I27" s="38">
        <v>0</v>
      </c>
      <c r="J27" s="38">
        <v>0</v>
      </c>
      <c r="L27" s="38">
        <v>1</v>
      </c>
      <c r="M27" s="38">
        <v>2</v>
      </c>
      <c r="N27" s="38">
        <v>1</v>
      </c>
      <c r="P27" s="38">
        <v>0</v>
      </c>
      <c r="Q27" s="38">
        <v>0</v>
      </c>
      <c r="R27" s="38">
        <v>0</v>
      </c>
    </row>
    <row r="28" spans="1:18" x14ac:dyDescent="0.2">
      <c r="A28" s="39" t="s">
        <v>61</v>
      </c>
      <c r="B28" s="39" t="s">
        <v>34</v>
      </c>
      <c r="D28" s="39">
        <v>13</v>
      </c>
      <c r="E28" s="39">
        <v>0</v>
      </c>
      <c r="F28" s="39">
        <v>0</v>
      </c>
      <c r="H28" s="39">
        <v>0</v>
      </c>
      <c r="I28" s="39">
        <v>0</v>
      </c>
      <c r="J28" s="39">
        <v>0</v>
      </c>
      <c r="L28" s="39">
        <v>0</v>
      </c>
      <c r="M28" s="39">
        <v>0</v>
      </c>
      <c r="N28" s="39">
        <v>2</v>
      </c>
      <c r="P28" s="39">
        <v>0</v>
      </c>
      <c r="Q28" s="39">
        <v>0</v>
      </c>
      <c r="R28" s="39">
        <v>1</v>
      </c>
    </row>
    <row r="29" spans="1:18" x14ac:dyDescent="0.2">
      <c r="A29" s="38" t="s">
        <v>62</v>
      </c>
      <c r="B29" s="38" t="s">
        <v>34</v>
      </c>
      <c r="D29" s="38">
        <v>2</v>
      </c>
      <c r="E29" s="38">
        <v>0</v>
      </c>
      <c r="F29" s="38">
        <v>0</v>
      </c>
      <c r="H29" s="38">
        <v>0</v>
      </c>
      <c r="I29" s="38">
        <v>0</v>
      </c>
      <c r="J29" s="38">
        <v>0</v>
      </c>
      <c r="L29" s="38">
        <v>0</v>
      </c>
      <c r="M29" s="38">
        <v>0</v>
      </c>
      <c r="N29" s="38">
        <v>0</v>
      </c>
      <c r="P29" s="38">
        <v>0</v>
      </c>
      <c r="Q29" s="38">
        <v>0</v>
      </c>
      <c r="R29" s="38">
        <v>0</v>
      </c>
    </row>
    <row r="30" spans="1:18" x14ac:dyDescent="0.2">
      <c r="A30" s="39" t="s">
        <v>63</v>
      </c>
      <c r="B30" s="39" t="s">
        <v>34</v>
      </c>
      <c r="D30" s="39">
        <v>0</v>
      </c>
      <c r="E30" s="39">
        <v>0</v>
      </c>
      <c r="F30" s="39">
        <v>0</v>
      </c>
      <c r="H30" s="39">
        <v>0</v>
      </c>
      <c r="I30" s="39">
        <v>0</v>
      </c>
      <c r="J30" s="39">
        <v>0</v>
      </c>
      <c r="L30" s="39">
        <v>0</v>
      </c>
      <c r="M30" s="39">
        <v>0</v>
      </c>
      <c r="N30" s="39">
        <v>0</v>
      </c>
      <c r="P30" s="39">
        <v>0</v>
      </c>
      <c r="Q30" s="39">
        <v>0</v>
      </c>
      <c r="R30" s="39">
        <v>0</v>
      </c>
    </row>
    <row r="31" spans="1:18" x14ac:dyDescent="0.2">
      <c r="A31" s="38" t="s">
        <v>64</v>
      </c>
      <c r="B31" s="38" t="s">
        <v>34</v>
      </c>
      <c r="D31" s="38">
        <v>1</v>
      </c>
      <c r="E31" s="38">
        <v>0</v>
      </c>
      <c r="F31" s="38">
        <v>0</v>
      </c>
      <c r="H31" s="38">
        <v>0</v>
      </c>
      <c r="I31" s="38">
        <v>0</v>
      </c>
      <c r="J31" s="38">
        <v>0</v>
      </c>
      <c r="L31" s="38">
        <v>0</v>
      </c>
      <c r="M31" s="38">
        <v>0</v>
      </c>
      <c r="N31" s="38">
        <v>0</v>
      </c>
      <c r="P31" s="38">
        <v>0</v>
      </c>
      <c r="Q31" s="38">
        <v>0</v>
      </c>
      <c r="R31" s="38">
        <v>0</v>
      </c>
    </row>
    <row r="32" spans="1:18" x14ac:dyDescent="0.2">
      <c r="A32" s="39" t="s">
        <v>65</v>
      </c>
      <c r="B32" s="39" t="s">
        <v>34</v>
      </c>
      <c r="D32" s="39">
        <v>4</v>
      </c>
      <c r="E32" s="39">
        <v>0</v>
      </c>
      <c r="F32" s="39">
        <v>0</v>
      </c>
      <c r="H32" s="39">
        <v>0</v>
      </c>
      <c r="I32" s="39">
        <v>0</v>
      </c>
      <c r="J32" s="39">
        <v>0</v>
      </c>
      <c r="L32" s="39">
        <v>0</v>
      </c>
      <c r="M32" s="39">
        <v>0</v>
      </c>
      <c r="N32" s="39">
        <v>0</v>
      </c>
      <c r="P32" s="39">
        <v>0</v>
      </c>
      <c r="Q32" s="39">
        <v>0</v>
      </c>
      <c r="R32" s="39">
        <v>0</v>
      </c>
    </row>
    <row r="33" spans="1:18" x14ac:dyDescent="0.2">
      <c r="A33" s="38" t="s">
        <v>66</v>
      </c>
      <c r="B33" s="38" t="s">
        <v>34</v>
      </c>
      <c r="D33" s="38">
        <v>0</v>
      </c>
      <c r="E33" s="38">
        <v>0</v>
      </c>
      <c r="F33" s="38">
        <v>0</v>
      </c>
      <c r="H33" s="38">
        <v>0</v>
      </c>
      <c r="I33" s="38">
        <v>0</v>
      </c>
      <c r="J33" s="38">
        <v>0</v>
      </c>
      <c r="L33" s="38">
        <v>0</v>
      </c>
      <c r="M33" s="38">
        <v>0</v>
      </c>
      <c r="N33" s="38">
        <v>0</v>
      </c>
      <c r="P33" s="38">
        <v>0</v>
      </c>
      <c r="Q33" s="38">
        <v>0</v>
      </c>
      <c r="R33" s="38">
        <v>0</v>
      </c>
    </row>
    <row r="34" spans="1:18" x14ac:dyDescent="0.2">
      <c r="A34" s="39" t="s">
        <v>67</v>
      </c>
      <c r="B34" s="39" t="s">
        <v>34</v>
      </c>
      <c r="D34" s="39">
        <v>0</v>
      </c>
      <c r="E34" s="39">
        <v>0</v>
      </c>
      <c r="F34" s="39">
        <v>0</v>
      </c>
      <c r="H34" s="39">
        <v>0</v>
      </c>
      <c r="I34" s="39">
        <v>0</v>
      </c>
      <c r="J34" s="39">
        <v>0</v>
      </c>
      <c r="L34" s="39">
        <v>0</v>
      </c>
      <c r="M34" s="39">
        <v>0</v>
      </c>
      <c r="N34" s="39">
        <v>0</v>
      </c>
      <c r="P34" s="39">
        <v>0</v>
      </c>
      <c r="Q34" s="39">
        <v>0</v>
      </c>
      <c r="R34" s="39">
        <v>0</v>
      </c>
    </row>
    <row r="35" spans="1:18" x14ac:dyDescent="0.2">
      <c r="A35" s="38" t="s">
        <v>68</v>
      </c>
      <c r="B35" s="38" t="s">
        <v>34</v>
      </c>
      <c r="D35" s="38">
        <v>4</v>
      </c>
      <c r="E35" s="38">
        <v>0</v>
      </c>
      <c r="F35" s="38">
        <v>0</v>
      </c>
      <c r="H35" s="38">
        <v>0</v>
      </c>
      <c r="I35" s="38">
        <v>0</v>
      </c>
      <c r="J35" s="38">
        <v>0</v>
      </c>
      <c r="L35" s="38">
        <v>0</v>
      </c>
      <c r="M35" s="38">
        <v>0</v>
      </c>
      <c r="N35" s="38">
        <v>0</v>
      </c>
      <c r="P35" s="38">
        <v>0</v>
      </c>
      <c r="Q35" s="38">
        <v>0</v>
      </c>
      <c r="R35" s="38">
        <v>0</v>
      </c>
    </row>
    <row r="36" spans="1:18" x14ac:dyDescent="0.2">
      <c r="A36" s="39" t="s">
        <v>69</v>
      </c>
      <c r="B36" s="39" t="s">
        <v>34</v>
      </c>
      <c r="D36" s="39">
        <v>2</v>
      </c>
      <c r="E36" s="39">
        <v>0</v>
      </c>
      <c r="F36" s="39">
        <v>0</v>
      </c>
      <c r="H36" s="39">
        <v>0</v>
      </c>
      <c r="I36" s="39">
        <v>0</v>
      </c>
      <c r="J36" s="39">
        <v>0</v>
      </c>
      <c r="L36" s="39">
        <v>0</v>
      </c>
      <c r="M36" s="39">
        <v>0</v>
      </c>
      <c r="N36" s="39">
        <v>0</v>
      </c>
      <c r="P36" s="39">
        <v>0</v>
      </c>
      <c r="Q36" s="39">
        <v>0</v>
      </c>
      <c r="R36" s="39">
        <v>0</v>
      </c>
    </row>
    <row r="37" spans="1:18" x14ac:dyDescent="0.2">
      <c r="A37" s="38" t="s">
        <v>70</v>
      </c>
      <c r="B37" s="38" t="s">
        <v>34</v>
      </c>
      <c r="D37" s="38">
        <v>0</v>
      </c>
      <c r="E37" s="38">
        <v>0</v>
      </c>
      <c r="F37" s="38">
        <v>0</v>
      </c>
      <c r="H37" s="38">
        <v>0</v>
      </c>
      <c r="I37" s="38">
        <v>0</v>
      </c>
      <c r="J37" s="38">
        <v>0</v>
      </c>
      <c r="L37" s="38">
        <v>0</v>
      </c>
      <c r="M37" s="38">
        <v>0</v>
      </c>
      <c r="N37" s="38">
        <v>1</v>
      </c>
      <c r="P37" s="38">
        <v>0</v>
      </c>
      <c r="Q37" s="38">
        <v>0</v>
      </c>
      <c r="R37" s="38">
        <v>0</v>
      </c>
    </row>
    <row r="38" spans="1:18" x14ac:dyDescent="0.2">
      <c r="A38" s="39" t="s">
        <v>71</v>
      </c>
      <c r="B38" s="39" t="s">
        <v>34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L38" s="39">
        <v>0</v>
      </c>
      <c r="M38" s="39">
        <v>0</v>
      </c>
      <c r="N38" s="39">
        <v>0</v>
      </c>
      <c r="P38" s="39">
        <v>0</v>
      </c>
      <c r="Q38" s="39">
        <v>0</v>
      </c>
      <c r="R38" s="39">
        <v>0</v>
      </c>
    </row>
    <row r="39" spans="1:18" x14ac:dyDescent="0.2">
      <c r="A39" s="38" t="s">
        <v>72</v>
      </c>
      <c r="B39" s="38" t="s">
        <v>34</v>
      </c>
      <c r="D39" s="38">
        <v>12</v>
      </c>
      <c r="E39" s="38">
        <v>0</v>
      </c>
      <c r="F39" s="38">
        <v>0</v>
      </c>
      <c r="H39" s="38">
        <v>0</v>
      </c>
      <c r="I39" s="38">
        <v>0</v>
      </c>
      <c r="J39" s="38">
        <v>0</v>
      </c>
      <c r="L39" s="38">
        <v>1</v>
      </c>
      <c r="M39" s="38">
        <v>0</v>
      </c>
      <c r="N39" s="38">
        <v>0</v>
      </c>
      <c r="P39" s="38">
        <v>0</v>
      </c>
      <c r="Q39" s="38">
        <v>0</v>
      </c>
      <c r="R39" s="38">
        <v>0</v>
      </c>
    </row>
    <row r="40" spans="1:18" x14ac:dyDescent="0.2">
      <c r="A40" s="39" t="s">
        <v>73</v>
      </c>
      <c r="B40" s="39" t="s">
        <v>34</v>
      </c>
      <c r="D40" s="39">
        <v>5</v>
      </c>
      <c r="E40" s="39">
        <v>0</v>
      </c>
      <c r="F40" s="39">
        <v>0</v>
      </c>
      <c r="H40" s="39">
        <v>0</v>
      </c>
      <c r="I40" s="39">
        <v>0</v>
      </c>
      <c r="J40" s="39">
        <v>0</v>
      </c>
      <c r="L40" s="39">
        <v>1</v>
      </c>
      <c r="M40" s="39">
        <v>0</v>
      </c>
      <c r="N40" s="39">
        <v>0</v>
      </c>
      <c r="P40" s="39">
        <v>0</v>
      </c>
      <c r="Q40" s="39">
        <v>0</v>
      </c>
      <c r="R40" s="39">
        <v>0</v>
      </c>
    </row>
    <row r="41" spans="1:18" x14ac:dyDescent="0.2">
      <c r="A41" s="38" t="s">
        <v>74</v>
      </c>
      <c r="B41" s="38" t="s">
        <v>34</v>
      </c>
      <c r="D41" s="38">
        <v>3</v>
      </c>
      <c r="E41" s="38">
        <v>0</v>
      </c>
      <c r="F41" s="38">
        <v>0</v>
      </c>
      <c r="H41" s="38">
        <v>0</v>
      </c>
      <c r="I41" s="38">
        <v>0</v>
      </c>
      <c r="J41" s="38">
        <v>0</v>
      </c>
      <c r="L41" s="38">
        <v>0</v>
      </c>
      <c r="M41" s="38">
        <v>0</v>
      </c>
      <c r="N41" s="38">
        <v>0</v>
      </c>
      <c r="P41" s="38">
        <v>0</v>
      </c>
      <c r="Q41" s="38">
        <v>0</v>
      </c>
      <c r="R41" s="38">
        <v>0</v>
      </c>
    </row>
    <row r="42" spans="1:18" x14ac:dyDescent="0.2">
      <c r="A42" s="39" t="s">
        <v>75</v>
      </c>
      <c r="B42" s="39" t="s">
        <v>34</v>
      </c>
      <c r="D42" s="39">
        <v>0</v>
      </c>
      <c r="E42" s="39">
        <v>0</v>
      </c>
      <c r="F42" s="39">
        <v>0</v>
      </c>
      <c r="H42" s="39">
        <v>0</v>
      </c>
      <c r="I42" s="39">
        <v>0</v>
      </c>
      <c r="J42" s="39">
        <v>0</v>
      </c>
      <c r="L42" s="39">
        <v>0</v>
      </c>
      <c r="M42" s="39">
        <v>0</v>
      </c>
      <c r="N42" s="39">
        <v>0</v>
      </c>
      <c r="P42" s="39">
        <v>0</v>
      </c>
      <c r="Q42" s="39">
        <v>0</v>
      </c>
      <c r="R42" s="39">
        <v>0</v>
      </c>
    </row>
    <row r="43" spans="1:18" x14ac:dyDescent="0.2">
      <c r="A43" s="38" t="s">
        <v>76</v>
      </c>
      <c r="B43" s="38" t="s">
        <v>34</v>
      </c>
      <c r="D43" s="38">
        <v>3</v>
      </c>
      <c r="E43" s="38">
        <v>0</v>
      </c>
      <c r="F43" s="38">
        <v>0</v>
      </c>
      <c r="H43" s="38">
        <v>0</v>
      </c>
      <c r="I43" s="38">
        <v>0</v>
      </c>
      <c r="J43" s="38">
        <v>0</v>
      </c>
      <c r="L43" s="38">
        <v>0</v>
      </c>
      <c r="M43" s="38">
        <v>0</v>
      </c>
      <c r="N43" s="38">
        <v>0</v>
      </c>
      <c r="P43" s="38">
        <v>0</v>
      </c>
      <c r="Q43" s="38">
        <v>0</v>
      </c>
      <c r="R43" s="38">
        <v>0</v>
      </c>
    </row>
    <row r="44" spans="1:18" x14ac:dyDescent="0.2">
      <c r="A44" s="39" t="s">
        <v>77</v>
      </c>
      <c r="B44" s="39" t="s">
        <v>34</v>
      </c>
      <c r="D44" s="39">
        <v>0</v>
      </c>
      <c r="E44" s="39">
        <v>0</v>
      </c>
      <c r="F44" s="39">
        <v>0</v>
      </c>
      <c r="H44" s="39">
        <v>0</v>
      </c>
      <c r="I44" s="39">
        <v>0</v>
      </c>
      <c r="J44" s="39">
        <v>0</v>
      </c>
      <c r="L44" s="39">
        <v>0</v>
      </c>
      <c r="M44" s="39">
        <v>0</v>
      </c>
      <c r="N44" s="39">
        <v>0</v>
      </c>
      <c r="P44" s="39">
        <v>0</v>
      </c>
      <c r="Q44" s="39">
        <v>0</v>
      </c>
      <c r="R44" s="39">
        <v>0</v>
      </c>
    </row>
    <row r="45" spans="1:18" x14ac:dyDescent="0.2">
      <c r="A45" s="38" t="s">
        <v>125</v>
      </c>
      <c r="B45" s="38" t="s">
        <v>34</v>
      </c>
      <c r="D45" s="38">
        <v>0</v>
      </c>
      <c r="E45" s="38">
        <v>0</v>
      </c>
      <c r="F45" s="38">
        <v>0</v>
      </c>
      <c r="H45" s="38">
        <v>0</v>
      </c>
      <c r="I45" s="38">
        <v>0</v>
      </c>
      <c r="J45" s="38">
        <v>0</v>
      </c>
      <c r="L45" s="38">
        <v>0</v>
      </c>
      <c r="M45" s="38">
        <v>0</v>
      </c>
      <c r="N45" s="38">
        <v>0</v>
      </c>
      <c r="P45" s="38">
        <v>0</v>
      </c>
      <c r="Q45" s="38">
        <v>0</v>
      </c>
      <c r="R45" s="38">
        <v>0</v>
      </c>
    </row>
    <row r="46" spans="1:18" x14ac:dyDescent="0.2">
      <c r="A46" s="39" t="s">
        <v>80</v>
      </c>
      <c r="B46" s="39" t="s">
        <v>35</v>
      </c>
      <c r="D46" s="39">
        <v>0</v>
      </c>
      <c r="E46" s="39">
        <v>0</v>
      </c>
      <c r="F46" s="39">
        <v>0</v>
      </c>
      <c r="H46" s="39">
        <v>0</v>
      </c>
      <c r="I46" s="39">
        <v>0</v>
      </c>
      <c r="J46" s="39">
        <v>0</v>
      </c>
      <c r="L46" s="39">
        <v>0</v>
      </c>
      <c r="M46" s="39">
        <v>0</v>
      </c>
      <c r="N46" s="39">
        <v>0</v>
      </c>
      <c r="P46" s="39">
        <v>0</v>
      </c>
      <c r="Q46" s="39">
        <v>0</v>
      </c>
      <c r="R46" s="39">
        <v>0</v>
      </c>
    </row>
    <row r="47" spans="1:18" x14ac:dyDescent="0.2">
      <c r="A47" s="38" t="s">
        <v>81</v>
      </c>
      <c r="B47" s="38" t="s">
        <v>35</v>
      </c>
      <c r="D47" s="38">
        <v>0</v>
      </c>
      <c r="E47" s="38">
        <v>0</v>
      </c>
      <c r="F47" s="38">
        <v>0</v>
      </c>
      <c r="H47" s="38">
        <v>0</v>
      </c>
      <c r="I47" s="38">
        <v>0</v>
      </c>
      <c r="J47" s="38">
        <v>0</v>
      </c>
      <c r="L47" s="38">
        <v>0</v>
      </c>
      <c r="M47" s="38">
        <v>0</v>
      </c>
      <c r="N47" s="38">
        <v>0</v>
      </c>
      <c r="P47" s="38">
        <v>0</v>
      </c>
      <c r="Q47" s="38">
        <v>0</v>
      </c>
      <c r="R47" s="38">
        <v>0</v>
      </c>
    </row>
    <row r="48" spans="1:18" x14ac:dyDescent="0.2">
      <c r="A48" s="39" t="s">
        <v>82</v>
      </c>
      <c r="B48" s="39" t="s">
        <v>35</v>
      </c>
      <c r="D48" s="39">
        <v>0</v>
      </c>
      <c r="E48" s="39">
        <v>0</v>
      </c>
      <c r="F48" s="39">
        <v>0</v>
      </c>
      <c r="H48" s="39">
        <v>0</v>
      </c>
      <c r="I48" s="39">
        <v>0</v>
      </c>
      <c r="J48" s="39">
        <v>0</v>
      </c>
      <c r="L48" s="39">
        <v>0</v>
      </c>
      <c r="M48" s="39">
        <v>0</v>
      </c>
      <c r="N48" s="39">
        <v>0</v>
      </c>
      <c r="P48" s="39">
        <v>0</v>
      </c>
      <c r="Q48" s="39">
        <v>0</v>
      </c>
      <c r="R48" s="39">
        <v>0</v>
      </c>
    </row>
    <row r="49" spans="1:18" x14ac:dyDescent="0.2">
      <c r="A49" s="38" t="s">
        <v>39</v>
      </c>
      <c r="B49" s="38" t="s">
        <v>35</v>
      </c>
      <c r="D49" s="38">
        <v>0</v>
      </c>
      <c r="E49" s="38">
        <v>0</v>
      </c>
      <c r="F49" s="38">
        <v>0</v>
      </c>
      <c r="H49" s="38">
        <v>0</v>
      </c>
      <c r="I49" s="38">
        <v>0</v>
      </c>
      <c r="J49" s="38">
        <v>0</v>
      </c>
      <c r="L49" s="38">
        <v>0</v>
      </c>
      <c r="M49" s="38">
        <v>0</v>
      </c>
      <c r="N49" s="38">
        <v>0</v>
      </c>
      <c r="P49" s="38">
        <v>0</v>
      </c>
      <c r="Q49" s="38">
        <v>0</v>
      </c>
      <c r="R49" s="38">
        <v>0</v>
      </c>
    </row>
    <row r="50" spans="1:18" x14ac:dyDescent="0.2">
      <c r="A50" s="39" t="s">
        <v>40</v>
      </c>
      <c r="B50" s="39" t="s">
        <v>35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L50" s="39">
        <v>0</v>
      </c>
      <c r="M50" s="39">
        <v>0</v>
      </c>
      <c r="N50" s="39">
        <v>0</v>
      </c>
      <c r="P50" s="39">
        <v>0</v>
      </c>
      <c r="Q50" s="39">
        <v>0</v>
      </c>
      <c r="R50" s="39">
        <v>0</v>
      </c>
    </row>
    <row r="51" spans="1:18" x14ac:dyDescent="0.2">
      <c r="A51" s="38" t="s">
        <v>41</v>
      </c>
      <c r="B51" s="38" t="s">
        <v>35</v>
      </c>
      <c r="D51" s="38">
        <v>0</v>
      </c>
      <c r="E51" s="38">
        <v>0</v>
      </c>
      <c r="F51" s="38">
        <v>0</v>
      </c>
      <c r="H51" s="38">
        <v>0</v>
      </c>
      <c r="I51" s="38">
        <v>0</v>
      </c>
      <c r="J51" s="38">
        <v>0</v>
      </c>
      <c r="L51" s="38">
        <v>0</v>
      </c>
      <c r="M51" s="38">
        <v>0</v>
      </c>
      <c r="N51" s="38">
        <v>0</v>
      </c>
      <c r="P51" s="38">
        <v>0</v>
      </c>
      <c r="Q51" s="38">
        <v>0</v>
      </c>
      <c r="R51" s="38">
        <v>0</v>
      </c>
    </row>
    <row r="52" spans="1:18" x14ac:dyDescent="0.2">
      <c r="A52" s="39" t="s">
        <v>42</v>
      </c>
      <c r="B52" s="39" t="s">
        <v>35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L52" s="39">
        <v>0</v>
      </c>
      <c r="M52" s="39">
        <v>0</v>
      </c>
      <c r="N52" s="39">
        <v>0</v>
      </c>
      <c r="P52" s="39">
        <v>0</v>
      </c>
      <c r="Q52" s="39">
        <v>0</v>
      </c>
      <c r="R52" s="39">
        <v>0</v>
      </c>
    </row>
    <row r="53" spans="1:18" x14ac:dyDescent="0.2">
      <c r="A53" s="38" t="s">
        <v>43</v>
      </c>
      <c r="B53" s="38" t="s">
        <v>35</v>
      </c>
      <c r="D53" s="38">
        <v>0</v>
      </c>
      <c r="E53" s="38">
        <v>0</v>
      </c>
      <c r="F53" s="38">
        <v>0</v>
      </c>
      <c r="H53" s="38">
        <v>0</v>
      </c>
      <c r="I53" s="38">
        <v>0</v>
      </c>
      <c r="J53" s="38">
        <v>0</v>
      </c>
      <c r="L53" s="38">
        <v>0</v>
      </c>
      <c r="M53" s="38">
        <v>0</v>
      </c>
      <c r="N53" s="38">
        <v>0</v>
      </c>
      <c r="P53" s="38">
        <v>0</v>
      </c>
      <c r="Q53" s="38">
        <v>0</v>
      </c>
      <c r="R53" s="38">
        <v>0</v>
      </c>
    </row>
    <row r="54" spans="1:18" x14ac:dyDescent="0.2">
      <c r="A54" s="39" t="s">
        <v>44</v>
      </c>
      <c r="B54" s="39" t="s">
        <v>35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L54" s="39">
        <v>0</v>
      </c>
      <c r="M54" s="39">
        <v>0</v>
      </c>
      <c r="N54" s="39">
        <v>0</v>
      </c>
      <c r="P54" s="39">
        <v>0</v>
      </c>
      <c r="Q54" s="39">
        <v>0</v>
      </c>
      <c r="R54" s="39">
        <v>0</v>
      </c>
    </row>
    <row r="55" spans="1:18" x14ac:dyDescent="0.2">
      <c r="A55" s="38" t="s">
        <v>45</v>
      </c>
      <c r="B55" s="38" t="s">
        <v>35</v>
      </c>
      <c r="D55" s="38">
        <v>0</v>
      </c>
      <c r="E55" s="38">
        <v>0</v>
      </c>
      <c r="F55" s="38">
        <v>0</v>
      </c>
      <c r="H55" s="38">
        <v>0</v>
      </c>
      <c r="I55" s="38">
        <v>0</v>
      </c>
      <c r="J55" s="38">
        <v>0</v>
      </c>
      <c r="L55" s="38">
        <v>0</v>
      </c>
      <c r="M55" s="38">
        <v>0</v>
      </c>
      <c r="N55" s="38">
        <v>0</v>
      </c>
      <c r="P55" s="38">
        <v>0</v>
      </c>
      <c r="Q55" s="38">
        <v>0</v>
      </c>
      <c r="R55" s="38">
        <v>0</v>
      </c>
    </row>
    <row r="56" spans="1:18" x14ac:dyDescent="0.2">
      <c r="A56" s="39" t="s">
        <v>46</v>
      </c>
      <c r="B56" s="39" t="s">
        <v>35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L56" s="39">
        <v>0</v>
      </c>
      <c r="M56" s="39">
        <v>0</v>
      </c>
      <c r="N56" s="39">
        <v>0</v>
      </c>
      <c r="P56" s="39">
        <v>0</v>
      </c>
      <c r="Q56" s="39">
        <v>0</v>
      </c>
      <c r="R56" s="39">
        <v>0</v>
      </c>
    </row>
    <row r="57" spans="1:18" x14ac:dyDescent="0.2">
      <c r="A57" s="38" t="s">
        <v>47</v>
      </c>
      <c r="B57" s="38" t="s">
        <v>35</v>
      </c>
      <c r="D57" s="38">
        <v>0</v>
      </c>
      <c r="E57" s="38">
        <v>0</v>
      </c>
      <c r="F57" s="38">
        <v>0</v>
      </c>
      <c r="H57" s="38">
        <v>0</v>
      </c>
      <c r="I57" s="38">
        <v>0</v>
      </c>
      <c r="J57" s="38">
        <v>0</v>
      </c>
      <c r="L57" s="38">
        <v>0</v>
      </c>
      <c r="M57" s="38">
        <v>0</v>
      </c>
      <c r="N57" s="38">
        <v>0</v>
      </c>
      <c r="P57" s="38">
        <v>0</v>
      </c>
      <c r="Q57" s="38">
        <v>0</v>
      </c>
      <c r="R57" s="38">
        <v>0</v>
      </c>
    </row>
    <row r="58" spans="1:18" x14ac:dyDescent="0.2">
      <c r="A58" s="39" t="s">
        <v>48</v>
      </c>
      <c r="B58" s="39" t="s">
        <v>35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L58" s="39">
        <v>0</v>
      </c>
      <c r="M58" s="39">
        <v>0</v>
      </c>
      <c r="N58" s="39">
        <v>0</v>
      </c>
      <c r="P58" s="39">
        <v>0</v>
      </c>
      <c r="Q58" s="39">
        <v>0</v>
      </c>
      <c r="R58" s="39">
        <v>0</v>
      </c>
    </row>
    <row r="59" spans="1:18" x14ac:dyDescent="0.2">
      <c r="A59" s="38" t="s">
        <v>49</v>
      </c>
      <c r="B59" s="38" t="s">
        <v>35</v>
      </c>
      <c r="D59" s="38">
        <v>0</v>
      </c>
      <c r="E59" s="38">
        <v>0</v>
      </c>
      <c r="F59" s="38">
        <v>0</v>
      </c>
      <c r="H59" s="38">
        <v>0</v>
      </c>
      <c r="I59" s="38">
        <v>0</v>
      </c>
      <c r="J59" s="38">
        <v>0</v>
      </c>
      <c r="L59" s="38">
        <v>0</v>
      </c>
      <c r="M59" s="38">
        <v>0</v>
      </c>
      <c r="N59" s="38">
        <v>0</v>
      </c>
      <c r="P59" s="38">
        <v>0</v>
      </c>
      <c r="Q59" s="38">
        <v>0</v>
      </c>
      <c r="R59" s="38">
        <v>0</v>
      </c>
    </row>
    <row r="60" spans="1:18" x14ac:dyDescent="0.2">
      <c r="A60" s="39" t="s">
        <v>50</v>
      </c>
      <c r="B60" s="39" t="s">
        <v>35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L60" s="39">
        <v>0</v>
      </c>
      <c r="M60" s="39">
        <v>0</v>
      </c>
      <c r="N60" s="39">
        <v>0</v>
      </c>
      <c r="P60" s="39">
        <v>0</v>
      </c>
      <c r="Q60" s="39">
        <v>0</v>
      </c>
      <c r="R60" s="39">
        <v>0</v>
      </c>
    </row>
    <row r="61" spans="1:18" x14ac:dyDescent="0.2">
      <c r="A61" s="38" t="s">
        <v>51</v>
      </c>
      <c r="B61" s="38" t="s">
        <v>35</v>
      </c>
      <c r="D61" s="38">
        <v>0</v>
      </c>
      <c r="E61" s="38">
        <v>0</v>
      </c>
      <c r="F61" s="38">
        <v>0</v>
      </c>
      <c r="H61" s="38">
        <v>0</v>
      </c>
      <c r="I61" s="38">
        <v>0</v>
      </c>
      <c r="J61" s="38">
        <v>0</v>
      </c>
      <c r="L61" s="38">
        <v>0</v>
      </c>
      <c r="M61" s="38">
        <v>0</v>
      </c>
      <c r="N61" s="38">
        <v>0</v>
      </c>
      <c r="P61" s="38">
        <v>0</v>
      </c>
      <c r="Q61" s="38">
        <v>0</v>
      </c>
      <c r="R61" s="38">
        <v>0</v>
      </c>
    </row>
    <row r="62" spans="1:18" x14ac:dyDescent="0.2">
      <c r="A62" s="39" t="s">
        <v>52</v>
      </c>
      <c r="B62" s="39" t="s">
        <v>35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L62" s="39">
        <v>0</v>
      </c>
      <c r="M62" s="39">
        <v>0</v>
      </c>
      <c r="N62" s="39">
        <v>0</v>
      </c>
      <c r="P62" s="39">
        <v>0</v>
      </c>
      <c r="Q62" s="39">
        <v>0</v>
      </c>
      <c r="R62" s="39">
        <v>0</v>
      </c>
    </row>
    <row r="63" spans="1:18" x14ac:dyDescent="0.2">
      <c r="A63" s="38" t="s">
        <v>53</v>
      </c>
      <c r="B63" s="38" t="s">
        <v>35</v>
      </c>
      <c r="D63" s="38">
        <v>0</v>
      </c>
      <c r="E63" s="38">
        <v>0</v>
      </c>
      <c r="F63" s="38">
        <v>0</v>
      </c>
      <c r="H63" s="38">
        <v>0</v>
      </c>
      <c r="I63" s="38">
        <v>0</v>
      </c>
      <c r="J63" s="38">
        <v>0</v>
      </c>
      <c r="L63" s="38">
        <v>0</v>
      </c>
      <c r="M63" s="38">
        <v>0</v>
      </c>
      <c r="N63" s="38">
        <v>0</v>
      </c>
      <c r="P63" s="38">
        <v>0</v>
      </c>
      <c r="Q63" s="38">
        <v>0</v>
      </c>
      <c r="R63" s="38">
        <v>0</v>
      </c>
    </row>
    <row r="64" spans="1:18" x14ac:dyDescent="0.2">
      <c r="A64" s="39" t="s">
        <v>54</v>
      </c>
      <c r="B64" s="39" t="s">
        <v>35</v>
      </c>
      <c r="D64" s="39">
        <v>0</v>
      </c>
      <c r="E64" s="39">
        <v>0</v>
      </c>
      <c r="F64" s="39">
        <v>0</v>
      </c>
      <c r="H64" s="39">
        <v>0</v>
      </c>
      <c r="I64" s="39">
        <v>0</v>
      </c>
      <c r="J64" s="39">
        <v>0</v>
      </c>
      <c r="L64" s="39">
        <v>0</v>
      </c>
      <c r="M64" s="39">
        <v>0</v>
      </c>
      <c r="N64" s="39">
        <v>0</v>
      </c>
      <c r="P64" s="39">
        <v>0</v>
      </c>
      <c r="Q64" s="39">
        <v>0</v>
      </c>
      <c r="R64" s="39">
        <v>0</v>
      </c>
    </row>
    <row r="65" spans="1:18" x14ac:dyDescent="0.2">
      <c r="A65" s="38" t="s">
        <v>55</v>
      </c>
      <c r="B65" s="38" t="s">
        <v>35</v>
      </c>
      <c r="D65" s="38">
        <v>0</v>
      </c>
      <c r="E65" s="38">
        <v>0</v>
      </c>
      <c r="F65" s="38">
        <v>0</v>
      </c>
      <c r="H65" s="38">
        <v>0</v>
      </c>
      <c r="I65" s="38">
        <v>0</v>
      </c>
      <c r="J65" s="38">
        <v>0</v>
      </c>
      <c r="L65" s="38">
        <v>0</v>
      </c>
      <c r="M65" s="38">
        <v>0</v>
      </c>
      <c r="N65" s="38">
        <v>0</v>
      </c>
      <c r="P65" s="38">
        <v>0</v>
      </c>
      <c r="Q65" s="38">
        <v>0</v>
      </c>
      <c r="R65" s="38">
        <v>0</v>
      </c>
    </row>
    <row r="66" spans="1:18" x14ac:dyDescent="0.2">
      <c r="A66" s="39" t="s">
        <v>56</v>
      </c>
      <c r="B66" s="39" t="s">
        <v>35</v>
      </c>
      <c r="D66" s="39">
        <v>0</v>
      </c>
      <c r="E66" s="39">
        <v>0</v>
      </c>
      <c r="F66" s="39">
        <v>0</v>
      </c>
      <c r="H66" s="39">
        <v>0</v>
      </c>
      <c r="I66" s="39">
        <v>0</v>
      </c>
      <c r="J66" s="39">
        <v>0</v>
      </c>
      <c r="L66" s="39">
        <v>0</v>
      </c>
      <c r="M66" s="39">
        <v>0</v>
      </c>
      <c r="N66" s="39">
        <v>0</v>
      </c>
      <c r="P66" s="39">
        <v>0</v>
      </c>
      <c r="Q66" s="39">
        <v>0</v>
      </c>
      <c r="R66" s="39">
        <v>0</v>
      </c>
    </row>
    <row r="67" spans="1:18" x14ac:dyDescent="0.2">
      <c r="A67" s="38" t="s">
        <v>57</v>
      </c>
      <c r="B67" s="38" t="s">
        <v>35</v>
      </c>
      <c r="D67" s="38">
        <v>0</v>
      </c>
      <c r="E67" s="38">
        <v>0</v>
      </c>
      <c r="F67" s="38">
        <v>0</v>
      </c>
      <c r="H67" s="38">
        <v>0</v>
      </c>
      <c r="I67" s="38">
        <v>0</v>
      </c>
      <c r="J67" s="38">
        <v>0</v>
      </c>
      <c r="L67" s="38">
        <v>0</v>
      </c>
      <c r="M67" s="38">
        <v>0</v>
      </c>
      <c r="N67" s="38">
        <v>0</v>
      </c>
      <c r="P67" s="38">
        <v>0</v>
      </c>
      <c r="Q67" s="38">
        <v>0</v>
      </c>
      <c r="R67" s="38">
        <v>0</v>
      </c>
    </row>
    <row r="68" spans="1:18" x14ac:dyDescent="0.2">
      <c r="A68" s="39" t="s">
        <v>58</v>
      </c>
      <c r="B68" s="39" t="s">
        <v>35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L68" s="39">
        <v>0</v>
      </c>
      <c r="M68" s="39">
        <v>0</v>
      </c>
      <c r="N68" s="39">
        <v>0</v>
      </c>
      <c r="P68" s="39">
        <v>0</v>
      </c>
      <c r="Q68" s="39">
        <v>0</v>
      </c>
      <c r="R68" s="39">
        <v>0</v>
      </c>
    </row>
    <row r="69" spans="1:18" x14ac:dyDescent="0.2">
      <c r="A69" s="38" t="s">
        <v>59</v>
      </c>
      <c r="B69" s="38" t="s">
        <v>35</v>
      </c>
      <c r="D69" s="38">
        <v>0</v>
      </c>
      <c r="E69" s="38">
        <v>0</v>
      </c>
      <c r="F69" s="38">
        <v>0</v>
      </c>
      <c r="H69" s="38">
        <v>0</v>
      </c>
      <c r="I69" s="38">
        <v>0</v>
      </c>
      <c r="J69" s="38">
        <v>0</v>
      </c>
      <c r="L69" s="38">
        <v>0</v>
      </c>
      <c r="M69" s="38">
        <v>0</v>
      </c>
      <c r="N69" s="38">
        <v>0</v>
      </c>
      <c r="P69" s="38">
        <v>0</v>
      </c>
      <c r="Q69" s="38">
        <v>0</v>
      </c>
      <c r="R69" s="38">
        <v>0</v>
      </c>
    </row>
    <row r="70" spans="1:18" x14ac:dyDescent="0.2">
      <c r="A70" s="39" t="s">
        <v>60</v>
      </c>
      <c r="B70" s="39" t="s">
        <v>35</v>
      </c>
      <c r="D70" s="39">
        <v>0</v>
      </c>
      <c r="E70" s="39">
        <v>0</v>
      </c>
      <c r="F70" s="39">
        <v>0</v>
      </c>
      <c r="H70" s="39">
        <v>0</v>
      </c>
      <c r="I70" s="39">
        <v>0</v>
      </c>
      <c r="J70" s="39">
        <v>0</v>
      </c>
      <c r="L70" s="39">
        <v>0</v>
      </c>
      <c r="M70" s="39">
        <v>0</v>
      </c>
      <c r="N70" s="39">
        <v>0</v>
      </c>
      <c r="P70" s="39">
        <v>0</v>
      </c>
      <c r="Q70" s="39">
        <v>0</v>
      </c>
      <c r="R70" s="39">
        <v>0</v>
      </c>
    </row>
    <row r="71" spans="1:18" x14ac:dyDescent="0.2">
      <c r="A71" s="38" t="s">
        <v>61</v>
      </c>
      <c r="B71" s="38" t="s">
        <v>35</v>
      </c>
      <c r="D71" s="38">
        <v>0</v>
      </c>
      <c r="E71" s="38">
        <v>0</v>
      </c>
      <c r="F71" s="38">
        <v>0</v>
      </c>
      <c r="H71" s="38">
        <v>0</v>
      </c>
      <c r="I71" s="38">
        <v>0</v>
      </c>
      <c r="J71" s="38">
        <v>0</v>
      </c>
      <c r="L71" s="38">
        <v>0</v>
      </c>
      <c r="M71" s="38">
        <v>0</v>
      </c>
      <c r="N71" s="38">
        <v>0</v>
      </c>
      <c r="P71" s="38">
        <v>0</v>
      </c>
      <c r="Q71" s="38">
        <v>0</v>
      </c>
      <c r="R71" s="38">
        <v>0</v>
      </c>
    </row>
    <row r="72" spans="1:18" x14ac:dyDescent="0.2">
      <c r="A72" s="39" t="s">
        <v>62</v>
      </c>
      <c r="B72" s="39" t="s">
        <v>35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L72" s="39">
        <v>0</v>
      </c>
      <c r="M72" s="39">
        <v>0</v>
      </c>
      <c r="N72" s="39">
        <v>0</v>
      </c>
      <c r="P72" s="39">
        <v>0</v>
      </c>
      <c r="Q72" s="39">
        <v>0</v>
      </c>
      <c r="R72" s="39">
        <v>0</v>
      </c>
    </row>
    <row r="73" spans="1:18" x14ac:dyDescent="0.2">
      <c r="A73" s="38" t="s">
        <v>63</v>
      </c>
      <c r="B73" s="38" t="s">
        <v>35</v>
      </c>
      <c r="D73" s="38">
        <v>0</v>
      </c>
      <c r="E73" s="38">
        <v>0</v>
      </c>
      <c r="F73" s="38">
        <v>0</v>
      </c>
      <c r="H73" s="38">
        <v>0</v>
      </c>
      <c r="I73" s="38">
        <v>0</v>
      </c>
      <c r="J73" s="38">
        <v>0</v>
      </c>
      <c r="L73" s="38">
        <v>0</v>
      </c>
      <c r="M73" s="38">
        <v>0</v>
      </c>
      <c r="N73" s="38">
        <v>0</v>
      </c>
      <c r="P73" s="38">
        <v>0</v>
      </c>
      <c r="Q73" s="38">
        <v>0</v>
      </c>
      <c r="R73" s="38">
        <v>0</v>
      </c>
    </row>
    <row r="74" spans="1:18" x14ac:dyDescent="0.2">
      <c r="A74" s="39" t="s">
        <v>64</v>
      </c>
      <c r="B74" s="39" t="s">
        <v>35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L74" s="39">
        <v>0</v>
      </c>
      <c r="M74" s="39">
        <v>0</v>
      </c>
      <c r="N74" s="39">
        <v>0</v>
      </c>
      <c r="P74" s="39">
        <v>0</v>
      </c>
      <c r="Q74" s="39">
        <v>0</v>
      </c>
      <c r="R74" s="39">
        <v>0</v>
      </c>
    </row>
    <row r="75" spans="1:18" x14ac:dyDescent="0.2">
      <c r="A75" s="38" t="s">
        <v>65</v>
      </c>
      <c r="B75" s="38" t="s">
        <v>35</v>
      </c>
      <c r="D75" s="38">
        <v>0</v>
      </c>
      <c r="E75" s="38">
        <v>0</v>
      </c>
      <c r="F75" s="38">
        <v>0</v>
      </c>
      <c r="H75" s="38">
        <v>0</v>
      </c>
      <c r="I75" s="38">
        <v>0</v>
      </c>
      <c r="J75" s="38">
        <v>0</v>
      </c>
      <c r="L75" s="38">
        <v>0</v>
      </c>
      <c r="M75" s="38">
        <v>0</v>
      </c>
      <c r="N75" s="38">
        <v>0</v>
      </c>
      <c r="P75" s="38">
        <v>0</v>
      </c>
      <c r="Q75" s="38">
        <v>0</v>
      </c>
      <c r="R75" s="38">
        <v>0</v>
      </c>
    </row>
    <row r="76" spans="1:18" x14ac:dyDescent="0.2">
      <c r="A76" s="39" t="s">
        <v>66</v>
      </c>
      <c r="B76" s="39" t="s">
        <v>35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L76" s="39">
        <v>0</v>
      </c>
      <c r="M76" s="39">
        <v>0</v>
      </c>
      <c r="N76" s="39">
        <v>0</v>
      </c>
      <c r="P76" s="39">
        <v>0</v>
      </c>
      <c r="Q76" s="39">
        <v>0</v>
      </c>
      <c r="R76" s="39">
        <v>0</v>
      </c>
    </row>
    <row r="77" spans="1:18" x14ac:dyDescent="0.2">
      <c r="A77" s="38" t="s">
        <v>67</v>
      </c>
      <c r="B77" s="38" t="s">
        <v>35</v>
      </c>
      <c r="D77" s="38">
        <v>0</v>
      </c>
      <c r="E77" s="38">
        <v>0</v>
      </c>
      <c r="F77" s="38">
        <v>0</v>
      </c>
      <c r="H77" s="38">
        <v>0</v>
      </c>
      <c r="I77" s="38">
        <v>0</v>
      </c>
      <c r="J77" s="38">
        <v>0</v>
      </c>
      <c r="L77" s="38">
        <v>0</v>
      </c>
      <c r="M77" s="38">
        <v>0</v>
      </c>
      <c r="N77" s="38">
        <v>0</v>
      </c>
      <c r="P77" s="38">
        <v>0</v>
      </c>
      <c r="Q77" s="38">
        <v>0</v>
      </c>
      <c r="R77" s="38">
        <v>0</v>
      </c>
    </row>
    <row r="78" spans="1:18" x14ac:dyDescent="0.2">
      <c r="A78" s="39" t="s">
        <v>68</v>
      </c>
      <c r="B78" s="39" t="s">
        <v>35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L78" s="39">
        <v>0</v>
      </c>
      <c r="M78" s="39">
        <v>0</v>
      </c>
      <c r="N78" s="39">
        <v>0</v>
      </c>
      <c r="P78" s="39">
        <v>0</v>
      </c>
      <c r="Q78" s="39">
        <v>0</v>
      </c>
      <c r="R78" s="39">
        <v>0</v>
      </c>
    </row>
    <row r="79" spans="1:18" x14ac:dyDescent="0.2">
      <c r="A79" s="38" t="s">
        <v>69</v>
      </c>
      <c r="B79" s="38" t="s">
        <v>35</v>
      </c>
      <c r="D79" s="38">
        <v>0</v>
      </c>
      <c r="E79" s="38">
        <v>0</v>
      </c>
      <c r="F79" s="38">
        <v>0</v>
      </c>
      <c r="H79" s="38">
        <v>0</v>
      </c>
      <c r="I79" s="38">
        <v>0</v>
      </c>
      <c r="J79" s="38">
        <v>0</v>
      </c>
      <c r="L79" s="38">
        <v>0</v>
      </c>
      <c r="M79" s="38">
        <v>0</v>
      </c>
      <c r="N79" s="38">
        <v>0</v>
      </c>
      <c r="P79" s="38">
        <v>0</v>
      </c>
      <c r="Q79" s="38">
        <v>0</v>
      </c>
      <c r="R79" s="38">
        <v>0</v>
      </c>
    </row>
    <row r="80" spans="1:18" x14ac:dyDescent="0.2">
      <c r="A80" s="39" t="s">
        <v>70</v>
      </c>
      <c r="B80" s="39" t="s">
        <v>35</v>
      </c>
      <c r="D80" s="39">
        <v>0</v>
      </c>
      <c r="E80" s="39">
        <v>0</v>
      </c>
      <c r="F80" s="39">
        <v>0</v>
      </c>
      <c r="H80" s="39">
        <v>0</v>
      </c>
      <c r="I80" s="39">
        <v>0</v>
      </c>
      <c r="J80" s="39">
        <v>0</v>
      </c>
      <c r="L80" s="39">
        <v>0</v>
      </c>
      <c r="M80" s="39">
        <v>0</v>
      </c>
      <c r="N80" s="39">
        <v>0</v>
      </c>
      <c r="P80" s="39">
        <v>0</v>
      </c>
      <c r="Q80" s="39">
        <v>0</v>
      </c>
      <c r="R80" s="39">
        <v>0</v>
      </c>
    </row>
    <row r="81" spans="1:18" x14ac:dyDescent="0.2">
      <c r="A81" s="38" t="s">
        <v>71</v>
      </c>
      <c r="B81" s="38" t="s">
        <v>35</v>
      </c>
      <c r="D81" s="38">
        <v>0</v>
      </c>
      <c r="E81" s="38">
        <v>0</v>
      </c>
      <c r="F81" s="38">
        <v>0</v>
      </c>
      <c r="H81" s="38">
        <v>0</v>
      </c>
      <c r="I81" s="38">
        <v>0</v>
      </c>
      <c r="J81" s="38">
        <v>0</v>
      </c>
      <c r="L81" s="38">
        <v>0</v>
      </c>
      <c r="M81" s="38">
        <v>0</v>
      </c>
      <c r="N81" s="38">
        <v>0</v>
      </c>
      <c r="P81" s="38">
        <v>0</v>
      </c>
      <c r="Q81" s="38">
        <v>0</v>
      </c>
      <c r="R81" s="38">
        <v>0</v>
      </c>
    </row>
    <row r="82" spans="1:18" x14ac:dyDescent="0.2">
      <c r="A82" s="39" t="s">
        <v>72</v>
      </c>
      <c r="B82" s="39" t="s">
        <v>35</v>
      </c>
      <c r="D82" s="39">
        <v>0</v>
      </c>
      <c r="E82" s="39">
        <v>0</v>
      </c>
      <c r="F82" s="39">
        <v>0</v>
      </c>
      <c r="H82" s="39">
        <v>0</v>
      </c>
      <c r="I82" s="39">
        <v>0</v>
      </c>
      <c r="J82" s="39">
        <v>0</v>
      </c>
      <c r="L82" s="39">
        <v>0</v>
      </c>
      <c r="M82" s="39">
        <v>0</v>
      </c>
      <c r="N82" s="39">
        <v>0</v>
      </c>
      <c r="P82" s="39">
        <v>0</v>
      </c>
      <c r="Q82" s="39">
        <v>0</v>
      </c>
      <c r="R82" s="39">
        <v>0</v>
      </c>
    </row>
    <row r="83" spans="1:18" x14ac:dyDescent="0.2">
      <c r="A83" s="38" t="s">
        <v>73</v>
      </c>
      <c r="B83" s="38" t="s">
        <v>35</v>
      </c>
      <c r="D83" s="38">
        <v>0</v>
      </c>
      <c r="E83" s="38">
        <v>0</v>
      </c>
      <c r="F83" s="38">
        <v>0</v>
      </c>
      <c r="H83" s="38">
        <v>0</v>
      </c>
      <c r="I83" s="38">
        <v>0</v>
      </c>
      <c r="J83" s="38">
        <v>0</v>
      </c>
      <c r="L83" s="38">
        <v>0</v>
      </c>
      <c r="M83" s="38">
        <v>0</v>
      </c>
      <c r="N83" s="38">
        <v>0</v>
      </c>
      <c r="P83" s="38">
        <v>0</v>
      </c>
      <c r="Q83" s="38">
        <v>0</v>
      </c>
      <c r="R83" s="38">
        <v>0</v>
      </c>
    </row>
    <row r="84" spans="1:18" x14ac:dyDescent="0.2">
      <c r="A84" s="39" t="s">
        <v>74</v>
      </c>
      <c r="B84" s="39" t="s">
        <v>35</v>
      </c>
      <c r="D84" s="39">
        <v>0</v>
      </c>
      <c r="E84" s="39">
        <v>0</v>
      </c>
      <c r="F84" s="39">
        <v>0</v>
      </c>
      <c r="H84" s="39">
        <v>0</v>
      </c>
      <c r="I84" s="39">
        <v>0</v>
      </c>
      <c r="J84" s="39">
        <v>0</v>
      </c>
      <c r="L84" s="39">
        <v>0</v>
      </c>
      <c r="M84" s="39">
        <v>0</v>
      </c>
      <c r="N84" s="39">
        <v>0</v>
      </c>
      <c r="P84" s="39">
        <v>0</v>
      </c>
      <c r="Q84" s="39">
        <v>0</v>
      </c>
      <c r="R84" s="39">
        <v>0</v>
      </c>
    </row>
    <row r="85" spans="1:18" x14ac:dyDescent="0.2">
      <c r="A85" s="38" t="s">
        <v>75</v>
      </c>
      <c r="B85" s="38" t="s">
        <v>35</v>
      </c>
      <c r="D85" s="38">
        <v>0</v>
      </c>
      <c r="E85" s="38">
        <v>0</v>
      </c>
      <c r="F85" s="38">
        <v>0</v>
      </c>
      <c r="H85" s="38">
        <v>0</v>
      </c>
      <c r="I85" s="38">
        <v>0</v>
      </c>
      <c r="J85" s="38">
        <v>0</v>
      </c>
      <c r="L85" s="38">
        <v>0</v>
      </c>
      <c r="M85" s="38">
        <v>0</v>
      </c>
      <c r="N85" s="38">
        <v>0</v>
      </c>
      <c r="P85" s="38">
        <v>0</v>
      </c>
      <c r="Q85" s="38">
        <v>0</v>
      </c>
      <c r="R85" s="38">
        <v>0</v>
      </c>
    </row>
    <row r="86" spans="1:18" x14ac:dyDescent="0.2">
      <c r="A86" s="39" t="s">
        <v>76</v>
      </c>
      <c r="B86" s="39" t="s">
        <v>35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L86" s="39">
        <v>0</v>
      </c>
      <c r="M86" s="39">
        <v>0</v>
      </c>
      <c r="N86" s="39">
        <v>0</v>
      </c>
      <c r="P86" s="39">
        <v>0</v>
      </c>
      <c r="Q86" s="39">
        <v>0</v>
      </c>
      <c r="R86" s="39">
        <v>0</v>
      </c>
    </row>
    <row r="87" spans="1:18" x14ac:dyDescent="0.2">
      <c r="A87" s="38" t="s">
        <v>77</v>
      </c>
      <c r="B87" s="38" t="s">
        <v>35</v>
      </c>
      <c r="D87" s="38">
        <v>0</v>
      </c>
      <c r="E87" s="38">
        <v>0</v>
      </c>
      <c r="F87" s="38">
        <v>0</v>
      </c>
      <c r="H87" s="38">
        <v>0</v>
      </c>
      <c r="I87" s="38">
        <v>0</v>
      </c>
      <c r="J87" s="38">
        <v>0</v>
      </c>
      <c r="L87" s="38">
        <v>0</v>
      </c>
      <c r="M87" s="38">
        <v>0</v>
      </c>
      <c r="N87" s="38">
        <v>0</v>
      </c>
      <c r="P87" s="38">
        <v>0</v>
      </c>
      <c r="Q87" s="38">
        <v>0</v>
      </c>
      <c r="R87" s="38">
        <v>0</v>
      </c>
    </row>
    <row r="88" spans="1:18" x14ac:dyDescent="0.2">
      <c r="A88" s="39" t="s">
        <v>125</v>
      </c>
      <c r="B88" s="39" t="s">
        <v>35</v>
      </c>
      <c r="D88" s="39">
        <v>0</v>
      </c>
      <c r="E88" s="39">
        <v>0</v>
      </c>
      <c r="F88" s="39">
        <v>0</v>
      </c>
      <c r="H88" s="39">
        <v>0</v>
      </c>
      <c r="I88" s="39">
        <v>0</v>
      </c>
      <c r="J88" s="39">
        <v>0</v>
      </c>
      <c r="L88" s="39">
        <v>0</v>
      </c>
      <c r="M88" s="39">
        <v>0</v>
      </c>
      <c r="N88" s="39">
        <v>0</v>
      </c>
      <c r="P88" s="39">
        <v>0</v>
      </c>
      <c r="Q88" s="39">
        <v>0</v>
      </c>
      <c r="R88" s="39">
        <v>0</v>
      </c>
    </row>
    <row r="89" spans="1:18" x14ac:dyDescent="0.2">
      <c r="A89" s="38" t="s">
        <v>80</v>
      </c>
      <c r="B89" s="38" t="s">
        <v>36</v>
      </c>
      <c r="D89" s="38">
        <v>0</v>
      </c>
      <c r="E89" s="38">
        <v>0</v>
      </c>
      <c r="F89" s="38">
        <v>0</v>
      </c>
      <c r="H89" s="38">
        <v>0</v>
      </c>
      <c r="I89" s="38">
        <v>0</v>
      </c>
      <c r="J89" s="38">
        <v>0</v>
      </c>
      <c r="L89" s="38">
        <v>0</v>
      </c>
      <c r="M89" s="38">
        <v>0</v>
      </c>
      <c r="N89" s="38">
        <v>0</v>
      </c>
      <c r="P89" s="38">
        <v>0</v>
      </c>
      <c r="Q89" s="38">
        <v>0</v>
      </c>
      <c r="R89" s="38">
        <v>0</v>
      </c>
    </row>
    <row r="90" spans="1:18" x14ac:dyDescent="0.2">
      <c r="A90" s="39" t="s">
        <v>81</v>
      </c>
      <c r="B90" s="39" t="s">
        <v>36</v>
      </c>
      <c r="D90" s="39">
        <v>0</v>
      </c>
      <c r="E90" s="39">
        <v>0</v>
      </c>
      <c r="F90" s="39">
        <v>0</v>
      </c>
      <c r="H90" s="39">
        <v>0</v>
      </c>
      <c r="I90" s="39">
        <v>0</v>
      </c>
      <c r="J90" s="39">
        <v>0</v>
      </c>
      <c r="L90" s="39">
        <v>0</v>
      </c>
      <c r="M90" s="39">
        <v>0</v>
      </c>
      <c r="N90" s="39">
        <v>0</v>
      </c>
      <c r="P90" s="39">
        <v>0</v>
      </c>
      <c r="Q90" s="39">
        <v>0</v>
      </c>
      <c r="R90" s="39">
        <v>0</v>
      </c>
    </row>
    <row r="91" spans="1:18" x14ac:dyDescent="0.2">
      <c r="A91" s="38" t="s">
        <v>82</v>
      </c>
      <c r="B91" s="38" t="s">
        <v>36</v>
      </c>
      <c r="D91" s="38">
        <v>0</v>
      </c>
      <c r="E91" s="38">
        <v>0</v>
      </c>
      <c r="F91" s="38">
        <v>0</v>
      </c>
      <c r="H91" s="38">
        <v>0</v>
      </c>
      <c r="I91" s="38">
        <v>0</v>
      </c>
      <c r="J91" s="38">
        <v>0</v>
      </c>
      <c r="L91" s="38">
        <v>0</v>
      </c>
      <c r="M91" s="38">
        <v>0</v>
      </c>
      <c r="N91" s="38">
        <v>0</v>
      </c>
      <c r="P91" s="38">
        <v>0</v>
      </c>
      <c r="Q91" s="38">
        <v>0</v>
      </c>
      <c r="R91" s="38">
        <v>0</v>
      </c>
    </row>
    <row r="92" spans="1:18" x14ac:dyDescent="0.2">
      <c r="A92" s="39" t="s">
        <v>39</v>
      </c>
      <c r="B92" s="39" t="s">
        <v>36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L92" s="39">
        <v>0</v>
      </c>
      <c r="M92" s="39">
        <v>0</v>
      </c>
      <c r="N92" s="39">
        <v>0</v>
      </c>
      <c r="P92" s="39">
        <v>0</v>
      </c>
      <c r="Q92" s="39">
        <v>0</v>
      </c>
      <c r="R92" s="39">
        <v>0</v>
      </c>
    </row>
    <row r="93" spans="1:18" x14ac:dyDescent="0.2">
      <c r="A93" s="38" t="s">
        <v>40</v>
      </c>
      <c r="B93" s="38" t="s">
        <v>36</v>
      </c>
      <c r="D93" s="38">
        <v>0</v>
      </c>
      <c r="E93" s="38">
        <v>0</v>
      </c>
      <c r="F93" s="38">
        <v>0</v>
      </c>
      <c r="H93" s="38">
        <v>0</v>
      </c>
      <c r="I93" s="38">
        <v>0</v>
      </c>
      <c r="J93" s="38">
        <v>0</v>
      </c>
      <c r="L93" s="38">
        <v>0</v>
      </c>
      <c r="M93" s="38">
        <v>0</v>
      </c>
      <c r="N93" s="38">
        <v>0</v>
      </c>
      <c r="P93" s="38">
        <v>0</v>
      </c>
      <c r="Q93" s="38">
        <v>0</v>
      </c>
      <c r="R93" s="38">
        <v>0</v>
      </c>
    </row>
    <row r="94" spans="1:18" x14ac:dyDescent="0.2">
      <c r="A94" s="39" t="s">
        <v>41</v>
      </c>
      <c r="B94" s="39" t="s">
        <v>36</v>
      </c>
      <c r="D94" s="39">
        <v>0</v>
      </c>
      <c r="E94" s="39">
        <v>0</v>
      </c>
      <c r="F94" s="39">
        <v>0</v>
      </c>
      <c r="H94" s="39">
        <v>0</v>
      </c>
      <c r="I94" s="39">
        <v>0</v>
      </c>
      <c r="J94" s="39">
        <v>0</v>
      </c>
      <c r="L94" s="39">
        <v>0</v>
      </c>
      <c r="M94" s="39">
        <v>0</v>
      </c>
      <c r="N94" s="39">
        <v>0</v>
      </c>
      <c r="P94" s="39">
        <v>0</v>
      </c>
      <c r="Q94" s="39">
        <v>0</v>
      </c>
      <c r="R94" s="39">
        <v>0</v>
      </c>
    </row>
    <row r="95" spans="1:18" x14ac:dyDescent="0.2">
      <c r="A95" s="38" t="s">
        <v>42</v>
      </c>
      <c r="B95" s="38" t="s">
        <v>36</v>
      </c>
      <c r="D95" s="38">
        <v>0</v>
      </c>
      <c r="E95" s="38">
        <v>0</v>
      </c>
      <c r="F95" s="38">
        <v>0</v>
      </c>
      <c r="H95" s="38">
        <v>0</v>
      </c>
      <c r="I95" s="38">
        <v>0</v>
      </c>
      <c r="J95" s="38">
        <v>0</v>
      </c>
      <c r="L95" s="38">
        <v>0</v>
      </c>
      <c r="M95" s="38">
        <v>0</v>
      </c>
      <c r="N95" s="38">
        <v>0</v>
      </c>
      <c r="P95" s="38">
        <v>0</v>
      </c>
      <c r="Q95" s="38">
        <v>0</v>
      </c>
      <c r="R95" s="38">
        <v>0</v>
      </c>
    </row>
    <row r="96" spans="1:18" x14ac:dyDescent="0.2">
      <c r="A96" s="39" t="s">
        <v>43</v>
      </c>
      <c r="B96" s="39" t="s">
        <v>36</v>
      </c>
      <c r="D96" s="39">
        <v>0</v>
      </c>
      <c r="E96" s="39">
        <v>0</v>
      </c>
      <c r="F96" s="39">
        <v>0</v>
      </c>
      <c r="H96" s="39">
        <v>0</v>
      </c>
      <c r="I96" s="39">
        <v>0</v>
      </c>
      <c r="J96" s="39">
        <v>0</v>
      </c>
      <c r="L96" s="39">
        <v>0</v>
      </c>
      <c r="M96" s="39">
        <v>0</v>
      </c>
      <c r="N96" s="39">
        <v>0</v>
      </c>
      <c r="P96" s="39">
        <v>0</v>
      </c>
      <c r="Q96" s="39">
        <v>0</v>
      </c>
      <c r="R96" s="39">
        <v>0</v>
      </c>
    </row>
    <row r="97" spans="1:18" x14ac:dyDescent="0.2">
      <c r="A97" s="38" t="s">
        <v>44</v>
      </c>
      <c r="B97" s="38" t="s">
        <v>36</v>
      </c>
      <c r="D97" s="38">
        <v>0</v>
      </c>
      <c r="E97" s="38">
        <v>0</v>
      </c>
      <c r="F97" s="38">
        <v>0</v>
      </c>
      <c r="H97" s="38">
        <v>0</v>
      </c>
      <c r="I97" s="38">
        <v>0</v>
      </c>
      <c r="J97" s="38">
        <v>0</v>
      </c>
      <c r="L97" s="38">
        <v>0</v>
      </c>
      <c r="M97" s="38">
        <v>0</v>
      </c>
      <c r="N97" s="38">
        <v>0</v>
      </c>
      <c r="P97" s="38">
        <v>0</v>
      </c>
      <c r="Q97" s="38">
        <v>0</v>
      </c>
      <c r="R97" s="38">
        <v>0</v>
      </c>
    </row>
    <row r="98" spans="1:18" x14ac:dyDescent="0.2">
      <c r="A98" s="39" t="s">
        <v>45</v>
      </c>
      <c r="B98" s="39" t="s">
        <v>36</v>
      </c>
      <c r="D98" s="39">
        <v>67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L98" s="39">
        <v>3</v>
      </c>
      <c r="M98" s="39">
        <v>10</v>
      </c>
      <c r="N98" s="39">
        <v>1</v>
      </c>
      <c r="P98" s="39">
        <v>0</v>
      </c>
      <c r="Q98" s="39">
        <v>2</v>
      </c>
      <c r="R98" s="39">
        <v>0</v>
      </c>
    </row>
    <row r="99" spans="1:18" x14ac:dyDescent="0.2">
      <c r="A99" s="38" t="s">
        <v>46</v>
      </c>
      <c r="B99" s="38" t="s">
        <v>36</v>
      </c>
      <c r="D99" s="38">
        <v>1</v>
      </c>
      <c r="E99" s="38">
        <v>0</v>
      </c>
      <c r="F99" s="38">
        <v>0</v>
      </c>
      <c r="H99" s="38">
        <v>0</v>
      </c>
      <c r="I99" s="38">
        <v>0</v>
      </c>
      <c r="J99" s="38">
        <v>0</v>
      </c>
      <c r="L99" s="38">
        <v>0</v>
      </c>
      <c r="M99" s="38">
        <v>1</v>
      </c>
      <c r="N99" s="38">
        <v>0</v>
      </c>
      <c r="P99" s="38">
        <v>0</v>
      </c>
      <c r="Q99" s="38">
        <v>1</v>
      </c>
      <c r="R99" s="38">
        <v>0</v>
      </c>
    </row>
    <row r="100" spans="1:18" x14ac:dyDescent="0.2">
      <c r="A100" s="39" t="s">
        <v>47</v>
      </c>
      <c r="B100" s="39" t="s">
        <v>36</v>
      </c>
      <c r="D100" s="39">
        <v>4</v>
      </c>
      <c r="E100" s="39">
        <v>0</v>
      </c>
      <c r="F100" s="39">
        <v>0</v>
      </c>
      <c r="H100" s="39">
        <v>0</v>
      </c>
      <c r="I100" s="39">
        <v>1</v>
      </c>
      <c r="J100" s="39">
        <v>0</v>
      </c>
      <c r="L100" s="39">
        <v>0</v>
      </c>
      <c r="M100" s="39">
        <v>1</v>
      </c>
      <c r="N100" s="39">
        <v>0</v>
      </c>
      <c r="P100" s="39">
        <v>0</v>
      </c>
      <c r="Q100" s="39">
        <v>0</v>
      </c>
      <c r="R100" s="39">
        <v>0</v>
      </c>
    </row>
    <row r="101" spans="1:18" x14ac:dyDescent="0.2">
      <c r="A101" s="38" t="s">
        <v>48</v>
      </c>
      <c r="B101" s="38" t="s">
        <v>36</v>
      </c>
      <c r="D101" s="38">
        <v>69</v>
      </c>
      <c r="E101" s="38">
        <v>0</v>
      </c>
      <c r="F101" s="38">
        <v>0</v>
      </c>
      <c r="H101" s="38">
        <v>0</v>
      </c>
      <c r="I101" s="38">
        <v>0</v>
      </c>
      <c r="J101" s="38">
        <v>0</v>
      </c>
      <c r="L101" s="38">
        <v>4</v>
      </c>
      <c r="M101" s="38">
        <v>6</v>
      </c>
      <c r="N101" s="38">
        <v>3</v>
      </c>
      <c r="P101" s="38">
        <v>0</v>
      </c>
      <c r="Q101" s="38">
        <v>0</v>
      </c>
      <c r="R101" s="38">
        <v>0</v>
      </c>
    </row>
    <row r="102" spans="1:18" x14ac:dyDescent="0.2">
      <c r="A102" s="39" t="s">
        <v>49</v>
      </c>
      <c r="B102" s="39" t="s">
        <v>36</v>
      </c>
      <c r="D102" s="39">
        <v>2</v>
      </c>
      <c r="E102" s="39">
        <v>0</v>
      </c>
      <c r="F102" s="39">
        <v>0</v>
      </c>
      <c r="H102" s="39">
        <v>0</v>
      </c>
      <c r="I102" s="39">
        <v>0</v>
      </c>
      <c r="J102" s="39">
        <v>0</v>
      </c>
      <c r="L102" s="39">
        <v>1</v>
      </c>
      <c r="M102" s="39">
        <v>0</v>
      </c>
      <c r="N102" s="39">
        <v>1</v>
      </c>
      <c r="P102" s="39">
        <v>0</v>
      </c>
      <c r="Q102" s="39">
        <v>0</v>
      </c>
      <c r="R102" s="39">
        <v>0</v>
      </c>
    </row>
    <row r="103" spans="1:18" x14ac:dyDescent="0.2">
      <c r="A103" s="38" t="s">
        <v>50</v>
      </c>
      <c r="B103" s="38" t="s">
        <v>36</v>
      </c>
      <c r="D103" s="38">
        <v>0</v>
      </c>
      <c r="E103" s="38">
        <v>0</v>
      </c>
      <c r="F103" s="38">
        <v>0</v>
      </c>
      <c r="H103" s="38">
        <v>0</v>
      </c>
      <c r="I103" s="38">
        <v>0</v>
      </c>
      <c r="J103" s="38">
        <v>0</v>
      </c>
      <c r="L103" s="38">
        <v>0</v>
      </c>
      <c r="M103" s="38">
        <v>0</v>
      </c>
      <c r="N103" s="38">
        <v>0</v>
      </c>
      <c r="P103" s="38">
        <v>0</v>
      </c>
      <c r="Q103" s="38">
        <v>0</v>
      </c>
      <c r="R103" s="38">
        <v>0</v>
      </c>
    </row>
    <row r="104" spans="1:18" x14ac:dyDescent="0.2">
      <c r="A104" s="39" t="s">
        <v>51</v>
      </c>
      <c r="B104" s="39" t="s">
        <v>36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L104" s="39">
        <v>0</v>
      </c>
      <c r="M104" s="39">
        <v>0</v>
      </c>
      <c r="N104" s="39">
        <v>0</v>
      </c>
      <c r="P104" s="39">
        <v>0</v>
      </c>
      <c r="Q104" s="39">
        <v>0</v>
      </c>
      <c r="R104" s="39">
        <v>0</v>
      </c>
    </row>
    <row r="105" spans="1:18" x14ac:dyDescent="0.2">
      <c r="A105" s="38" t="s">
        <v>52</v>
      </c>
      <c r="B105" s="38" t="s">
        <v>36</v>
      </c>
      <c r="D105" s="38">
        <v>0</v>
      </c>
      <c r="E105" s="38">
        <v>0</v>
      </c>
      <c r="F105" s="38">
        <v>0</v>
      </c>
      <c r="H105" s="38">
        <v>0</v>
      </c>
      <c r="I105" s="38">
        <v>0</v>
      </c>
      <c r="J105" s="38">
        <v>0</v>
      </c>
      <c r="L105" s="38">
        <v>0</v>
      </c>
      <c r="M105" s="38">
        <v>0</v>
      </c>
      <c r="N105" s="38">
        <v>0</v>
      </c>
      <c r="P105" s="38">
        <v>0</v>
      </c>
      <c r="Q105" s="38">
        <v>0</v>
      </c>
      <c r="R105" s="38">
        <v>0</v>
      </c>
    </row>
    <row r="106" spans="1:18" x14ac:dyDescent="0.2">
      <c r="A106" s="39" t="s">
        <v>53</v>
      </c>
      <c r="B106" s="39" t="s">
        <v>36</v>
      </c>
      <c r="D106" s="39">
        <v>0</v>
      </c>
      <c r="E106" s="39">
        <v>0</v>
      </c>
      <c r="F106" s="39">
        <v>0</v>
      </c>
      <c r="H106" s="39">
        <v>0</v>
      </c>
      <c r="I106" s="39">
        <v>0</v>
      </c>
      <c r="J106" s="39">
        <v>0</v>
      </c>
      <c r="L106" s="39">
        <v>0</v>
      </c>
      <c r="M106" s="39">
        <v>0</v>
      </c>
      <c r="N106" s="39">
        <v>0</v>
      </c>
      <c r="P106" s="39">
        <v>0</v>
      </c>
      <c r="Q106" s="39">
        <v>0</v>
      </c>
      <c r="R106" s="39">
        <v>0</v>
      </c>
    </row>
    <row r="107" spans="1:18" x14ac:dyDescent="0.2">
      <c r="A107" s="38" t="s">
        <v>54</v>
      </c>
      <c r="B107" s="38" t="s">
        <v>36</v>
      </c>
      <c r="D107" s="38">
        <v>2</v>
      </c>
      <c r="E107" s="38">
        <v>0</v>
      </c>
      <c r="F107" s="38">
        <v>0</v>
      </c>
      <c r="H107" s="38">
        <v>0</v>
      </c>
      <c r="I107" s="38">
        <v>0</v>
      </c>
      <c r="J107" s="38">
        <v>0</v>
      </c>
      <c r="L107" s="38">
        <v>0</v>
      </c>
      <c r="M107" s="38">
        <v>0</v>
      </c>
      <c r="N107" s="38">
        <v>1</v>
      </c>
      <c r="P107" s="38">
        <v>0</v>
      </c>
      <c r="Q107" s="38">
        <v>0</v>
      </c>
      <c r="R107" s="38">
        <v>1</v>
      </c>
    </row>
    <row r="108" spans="1:18" x14ac:dyDescent="0.2">
      <c r="A108" s="39" t="s">
        <v>55</v>
      </c>
      <c r="B108" s="39" t="s">
        <v>36</v>
      </c>
      <c r="D108" s="39">
        <v>13</v>
      </c>
      <c r="E108" s="39">
        <v>0</v>
      </c>
      <c r="F108" s="39">
        <v>0</v>
      </c>
      <c r="H108" s="39">
        <v>0</v>
      </c>
      <c r="I108" s="39">
        <v>0</v>
      </c>
      <c r="J108" s="39">
        <v>0</v>
      </c>
      <c r="L108" s="39">
        <v>0</v>
      </c>
      <c r="M108" s="39">
        <v>3</v>
      </c>
      <c r="N108" s="39">
        <v>0</v>
      </c>
      <c r="P108" s="39">
        <v>0</v>
      </c>
      <c r="Q108" s="39">
        <v>0</v>
      </c>
      <c r="R108" s="39">
        <v>0</v>
      </c>
    </row>
    <row r="109" spans="1:18" x14ac:dyDescent="0.2">
      <c r="A109" s="38" t="s">
        <v>56</v>
      </c>
      <c r="B109" s="38" t="s">
        <v>36</v>
      </c>
      <c r="D109" s="38">
        <v>0</v>
      </c>
      <c r="E109" s="38">
        <v>0</v>
      </c>
      <c r="F109" s="38">
        <v>0</v>
      </c>
      <c r="H109" s="38">
        <v>0</v>
      </c>
      <c r="I109" s="38">
        <v>0</v>
      </c>
      <c r="J109" s="38">
        <v>0</v>
      </c>
      <c r="L109" s="38">
        <v>0</v>
      </c>
      <c r="M109" s="38">
        <v>0</v>
      </c>
      <c r="N109" s="38">
        <v>0</v>
      </c>
      <c r="P109" s="38">
        <v>0</v>
      </c>
      <c r="Q109" s="38">
        <v>0</v>
      </c>
      <c r="R109" s="38">
        <v>0</v>
      </c>
    </row>
    <row r="110" spans="1:18" x14ac:dyDescent="0.2">
      <c r="A110" s="39" t="s">
        <v>57</v>
      </c>
      <c r="B110" s="39" t="s">
        <v>36</v>
      </c>
      <c r="D110" s="39">
        <v>3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L110" s="39">
        <v>1</v>
      </c>
      <c r="M110" s="39">
        <v>0</v>
      </c>
      <c r="N110" s="39">
        <v>0</v>
      </c>
      <c r="P110" s="39">
        <v>0</v>
      </c>
      <c r="Q110" s="39">
        <v>0</v>
      </c>
      <c r="R110" s="39">
        <v>0</v>
      </c>
    </row>
    <row r="111" spans="1:18" x14ac:dyDescent="0.2">
      <c r="A111" s="38" t="s">
        <v>58</v>
      </c>
      <c r="B111" s="38" t="s">
        <v>36</v>
      </c>
      <c r="D111" s="38">
        <v>45</v>
      </c>
      <c r="E111" s="38">
        <v>0</v>
      </c>
      <c r="F111" s="38">
        <v>0</v>
      </c>
      <c r="H111" s="38">
        <v>1</v>
      </c>
      <c r="I111" s="38">
        <v>0</v>
      </c>
      <c r="J111" s="38">
        <v>0</v>
      </c>
      <c r="L111" s="38">
        <v>6</v>
      </c>
      <c r="M111" s="38">
        <v>6</v>
      </c>
      <c r="N111" s="38">
        <v>2</v>
      </c>
      <c r="P111" s="38">
        <v>1</v>
      </c>
      <c r="Q111" s="38">
        <v>0</v>
      </c>
      <c r="R111" s="38">
        <v>1</v>
      </c>
    </row>
    <row r="112" spans="1:18" x14ac:dyDescent="0.2">
      <c r="A112" s="39" t="s">
        <v>59</v>
      </c>
      <c r="B112" s="39" t="s">
        <v>36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L112" s="39">
        <v>0</v>
      </c>
      <c r="M112" s="39">
        <v>0</v>
      </c>
      <c r="N112" s="39">
        <v>0</v>
      </c>
      <c r="P112" s="39">
        <v>0</v>
      </c>
      <c r="Q112" s="39">
        <v>0</v>
      </c>
      <c r="R112" s="39">
        <v>0</v>
      </c>
    </row>
    <row r="113" spans="1:18" x14ac:dyDescent="0.2">
      <c r="A113" s="38" t="s">
        <v>60</v>
      </c>
      <c r="B113" s="38" t="s">
        <v>36</v>
      </c>
      <c r="D113" s="38">
        <v>29</v>
      </c>
      <c r="E113" s="38">
        <v>0</v>
      </c>
      <c r="F113" s="38">
        <v>0</v>
      </c>
      <c r="H113" s="38">
        <v>0</v>
      </c>
      <c r="I113" s="38">
        <v>0</v>
      </c>
      <c r="J113" s="38">
        <v>0</v>
      </c>
      <c r="L113" s="38">
        <v>0</v>
      </c>
      <c r="M113" s="38">
        <v>3</v>
      </c>
      <c r="N113" s="38">
        <v>1</v>
      </c>
      <c r="P113" s="38">
        <v>0</v>
      </c>
      <c r="Q113" s="38">
        <v>0</v>
      </c>
      <c r="R113" s="38">
        <v>0</v>
      </c>
    </row>
    <row r="114" spans="1:18" x14ac:dyDescent="0.2">
      <c r="A114" s="39" t="s">
        <v>61</v>
      </c>
      <c r="B114" s="39" t="s">
        <v>36</v>
      </c>
      <c r="D114" s="39">
        <v>90</v>
      </c>
      <c r="E114" s="39">
        <v>0</v>
      </c>
      <c r="F114" s="39">
        <v>0</v>
      </c>
      <c r="H114" s="39">
        <v>0</v>
      </c>
      <c r="I114" s="39">
        <v>1</v>
      </c>
      <c r="J114" s="39">
        <v>1</v>
      </c>
      <c r="L114" s="39">
        <v>2</v>
      </c>
      <c r="M114" s="39">
        <v>12</v>
      </c>
      <c r="N114" s="39">
        <v>7</v>
      </c>
      <c r="P114" s="39">
        <v>1</v>
      </c>
      <c r="Q114" s="39">
        <v>3</v>
      </c>
      <c r="R114" s="39">
        <v>1</v>
      </c>
    </row>
    <row r="115" spans="1:18" x14ac:dyDescent="0.2">
      <c r="A115" s="38" t="s">
        <v>62</v>
      </c>
      <c r="B115" s="38" t="s">
        <v>36</v>
      </c>
      <c r="D115" s="38">
        <v>104</v>
      </c>
      <c r="E115" s="38">
        <v>0</v>
      </c>
      <c r="F115" s="38">
        <v>0</v>
      </c>
      <c r="H115" s="38">
        <v>0</v>
      </c>
      <c r="I115" s="38">
        <v>0</v>
      </c>
      <c r="J115" s="38">
        <v>0</v>
      </c>
      <c r="L115" s="38">
        <v>14</v>
      </c>
      <c r="M115" s="38">
        <v>10</v>
      </c>
      <c r="N115" s="38">
        <v>9</v>
      </c>
      <c r="P115" s="38">
        <v>2</v>
      </c>
      <c r="Q115" s="38">
        <v>3</v>
      </c>
      <c r="R115" s="38">
        <v>1</v>
      </c>
    </row>
    <row r="116" spans="1:18" x14ac:dyDescent="0.2">
      <c r="A116" s="39" t="s">
        <v>63</v>
      </c>
      <c r="B116" s="39" t="s">
        <v>36</v>
      </c>
      <c r="D116" s="39">
        <v>29</v>
      </c>
      <c r="E116" s="39">
        <v>0</v>
      </c>
      <c r="F116" s="39">
        <v>0</v>
      </c>
      <c r="H116" s="39">
        <v>0</v>
      </c>
      <c r="I116" s="39">
        <v>0</v>
      </c>
      <c r="J116" s="39">
        <v>0</v>
      </c>
      <c r="L116" s="39">
        <v>1</v>
      </c>
      <c r="M116" s="39">
        <v>4</v>
      </c>
      <c r="N116" s="39">
        <v>2</v>
      </c>
      <c r="P116" s="39">
        <v>1</v>
      </c>
      <c r="Q116" s="39">
        <v>3</v>
      </c>
      <c r="R116" s="39">
        <v>1</v>
      </c>
    </row>
    <row r="117" spans="1:18" x14ac:dyDescent="0.2">
      <c r="A117" s="38" t="s">
        <v>64</v>
      </c>
      <c r="B117" s="38" t="s">
        <v>36</v>
      </c>
      <c r="D117" s="38">
        <v>71</v>
      </c>
      <c r="E117" s="38">
        <v>0</v>
      </c>
      <c r="F117" s="38">
        <v>0</v>
      </c>
      <c r="H117" s="38">
        <v>0</v>
      </c>
      <c r="I117" s="38">
        <v>0</v>
      </c>
      <c r="J117" s="38">
        <v>0</v>
      </c>
      <c r="L117" s="38">
        <v>3</v>
      </c>
      <c r="M117" s="38">
        <v>4</v>
      </c>
      <c r="N117" s="38">
        <v>6</v>
      </c>
      <c r="P117" s="38">
        <v>0</v>
      </c>
      <c r="Q117" s="38">
        <v>0</v>
      </c>
      <c r="R117" s="38">
        <v>2</v>
      </c>
    </row>
    <row r="118" spans="1:18" x14ac:dyDescent="0.2">
      <c r="A118" s="39" t="s">
        <v>65</v>
      </c>
      <c r="B118" s="39" t="s">
        <v>36</v>
      </c>
      <c r="D118" s="39">
        <v>78</v>
      </c>
      <c r="E118" s="39">
        <v>0</v>
      </c>
      <c r="F118" s="39">
        <v>0</v>
      </c>
      <c r="H118" s="39">
        <v>1</v>
      </c>
      <c r="I118" s="39">
        <v>0</v>
      </c>
      <c r="J118" s="39">
        <v>0</v>
      </c>
      <c r="L118" s="39">
        <v>5</v>
      </c>
      <c r="M118" s="39">
        <v>5</v>
      </c>
      <c r="N118" s="39">
        <v>4</v>
      </c>
      <c r="P118" s="39">
        <v>0</v>
      </c>
      <c r="Q118" s="39">
        <v>1</v>
      </c>
      <c r="R118" s="39">
        <v>1</v>
      </c>
    </row>
    <row r="119" spans="1:18" x14ac:dyDescent="0.2">
      <c r="A119" s="38" t="s">
        <v>66</v>
      </c>
      <c r="B119" s="38" t="s">
        <v>36</v>
      </c>
      <c r="D119" s="38">
        <v>0</v>
      </c>
      <c r="E119" s="38">
        <v>0</v>
      </c>
      <c r="F119" s="38">
        <v>0</v>
      </c>
      <c r="H119" s="38">
        <v>0</v>
      </c>
      <c r="I119" s="38">
        <v>0</v>
      </c>
      <c r="J119" s="38">
        <v>0</v>
      </c>
      <c r="L119" s="38">
        <v>0</v>
      </c>
      <c r="M119" s="38">
        <v>0</v>
      </c>
      <c r="N119" s="38">
        <v>0</v>
      </c>
      <c r="P119" s="38">
        <v>0</v>
      </c>
      <c r="Q119" s="38">
        <v>0</v>
      </c>
      <c r="R119" s="38">
        <v>0</v>
      </c>
    </row>
    <row r="120" spans="1:18" x14ac:dyDescent="0.2">
      <c r="A120" s="39" t="s">
        <v>67</v>
      </c>
      <c r="B120" s="39" t="s">
        <v>36</v>
      </c>
      <c r="D120" s="39">
        <v>0</v>
      </c>
      <c r="E120" s="39">
        <v>0</v>
      </c>
      <c r="F120" s="39">
        <v>0</v>
      </c>
      <c r="H120" s="39">
        <v>0</v>
      </c>
      <c r="I120" s="39">
        <v>0</v>
      </c>
      <c r="J120" s="39">
        <v>0</v>
      </c>
      <c r="L120" s="39">
        <v>0</v>
      </c>
      <c r="M120" s="39">
        <v>0</v>
      </c>
      <c r="N120" s="39">
        <v>0</v>
      </c>
      <c r="P120" s="39">
        <v>0</v>
      </c>
      <c r="Q120" s="39">
        <v>0</v>
      </c>
      <c r="R120" s="39">
        <v>0</v>
      </c>
    </row>
    <row r="121" spans="1:18" x14ac:dyDescent="0.2">
      <c r="A121" s="38" t="s">
        <v>68</v>
      </c>
      <c r="B121" s="38" t="s">
        <v>36</v>
      </c>
      <c r="D121" s="38">
        <v>67</v>
      </c>
      <c r="E121" s="38">
        <v>0</v>
      </c>
      <c r="F121" s="38">
        <v>0</v>
      </c>
      <c r="H121" s="38">
        <v>0</v>
      </c>
      <c r="I121" s="38">
        <v>2</v>
      </c>
      <c r="J121" s="38">
        <v>0</v>
      </c>
      <c r="L121" s="38">
        <v>8</v>
      </c>
      <c r="M121" s="38">
        <v>4</v>
      </c>
      <c r="N121" s="38">
        <v>1</v>
      </c>
      <c r="P121" s="38">
        <v>0</v>
      </c>
      <c r="Q121" s="38">
        <v>0</v>
      </c>
      <c r="R121" s="38">
        <v>0</v>
      </c>
    </row>
    <row r="122" spans="1:18" x14ac:dyDescent="0.2">
      <c r="A122" s="39" t="s">
        <v>69</v>
      </c>
      <c r="B122" s="39" t="s">
        <v>36</v>
      </c>
      <c r="D122" s="39">
        <v>5</v>
      </c>
      <c r="E122" s="39">
        <v>0</v>
      </c>
      <c r="F122" s="39">
        <v>0</v>
      </c>
      <c r="H122" s="39">
        <v>0</v>
      </c>
      <c r="I122" s="39">
        <v>0</v>
      </c>
      <c r="J122" s="39">
        <v>0</v>
      </c>
      <c r="L122" s="39">
        <v>1</v>
      </c>
      <c r="M122" s="39">
        <v>0</v>
      </c>
      <c r="N122" s="39">
        <v>0</v>
      </c>
      <c r="P122" s="39">
        <v>0</v>
      </c>
      <c r="Q122" s="39">
        <v>0</v>
      </c>
      <c r="R122" s="39">
        <v>0</v>
      </c>
    </row>
    <row r="123" spans="1:18" x14ac:dyDescent="0.2">
      <c r="A123" s="38" t="s">
        <v>70</v>
      </c>
      <c r="B123" s="38" t="s">
        <v>36</v>
      </c>
      <c r="D123" s="38">
        <v>0</v>
      </c>
      <c r="E123" s="38">
        <v>0</v>
      </c>
      <c r="F123" s="38">
        <v>0</v>
      </c>
      <c r="H123" s="38">
        <v>0</v>
      </c>
      <c r="I123" s="38">
        <v>0</v>
      </c>
      <c r="J123" s="38">
        <v>0</v>
      </c>
      <c r="L123" s="38">
        <v>0</v>
      </c>
      <c r="M123" s="38">
        <v>0</v>
      </c>
      <c r="N123" s="38">
        <v>0</v>
      </c>
      <c r="P123" s="38">
        <v>0</v>
      </c>
      <c r="Q123" s="38">
        <v>0</v>
      </c>
      <c r="R123" s="38">
        <v>0</v>
      </c>
    </row>
    <row r="124" spans="1:18" x14ac:dyDescent="0.2">
      <c r="A124" s="39" t="s">
        <v>71</v>
      </c>
      <c r="B124" s="39" t="s">
        <v>36</v>
      </c>
      <c r="D124" s="39">
        <v>0</v>
      </c>
      <c r="E124" s="39">
        <v>0</v>
      </c>
      <c r="F124" s="39">
        <v>0</v>
      </c>
      <c r="H124" s="39">
        <v>0</v>
      </c>
      <c r="I124" s="39">
        <v>0</v>
      </c>
      <c r="J124" s="39">
        <v>0</v>
      </c>
      <c r="L124" s="39">
        <v>0</v>
      </c>
      <c r="M124" s="39">
        <v>0</v>
      </c>
      <c r="N124" s="39">
        <v>0</v>
      </c>
      <c r="P124" s="39">
        <v>0</v>
      </c>
      <c r="Q124" s="39">
        <v>0</v>
      </c>
      <c r="R124" s="39">
        <v>0</v>
      </c>
    </row>
    <row r="125" spans="1:18" x14ac:dyDescent="0.2">
      <c r="A125" s="38" t="s">
        <v>72</v>
      </c>
      <c r="B125" s="38" t="s">
        <v>36</v>
      </c>
      <c r="D125" s="38">
        <v>191</v>
      </c>
      <c r="E125" s="38">
        <v>0</v>
      </c>
      <c r="F125" s="38">
        <v>0</v>
      </c>
      <c r="H125" s="38">
        <v>1</v>
      </c>
      <c r="I125" s="38">
        <v>2</v>
      </c>
      <c r="J125" s="38">
        <v>1</v>
      </c>
      <c r="L125" s="38">
        <v>13</v>
      </c>
      <c r="M125" s="38">
        <v>14</v>
      </c>
      <c r="N125" s="38">
        <v>19</v>
      </c>
      <c r="P125" s="38">
        <v>3</v>
      </c>
      <c r="Q125" s="38">
        <v>5</v>
      </c>
      <c r="R125" s="38">
        <v>3</v>
      </c>
    </row>
    <row r="126" spans="1:18" x14ac:dyDescent="0.2">
      <c r="A126" s="39" t="s">
        <v>73</v>
      </c>
      <c r="B126" s="39" t="s">
        <v>36</v>
      </c>
      <c r="D126" s="39">
        <v>56</v>
      </c>
      <c r="E126" s="39">
        <v>0</v>
      </c>
      <c r="F126" s="39">
        <v>0</v>
      </c>
      <c r="H126" s="39">
        <v>0</v>
      </c>
      <c r="I126" s="39">
        <v>0</v>
      </c>
      <c r="J126" s="39">
        <v>0</v>
      </c>
      <c r="L126" s="39">
        <v>3</v>
      </c>
      <c r="M126" s="39">
        <v>4</v>
      </c>
      <c r="N126" s="39">
        <v>4</v>
      </c>
      <c r="P126" s="39">
        <v>0</v>
      </c>
      <c r="Q126" s="39">
        <v>1</v>
      </c>
      <c r="R126" s="39">
        <v>0</v>
      </c>
    </row>
    <row r="127" spans="1:18" x14ac:dyDescent="0.2">
      <c r="A127" s="38" t="s">
        <v>74</v>
      </c>
      <c r="B127" s="38" t="s">
        <v>36</v>
      </c>
      <c r="D127" s="38">
        <v>92</v>
      </c>
      <c r="E127" s="38">
        <v>0</v>
      </c>
      <c r="F127" s="38">
        <v>0</v>
      </c>
      <c r="H127" s="38">
        <v>1</v>
      </c>
      <c r="I127" s="38">
        <v>0</v>
      </c>
      <c r="J127" s="38">
        <v>0</v>
      </c>
      <c r="L127" s="38">
        <v>5</v>
      </c>
      <c r="M127" s="38">
        <v>5</v>
      </c>
      <c r="N127" s="38">
        <v>6</v>
      </c>
      <c r="P127" s="38">
        <v>0</v>
      </c>
      <c r="Q127" s="38">
        <v>1</v>
      </c>
      <c r="R127" s="38">
        <v>1</v>
      </c>
    </row>
    <row r="128" spans="1:18" x14ac:dyDescent="0.2">
      <c r="A128" s="39" t="s">
        <v>75</v>
      </c>
      <c r="B128" s="39" t="s">
        <v>36</v>
      </c>
      <c r="D128" s="39">
        <v>70</v>
      </c>
      <c r="E128" s="39">
        <v>0</v>
      </c>
      <c r="F128" s="39">
        <v>0</v>
      </c>
      <c r="H128" s="39">
        <v>0</v>
      </c>
      <c r="I128" s="39">
        <v>0</v>
      </c>
      <c r="J128" s="39">
        <v>0</v>
      </c>
      <c r="L128" s="39">
        <v>8</v>
      </c>
      <c r="M128" s="39">
        <v>7</v>
      </c>
      <c r="N128" s="39">
        <v>6</v>
      </c>
      <c r="P128" s="39">
        <v>0</v>
      </c>
      <c r="Q128" s="39">
        <v>2</v>
      </c>
      <c r="R128" s="39">
        <v>0</v>
      </c>
    </row>
    <row r="129" spans="1:18" x14ac:dyDescent="0.2">
      <c r="A129" s="38" t="s">
        <v>76</v>
      </c>
      <c r="B129" s="38" t="s">
        <v>36</v>
      </c>
      <c r="D129" s="38">
        <v>52</v>
      </c>
      <c r="E129" s="38">
        <v>0</v>
      </c>
      <c r="F129" s="38">
        <v>0</v>
      </c>
      <c r="H129" s="38">
        <v>0</v>
      </c>
      <c r="I129" s="38">
        <v>0</v>
      </c>
      <c r="J129" s="38">
        <v>0</v>
      </c>
      <c r="L129" s="38">
        <v>2</v>
      </c>
      <c r="M129" s="38">
        <v>2</v>
      </c>
      <c r="N129" s="38">
        <v>5</v>
      </c>
      <c r="P129" s="38">
        <v>0</v>
      </c>
      <c r="Q129" s="38">
        <v>1</v>
      </c>
      <c r="R129" s="38">
        <v>2</v>
      </c>
    </row>
    <row r="130" spans="1:18" x14ac:dyDescent="0.2">
      <c r="A130" s="39" t="s">
        <v>77</v>
      </c>
      <c r="B130" s="39" t="s">
        <v>36</v>
      </c>
      <c r="D130" s="39">
        <v>0</v>
      </c>
      <c r="E130" s="39">
        <v>0</v>
      </c>
      <c r="F130" s="39">
        <v>0</v>
      </c>
      <c r="H130" s="39">
        <v>0</v>
      </c>
      <c r="I130" s="39">
        <v>0</v>
      </c>
      <c r="J130" s="39">
        <v>0</v>
      </c>
      <c r="L130" s="39">
        <v>0</v>
      </c>
      <c r="M130" s="39">
        <v>0</v>
      </c>
      <c r="N130" s="39">
        <v>0</v>
      </c>
      <c r="P130" s="39">
        <v>0</v>
      </c>
      <c r="Q130" s="39">
        <v>0</v>
      </c>
      <c r="R130" s="39">
        <v>0</v>
      </c>
    </row>
    <row r="131" spans="1:18" ht="16" thickBot="1" x14ac:dyDescent="0.25">
      <c r="A131" s="38" t="s">
        <v>125</v>
      </c>
      <c r="B131" s="38" t="s">
        <v>36</v>
      </c>
      <c r="D131" s="80">
        <v>0</v>
      </c>
      <c r="E131" s="80">
        <v>0</v>
      </c>
      <c r="F131" s="80">
        <v>0</v>
      </c>
      <c r="H131" s="38">
        <v>0</v>
      </c>
      <c r="I131" s="38">
        <v>0</v>
      </c>
      <c r="J131" s="38">
        <v>0</v>
      </c>
      <c r="L131" s="38">
        <v>0</v>
      </c>
      <c r="M131" s="38">
        <v>0</v>
      </c>
      <c r="N131" s="38">
        <v>0</v>
      </c>
      <c r="P131" s="38">
        <v>0</v>
      </c>
      <c r="Q131" s="38">
        <v>0</v>
      </c>
      <c r="R131" s="38">
        <v>0</v>
      </c>
    </row>
    <row r="132" spans="1:18" ht="16" thickBot="1" x14ac:dyDescent="0.25">
      <c r="D132" s="81">
        <f>SUM(D89:D131)</f>
        <v>1140</v>
      </c>
      <c r="E132" s="81">
        <f t="shared" ref="E132:F132" si="5">SUM(E89:E131)</f>
        <v>0</v>
      </c>
      <c r="F132" s="81">
        <f t="shared" si="5"/>
        <v>0</v>
      </c>
      <c r="G132"/>
      <c r="K132"/>
      <c r="O132"/>
    </row>
  </sheetData>
  <sortState xmlns:xlrd2="http://schemas.microsoft.com/office/spreadsheetml/2017/richdata2" ref="A3:R131">
    <sortCondition ref="B3:B131"/>
  </sortState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3Q and September 2022
&amp;P of 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1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8.83203125" defaultRowHeight="15" x14ac:dyDescent="0.2"/>
  <cols>
    <col min="1" max="1" width="12.1640625" customWidth="1"/>
    <col min="2" max="2" width="2.83203125" style="1" customWidth="1"/>
    <col min="3" max="5" width="20.6640625" customWidth="1"/>
    <col min="6" max="6" width="2.83203125" style="1" customWidth="1"/>
    <col min="7" max="9" width="20.6640625" customWidth="1"/>
    <col min="10" max="10" width="2.83203125" style="1" customWidth="1"/>
    <col min="11" max="13" width="20.6640625" customWidth="1"/>
    <col min="14" max="14" width="2.83203125" style="1" customWidth="1"/>
    <col min="15" max="17" width="20.6640625" customWidth="1"/>
  </cols>
  <sheetData>
    <row r="1" spans="1:17" ht="30" customHeight="1" x14ac:dyDescent="0.2">
      <c r="A1" s="3" t="s">
        <v>112</v>
      </c>
      <c r="C1" s="9" t="s">
        <v>32</v>
      </c>
      <c r="D1" s="9"/>
      <c r="E1" s="9"/>
      <c r="G1" s="76" t="s">
        <v>29</v>
      </c>
      <c r="H1" s="76"/>
      <c r="I1" s="76"/>
      <c r="K1" s="76" t="s">
        <v>30</v>
      </c>
      <c r="L1" s="76"/>
      <c r="M1" s="76"/>
      <c r="O1" s="76" t="s">
        <v>31</v>
      </c>
      <c r="P1" s="76"/>
      <c r="Q1" s="76"/>
    </row>
    <row r="2" spans="1:17" x14ac:dyDescent="0.2">
      <c r="A2" s="2" t="s">
        <v>0</v>
      </c>
      <c r="C2" s="40">
        <v>44743</v>
      </c>
      <c r="D2" s="40">
        <v>44774</v>
      </c>
      <c r="E2" s="40">
        <v>44805</v>
      </c>
      <c r="G2" s="4">
        <f>+C2</f>
        <v>44743</v>
      </c>
      <c r="H2" s="4">
        <f t="shared" ref="H2:I2" si="0">+D2</f>
        <v>44774</v>
      </c>
      <c r="I2" s="4">
        <f t="shared" si="0"/>
        <v>44805</v>
      </c>
      <c r="K2" s="4">
        <f>+G2</f>
        <v>44743</v>
      </c>
      <c r="L2" s="4">
        <f t="shared" ref="L2" si="1">+H2</f>
        <v>44774</v>
      </c>
      <c r="M2" s="4">
        <f t="shared" ref="M2" si="2">+I2</f>
        <v>44805</v>
      </c>
      <c r="O2" s="4">
        <f>+K2</f>
        <v>44743</v>
      </c>
      <c r="P2" s="4">
        <f t="shared" ref="P2" si="3">+L2</f>
        <v>44774</v>
      </c>
      <c r="Q2" s="4">
        <f t="shared" ref="Q2" si="4">+M2</f>
        <v>44805</v>
      </c>
    </row>
    <row r="4" spans="1:17" x14ac:dyDescent="0.2">
      <c r="C4" t="s">
        <v>101</v>
      </c>
    </row>
    <row r="5" spans="1:17" x14ac:dyDescent="0.2">
      <c r="C5" t="s">
        <v>102</v>
      </c>
    </row>
    <row r="6" spans="1:17" x14ac:dyDescent="0.2">
      <c r="C6" t="s">
        <v>103</v>
      </c>
    </row>
    <row r="7" spans="1:17" x14ac:dyDescent="0.2">
      <c r="C7" t="s">
        <v>104</v>
      </c>
    </row>
    <row r="8" spans="1:17" ht="16" thickBot="1" x14ac:dyDescent="0.25">
      <c r="A8" s="23"/>
      <c r="C8" s="23" t="s">
        <v>86</v>
      </c>
      <c r="D8" s="23"/>
      <c r="E8" s="23"/>
      <c r="G8" s="23" t="s">
        <v>86</v>
      </c>
      <c r="H8" s="23"/>
      <c r="I8" s="23"/>
      <c r="K8" s="23" t="s">
        <v>86</v>
      </c>
      <c r="L8" s="23"/>
      <c r="M8" s="23"/>
      <c r="N8" s="24"/>
      <c r="O8" s="23"/>
      <c r="P8" s="23"/>
      <c r="Q8" s="23"/>
    </row>
    <row r="9" spans="1:17" s="62" customFormat="1" ht="16" thickTop="1" x14ac:dyDescent="0.2">
      <c r="A9" s="62" t="s">
        <v>88</v>
      </c>
      <c r="B9" s="63"/>
      <c r="C9" s="62">
        <f>SUM(C10:C16)</f>
        <v>0</v>
      </c>
      <c r="D9" s="62">
        <f t="shared" ref="D9:E9" si="5">SUM(D10:D16)</f>
        <v>0</v>
      </c>
      <c r="E9" s="62">
        <f t="shared" si="5"/>
        <v>0</v>
      </c>
      <c r="F9" s="63"/>
      <c r="G9" s="62">
        <f>SUM(G10:G16)</f>
        <v>0</v>
      </c>
      <c r="H9" s="62">
        <f t="shared" ref="H9:I9" si="6">SUM(H10:H16)</f>
        <v>0</v>
      </c>
      <c r="I9" s="62">
        <f t="shared" si="6"/>
        <v>0</v>
      </c>
      <c r="J9" s="63"/>
      <c r="K9" s="62">
        <f>SUM(K10:K16)</f>
        <v>0</v>
      </c>
      <c r="L9" s="62">
        <f t="shared" ref="L9:M9" si="7">SUM(L10:L16)</f>
        <v>0</v>
      </c>
      <c r="M9" s="62">
        <f t="shared" si="7"/>
        <v>0</v>
      </c>
      <c r="N9" s="63"/>
      <c r="O9" s="62">
        <f>SUM(O10:O16)</f>
        <v>0</v>
      </c>
      <c r="P9" s="62">
        <f t="shared" ref="P9:Q9" si="8">SUM(P10:P16)</f>
        <v>0</v>
      </c>
      <c r="Q9" s="62">
        <f t="shared" si="8"/>
        <v>0</v>
      </c>
    </row>
    <row r="10" spans="1:17" x14ac:dyDescent="0.2">
      <c r="A10" s="25"/>
      <c r="C10" s="35" t="s">
        <v>105</v>
      </c>
      <c r="D10" s="36"/>
      <c r="E10" s="37"/>
      <c r="G10" s="35" t="s">
        <v>105</v>
      </c>
      <c r="H10" s="36"/>
      <c r="I10" s="37"/>
      <c r="K10" s="35" t="s">
        <v>105</v>
      </c>
      <c r="L10" s="36"/>
      <c r="M10" s="37"/>
      <c r="O10" s="35" t="s">
        <v>105</v>
      </c>
      <c r="P10" s="36"/>
      <c r="Q10" s="37"/>
    </row>
  </sheetData>
  <mergeCells count="3">
    <mergeCell ref="G1:I1"/>
    <mergeCell ref="K1:M1"/>
    <mergeCell ref="O1:Q1"/>
  </mergeCells>
  <pageMargins left="0.5" right="0.5" top="0.5" bottom="0.5" header="0.25" footer="0.25"/>
  <pageSetup scale="60" orientation="portrait" r:id="rId1"/>
  <headerFooter>
    <oddHeader>&amp;RU-200281 NWN COVID Data Rpt 3Q and September 2022
&amp;P of  &amp;N</oddHeader>
  </headerFooter>
  <colBreaks count="1" manualBreakCount="1">
    <brk id="10" max="12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R13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</cols>
  <sheetData>
    <row r="1" spans="1:18" ht="50" customHeight="1" x14ac:dyDescent="0.2">
      <c r="A1" s="2" t="s">
        <v>115</v>
      </c>
      <c r="B1" s="2"/>
      <c r="D1" s="9" t="s">
        <v>25</v>
      </c>
      <c r="E1" s="9"/>
      <c r="F1" s="9"/>
      <c r="H1" s="76" t="s">
        <v>26</v>
      </c>
      <c r="I1" s="76"/>
      <c r="J1" s="76"/>
      <c r="L1" s="76" t="s">
        <v>27</v>
      </c>
      <c r="M1" s="76"/>
      <c r="N1" s="76"/>
      <c r="P1" s="76" t="s">
        <v>28</v>
      </c>
      <c r="Q1" s="76"/>
      <c r="R1" s="76"/>
    </row>
    <row r="2" spans="1:18" x14ac:dyDescent="0.2">
      <c r="A2" s="2" t="s">
        <v>0</v>
      </c>
      <c r="B2" s="2" t="s">
        <v>1</v>
      </c>
      <c r="D2" s="58" t="s">
        <v>126</v>
      </c>
      <c r="E2" s="58" t="s">
        <v>127</v>
      </c>
      <c r="F2" s="58" t="s">
        <v>128</v>
      </c>
      <c r="H2" s="59" t="str">
        <f>+D2</f>
        <v>Jul</v>
      </c>
      <c r="I2" s="59" t="str">
        <f t="shared" ref="I2:J2" si="0">+E2</f>
        <v>Aug</v>
      </c>
      <c r="J2" s="59" t="str">
        <f t="shared" si="0"/>
        <v>Sep</v>
      </c>
      <c r="K2" s="60"/>
      <c r="L2" s="59" t="str">
        <f>+H2</f>
        <v>Jul</v>
      </c>
      <c r="M2" s="59" t="str">
        <f t="shared" ref="M2" si="1">+I2</f>
        <v>Aug</v>
      </c>
      <c r="N2" s="59" t="str">
        <f t="shared" ref="N2" si="2">+J2</f>
        <v>Sep</v>
      </c>
      <c r="O2" s="60"/>
      <c r="P2" s="59" t="str">
        <f>+L2</f>
        <v>Jul</v>
      </c>
      <c r="Q2" s="59" t="str">
        <f t="shared" ref="Q2" si="3">+M2</f>
        <v>Aug</v>
      </c>
      <c r="R2" s="59" t="str">
        <f t="shared" ref="R2" si="4">+N2</f>
        <v>Sep</v>
      </c>
    </row>
    <row r="3" spans="1:18" x14ac:dyDescent="0.2">
      <c r="D3" s="75"/>
      <c r="E3" s="75"/>
      <c r="F3" s="75"/>
      <c r="H3" s="74"/>
      <c r="I3" s="74"/>
      <c r="J3" s="74"/>
      <c r="K3" s="60"/>
      <c r="L3" s="74"/>
      <c r="M3" s="74"/>
      <c r="N3" s="74"/>
      <c r="O3" s="60"/>
      <c r="P3" s="74"/>
      <c r="Q3" s="74"/>
      <c r="R3" s="74"/>
    </row>
    <row r="4" spans="1:18" x14ac:dyDescent="0.2">
      <c r="A4" s="38" t="s">
        <v>80</v>
      </c>
      <c r="B4" s="38" t="s">
        <v>34</v>
      </c>
      <c r="D4" s="38">
        <v>0</v>
      </c>
      <c r="E4" s="38">
        <v>0</v>
      </c>
      <c r="F4" s="38">
        <v>0</v>
      </c>
      <c r="H4" s="38">
        <v>0</v>
      </c>
      <c r="I4" s="38">
        <v>0</v>
      </c>
      <c r="J4" s="38">
        <v>0</v>
      </c>
      <c r="P4" s="38">
        <v>0</v>
      </c>
      <c r="Q4" s="38">
        <v>0</v>
      </c>
      <c r="R4" s="38">
        <v>0</v>
      </c>
    </row>
    <row r="5" spans="1:18" x14ac:dyDescent="0.2">
      <c r="A5" s="39" t="s">
        <v>80</v>
      </c>
      <c r="B5" s="39" t="s">
        <v>35</v>
      </c>
      <c r="D5" s="39">
        <v>0</v>
      </c>
      <c r="E5" s="39">
        <v>0</v>
      </c>
      <c r="F5" s="39">
        <v>0</v>
      </c>
      <c r="H5" s="39">
        <v>0</v>
      </c>
      <c r="I5" s="39">
        <v>0</v>
      </c>
      <c r="J5" s="39">
        <v>0</v>
      </c>
      <c r="L5" t="s">
        <v>94</v>
      </c>
      <c r="P5" s="39">
        <v>0</v>
      </c>
      <c r="Q5" s="39">
        <v>0</v>
      </c>
      <c r="R5" s="39">
        <v>0</v>
      </c>
    </row>
    <row r="6" spans="1:18" x14ac:dyDescent="0.2">
      <c r="A6" s="38" t="s">
        <v>80</v>
      </c>
      <c r="B6" s="38" t="s">
        <v>36</v>
      </c>
      <c r="D6" s="38">
        <v>0</v>
      </c>
      <c r="E6" s="38">
        <v>0</v>
      </c>
      <c r="F6" s="38">
        <v>0</v>
      </c>
      <c r="H6" s="38">
        <v>0</v>
      </c>
      <c r="I6" s="38">
        <v>0</v>
      </c>
      <c r="J6" s="38">
        <v>0</v>
      </c>
      <c r="L6" t="s">
        <v>95</v>
      </c>
      <c r="P6" s="38">
        <v>0</v>
      </c>
      <c r="Q6" s="38">
        <v>0</v>
      </c>
      <c r="R6" s="38">
        <v>0</v>
      </c>
    </row>
    <row r="7" spans="1:18" x14ac:dyDescent="0.2">
      <c r="A7" s="39" t="s">
        <v>81</v>
      </c>
      <c r="B7" s="39" t="s">
        <v>34</v>
      </c>
      <c r="D7" s="39">
        <v>0</v>
      </c>
      <c r="E7" s="39">
        <v>0</v>
      </c>
      <c r="F7" s="39">
        <v>0</v>
      </c>
      <c r="H7" s="39">
        <v>0</v>
      </c>
      <c r="I7" s="39">
        <v>0</v>
      </c>
      <c r="J7" s="39">
        <v>0</v>
      </c>
      <c r="P7" s="39">
        <v>0</v>
      </c>
      <c r="Q7" s="39">
        <v>0</v>
      </c>
      <c r="R7" s="39">
        <v>0</v>
      </c>
    </row>
    <row r="8" spans="1:18" x14ac:dyDescent="0.2">
      <c r="A8" s="38" t="s">
        <v>81</v>
      </c>
      <c r="B8" s="38" t="s">
        <v>35</v>
      </c>
      <c r="D8" s="38">
        <v>0</v>
      </c>
      <c r="E8" s="38">
        <v>0</v>
      </c>
      <c r="F8" s="38">
        <v>0</v>
      </c>
      <c r="H8" s="38">
        <v>0</v>
      </c>
      <c r="I8" s="38">
        <v>0</v>
      </c>
      <c r="J8" s="38">
        <v>0</v>
      </c>
      <c r="P8" s="38">
        <v>0</v>
      </c>
      <c r="Q8" s="38">
        <v>0</v>
      </c>
      <c r="R8" s="38">
        <v>0</v>
      </c>
    </row>
    <row r="9" spans="1:18" x14ac:dyDescent="0.2">
      <c r="A9" s="39" t="s">
        <v>81</v>
      </c>
      <c r="B9" s="39" t="s">
        <v>36</v>
      </c>
      <c r="D9" s="39">
        <v>0</v>
      </c>
      <c r="E9" s="39">
        <v>0</v>
      </c>
      <c r="F9" s="39">
        <v>0</v>
      </c>
      <c r="H9" s="39">
        <v>0</v>
      </c>
      <c r="I9" s="39">
        <v>0</v>
      </c>
      <c r="J9" s="39">
        <v>0</v>
      </c>
      <c r="P9" s="39">
        <v>0</v>
      </c>
      <c r="Q9" s="39">
        <v>0</v>
      </c>
      <c r="R9" s="39">
        <v>0</v>
      </c>
    </row>
    <row r="10" spans="1:18" x14ac:dyDescent="0.2">
      <c r="A10" s="38" t="s">
        <v>82</v>
      </c>
      <c r="B10" s="38" t="s">
        <v>34</v>
      </c>
      <c r="D10" s="38">
        <v>0</v>
      </c>
      <c r="E10" s="38">
        <v>0</v>
      </c>
      <c r="F10" s="38">
        <v>0</v>
      </c>
      <c r="H10" s="38">
        <v>0</v>
      </c>
      <c r="I10" s="38">
        <v>0</v>
      </c>
      <c r="J10" s="38">
        <v>0</v>
      </c>
      <c r="P10" s="38">
        <v>0</v>
      </c>
      <c r="Q10" s="38">
        <v>0</v>
      </c>
      <c r="R10" s="38">
        <v>0</v>
      </c>
    </row>
    <row r="11" spans="1:18" x14ac:dyDescent="0.2">
      <c r="A11" s="39" t="s">
        <v>82</v>
      </c>
      <c r="B11" s="39" t="s">
        <v>35</v>
      </c>
      <c r="D11" s="39">
        <v>0</v>
      </c>
      <c r="E11" s="39">
        <v>0</v>
      </c>
      <c r="F11" s="39">
        <v>0</v>
      </c>
      <c r="H11" s="39">
        <v>0</v>
      </c>
      <c r="I11" s="39">
        <v>0</v>
      </c>
      <c r="J11" s="39">
        <v>0</v>
      </c>
      <c r="P11" s="39">
        <v>0</v>
      </c>
      <c r="Q11" s="39">
        <v>0</v>
      </c>
      <c r="R11" s="39">
        <v>0</v>
      </c>
    </row>
    <row r="12" spans="1:18" x14ac:dyDescent="0.2">
      <c r="A12" s="38" t="s">
        <v>82</v>
      </c>
      <c r="B12" s="38" t="s">
        <v>36</v>
      </c>
      <c r="D12" s="38">
        <v>0</v>
      </c>
      <c r="E12" s="38">
        <v>0</v>
      </c>
      <c r="F12" s="38">
        <v>0</v>
      </c>
      <c r="H12" s="38">
        <v>0</v>
      </c>
      <c r="I12" s="38">
        <v>0</v>
      </c>
      <c r="J12" s="38">
        <v>0</v>
      </c>
      <c r="P12" s="38">
        <v>0</v>
      </c>
      <c r="Q12" s="38">
        <v>0</v>
      </c>
      <c r="R12" s="38">
        <v>0</v>
      </c>
    </row>
    <row r="13" spans="1:18" x14ac:dyDescent="0.2">
      <c r="A13" s="39" t="s">
        <v>39</v>
      </c>
      <c r="B13" s="39" t="s">
        <v>34</v>
      </c>
      <c r="D13" s="39">
        <v>0</v>
      </c>
      <c r="E13" s="39">
        <v>0</v>
      </c>
      <c r="F13" s="39">
        <v>0</v>
      </c>
      <c r="H13" s="39">
        <v>0</v>
      </c>
      <c r="I13" s="39">
        <v>0</v>
      </c>
      <c r="J13" s="39">
        <v>0</v>
      </c>
      <c r="P13" s="39">
        <v>0</v>
      </c>
      <c r="Q13" s="39">
        <v>0</v>
      </c>
      <c r="R13" s="39">
        <v>0</v>
      </c>
    </row>
    <row r="14" spans="1:18" x14ac:dyDescent="0.2">
      <c r="A14" s="38" t="s">
        <v>39</v>
      </c>
      <c r="B14" s="38" t="s">
        <v>35</v>
      </c>
      <c r="D14" s="38">
        <v>0</v>
      </c>
      <c r="E14" s="38">
        <v>0</v>
      </c>
      <c r="F14" s="38">
        <v>0</v>
      </c>
      <c r="H14" s="38">
        <v>0</v>
      </c>
      <c r="I14" s="38">
        <v>0</v>
      </c>
      <c r="J14" s="38">
        <v>0</v>
      </c>
      <c r="P14" s="38">
        <v>0</v>
      </c>
      <c r="Q14" s="38">
        <v>0</v>
      </c>
      <c r="R14" s="38">
        <v>0</v>
      </c>
    </row>
    <row r="15" spans="1:18" x14ac:dyDescent="0.2">
      <c r="A15" s="39" t="s">
        <v>39</v>
      </c>
      <c r="B15" s="39" t="s">
        <v>36</v>
      </c>
      <c r="D15" s="39">
        <v>0</v>
      </c>
      <c r="E15" s="39">
        <v>0</v>
      </c>
      <c r="F15" s="39">
        <v>0</v>
      </c>
      <c r="H15" s="39">
        <v>0</v>
      </c>
      <c r="I15" s="39">
        <v>0</v>
      </c>
      <c r="J15" s="39">
        <v>0</v>
      </c>
      <c r="P15" s="39">
        <v>0</v>
      </c>
      <c r="Q15" s="39">
        <v>0</v>
      </c>
      <c r="R15" s="39">
        <v>0</v>
      </c>
    </row>
    <row r="16" spans="1:18" x14ac:dyDescent="0.2">
      <c r="A16" s="38" t="s">
        <v>40</v>
      </c>
      <c r="B16" s="38" t="s">
        <v>34</v>
      </c>
      <c r="D16" s="38">
        <v>0</v>
      </c>
      <c r="E16" s="38">
        <v>0</v>
      </c>
      <c r="F16" s="38">
        <v>0</v>
      </c>
      <c r="H16" s="38">
        <v>0</v>
      </c>
      <c r="I16" s="38">
        <v>0</v>
      </c>
      <c r="J16" s="38">
        <v>0</v>
      </c>
      <c r="P16" s="38">
        <v>0</v>
      </c>
      <c r="Q16" s="38">
        <v>0</v>
      </c>
      <c r="R16" s="38">
        <v>0</v>
      </c>
    </row>
    <row r="17" spans="1:18" x14ac:dyDescent="0.2">
      <c r="A17" s="39" t="s">
        <v>40</v>
      </c>
      <c r="B17" s="39" t="s">
        <v>35</v>
      </c>
      <c r="D17" s="39">
        <v>0</v>
      </c>
      <c r="E17" s="39">
        <v>0</v>
      </c>
      <c r="F17" s="39">
        <v>0</v>
      </c>
      <c r="H17" s="39">
        <v>0</v>
      </c>
      <c r="I17" s="39">
        <v>0</v>
      </c>
      <c r="J17" s="39">
        <v>0</v>
      </c>
      <c r="P17" s="39">
        <v>0</v>
      </c>
      <c r="Q17" s="39">
        <v>0</v>
      </c>
      <c r="R17" s="39">
        <v>0</v>
      </c>
    </row>
    <row r="18" spans="1:18" x14ac:dyDescent="0.2">
      <c r="A18" s="38" t="s">
        <v>40</v>
      </c>
      <c r="B18" s="38" t="s">
        <v>36</v>
      </c>
      <c r="D18" s="38">
        <v>0</v>
      </c>
      <c r="E18" s="38">
        <v>0</v>
      </c>
      <c r="F18" s="38">
        <v>0</v>
      </c>
      <c r="H18" s="38">
        <v>0</v>
      </c>
      <c r="I18" s="38">
        <v>0</v>
      </c>
      <c r="J18" s="38">
        <v>0</v>
      </c>
      <c r="P18" s="38">
        <v>0</v>
      </c>
      <c r="Q18" s="38">
        <v>0</v>
      </c>
      <c r="R18" s="38">
        <v>0</v>
      </c>
    </row>
    <row r="19" spans="1:18" x14ac:dyDescent="0.2">
      <c r="A19" s="39" t="s">
        <v>41</v>
      </c>
      <c r="B19" s="39" t="s">
        <v>34</v>
      </c>
      <c r="D19" s="39">
        <v>0</v>
      </c>
      <c r="E19" s="39">
        <v>0</v>
      </c>
      <c r="F19" s="39">
        <v>0</v>
      </c>
      <c r="H19" s="39">
        <v>0</v>
      </c>
      <c r="I19" s="39">
        <v>0</v>
      </c>
      <c r="J19" s="39">
        <v>0</v>
      </c>
      <c r="P19" s="39">
        <v>0</v>
      </c>
      <c r="Q19" s="39">
        <v>0</v>
      </c>
      <c r="R19" s="39">
        <v>0</v>
      </c>
    </row>
    <row r="20" spans="1:18" x14ac:dyDescent="0.2">
      <c r="A20" s="38" t="s">
        <v>41</v>
      </c>
      <c r="B20" s="38" t="s">
        <v>35</v>
      </c>
      <c r="D20" s="38">
        <v>0</v>
      </c>
      <c r="E20" s="38">
        <v>0</v>
      </c>
      <c r="F20" s="38">
        <v>0</v>
      </c>
      <c r="H20" s="38">
        <v>0</v>
      </c>
      <c r="I20" s="38">
        <v>0</v>
      </c>
      <c r="J20" s="38">
        <v>0</v>
      </c>
      <c r="P20" s="38">
        <v>0</v>
      </c>
      <c r="Q20" s="38">
        <v>0</v>
      </c>
      <c r="R20" s="38">
        <v>0</v>
      </c>
    </row>
    <row r="21" spans="1:18" x14ac:dyDescent="0.2">
      <c r="A21" s="39" t="s">
        <v>41</v>
      </c>
      <c r="B21" s="39" t="s">
        <v>36</v>
      </c>
      <c r="D21" s="39">
        <v>0</v>
      </c>
      <c r="E21" s="39">
        <v>0</v>
      </c>
      <c r="F21" s="39">
        <v>0</v>
      </c>
      <c r="H21" s="39">
        <v>0</v>
      </c>
      <c r="I21" s="39">
        <v>0</v>
      </c>
      <c r="J21" s="39">
        <v>0</v>
      </c>
      <c r="P21" s="39">
        <v>0</v>
      </c>
      <c r="Q21" s="39">
        <v>0</v>
      </c>
      <c r="R21" s="39">
        <v>0</v>
      </c>
    </row>
    <row r="22" spans="1:18" x14ac:dyDescent="0.2">
      <c r="A22" s="38" t="s">
        <v>42</v>
      </c>
      <c r="B22" s="38" t="s">
        <v>34</v>
      </c>
      <c r="D22" s="38">
        <v>0</v>
      </c>
      <c r="E22" s="38">
        <v>0</v>
      </c>
      <c r="F22" s="38">
        <v>0</v>
      </c>
      <c r="H22" s="38">
        <v>0</v>
      </c>
      <c r="I22" s="38">
        <v>0</v>
      </c>
      <c r="J22" s="38">
        <v>0</v>
      </c>
      <c r="P22" s="38">
        <v>0</v>
      </c>
      <c r="Q22" s="38">
        <v>0</v>
      </c>
      <c r="R22" s="38">
        <v>0</v>
      </c>
    </row>
    <row r="23" spans="1:18" x14ac:dyDescent="0.2">
      <c r="A23" s="39" t="s">
        <v>42</v>
      </c>
      <c r="B23" s="39" t="s">
        <v>35</v>
      </c>
      <c r="D23" s="39">
        <v>0</v>
      </c>
      <c r="E23" s="39">
        <v>0</v>
      </c>
      <c r="F23" s="39">
        <v>0</v>
      </c>
      <c r="H23" s="39">
        <v>0</v>
      </c>
      <c r="I23" s="39">
        <v>0</v>
      </c>
      <c r="J23" s="39">
        <v>0</v>
      </c>
      <c r="P23" s="39">
        <v>0</v>
      </c>
      <c r="Q23" s="39">
        <v>0</v>
      </c>
      <c r="R23" s="39">
        <v>0</v>
      </c>
    </row>
    <row r="24" spans="1:18" x14ac:dyDescent="0.2">
      <c r="A24" s="38" t="s">
        <v>42</v>
      </c>
      <c r="B24" s="38" t="s">
        <v>36</v>
      </c>
      <c r="D24" s="38">
        <v>0</v>
      </c>
      <c r="E24" s="38">
        <v>0</v>
      </c>
      <c r="F24" s="38">
        <v>0</v>
      </c>
      <c r="H24" s="38">
        <v>0</v>
      </c>
      <c r="I24" s="38">
        <v>0</v>
      </c>
      <c r="J24" s="38">
        <v>0</v>
      </c>
      <c r="P24" s="38">
        <v>0</v>
      </c>
      <c r="Q24" s="38">
        <v>0</v>
      </c>
      <c r="R24" s="38">
        <v>0</v>
      </c>
    </row>
    <row r="25" spans="1:18" x14ac:dyDescent="0.2">
      <c r="A25" s="39" t="s">
        <v>43</v>
      </c>
      <c r="B25" s="39" t="s">
        <v>34</v>
      </c>
      <c r="D25" s="39">
        <v>0</v>
      </c>
      <c r="E25" s="39">
        <v>0</v>
      </c>
      <c r="F25" s="39">
        <v>0</v>
      </c>
      <c r="H25" s="39">
        <v>0</v>
      </c>
      <c r="I25" s="39">
        <v>0</v>
      </c>
      <c r="J25" s="39">
        <v>0</v>
      </c>
      <c r="P25" s="39">
        <v>0</v>
      </c>
      <c r="Q25" s="39">
        <v>0</v>
      </c>
      <c r="R25" s="39">
        <v>0</v>
      </c>
    </row>
    <row r="26" spans="1:18" x14ac:dyDescent="0.2">
      <c r="A26" s="38" t="s">
        <v>43</v>
      </c>
      <c r="B26" s="38" t="s">
        <v>35</v>
      </c>
      <c r="D26" s="38">
        <v>0</v>
      </c>
      <c r="E26" s="38">
        <v>0</v>
      </c>
      <c r="F26" s="38">
        <v>0</v>
      </c>
      <c r="H26" s="38">
        <v>0</v>
      </c>
      <c r="I26" s="38">
        <v>0</v>
      </c>
      <c r="J26" s="38">
        <v>0</v>
      </c>
      <c r="P26" s="38">
        <v>0</v>
      </c>
      <c r="Q26" s="38">
        <v>0</v>
      </c>
      <c r="R26" s="38">
        <v>0</v>
      </c>
    </row>
    <row r="27" spans="1:18" x14ac:dyDescent="0.2">
      <c r="A27" s="39" t="s">
        <v>43</v>
      </c>
      <c r="B27" s="39" t="s">
        <v>36</v>
      </c>
      <c r="D27" s="39">
        <v>0</v>
      </c>
      <c r="E27" s="39">
        <v>0</v>
      </c>
      <c r="F27" s="39">
        <v>0</v>
      </c>
      <c r="H27" s="39">
        <v>0</v>
      </c>
      <c r="I27" s="39">
        <v>0</v>
      </c>
      <c r="J27" s="39">
        <v>0</v>
      </c>
      <c r="P27" s="39">
        <v>0</v>
      </c>
      <c r="Q27" s="39">
        <v>0</v>
      </c>
      <c r="R27" s="39">
        <v>0</v>
      </c>
    </row>
    <row r="28" spans="1:18" x14ac:dyDescent="0.2">
      <c r="A28" s="38" t="s">
        <v>44</v>
      </c>
      <c r="B28" s="38" t="s">
        <v>34</v>
      </c>
      <c r="D28" s="38">
        <v>0</v>
      </c>
      <c r="E28" s="38">
        <v>0</v>
      </c>
      <c r="F28" s="38">
        <v>0</v>
      </c>
      <c r="H28" s="38">
        <v>0</v>
      </c>
      <c r="I28" s="38">
        <v>0</v>
      </c>
      <c r="J28" s="38">
        <v>0</v>
      </c>
      <c r="P28" s="38">
        <v>0</v>
      </c>
      <c r="Q28" s="38">
        <v>0</v>
      </c>
      <c r="R28" s="38">
        <v>0</v>
      </c>
    </row>
    <row r="29" spans="1:18" x14ac:dyDescent="0.2">
      <c r="A29" s="39" t="s">
        <v>44</v>
      </c>
      <c r="B29" s="39" t="s">
        <v>35</v>
      </c>
      <c r="D29" s="39">
        <v>0</v>
      </c>
      <c r="E29" s="39">
        <v>0</v>
      </c>
      <c r="F29" s="39">
        <v>0</v>
      </c>
      <c r="H29" s="39">
        <v>0</v>
      </c>
      <c r="I29" s="39">
        <v>0</v>
      </c>
      <c r="J29" s="39">
        <v>0</v>
      </c>
      <c r="P29" s="39">
        <v>0</v>
      </c>
      <c r="Q29" s="39">
        <v>0</v>
      </c>
      <c r="R29" s="39">
        <v>0</v>
      </c>
    </row>
    <row r="30" spans="1:18" x14ac:dyDescent="0.2">
      <c r="A30" s="38" t="s">
        <v>44</v>
      </c>
      <c r="B30" s="38" t="s">
        <v>36</v>
      </c>
      <c r="D30" s="38">
        <v>0</v>
      </c>
      <c r="E30" s="38">
        <v>0</v>
      </c>
      <c r="F30" s="38">
        <v>0</v>
      </c>
      <c r="H30" s="38">
        <v>0</v>
      </c>
      <c r="I30" s="38">
        <v>0</v>
      </c>
      <c r="J30" s="38">
        <v>0</v>
      </c>
      <c r="P30" s="38">
        <v>0</v>
      </c>
      <c r="Q30" s="38">
        <v>0</v>
      </c>
      <c r="R30" s="38">
        <v>0</v>
      </c>
    </row>
    <row r="31" spans="1:18" x14ac:dyDescent="0.2">
      <c r="A31" s="39" t="s">
        <v>45</v>
      </c>
      <c r="B31" s="39" t="s">
        <v>34</v>
      </c>
      <c r="D31" s="39">
        <v>7</v>
      </c>
      <c r="E31" s="39">
        <v>7</v>
      </c>
      <c r="F31" s="39">
        <v>7</v>
      </c>
      <c r="H31" s="39">
        <v>0</v>
      </c>
      <c r="I31" s="39">
        <v>0</v>
      </c>
      <c r="J31" s="39">
        <v>0</v>
      </c>
      <c r="P31" s="39">
        <v>0</v>
      </c>
      <c r="Q31" s="39">
        <v>0</v>
      </c>
      <c r="R31" s="39">
        <v>0</v>
      </c>
    </row>
    <row r="32" spans="1:18" x14ac:dyDescent="0.2">
      <c r="A32" s="38" t="s">
        <v>45</v>
      </c>
      <c r="B32" s="38" t="s">
        <v>35</v>
      </c>
      <c r="D32" s="38">
        <v>0</v>
      </c>
      <c r="E32" s="38">
        <v>0</v>
      </c>
      <c r="F32" s="38">
        <v>0</v>
      </c>
      <c r="H32" s="38">
        <v>0</v>
      </c>
      <c r="I32" s="38">
        <v>0</v>
      </c>
      <c r="J32" s="38">
        <v>0</v>
      </c>
      <c r="P32" s="38">
        <v>0</v>
      </c>
      <c r="Q32" s="38">
        <v>0</v>
      </c>
      <c r="R32" s="38">
        <v>0</v>
      </c>
    </row>
    <row r="33" spans="1:18" x14ac:dyDescent="0.2">
      <c r="A33" s="39" t="s">
        <v>45</v>
      </c>
      <c r="B33" s="39" t="s">
        <v>36</v>
      </c>
      <c r="D33" s="39">
        <v>1</v>
      </c>
      <c r="E33" s="39">
        <v>1</v>
      </c>
      <c r="F33" s="39">
        <v>1</v>
      </c>
      <c r="H33" s="39">
        <v>0</v>
      </c>
      <c r="I33" s="39">
        <v>0</v>
      </c>
      <c r="J33" s="39">
        <v>0</v>
      </c>
      <c r="P33" s="39">
        <v>0</v>
      </c>
      <c r="Q33" s="39">
        <v>0</v>
      </c>
      <c r="R33" s="39">
        <v>0</v>
      </c>
    </row>
    <row r="34" spans="1:18" x14ac:dyDescent="0.2">
      <c r="A34" s="38" t="s">
        <v>46</v>
      </c>
      <c r="B34" s="38" t="s">
        <v>34</v>
      </c>
      <c r="D34" s="38">
        <v>1</v>
      </c>
      <c r="E34" s="38">
        <v>1</v>
      </c>
      <c r="F34" s="38">
        <v>1</v>
      </c>
      <c r="H34" s="38">
        <v>0</v>
      </c>
      <c r="I34" s="38">
        <v>0</v>
      </c>
      <c r="J34" s="38">
        <v>0</v>
      </c>
      <c r="P34" s="38">
        <v>0</v>
      </c>
      <c r="Q34" s="38">
        <v>0</v>
      </c>
      <c r="R34" s="38">
        <v>0</v>
      </c>
    </row>
    <row r="35" spans="1:18" x14ac:dyDescent="0.2">
      <c r="A35" s="39" t="s">
        <v>46</v>
      </c>
      <c r="B35" s="39" t="s">
        <v>35</v>
      </c>
      <c r="D35" s="39">
        <v>0</v>
      </c>
      <c r="E35" s="39">
        <v>0</v>
      </c>
      <c r="F35" s="39">
        <v>0</v>
      </c>
      <c r="H35" s="39">
        <v>0</v>
      </c>
      <c r="I35" s="39">
        <v>0</v>
      </c>
      <c r="J35" s="39">
        <v>0</v>
      </c>
      <c r="P35" s="39">
        <v>0</v>
      </c>
      <c r="Q35" s="39">
        <v>0</v>
      </c>
      <c r="R35" s="39">
        <v>0</v>
      </c>
    </row>
    <row r="36" spans="1:18" x14ac:dyDescent="0.2">
      <c r="A36" s="38" t="s">
        <v>46</v>
      </c>
      <c r="B36" s="38" t="s">
        <v>36</v>
      </c>
      <c r="D36" s="38">
        <v>0</v>
      </c>
      <c r="E36" s="38">
        <v>0</v>
      </c>
      <c r="F36" s="38">
        <v>0</v>
      </c>
      <c r="H36" s="38">
        <v>0</v>
      </c>
      <c r="I36" s="38">
        <v>0</v>
      </c>
      <c r="J36" s="38">
        <v>0</v>
      </c>
      <c r="P36" s="38">
        <v>0</v>
      </c>
      <c r="Q36" s="38">
        <v>0</v>
      </c>
      <c r="R36" s="38">
        <v>0</v>
      </c>
    </row>
    <row r="37" spans="1:18" x14ac:dyDescent="0.2">
      <c r="A37" s="39" t="s">
        <v>47</v>
      </c>
      <c r="B37" s="39" t="s">
        <v>34</v>
      </c>
      <c r="D37" s="39">
        <v>0</v>
      </c>
      <c r="E37" s="39">
        <v>0</v>
      </c>
      <c r="F37" s="39">
        <v>0</v>
      </c>
      <c r="H37" s="39">
        <v>0</v>
      </c>
      <c r="I37" s="39">
        <v>0</v>
      </c>
      <c r="J37" s="39">
        <v>0</v>
      </c>
      <c r="P37" s="39">
        <v>0</v>
      </c>
      <c r="Q37" s="39">
        <v>0</v>
      </c>
      <c r="R37" s="39">
        <v>0</v>
      </c>
    </row>
    <row r="38" spans="1:18" x14ac:dyDescent="0.2">
      <c r="A38" s="38" t="s">
        <v>47</v>
      </c>
      <c r="B38" s="38" t="s">
        <v>35</v>
      </c>
      <c r="D38" s="38">
        <v>0</v>
      </c>
      <c r="E38" s="38">
        <v>0</v>
      </c>
      <c r="F38" s="38">
        <v>0</v>
      </c>
      <c r="H38" s="38">
        <v>0</v>
      </c>
      <c r="I38" s="38">
        <v>0</v>
      </c>
      <c r="J38" s="38">
        <v>0</v>
      </c>
      <c r="P38" s="38">
        <v>0</v>
      </c>
      <c r="Q38" s="38">
        <v>0</v>
      </c>
      <c r="R38" s="38">
        <v>0</v>
      </c>
    </row>
    <row r="39" spans="1:18" x14ac:dyDescent="0.2">
      <c r="A39" s="39" t="s">
        <v>47</v>
      </c>
      <c r="B39" s="39" t="s">
        <v>36</v>
      </c>
      <c r="D39" s="39">
        <v>0</v>
      </c>
      <c r="E39" s="39">
        <v>0</v>
      </c>
      <c r="F39" s="39">
        <v>0</v>
      </c>
      <c r="H39" s="39">
        <v>0</v>
      </c>
      <c r="I39" s="39">
        <v>0</v>
      </c>
      <c r="J39" s="39">
        <v>0</v>
      </c>
      <c r="P39" s="39">
        <v>0</v>
      </c>
      <c r="Q39" s="39">
        <v>0</v>
      </c>
      <c r="R39" s="39">
        <v>0</v>
      </c>
    </row>
    <row r="40" spans="1:18" x14ac:dyDescent="0.2">
      <c r="A40" s="38" t="s">
        <v>48</v>
      </c>
      <c r="B40" s="38" t="s">
        <v>34</v>
      </c>
      <c r="D40" s="38">
        <v>4</v>
      </c>
      <c r="E40" s="38">
        <v>4</v>
      </c>
      <c r="F40" s="38">
        <v>3</v>
      </c>
      <c r="H40" s="38">
        <v>0</v>
      </c>
      <c r="I40" s="38">
        <v>1</v>
      </c>
      <c r="J40" s="38">
        <v>0</v>
      </c>
      <c r="P40" s="38">
        <v>1</v>
      </c>
      <c r="Q40" s="38">
        <v>1</v>
      </c>
      <c r="R40" s="38">
        <v>0</v>
      </c>
    </row>
    <row r="41" spans="1:18" x14ac:dyDescent="0.2">
      <c r="A41" s="39" t="s">
        <v>48</v>
      </c>
      <c r="B41" s="39" t="s">
        <v>35</v>
      </c>
      <c r="D41" s="39">
        <v>0</v>
      </c>
      <c r="E41" s="39">
        <v>0</v>
      </c>
      <c r="F41" s="39">
        <v>0</v>
      </c>
      <c r="H41" s="39">
        <v>0</v>
      </c>
      <c r="I41" s="39">
        <v>0</v>
      </c>
      <c r="J41" s="39">
        <v>0</v>
      </c>
      <c r="P41" s="39">
        <v>0</v>
      </c>
      <c r="Q41" s="39">
        <v>0</v>
      </c>
      <c r="R41" s="39">
        <v>0</v>
      </c>
    </row>
    <row r="42" spans="1:18" x14ac:dyDescent="0.2">
      <c r="A42" s="38" t="s">
        <v>48</v>
      </c>
      <c r="B42" s="38" t="s">
        <v>36</v>
      </c>
      <c r="D42" s="38">
        <v>3</v>
      </c>
      <c r="E42" s="38">
        <v>3</v>
      </c>
      <c r="F42" s="38">
        <v>3</v>
      </c>
      <c r="H42" s="38">
        <v>0</v>
      </c>
      <c r="I42" s="38">
        <v>0</v>
      </c>
      <c r="J42" s="38">
        <v>0</v>
      </c>
      <c r="P42" s="38">
        <v>0</v>
      </c>
      <c r="Q42" s="38">
        <v>0</v>
      </c>
      <c r="R42" s="38">
        <v>0</v>
      </c>
    </row>
    <row r="43" spans="1:18" x14ac:dyDescent="0.2">
      <c r="A43" s="39" t="s">
        <v>49</v>
      </c>
      <c r="B43" s="39" t="s">
        <v>34</v>
      </c>
      <c r="D43" s="39">
        <v>3</v>
      </c>
      <c r="E43" s="39">
        <v>3</v>
      </c>
      <c r="F43" s="39">
        <v>3</v>
      </c>
      <c r="H43" s="39">
        <v>0</v>
      </c>
      <c r="I43" s="39">
        <v>0</v>
      </c>
      <c r="J43" s="39">
        <v>0</v>
      </c>
      <c r="P43" s="39">
        <v>0</v>
      </c>
      <c r="Q43" s="39">
        <v>0</v>
      </c>
      <c r="R43" s="39">
        <v>0</v>
      </c>
    </row>
    <row r="44" spans="1:18" x14ac:dyDescent="0.2">
      <c r="A44" s="38" t="s">
        <v>49</v>
      </c>
      <c r="B44" s="38" t="s">
        <v>35</v>
      </c>
      <c r="D44" s="38">
        <v>0</v>
      </c>
      <c r="E44" s="38">
        <v>0</v>
      </c>
      <c r="F44" s="38">
        <v>0</v>
      </c>
      <c r="H44" s="38">
        <v>0</v>
      </c>
      <c r="I44" s="38">
        <v>0</v>
      </c>
      <c r="J44" s="38">
        <v>0</v>
      </c>
      <c r="P44" s="38">
        <v>0</v>
      </c>
      <c r="Q44" s="38">
        <v>0</v>
      </c>
      <c r="R44" s="38">
        <v>0</v>
      </c>
    </row>
    <row r="45" spans="1:18" x14ac:dyDescent="0.2">
      <c r="A45" s="39" t="s">
        <v>49</v>
      </c>
      <c r="B45" s="39" t="s">
        <v>36</v>
      </c>
      <c r="D45" s="39">
        <v>0</v>
      </c>
      <c r="E45" s="39">
        <v>0</v>
      </c>
      <c r="F45" s="39">
        <v>0</v>
      </c>
      <c r="H45" s="39">
        <v>0</v>
      </c>
      <c r="I45" s="39">
        <v>0</v>
      </c>
      <c r="J45" s="39">
        <v>0</v>
      </c>
      <c r="P45" s="39">
        <v>0</v>
      </c>
      <c r="Q45" s="39">
        <v>0</v>
      </c>
      <c r="R45" s="39">
        <v>0</v>
      </c>
    </row>
    <row r="46" spans="1:18" x14ac:dyDescent="0.2">
      <c r="A46" s="38" t="s">
        <v>50</v>
      </c>
      <c r="B46" s="38" t="s">
        <v>34</v>
      </c>
      <c r="D46" s="38">
        <v>0</v>
      </c>
      <c r="E46" s="38">
        <v>0</v>
      </c>
      <c r="F46" s="38">
        <v>0</v>
      </c>
      <c r="H46" s="38">
        <v>0</v>
      </c>
      <c r="I46" s="38">
        <v>0</v>
      </c>
      <c r="J46" s="38">
        <v>0</v>
      </c>
      <c r="P46" s="38">
        <v>0</v>
      </c>
      <c r="Q46" s="38">
        <v>0</v>
      </c>
      <c r="R46" s="38">
        <v>0</v>
      </c>
    </row>
    <row r="47" spans="1:18" x14ac:dyDescent="0.2">
      <c r="A47" s="39" t="s">
        <v>50</v>
      </c>
      <c r="B47" s="39" t="s">
        <v>35</v>
      </c>
      <c r="D47" s="39">
        <v>0</v>
      </c>
      <c r="E47" s="39">
        <v>0</v>
      </c>
      <c r="F47" s="39">
        <v>0</v>
      </c>
      <c r="H47" s="39">
        <v>0</v>
      </c>
      <c r="I47" s="39">
        <v>0</v>
      </c>
      <c r="J47" s="39">
        <v>0</v>
      </c>
      <c r="P47" s="39">
        <v>0</v>
      </c>
      <c r="Q47" s="39">
        <v>0</v>
      </c>
      <c r="R47" s="39">
        <v>0</v>
      </c>
    </row>
    <row r="48" spans="1:18" x14ac:dyDescent="0.2">
      <c r="A48" s="38" t="s">
        <v>50</v>
      </c>
      <c r="B48" s="38" t="s">
        <v>36</v>
      </c>
      <c r="D48" s="38">
        <v>0</v>
      </c>
      <c r="E48" s="38">
        <v>0</v>
      </c>
      <c r="F48" s="38">
        <v>0</v>
      </c>
      <c r="H48" s="38">
        <v>0</v>
      </c>
      <c r="I48" s="38">
        <v>0</v>
      </c>
      <c r="J48" s="38">
        <v>0</v>
      </c>
      <c r="P48" s="38">
        <v>0</v>
      </c>
      <c r="Q48" s="38">
        <v>0</v>
      </c>
      <c r="R48" s="38">
        <v>0</v>
      </c>
    </row>
    <row r="49" spans="1:18" x14ac:dyDescent="0.2">
      <c r="A49" s="39" t="s">
        <v>51</v>
      </c>
      <c r="B49" s="39" t="s">
        <v>34</v>
      </c>
      <c r="D49" s="39">
        <v>0</v>
      </c>
      <c r="E49" s="39">
        <v>0</v>
      </c>
      <c r="F49" s="39">
        <v>0</v>
      </c>
      <c r="H49" s="39">
        <v>0</v>
      </c>
      <c r="I49" s="39">
        <v>0</v>
      </c>
      <c r="J49" s="39">
        <v>0</v>
      </c>
      <c r="P49" s="39">
        <v>0</v>
      </c>
      <c r="Q49" s="39">
        <v>0</v>
      </c>
      <c r="R49" s="39">
        <v>0</v>
      </c>
    </row>
    <row r="50" spans="1:18" x14ac:dyDescent="0.2">
      <c r="A50" s="38" t="s">
        <v>51</v>
      </c>
      <c r="B50" s="38" t="s">
        <v>35</v>
      </c>
      <c r="D50" s="38">
        <v>0</v>
      </c>
      <c r="E50" s="38">
        <v>0</v>
      </c>
      <c r="F50" s="38">
        <v>0</v>
      </c>
      <c r="H50" s="38">
        <v>0</v>
      </c>
      <c r="I50" s="38">
        <v>0</v>
      </c>
      <c r="J50" s="38">
        <v>0</v>
      </c>
      <c r="P50" s="38">
        <v>0</v>
      </c>
      <c r="Q50" s="38">
        <v>0</v>
      </c>
      <c r="R50" s="38">
        <v>0</v>
      </c>
    </row>
    <row r="51" spans="1:18" x14ac:dyDescent="0.2">
      <c r="A51" s="39" t="s">
        <v>51</v>
      </c>
      <c r="B51" s="39" t="s">
        <v>36</v>
      </c>
      <c r="D51" s="39">
        <v>0</v>
      </c>
      <c r="E51" s="39">
        <v>0</v>
      </c>
      <c r="F51" s="39">
        <v>0</v>
      </c>
      <c r="H51" s="39">
        <v>0</v>
      </c>
      <c r="I51" s="39">
        <v>0</v>
      </c>
      <c r="J51" s="39">
        <v>0</v>
      </c>
      <c r="P51" s="39">
        <v>0</v>
      </c>
      <c r="Q51" s="39">
        <v>0</v>
      </c>
      <c r="R51" s="39">
        <v>0</v>
      </c>
    </row>
    <row r="52" spans="1:18" x14ac:dyDescent="0.2">
      <c r="A52" s="38" t="s">
        <v>52</v>
      </c>
      <c r="B52" s="38" t="s">
        <v>34</v>
      </c>
      <c r="D52" s="38">
        <v>0</v>
      </c>
      <c r="E52" s="38">
        <v>0</v>
      </c>
      <c r="F52" s="38">
        <v>0</v>
      </c>
      <c r="H52" s="38">
        <v>0</v>
      </c>
      <c r="I52" s="38">
        <v>0</v>
      </c>
      <c r="J52" s="38">
        <v>0</v>
      </c>
      <c r="P52" s="38">
        <v>0</v>
      </c>
      <c r="Q52" s="38">
        <v>0</v>
      </c>
      <c r="R52" s="38">
        <v>0</v>
      </c>
    </row>
    <row r="53" spans="1:18" x14ac:dyDescent="0.2">
      <c r="A53" s="39" t="s">
        <v>52</v>
      </c>
      <c r="B53" s="39" t="s">
        <v>35</v>
      </c>
      <c r="D53" s="39">
        <v>0</v>
      </c>
      <c r="E53" s="39">
        <v>0</v>
      </c>
      <c r="F53" s="39">
        <v>0</v>
      </c>
      <c r="H53" s="39">
        <v>0</v>
      </c>
      <c r="I53" s="39">
        <v>0</v>
      </c>
      <c r="J53" s="39">
        <v>0</v>
      </c>
      <c r="P53" s="39">
        <v>0</v>
      </c>
      <c r="Q53" s="39">
        <v>0</v>
      </c>
      <c r="R53" s="39">
        <v>0</v>
      </c>
    </row>
    <row r="54" spans="1:18" x14ac:dyDescent="0.2">
      <c r="A54" s="38" t="s">
        <v>52</v>
      </c>
      <c r="B54" s="38" t="s">
        <v>36</v>
      </c>
      <c r="D54" s="38">
        <v>0</v>
      </c>
      <c r="E54" s="38">
        <v>0</v>
      </c>
      <c r="F54" s="38">
        <v>0</v>
      </c>
      <c r="H54" s="38">
        <v>0</v>
      </c>
      <c r="I54" s="38">
        <v>0</v>
      </c>
      <c r="J54" s="38">
        <v>0</v>
      </c>
      <c r="P54" s="38">
        <v>0</v>
      </c>
      <c r="Q54" s="38">
        <v>0</v>
      </c>
      <c r="R54" s="38">
        <v>0</v>
      </c>
    </row>
    <row r="55" spans="1:18" x14ac:dyDescent="0.2">
      <c r="A55" s="39" t="s">
        <v>53</v>
      </c>
      <c r="B55" s="39" t="s">
        <v>34</v>
      </c>
      <c r="D55" s="39">
        <v>0</v>
      </c>
      <c r="E55" s="39">
        <v>0</v>
      </c>
      <c r="F55" s="39">
        <v>0</v>
      </c>
      <c r="H55" s="39">
        <v>0</v>
      </c>
      <c r="I55" s="39">
        <v>0</v>
      </c>
      <c r="J55" s="39">
        <v>0</v>
      </c>
      <c r="P55" s="39">
        <v>0</v>
      </c>
      <c r="Q55" s="39">
        <v>0</v>
      </c>
      <c r="R55" s="39">
        <v>0</v>
      </c>
    </row>
    <row r="56" spans="1:18" x14ac:dyDescent="0.2">
      <c r="A56" s="38" t="s">
        <v>53</v>
      </c>
      <c r="B56" s="38" t="s">
        <v>35</v>
      </c>
      <c r="D56" s="38">
        <v>0</v>
      </c>
      <c r="E56" s="38">
        <v>0</v>
      </c>
      <c r="F56" s="38">
        <v>0</v>
      </c>
      <c r="H56" s="38">
        <v>0</v>
      </c>
      <c r="I56" s="38">
        <v>0</v>
      </c>
      <c r="J56" s="38">
        <v>0</v>
      </c>
      <c r="P56" s="38">
        <v>0</v>
      </c>
      <c r="Q56" s="38">
        <v>0</v>
      </c>
      <c r="R56" s="38">
        <v>0</v>
      </c>
    </row>
    <row r="57" spans="1:18" x14ac:dyDescent="0.2">
      <c r="A57" s="39" t="s">
        <v>53</v>
      </c>
      <c r="B57" s="39" t="s">
        <v>36</v>
      </c>
      <c r="D57" s="39">
        <v>0</v>
      </c>
      <c r="E57" s="39">
        <v>0</v>
      </c>
      <c r="F57" s="39">
        <v>0</v>
      </c>
      <c r="H57" s="39">
        <v>0</v>
      </c>
      <c r="I57" s="39">
        <v>0</v>
      </c>
      <c r="J57" s="39">
        <v>0</v>
      </c>
      <c r="P57" s="39">
        <v>0</v>
      </c>
      <c r="Q57" s="39">
        <v>0</v>
      </c>
      <c r="R57" s="39">
        <v>0</v>
      </c>
    </row>
    <row r="58" spans="1:18" x14ac:dyDescent="0.2">
      <c r="A58" s="38" t="s">
        <v>54</v>
      </c>
      <c r="B58" s="38" t="s">
        <v>34</v>
      </c>
      <c r="D58" s="38">
        <v>2</v>
      </c>
      <c r="E58" s="38">
        <v>1</v>
      </c>
      <c r="F58" s="38">
        <v>1</v>
      </c>
      <c r="H58" s="38">
        <v>0</v>
      </c>
      <c r="I58" s="38">
        <v>0</v>
      </c>
      <c r="J58" s="38">
        <v>0</v>
      </c>
      <c r="P58" s="38">
        <v>1</v>
      </c>
      <c r="Q58" s="38">
        <v>0</v>
      </c>
      <c r="R58" s="38">
        <v>0</v>
      </c>
    </row>
    <row r="59" spans="1:18" x14ac:dyDescent="0.2">
      <c r="A59" s="39" t="s">
        <v>54</v>
      </c>
      <c r="B59" s="39" t="s">
        <v>35</v>
      </c>
      <c r="D59" s="39">
        <v>0</v>
      </c>
      <c r="E59" s="39">
        <v>0</v>
      </c>
      <c r="F59" s="39">
        <v>0</v>
      </c>
      <c r="H59" s="39">
        <v>0</v>
      </c>
      <c r="I59" s="39">
        <v>0</v>
      </c>
      <c r="J59" s="39">
        <v>0</v>
      </c>
      <c r="P59" s="39">
        <v>0</v>
      </c>
      <c r="Q59" s="39">
        <v>0</v>
      </c>
      <c r="R59" s="39">
        <v>0</v>
      </c>
    </row>
    <row r="60" spans="1:18" x14ac:dyDescent="0.2">
      <c r="A60" s="38" t="s">
        <v>54</v>
      </c>
      <c r="B60" s="38" t="s">
        <v>36</v>
      </c>
      <c r="D60" s="38">
        <v>0</v>
      </c>
      <c r="E60" s="38">
        <v>0</v>
      </c>
      <c r="F60" s="38">
        <v>0</v>
      </c>
      <c r="H60" s="38">
        <v>0</v>
      </c>
      <c r="I60" s="38">
        <v>0</v>
      </c>
      <c r="J60" s="38">
        <v>0</v>
      </c>
      <c r="P60" s="38">
        <v>0</v>
      </c>
      <c r="Q60" s="38">
        <v>0</v>
      </c>
      <c r="R60" s="38">
        <v>0</v>
      </c>
    </row>
    <row r="61" spans="1:18" x14ac:dyDescent="0.2">
      <c r="A61" s="39" t="s">
        <v>55</v>
      </c>
      <c r="B61" s="39" t="s">
        <v>34</v>
      </c>
      <c r="D61" s="39">
        <v>0</v>
      </c>
      <c r="E61" s="39">
        <v>0</v>
      </c>
      <c r="F61" s="39">
        <v>0</v>
      </c>
      <c r="H61" s="39">
        <v>0</v>
      </c>
      <c r="I61" s="39">
        <v>0</v>
      </c>
      <c r="J61" s="39">
        <v>0</v>
      </c>
      <c r="P61" s="39">
        <v>0</v>
      </c>
      <c r="Q61" s="39">
        <v>0</v>
      </c>
      <c r="R61" s="39">
        <v>0</v>
      </c>
    </row>
    <row r="62" spans="1:18" x14ac:dyDescent="0.2">
      <c r="A62" s="38" t="s">
        <v>55</v>
      </c>
      <c r="B62" s="38" t="s">
        <v>35</v>
      </c>
      <c r="D62" s="38">
        <v>0</v>
      </c>
      <c r="E62" s="38">
        <v>0</v>
      </c>
      <c r="F62" s="38">
        <v>0</v>
      </c>
      <c r="H62" s="38">
        <v>0</v>
      </c>
      <c r="I62" s="38">
        <v>0</v>
      </c>
      <c r="J62" s="38">
        <v>0</v>
      </c>
      <c r="P62" s="38">
        <v>0</v>
      </c>
      <c r="Q62" s="38">
        <v>0</v>
      </c>
      <c r="R62" s="38">
        <v>0</v>
      </c>
    </row>
    <row r="63" spans="1:18" x14ac:dyDescent="0.2">
      <c r="A63" s="39" t="s">
        <v>55</v>
      </c>
      <c r="B63" s="39" t="s">
        <v>36</v>
      </c>
      <c r="D63" s="39">
        <v>0</v>
      </c>
      <c r="E63" s="39">
        <v>0</v>
      </c>
      <c r="F63" s="39">
        <v>0</v>
      </c>
      <c r="H63" s="39">
        <v>0</v>
      </c>
      <c r="I63" s="39">
        <v>0</v>
      </c>
      <c r="J63" s="39">
        <v>0</v>
      </c>
      <c r="P63" s="39">
        <v>0</v>
      </c>
      <c r="Q63" s="39">
        <v>0</v>
      </c>
      <c r="R63" s="39">
        <v>0</v>
      </c>
    </row>
    <row r="64" spans="1:18" x14ac:dyDescent="0.2">
      <c r="A64" s="38" t="s">
        <v>56</v>
      </c>
      <c r="B64" s="38" t="s">
        <v>34</v>
      </c>
      <c r="D64" s="38">
        <v>0</v>
      </c>
      <c r="E64" s="38">
        <v>0</v>
      </c>
      <c r="F64" s="38">
        <v>0</v>
      </c>
      <c r="H64" s="38">
        <v>0</v>
      </c>
      <c r="I64" s="38">
        <v>0</v>
      </c>
      <c r="J64" s="38">
        <v>0</v>
      </c>
      <c r="P64" s="38">
        <v>0</v>
      </c>
      <c r="Q64" s="38">
        <v>0</v>
      </c>
      <c r="R64" s="38">
        <v>0</v>
      </c>
    </row>
    <row r="65" spans="1:18" x14ac:dyDescent="0.2">
      <c r="A65" s="39" t="s">
        <v>56</v>
      </c>
      <c r="B65" s="39" t="s">
        <v>35</v>
      </c>
      <c r="D65" s="39">
        <v>0</v>
      </c>
      <c r="E65" s="39">
        <v>0</v>
      </c>
      <c r="F65" s="39">
        <v>0</v>
      </c>
      <c r="H65" s="39">
        <v>0</v>
      </c>
      <c r="I65" s="39">
        <v>0</v>
      </c>
      <c r="J65" s="39">
        <v>0</v>
      </c>
      <c r="P65" s="39">
        <v>0</v>
      </c>
      <c r="Q65" s="39">
        <v>0</v>
      </c>
      <c r="R65" s="39">
        <v>0</v>
      </c>
    </row>
    <row r="66" spans="1:18" x14ac:dyDescent="0.2">
      <c r="A66" s="38" t="s">
        <v>56</v>
      </c>
      <c r="B66" s="38" t="s">
        <v>36</v>
      </c>
      <c r="D66" s="38">
        <v>0</v>
      </c>
      <c r="E66" s="38">
        <v>0</v>
      </c>
      <c r="F66" s="38">
        <v>0</v>
      </c>
      <c r="H66" s="38">
        <v>0</v>
      </c>
      <c r="I66" s="38">
        <v>0</v>
      </c>
      <c r="J66" s="38">
        <v>0</v>
      </c>
      <c r="P66" s="38">
        <v>0</v>
      </c>
      <c r="Q66" s="38">
        <v>0</v>
      </c>
      <c r="R66" s="38">
        <v>0</v>
      </c>
    </row>
    <row r="67" spans="1:18" x14ac:dyDescent="0.2">
      <c r="A67" s="39" t="s">
        <v>57</v>
      </c>
      <c r="B67" s="39" t="s">
        <v>34</v>
      </c>
      <c r="D67" s="39">
        <v>2</v>
      </c>
      <c r="E67" s="39">
        <v>2</v>
      </c>
      <c r="F67" s="39">
        <v>2</v>
      </c>
      <c r="H67" s="39">
        <v>0</v>
      </c>
      <c r="I67" s="39">
        <v>0</v>
      </c>
      <c r="J67" s="39">
        <v>0</v>
      </c>
      <c r="P67" s="39">
        <v>0</v>
      </c>
      <c r="Q67" s="39">
        <v>0</v>
      </c>
      <c r="R67" s="39">
        <v>0</v>
      </c>
    </row>
    <row r="68" spans="1:18" x14ac:dyDescent="0.2">
      <c r="A68" s="38" t="s">
        <v>57</v>
      </c>
      <c r="B68" s="38" t="s">
        <v>35</v>
      </c>
      <c r="D68" s="38">
        <v>0</v>
      </c>
      <c r="E68" s="38">
        <v>0</v>
      </c>
      <c r="F68" s="38">
        <v>0</v>
      </c>
      <c r="H68" s="38">
        <v>0</v>
      </c>
      <c r="I68" s="38">
        <v>0</v>
      </c>
      <c r="J68" s="38">
        <v>0</v>
      </c>
      <c r="P68" s="38">
        <v>0</v>
      </c>
      <c r="Q68" s="38">
        <v>0</v>
      </c>
      <c r="R68" s="38">
        <v>0</v>
      </c>
    </row>
    <row r="69" spans="1:18" x14ac:dyDescent="0.2">
      <c r="A69" s="39" t="s">
        <v>57</v>
      </c>
      <c r="B69" s="39" t="s">
        <v>36</v>
      </c>
      <c r="D69" s="39">
        <v>0</v>
      </c>
      <c r="E69" s="39">
        <v>0</v>
      </c>
      <c r="F69" s="39">
        <v>0</v>
      </c>
      <c r="H69" s="39">
        <v>0</v>
      </c>
      <c r="I69" s="39">
        <v>0</v>
      </c>
      <c r="J69" s="39">
        <v>0</v>
      </c>
      <c r="P69" s="39">
        <v>0</v>
      </c>
      <c r="Q69" s="39">
        <v>0</v>
      </c>
      <c r="R69" s="39">
        <v>0</v>
      </c>
    </row>
    <row r="70" spans="1:18" x14ac:dyDescent="0.2">
      <c r="A70" s="38" t="s">
        <v>58</v>
      </c>
      <c r="B70" s="38" t="s">
        <v>34</v>
      </c>
      <c r="D70" s="38">
        <v>7</v>
      </c>
      <c r="E70" s="38">
        <v>7</v>
      </c>
      <c r="F70" s="38">
        <v>7</v>
      </c>
      <c r="H70" s="38">
        <v>0</v>
      </c>
      <c r="I70" s="38">
        <v>0</v>
      </c>
      <c r="J70" s="38">
        <v>0</v>
      </c>
      <c r="P70" s="38">
        <v>0</v>
      </c>
      <c r="Q70" s="38">
        <v>0</v>
      </c>
      <c r="R70" s="38">
        <v>0</v>
      </c>
    </row>
    <row r="71" spans="1:18" x14ac:dyDescent="0.2">
      <c r="A71" s="39" t="s">
        <v>58</v>
      </c>
      <c r="B71" s="39" t="s">
        <v>35</v>
      </c>
      <c r="D71" s="39">
        <v>0</v>
      </c>
      <c r="E71" s="39">
        <v>0</v>
      </c>
      <c r="F71" s="39">
        <v>0</v>
      </c>
      <c r="H71" s="39">
        <v>0</v>
      </c>
      <c r="I71" s="39">
        <v>0</v>
      </c>
      <c r="J71" s="39">
        <v>0</v>
      </c>
      <c r="P71" s="39">
        <v>0</v>
      </c>
      <c r="Q71" s="39">
        <v>0</v>
      </c>
      <c r="R71" s="39">
        <v>0</v>
      </c>
    </row>
    <row r="72" spans="1:18" x14ac:dyDescent="0.2">
      <c r="A72" s="38" t="s">
        <v>58</v>
      </c>
      <c r="B72" s="38" t="s">
        <v>36</v>
      </c>
      <c r="D72" s="38">
        <v>4</v>
      </c>
      <c r="E72" s="38">
        <v>4</v>
      </c>
      <c r="F72" s="38">
        <v>3</v>
      </c>
      <c r="H72" s="38">
        <v>0</v>
      </c>
      <c r="I72" s="38">
        <v>0</v>
      </c>
      <c r="J72" s="38">
        <v>0</v>
      </c>
      <c r="P72" s="38">
        <v>0</v>
      </c>
      <c r="Q72" s="38">
        <v>1</v>
      </c>
      <c r="R72" s="38">
        <v>0</v>
      </c>
    </row>
    <row r="73" spans="1:18" x14ac:dyDescent="0.2">
      <c r="A73" s="39" t="s">
        <v>59</v>
      </c>
      <c r="B73" s="39" t="s">
        <v>34</v>
      </c>
      <c r="D73" s="39">
        <v>0</v>
      </c>
      <c r="E73" s="39">
        <v>0</v>
      </c>
      <c r="F73" s="39">
        <v>0</v>
      </c>
      <c r="H73" s="39">
        <v>0</v>
      </c>
      <c r="I73" s="39">
        <v>0</v>
      </c>
      <c r="J73" s="39">
        <v>0</v>
      </c>
      <c r="P73" s="39">
        <v>0</v>
      </c>
      <c r="Q73" s="39">
        <v>0</v>
      </c>
      <c r="R73" s="39">
        <v>0</v>
      </c>
    </row>
    <row r="74" spans="1:18" x14ac:dyDescent="0.2">
      <c r="A74" s="38" t="s">
        <v>59</v>
      </c>
      <c r="B74" s="38" t="s">
        <v>35</v>
      </c>
      <c r="D74" s="38">
        <v>0</v>
      </c>
      <c r="E74" s="38">
        <v>0</v>
      </c>
      <c r="F74" s="38">
        <v>0</v>
      </c>
      <c r="H74" s="38">
        <v>0</v>
      </c>
      <c r="I74" s="38">
        <v>0</v>
      </c>
      <c r="J74" s="38">
        <v>0</v>
      </c>
      <c r="P74" s="38">
        <v>0</v>
      </c>
      <c r="Q74" s="38">
        <v>0</v>
      </c>
      <c r="R74" s="38">
        <v>0</v>
      </c>
    </row>
    <row r="75" spans="1:18" x14ac:dyDescent="0.2">
      <c r="A75" s="39" t="s">
        <v>59</v>
      </c>
      <c r="B75" s="39" t="s">
        <v>36</v>
      </c>
      <c r="D75" s="39">
        <v>0</v>
      </c>
      <c r="E75" s="39">
        <v>0</v>
      </c>
      <c r="F75" s="39">
        <v>0</v>
      </c>
      <c r="H75" s="39">
        <v>0</v>
      </c>
      <c r="I75" s="39">
        <v>0</v>
      </c>
      <c r="J75" s="39">
        <v>0</v>
      </c>
      <c r="P75" s="39">
        <v>0</v>
      </c>
      <c r="Q75" s="39">
        <v>0</v>
      </c>
      <c r="R75" s="39">
        <v>0</v>
      </c>
    </row>
    <row r="76" spans="1:18" x14ac:dyDescent="0.2">
      <c r="A76" s="38" t="s">
        <v>60</v>
      </c>
      <c r="B76" s="38" t="s">
        <v>34</v>
      </c>
      <c r="D76" s="38">
        <v>11</v>
      </c>
      <c r="E76" s="38">
        <v>9</v>
      </c>
      <c r="F76" s="38">
        <v>8</v>
      </c>
      <c r="H76" s="38">
        <v>0</v>
      </c>
      <c r="I76" s="38">
        <v>1</v>
      </c>
      <c r="J76" s="38">
        <v>0</v>
      </c>
      <c r="P76" s="38">
        <v>3</v>
      </c>
      <c r="Q76" s="38">
        <v>1</v>
      </c>
      <c r="R76" s="38">
        <v>2</v>
      </c>
    </row>
    <row r="77" spans="1:18" x14ac:dyDescent="0.2">
      <c r="A77" s="39" t="s">
        <v>60</v>
      </c>
      <c r="B77" s="39" t="s">
        <v>35</v>
      </c>
      <c r="D77" s="39">
        <v>0</v>
      </c>
      <c r="E77" s="39">
        <v>0</v>
      </c>
      <c r="F77" s="39">
        <v>0</v>
      </c>
      <c r="H77" s="39">
        <v>0</v>
      </c>
      <c r="I77" s="39">
        <v>0</v>
      </c>
      <c r="J77" s="39">
        <v>0</v>
      </c>
      <c r="P77" s="39">
        <v>0</v>
      </c>
      <c r="Q77" s="39">
        <v>0</v>
      </c>
      <c r="R77" s="39">
        <v>0</v>
      </c>
    </row>
    <row r="78" spans="1:18" x14ac:dyDescent="0.2">
      <c r="A78" s="38" t="s">
        <v>60</v>
      </c>
      <c r="B78" s="38" t="s">
        <v>36</v>
      </c>
      <c r="D78" s="38">
        <v>2</v>
      </c>
      <c r="E78" s="38">
        <v>2</v>
      </c>
      <c r="F78" s="38">
        <v>2</v>
      </c>
      <c r="H78" s="38">
        <v>0</v>
      </c>
      <c r="I78" s="38">
        <v>0</v>
      </c>
      <c r="J78" s="38">
        <v>0</v>
      </c>
      <c r="P78" s="38">
        <v>0</v>
      </c>
      <c r="Q78" s="38">
        <v>0</v>
      </c>
      <c r="R78" s="38">
        <v>0</v>
      </c>
    </row>
    <row r="79" spans="1:18" x14ac:dyDescent="0.2">
      <c r="A79" s="39" t="s">
        <v>61</v>
      </c>
      <c r="B79" s="39" t="s">
        <v>34</v>
      </c>
      <c r="D79" s="39">
        <v>24</v>
      </c>
      <c r="E79" s="39">
        <v>25</v>
      </c>
      <c r="F79" s="39">
        <v>23</v>
      </c>
      <c r="H79" s="39">
        <v>0</v>
      </c>
      <c r="I79" s="39">
        <v>1</v>
      </c>
      <c r="J79" s="39">
        <v>0</v>
      </c>
      <c r="P79" s="39">
        <v>0</v>
      </c>
      <c r="Q79" s="39">
        <v>2</v>
      </c>
      <c r="R79" s="39">
        <v>2</v>
      </c>
    </row>
    <row r="80" spans="1:18" x14ac:dyDescent="0.2">
      <c r="A80" s="38" t="s">
        <v>61</v>
      </c>
      <c r="B80" s="38" t="s">
        <v>35</v>
      </c>
      <c r="D80" s="38">
        <v>0</v>
      </c>
      <c r="E80" s="38">
        <v>0</v>
      </c>
      <c r="F80" s="38">
        <v>0</v>
      </c>
      <c r="H80" s="38">
        <v>0</v>
      </c>
      <c r="I80" s="38">
        <v>0</v>
      </c>
      <c r="J80" s="38">
        <v>0</v>
      </c>
      <c r="P80" s="38">
        <v>0</v>
      </c>
      <c r="Q80" s="38">
        <v>0</v>
      </c>
      <c r="R80" s="38">
        <v>0</v>
      </c>
    </row>
    <row r="81" spans="1:18" x14ac:dyDescent="0.2">
      <c r="A81" s="39" t="s">
        <v>61</v>
      </c>
      <c r="B81" s="39" t="s">
        <v>36</v>
      </c>
      <c r="D81" s="39">
        <v>5</v>
      </c>
      <c r="E81" s="39">
        <v>5</v>
      </c>
      <c r="F81" s="39">
        <v>4</v>
      </c>
      <c r="H81" s="39">
        <v>1</v>
      </c>
      <c r="I81" s="39">
        <v>0</v>
      </c>
      <c r="J81" s="39">
        <v>0</v>
      </c>
      <c r="P81" s="39">
        <v>0</v>
      </c>
      <c r="Q81" s="39">
        <v>1</v>
      </c>
      <c r="R81" s="39">
        <v>0</v>
      </c>
    </row>
    <row r="82" spans="1:18" x14ac:dyDescent="0.2">
      <c r="A82" s="38" t="s">
        <v>62</v>
      </c>
      <c r="B82" s="38" t="s">
        <v>34</v>
      </c>
      <c r="D82" s="38">
        <v>22</v>
      </c>
      <c r="E82" s="38">
        <v>18</v>
      </c>
      <c r="F82" s="38">
        <v>17</v>
      </c>
      <c r="H82" s="38">
        <v>0</v>
      </c>
      <c r="I82" s="38">
        <v>0</v>
      </c>
      <c r="J82" s="38">
        <v>0</v>
      </c>
      <c r="P82" s="38">
        <v>4</v>
      </c>
      <c r="Q82" s="38">
        <v>1</v>
      </c>
      <c r="R82" s="38">
        <v>2</v>
      </c>
    </row>
    <row r="83" spans="1:18" x14ac:dyDescent="0.2">
      <c r="A83" s="39" t="s">
        <v>62</v>
      </c>
      <c r="B83" s="39" t="s">
        <v>35</v>
      </c>
      <c r="D83" s="39">
        <v>0</v>
      </c>
      <c r="E83" s="39">
        <v>0</v>
      </c>
      <c r="F83" s="39">
        <v>0</v>
      </c>
      <c r="H83" s="39">
        <v>0</v>
      </c>
      <c r="I83" s="39">
        <v>0</v>
      </c>
      <c r="J83" s="39">
        <v>0</v>
      </c>
      <c r="P83" s="39">
        <v>0</v>
      </c>
      <c r="Q83" s="39">
        <v>0</v>
      </c>
      <c r="R83" s="39">
        <v>0</v>
      </c>
    </row>
    <row r="84" spans="1:18" x14ac:dyDescent="0.2">
      <c r="A84" s="38" t="s">
        <v>62</v>
      </c>
      <c r="B84" s="38" t="s">
        <v>36</v>
      </c>
      <c r="D84" s="38">
        <v>3</v>
      </c>
      <c r="E84" s="38">
        <v>3</v>
      </c>
      <c r="F84" s="38">
        <v>2</v>
      </c>
      <c r="H84" s="38">
        <v>0</v>
      </c>
      <c r="I84" s="38">
        <v>0</v>
      </c>
      <c r="J84" s="38">
        <v>0</v>
      </c>
      <c r="P84" s="38">
        <v>0</v>
      </c>
      <c r="Q84" s="38">
        <v>1</v>
      </c>
      <c r="R84" s="38">
        <v>0</v>
      </c>
    </row>
    <row r="85" spans="1:18" x14ac:dyDescent="0.2">
      <c r="A85" s="39" t="s">
        <v>63</v>
      </c>
      <c r="B85" s="39" t="s">
        <v>34</v>
      </c>
      <c r="D85" s="39">
        <v>6</v>
      </c>
      <c r="E85" s="39">
        <v>6</v>
      </c>
      <c r="F85" s="39">
        <v>6</v>
      </c>
      <c r="H85" s="39">
        <v>0</v>
      </c>
      <c r="I85" s="39">
        <v>0</v>
      </c>
      <c r="J85" s="39">
        <v>0</v>
      </c>
      <c r="P85" s="39">
        <v>0</v>
      </c>
      <c r="Q85" s="39">
        <v>0</v>
      </c>
      <c r="R85" s="39">
        <v>0</v>
      </c>
    </row>
    <row r="86" spans="1:18" x14ac:dyDescent="0.2">
      <c r="A86" s="38" t="s">
        <v>63</v>
      </c>
      <c r="B86" s="38" t="s">
        <v>35</v>
      </c>
      <c r="D86" s="38">
        <v>0</v>
      </c>
      <c r="E86" s="38">
        <v>0</v>
      </c>
      <c r="F86" s="38">
        <v>0</v>
      </c>
      <c r="H86" s="38">
        <v>0</v>
      </c>
      <c r="I86" s="38">
        <v>0</v>
      </c>
      <c r="J86" s="38">
        <v>0</v>
      </c>
      <c r="P86" s="38">
        <v>0</v>
      </c>
      <c r="Q86" s="38">
        <v>0</v>
      </c>
      <c r="R86" s="38">
        <v>0</v>
      </c>
    </row>
    <row r="87" spans="1:18" x14ac:dyDescent="0.2">
      <c r="A87" s="39" t="s">
        <v>63</v>
      </c>
      <c r="B87" s="39" t="s">
        <v>36</v>
      </c>
      <c r="D87" s="39">
        <v>2</v>
      </c>
      <c r="E87" s="39">
        <v>1</v>
      </c>
      <c r="F87" s="39">
        <v>1</v>
      </c>
      <c r="H87" s="39">
        <v>0</v>
      </c>
      <c r="I87" s="39">
        <v>0</v>
      </c>
      <c r="J87" s="39">
        <v>0</v>
      </c>
      <c r="P87" s="39">
        <v>1</v>
      </c>
      <c r="Q87" s="39">
        <v>0</v>
      </c>
      <c r="R87" s="39">
        <v>0</v>
      </c>
    </row>
    <row r="88" spans="1:18" x14ac:dyDescent="0.2">
      <c r="A88" s="38" t="s">
        <v>64</v>
      </c>
      <c r="B88" s="38" t="s">
        <v>34</v>
      </c>
      <c r="D88" s="38">
        <v>4</v>
      </c>
      <c r="E88" s="38">
        <v>4</v>
      </c>
      <c r="F88" s="38">
        <v>4</v>
      </c>
      <c r="H88" s="38">
        <v>0</v>
      </c>
      <c r="I88" s="38">
        <v>0</v>
      </c>
      <c r="J88" s="38">
        <v>0</v>
      </c>
      <c r="P88" s="38">
        <v>0</v>
      </c>
      <c r="Q88" s="38">
        <v>0</v>
      </c>
      <c r="R88" s="38">
        <v>0</v>
      </c>
    </row>
    <row r="89" spans="1:18" x14ac:dyDescent="0.2">
      <c r="A89" s="39" t="s">
        <v>64</v>
      </c>
      <c r="B89" s="39" t="s">
        <v>35</v>
      </c>
      <c r="D89" s="39">
        <v>0</v>
      </c>
      <c r="E89" s="39">
        <v>0</v>
      </c>
      <c r="F89" s="39">
        <v>0</v>
      </c>
      <c r="H89" s="39">
        <v>0</v>
      </c>
      <c r="I89" s="39">
        <v>0</v>
      </c>
      <c r="J89" s="39">
        <v>0</v>
      </c>
      <c r="P89" s="39">
        <v>0</v>
      </c>
      <c r="Q89" s="39">
        <v>0</v>
      </c>
      <c r="R89" s="39">
        <v>0</v>
      </c>
    </row>
    <row r="90" spans="1:18" x14ac:dyDescent="0.2">
      <c r="A90" s="38" t="s">
        <v>64</v>
      </c>
      <c r="B90" s="38" t="s">
        <v>36</v>
      </c>
      <c r="D90" s="38">
        <v>0</v>
      </c>
      <c r="E90" s="38">
        <v>0</v>
      </c>
      <c r="F90" s="38">
        <v>0</v>
      </c>
      <c r="H90" s="38">
        <v>0</v>
      </c>
      <c r="I90" s="38">
        <v>0</v>
      </c>
      <c r="J90" s="38">
        <v>0</v>
      </c>
      <c r="P90" s="38">
        <v>0</v>
      </c>
      <c r="Q90" s="38">
        <v>0</v>
      </c>
      <c r="R90" s="38">
        <v>0</v>
      </c>
    </row>
    <row r="91" spans="1:18" x14ac:dyDescent="0.2">
      <c r="A91" s="39" t="s">
        <v>65</v>
      </c>
      <c r="B91" s="39" t="s">
        <v>34</v>
      </c>
      <c r="D91" s="39">
        <v>19</v>
      </c>
      <c r="E91" s="39">
        <v>19</v>
      </c>
      <c r="F91" s="39">
        <v>19</v>
      </c>
      <c r="H91" s="39">
        <v>0</v>
      </c>
      <c r="I91" s="39">
        <v>0</v>
      </c>
      <c r="J91" s="39">
        <v>0</v>
      </c>
      <c r="P91" s="39">
        <v>0</v>
      </c>
      <c r="Q91" s="39">
        <v>0</v>
      </c>
      <c r="R91" s="39">
        <v>0</v>
      </c>
    </row>
    <row r="92" spans="1:18" x14ac:dyDescent="0.2">
      <c r="A92" s="38" t="s">
        <v>65</v>
      </c>
      <c r="B92" s="38" t="s">
        <v>35</v>
      </c>
      <c r="D92" s="38">
        <v>0</v>
      </c>
      <c r="E92" s="38">
        <v>0</v>
      </c>
      <c r="F92" s="38">
        <v>0</v>
      </c>
      <c r="H92" s="38">
        <v>0</v>
      </c>
      <c r="I92" s="38">
        <v>0</v>
      </c>
      <c r="J92" s="38">
        <v>0</v>
      </c>
      <c r="P92" s="38">
        <v>0</v>
      </c>
      <c r="Q92" s="38">
        <v>0</v>
      </c>
      <c r="R92" s="38">
        <v>0</v>
      </c>
    </row>
    <row r="93" spans="1:18" x14ac:dyDescent="0.2">
      <c r="A93" s="39" t="s">
        <v>65</v>
      </c>
      <c r="B93" s="39" t="s">
        <v>36</v>
      </c>
      <c r="D93" s="39">
        <v>2</v>
      </c>
      <c r="E93" s="39">
        <v>1</v>
      </c>
      <c r="F93" s="39">
        <v>1</v>
      </c>
      <c r="H93" s="39">
        <v>0</v>
      </c>
      <c r="I93" s="39">
        <v>0</v>
      </c>
      <c r="J93" s="39">
        <v>0</v>
      </c>
      <c r="P93" s="39">
        <v>1</v>
      </c>
      <c r="Q93" s="39">
        <v>0</v>
      </c>
      <c r="R93" s="39">
        <v>0</v>
      </c>
    </row>
    <row r="94" spans="1:18" x14ac:dyDescent="0.2">
      <c r="A94" s="38" t="s">
        <v>66</v>
      </c>
      <c r="B94" s="38" t="s">
        <v>34</v>
      </c>
      <c r="D94" s="38">
        <v>0</v>
      </c>
      <c r="E94" s="38">
        <v>0</v>
      </c>
      <c r="F94" s="38">
        <v>0</v>
      </c>
      <c r="H94" s="38">
        <v>0</v>
      </c>
      <c r="I94" s="38">
        <v>0</v>
      </c>
      <c r="J94" s="38">
        <v>0</v>
      </c>
      <c r="P94" s="38">
        <v>0</v>
      </c>
      <c r="Q94" s="38">
        <v>0</v>
      </c>
      <c r="R94" s="38">
        <v>0</v>
      </c>
    </row>
    <row r="95" spans="1:18" x14ac:dyDescent="0.2">
      <c r="A95" s="39" t="s">
        <v>66</v>
      </c>
      <c r="B95" s="39" t="s">
        <v>35</v>
      </c>
      <c r="D95" s="39">
        <v>0</v>
      </c>
      <c r="E95" s="39">
        <v>0</v>
      </c>
      <c r="F95" s="39">
        <v>0</v>
      </c>
      <c r="H95" s="39">
        <v>0</v>
      </c>
      <c r="I95" s="39">
        <v>0</v>
      </c>
      <c r="J95" s="39">
        <v>0</v>
      </c>
      <c r="P95" s="39">
        <v>0</v>
      </c>
      <c r="Q95" s="39">
        <v>0</v>
      </c>
      <c r="R95" s="39">
        <v>0</v>
      </c>
    </row>
    <row r="96" spans="1:18" x14ac:dyDescent="0.2">
      <c r="A96" s="38" t="s">
        <v>66</v>
      </c>
      <c r="B96" s="38" t="s">
        <v>36</v>
      </c>
      <c r="D96" s="38">
        <v>0</v>
      </c>
      <c r="E96" s="38">
        <v>0</v>
      </c>
      <c r="F96" s="38">
        <v>0</v>
      </c>
      <c r="H96" s="38">
        <v>0</v>
      </c>
      <c r="I96" s="38">
        <v>0</v>
      </c>
      <c r="J96" s="38">
        <v>0</v>
      </c>
      <c r="P96" s="38">
        <v>0</v>
      </c>
      <c r="Q96" s="38">
        <v>0</v>
      </c>
      <c r="R96" s="38">
        <v>0</v>
      </c>
    </row>
    <row r="97" spans="1:18" x14ac:dyDescent="0.2">
      <c r="A97" s="39" t="s">
        <v>67</v>
      </c>
      <c r="B97" s="39" t="s">
        <v>34</v>
      </c>
      <c r="D97" s="39">
        <v>0</v>
      </c>
      <c r="E97" s="39">
        <v>0</v>
      </c>
      <c r="F97" s="39">
        <v>0</v>
      </c>
      <c r="H97" s="39">
        <v>0</v>
      </c>
      <c r="I97" s="39">
        <v>0</v>
      </c>
      <c r="J97" s="39">
        <v>0</v>
      </c>
      <c r="P97" s="39">
        <v>0</v>
      </c>
      <c r="Q97" s="39">
        <v>0</v>
      </c>
      <c r="R97" s="39">
        <v>0</v>
      </c>
    </row>
    <row r="98" spans="1:18" x14ac:dyDescent="0.2">
      <c r="A98" s="38" t="s">
        <v>67</v>
      </c>
      <c r="B98" s="38" t="s">
        <v>35</v>
      </c>
      <c r="D98" s="38">
        <v>0</v>
      </c>
      <c r="E98" s="38">
        <v>0</v>
      </c>
      <c r="F98" s="38">
        <v>0</v>
      </c>
      <c r="H98" s="38">
        <v>0</v>
      </c>
      <c r="I98" s="38">
        <v>0</v>
      </c>
      <c r="J98" s="38">
        <v>0</v>
      </c>
      <c r="P98" s="38">
        <v>0</v>
      </c>
      <c r="Q98" s="38">
        <v>0</v>
      </c>
      <c r="R98" s="38">
        <v>0</v>
      </c>
    </row>
    <row r="99" spans="1:18" x14ac:dyDescent="0.2">
      <c r="A99" s="39" t="s">
        <v>67</v>
      </c>
      <c r="B99" s="39" t="s">
        <v>36</v>
      </c>
      <c r="D99" s="39">
        <v>0</v>
      </c>
      <c r="E99" s="39">
        <v>0</v>
      </c>
      <c r="F99" s="39">
        <v>0</v>
      </c>
      <c r="H99" s="39">
        <v>0</v>
      </c>
      <c r="I99" s="39">
        <v>0</v>
      </c>
      <c r="J99" s="39">
        <v>0</v>
      </c>
      <c r="P99" s="39">
        <v>0</v>
      </c>
      <c r="Q99" s="39">
        <v>0</v>
      </c>
      <c r="R99" s="39">
        <v>0</v>
      </c>
    </row>
    <row r="100" spans="1:18" x14ac:dyDescent="0.2">
      <c r="A100" s="38" t="s">
        <v>68</v>
      </c>
      <c r="B100" s="38" t="s">
        <v>34</v>
      </c>
      <c r="D100" s="38">
        <v>4</v>
      </c>
      <c r="E100" s="38">
        <v>4</v>
      </c>
      <c r="F100" s="38">
        <v>4</v>
      </c>
      <c r="H100" s="38">
        <v>0</v>
      </c>
      <c r="I100" s="38">
        <v>0</v>
      </c>
      <c r="J100" s="38">
        <v>0</v>
      </c>
      <c r="P100" s="38">
        <v>0</v>
      </c>
      <c r="Q100" s="38">
        <v>0</v>
      </c>
      <c r="R100" s="38">
        <v>1</v>
      </c>
    </row>
    <row r="101" spans="1:18" x14ac:dyDescent="0.2">
      <c r="A101" s="39" t="s">
        <v>68</v>
      </c>
      <c r="B101" s="39" t="s">
        <v>35</v>
      </c>
      <c r="D101" s="39">
        <v>0</v>
      </c>
      <c r="E101" s="39">
        <v>0</v>
      </c>
      <c r="F101" s="39">
        <v>0</v>
      </c>
      <c r="H101" s="39">
        <v>0</v>
      </c>
      <c r="I101" s="39">
        <v>0</v>
      </c>
      <c r="J101" s="39">
        <v>0</v>
      </c>
      <c r="P101" s="39">
        <v>0</v>
      </c>
      <c r="Q101" s="39">
        <v>0</v>
      </c>
      <c r="R101" s="39">
        <v>0</v>
      </c>
    </row>
    <row r="102" spans="1:18" x14ac:dyDescent="0.2">
      <c r="A102" s="38" t="s">
        <v>68</v>
      </c>
      <c r="B102" s="38" t="s">
        <v>36</v>
      </c>
      <c r="D102" s="38">
        <v>2</v>
      </c>
      <c r="E102" s="38">
        <v>2</v>
      </c>
      <c r="F102" s="38">
        <v>2</v>
      </c>
      <c r="H102" s="38">
        <v>0</v>
      </c>
      <c r="I102" s="38">
        <v>0</v>
      </c>
      <c r="J102" s="38">
        <v>0</v>
      </c>
      <c r="P102" s="38">
        <v>0</v>
      </c>
      <c r="Q102" s="38">
        <v>0</v>
      </c>
      <c r="R102" s="38">
        <v>0</v>
      </c>
    </row>
    <row r="103" spans="1:18" x14ac:dyDescent="0.2">
      <c r="A103" s="39" t="s">
        <v>69</v>
      </c>
      <c r="B103" s="39" t="s">
        <v>34</v>
      </c>
      <c r="D103" s="39">
        <v>1</v>
      </c>
      <c r="E103" s="39">
        <v>1</v>
      </c>
      <c r="F103" s="39">
        <v>1</v>
      </c>
      <c r="H103" s="39">
        <v>0</v>
      </c>
      <c r="I103" s="39">
        <v>0</v>
      </c>
      <c r="J103" s="39">
        <v>0</v>
      </c>
      <c r="P103" s="39">
        <v>0</v>
      </c>
      <c r="Q103" s="39">
        <v>0</v>
      </c>
      <c r="R103" s="39">
        <v>0</v>
      </c>
    </row>
    <row r="104" spans="1:18" x14ac:dyDescent="0.2">
      <c r="A104" s="38" t="s">
        <v>69</v>
      </c>
      <c r="B104" s="38" t="s">
        <v>35</v>
      </c>
      <c r="D104" s="38">
        <v>0</v>
      </c>
      <c r="E104" s="38">
        <v>0</v>
      </c>
      <c r="F104" s="38">
        <v>0</v>
      </c>
      <c r="H104" s="38">
        <v>0</v>
      </c>
      <c r="I104" s="38">
        <v>0</v>
      </c>
      <c r="J104" s="38">
        <v>0</v>
      </c>
      <c r="P104" s="38">
        <v>0</v>
      </c>
      <c r="Q104" s="38">
        <v>0</v>
      </c>
      <c r="R104" s="38">
        <v>0</v>
      </c>
    </row>
    <row r="105" spans="1:18" x14ac:dyDescent="0.2">
      <c r="A105" s="39" t="s">
        <v>69</v>
      </c>
      <c r="B105" s="39" t="s">
        <v>36</v>
      </c>
      <c r="D105" s="39">
        <v>1</v>
      </c>
      <c r="E105" s="39">
        <v>0</v>
      </c>
      <c r="F105" s="39">
        <v>0</v>
      </c>
      <c r="H105" s="39">
        <v>0</v>
      </c>
      <c r="I105" s="39">
        <v>0</v>
      </c>
      <c r="J105" s="39">
        <v>0</v>
      </c>
      <c r="P105" s="39">
        <v>1</v>
      </c>
      <c r="Q105" s="39">
        <v>0</v>
      </c>
      <c r="R105" s="39">
        <v>0</v>
      </c>
    </row>
    <row r="106" spans="1:18" x14ac:dyDescent="0.2">
      <c r="A106" s="38" t="s">
        <v>70</v>
      </c>
      <c r="B106" s="38" t="s">
        <v>34</v>
      </c>
      <c r="D106" s="38">
        <v>0</v>
      </c>
      <c r="E106" s="38">
        <v>0</v>
      </c>
      <c r="F106" s="38">
        <v>0</v>
      </c>
      <c r="H106" s="38">
        <v>0</v>
      </c>
      <c r="I106" s="38">
        <v>0</v>
      </c>
      <c r="J106" s="38">
        <v>0</v>
      </c>
      <c r="P106" s="38">
        <v>0</v>
      </c>
      <c r="Q106" s="38">
        <v>0</v>
      </c>
      <c r="R106" s="38">
        <v>0</v>
      </c>
    </row>
    <row r="107" spans="1:18" x14ac:dyDescent="0.2">
      <c r="A107" s="39" t="s">
        <v>70</v>
      </c>
      <c r="B107" s="39" t="s">
        <v>35</v>
      </c>
      <c r="D107" s="39">
        <v>0</v>
      </c>
      <c r="E107" s="39">
        <v>0</v>
      </c>
      <c r="F107" s="39">
        <v>0</v>
      </c>
      <c r="H107" s="39">
        <v>0</v>
      </c>
      <c r="I107" s="39">
        <v>0</v>
      </c>
      <c r="J107" s="39">
        <v>0</v>
      </c>
      <c r="P107" s="39">
        <v>0</v>
      </c>
      <c r="Q107" s="39">
        <v>0</v>
      </c>
      <c r="R107" s="39">
        <v>0</v>
      </c>
    </row>
    <row r="108" spans="1:18" x14ac:dyDescent="0.2">
      <c r="A108" s="38" t="s">
        <v>70</v>
      </c>
      <c r="B108" s="38" t="s">
        <v>36</v>
      </c>
      <c r="D108" s="38">
        <v>0</v>
      </c>
      <c r="E108" s="38">
        <v>0</v>
      </c>
      <c r="F108" s="38">
        <v>0</v>
      </c>
      <c r="H108" s="38">
        <v>0</v>
      </c>
      <c r="I108" s="38">
        <v>0</v>
      </c>
      <c r="J108" s="38">
        <v>0</v>
      </c>
      <c r="P108" s="38">
        <v>0</v>
      </c>
      <c r="Q108" s="38">
        <v>0</v>
      </c>
      <c r="R108" s="38">
        <v>0</v>
      </c>
    </row>
    <row r="109" spans="1:18" x14ac:dyDescent="0.2">
      <c r="A109" s="39" t="s">
        <v>71</v>
      </c>
      <c r="B109" s="39" t="s">
        <v>34</v>
      </c>
      <c r="D109" s="39">
        <v>0</v>
      </c>
      <c r="E109" s="39">
        <v>0</v>
      </c>
      <c r="F109" s="39">
        <v>0</v>
      </c>
      <c r="H109" s="39">
        <v>0</v>
      </c>
      <c r="I109" s="39">
        <v>0</v>
      </c>
      <c r="J109" s="39">
        <v>0</v>
      </c>
      <c r="P109" s="39">
        <v>0</v>
      </c>
      <c r="Q109" s="39">
        <v>0</v>
      </c>
      <c r="R109" s="39">
        <v>0</v>
      </c>
    </row>
    <row r="110" spans="1:18" x14ac:dyDescent="0.2">
      <c r="A110" s="38" t="s">
        <v>71</v>
      </c>
      <c r="B110" s="38" t="s">
        <v>35</v>
      </c>
      <c r="D110" s="38">
        <v>0</v>
      </c>
      <c r="E110" s="38">
        <v>0</v>
      </c>
      <c r="F110" s="38">
        <v>0</v>
      </c>
      <c r="H110" s="38">
        <v>0</v>
      </c>
      <c r="I110" s="38">
        <v>0</v>
      </c>
      <c r="J110" s="38">
        <v>0</v>
      </c>
      <c r="P110" s="38">
        <v>0</v>
      </c>
      <c r="Q110" s="38">
        <v>0</v>
      </c>
      <c r="R110" s="38">
        <v>0</v>
      </c>
    </row>
    <row r="111" spans="1:18" x14ac:dyDescent="0.2">
      <c r="A111" s="39" t="s">
        <v>71</v>
      </c>
      <c r="B111" s="39" t="s">
        <v>36</v>
      </c>
      <c r="D111" s="39">
        <v>0</v>
      </c>
      <c r="E111" s="39">
        <v>0</v>
      </c>
      <c r="F111" s="39">
        <v>0</v>
      </c>
      <c r="H111" s="39">
        <v>0</v>
      </c>
      <c r="I111" s="39">
        <v>0</v>
      </c>
      <c r="J111" s="39">
        <v>0</v>
      </c>
      <c r="P111" s="39">
        <v>0</v>
      </c>
      <c r="Q111" s="39">
        <v>0</v>
      </c>
      <c r="R111" s="39">
        <v>0</v>
      </c>
    </row>
    <row r="112" spans="1:18" x14ac:dyDescent="0.2">
      <c r="A112" s="38" t="s">
        <v>72</v>
      </c>
      <c r="B112" s="38" t="s">
        <v>34</v>
      </c>
      <c r="D112" s="38">
        <v>28</v>
      </c>
      <c r="E112" s="38">
        <v>23</v>
      </c>
      <c r="F112" s="38">
        <v>21</v>
      </c>
      <c r="H112" s="38">
        <v>0</v>
      </c>
      <c r="I112" s="38">
        <v>1</v>
      </c>
      <c r="J112" s="38">
        <v>0</v>
      </c>
      <c r="P112" s="38">
        <v>6</v>
      </c>
      <c r="Q112" s="38">
        <v>2</v>
      </c>
      <c r="R112" s="38">
        <v>5</v>
      </c>
    </row>
    <row r="113" spans="1:18" x14ac:dyDescent="0.2">
      <c r="A113" s="39" t="s">
        <v>72</v>
      </c>
      <c r="B113" s="39" t="s">
        <v>35</v>
      </c>
      <c r="D113" s="39">
        <v>0</v>
      </c>
      <c r="E113" s="39">
        <v>0</v>
      </c>
      <c r="F113" s="39">
        <v>0</v>
      </c>
      <c r="H113" s="39">
        <v>0</v>
      </c>
      <c r="I113" s="39">
        <v>0</v>
      </c>
      <c r="J113" s="39">
        <v>0</v>
      </c>
      <c r="P113" s="39">
        <v>0</v>
      </c>
      <c r="Q113" s="39">
        <v>0</v>
      </c>
      <c r="R113" s="39">
        <v>0</v>
      </c>
    </row>
    <row r="114" spans="1:18" x14ac:dyDescent="0.2">
      <c r="A114" s="38" t="s">
        <v>72</v>
      </c>
      <c r="B114" s="38" t="s">
        <v>36</v>
      </c>
      <c r="D114" s="38">
        <v>3</v>
      </c>
      <c r="E114" s="38">
        <v>2</v>
      </c>
      <c r="F114" s="38">
        <v>2</v>
      </c>
      <c r="H114" s="38">
        <v>0</v>
      </c>
      <c r="I114" s="38">
        <v>0</v>
      </c>
      <c r="J114" s="38">
        <v>0</v>
      </c>
      <c r="P114" s="38">
        <v>1</v>
      </c>
      <c r="Q114" s="38">
        <v>0</v>
      </c>
      <c r="R114" s="38">
        <v>1</v>
      </c>
    </row>
    <row r="115" spans="1:18" x14ac:dyDescent="0.2">
      <c r="A115" s="39" t="s">
        <v>73</v>
      </c>
      <c r="B115" s="39" t="s">
        <v>34</v>
      </c>
      <c r="D115" s="39">
        <v>13</v>
      </c>
      <c r="E115" s="39">
        <v>14</v>
      </c>
      <c r="F115" s="39">
        <v>10</v>
      </c>
      <c r="H115" s="39">
        <v>0</v>
      </c>
      <c r="I115" s="39">
        <v>1</v>
      </c>
      <c r="J115" s="39">
        <v>0</v>
      </c>
      <c r="P115" s="39">
        <v>0</v>
      </c>
      <c r="Q115" s="39">
        <v>4</v>
      </c>
      <c r="R115" s="39">
        <v>1</v>
      </c>
    </row>
    <row r="116" spans="1:18" x14ac:dyDescent="0.2">
      <c r="A116" s="38" t="s">
        <v>73</v>
      </c>
      <c r="B116" s="38" t="s">
        <v>35</v>
      </c>
      <c r="D116" s="38">
        <v>0</v>
      </c>
      <c r="E116" s="38">
        <v>0</v>
      </c>
      <c r="F116" s="38">
        <v>0</v>
      </c>
      <c r="H116" s="38">
        <v>0</v>
      </c>
      <c r="I116" s="38">
        <v>0</v>
      </c>
      <c r="J116" s="38">
        <v>0</v>
      </c>
      <c r="P116" s="38">
        <v>0</v>
      </c>
      <c r="Q116" s="38">
        <v>0</v>
      </c>
      <c r="R116" s="38">
        <v>0</v>
      </c>
    </row>
    <row r="117" spans="1:18" x14ac:dyDescent="0.2">
      <c r="A117" s="39" t="s">
        <v>73</v>
      </c>
      <c r="B117" s="39" t="s">
        <v>36</v>
      </c>
      <c r="D117" s="39">
        <v>3</v>
      </c>
      <c r="E117" s="39">
        <v>2</v>
      </c>
      <c r="F117" s="39">
        <v>1</v>
      </c>
      <c r="H117" s="39">
        <v>0</v>
      </c>
      <c r="I117" s="39">
        <v>0</v>
      </c>
      <c r="J117" s="39">
        <v>0</v>
      </c>
      <c r="P117" s="39">
        <v>1</v>
      </c>
      <c r="Q117" s="39">
        <v>1</v>
      </c>
      <c r="R117" s="39">
        <v>0</v>
      </c>
    </row>
    <row r="118" spans="1:18" x14ac:dyDescent="0.2">
      <c r="A118" s="38" t="s">
        <v>74</v>
      </c>
      <c r="B118" s="38" t="s">
        <v>34</v>
      </c>
      <c r="D118" s="38">
        <v>11</v>
      </c>
      <c r="E118" s="38">
        <v>10</v>
      </c>
      <c r="F118" s="38">
        <v>8</v>
      </c>
      <c r="H118" s="38">
        <v>1</v>
      </c>
      <c r="I118" s="38">
        <v>0</v>
      </c>
      <c r="J118" s="38">
        <v>0</v>
      </c>
      <c r="P118" s="38">
        <v>1</v>
      </c>
      <c r="Q118" s="38">
        <v>2</v>
      </c>
      <c r="R118" s="38">
        <v>0</v>
      </c>
    </row>
    <row r="119" spans="1:18" x14ac:dyDescent="0.2">
      <c r="A119" s="39" t="s">
        <v>74</v>
      </c>
      <c r="B119" s="39" t="s">
        <v>35</v>
      </c>
      <c r="D119" s="39">
        <v>0</v>
      </c>
      <c r="E119" s="39">
        <v>0</v>
      </c>
      <c r="F119" s="39">
        <v>0</v>
      </c>
      <c r="H119" s="39">
        <v>0</v>
      </c>
      <c r="I119" s="39">
        <v>0</v>
      </c>
      <c r="J119" s="39">
        <v>0</v>
      </c>
      <c r="P119" s="39">
        <v>0</v>
      </c>
      <c r="Q119" s="39">
        <v>0</v>
      </c>
      <c r="R119" s="39">
        <v>0</v>
      </c>
    </row>
    <row r="120" spans="1:18" x14ac:dyDescent="0.2">
      <c r="A120" s="38" t="s">
        <v>74</v>
      </c>
      <c r="B120" s="38" t="s">
        <v>36</v>
      </c>
      <c r="D120" s="38">
        <v>3</v>
      </c>
      <c r="E120" s="38">
        <v>4</v>
      </c>
      <c r="F120" s="38">
        <v>4</v>
      </c>
      <c r="H120" s="38">
        <v>0</v>
      </c>
      <c r="I120" s="38">
        <v>1</v>
      </c>
      <c r="J120" s="38">
        <v>0</v>
      </c>
      <c r="P120" s="38">
        <v>0</v>
      </c>
      <c r="Q120" s="38">
        <v>0</v>
      </c>
      <c r="R120" s="38">
        <v>0</v>
      </c>
    </row>
    <row r="121" spans="1:18" x14ac:dyDescent="0.2">
      <c r="A121" s="39" t="s">
        <v>75</v>
      </c>
      <c r="B121" s="39" t="s">
        <v>34</v>
      </c>
      <c r="D121" s="39">
        <v>2</v>
      </c>
      <c r="E121" s="39">
        <v>2</v>
      </c>
      <c r="F121" s="39">
        <v>2</v>
      </c>
      <c r="H121" s="39">
        <v>0</v>
      </c>
      <c r="I121" s="39">
        <v>0</v>
      </c>
      <c r="J121" s="39">
        <v>0</v>
      </c>
      <c r="P121" s="39">
        <v>0</v>
      </c>
      <c r="Q121" s="39">
        <v>0</v>
      </c>
      <c r="R121" s="39">
        <v>0</v>
      </c>
    </row>
    <row r="122" spans="1:18" x14ac:dyDescent="0.2">
      <c r="A122" s="38" t="s">
        <v>75</v>
      </c>
      <c r="B122" s="38" t="s">
        <v>35</v>
      </c>
      <c r="D122" s="38">
        <v>0</v>
      </c>
      <c r="E122" s="38">
        <v>0</v>
      </c>
      <c r="F122" s="38">
        <v>0</v>
      </c>
      <c r="H122" s="38">
        <v>0</v>
      </c>
      <c r="I122" s="38">
        <v>0</v>
      </c>
      <c r="J122" s="38">
        <v>0</v>
      </c>
      <c r="P122" s="38">
        <v>0</v>
      </c>
      <c r="Q122" s="38">
        <v>0</v>
      </c>
      <c r="R122" s="38">
        <v>0</v>
      </c>
    </row>
    <row r="123" spans="1:18" x14ac:dyDescent="0.2">
      <c r="A123" s="39" t="s">
        <v>75</v>
      </c>
      <c r="B123" s="39" t="s">
        <v>36</v>
      </c>
      <c r="D123" s="39">
        <v>2</v>
      </c>
      <c r="E123" s="39">
        <v>2</v>
      </c>
      <c r="F123" s="39">
        <v>2</v>
      </c>
      <c r="H123" s="39">
        <v>0</v>
      </c>
      <c r="I123" s="39">
        <v>0</v>
      </c>
      <c r="J123" s="39">
        <v>0</v>
      </c>
      <c r="P123" s="39">
        <v>0</v>
      </c>
      <c r="Q123" s="39">
        <v>0</v>
      </c>
      <c r="R123" s="39">
        <v>0</v>
      </c>
    </row>
    <row r="124" spans="1:18" x14ac:dyDescent="0.2">
      <c r="A124" s="38" t="s">
        <v>76</v>
      </c>
      <c r="B124" s="38" t="s">
        <v>34</v>
      </c>
      <c r="D124" s="38">
        <v>3</v>
      </c>
      <c r="E124" s="38">
        <v>2</v>
      </c>
      <c r="F124" s="38">
        <v>1</v>
      </c>
      <c r="H124" s="38">
        <v>0</v>
      </c>
      <c r="I124" s="38">
        <v>0</v>
      </c>
      <c r="J124" s="38">
        <v>0</v>
      </c>
      <c r="P124" s="38">
        <v>1</v>
      </c>
      <c r="Q124" s="38">
        <v>1</v>
      </c>
      <c r="R124" s="38">
        <v>0</v>
      </c>
    </row>
    <row r="125" spans="1:18" x14ac:dyDescent="0.2">
      <c r="A125" s="39" t="s">
        <v>76</v>
      </c>
      <c r="B125" s="39" t="s">
        <v>35</v>
      </c>
      <c r="D125" s="39">
        <v>0</v>
      </c>
      <c r="E125" s="39">
        <v>0</v>
      </c>
      <c r="F125" s="39">
        <v>0</v>
      </c>
      <c r="H125" s="39">
        <v>0</v>
      </c>
      <c r="I125" s="39">
        <v>0</v>
      </c>
      <c r="J125" s="39">
        <v>0</v>
      </c>
      <c r="P125" s="39">
        <v>0</v>
      </c>
      <c r="Q125" s="39">
        <v>0</v>
      </c>
      <c r="R125" s="39">
        <v>0</v>
      </c>
    </row>
    <row r="126" spans="1:18" x14ac:dyDescent="0.2">
      <c r="A126" s="38" t="s">
        <v>76</v>
      </c>
      <c r="B126" s="38" t="s">
        <v>36</v>
      </c>
      <c r="D126" s="38">
        <v>3</v>
      </c>
      <c r="E126" s="38">
        <v>3</v>
      </c>
      <c r="F126" s="38">
        <v>3</v>
      </c>
      <c r="H126" s="38">
        <v>0</v>
      </c>
      <c r="I126" s="38">
        <v>0</v>
      </c>
      <c r="J126" s="38">
        <v>0</v>
      </c>
      <c r="P126" s="38">
        <v>0</v>
      </c>
      <c r="Q126" s="38">
        <v>0</v>
      </c>
      <c r="R126" s="38">
        <v>0</v>
      </c>
    </row>
    <row r="127" spans="1:18" x14ac:dyDescent="0.2">
      <c r="A127" s="39" t="s">
        <v>77</v>
      </c>
      <c r="B127" s="39" t="s">
        <v>34</v>
      </c>
      <c r="D127" s="39">
        <v>0</v>
      </c>
      <c r="E127" s="39">
        <v>0</v>
      </c>
      <c r="F127" s="39">
        <v>0</v>
      </c>
      <c r="H127" s="39">
        <v>0</v>
      </c>
      <c r="I127" s="39">
        <v>0</v>
      </c>
      <c r="J127" s="39">
        <v>0</v>
      </c>
      <c r="P127" s="39">
        <v>0</v>
      </c>
      <c r="Q127" s="39">
        <v>0</v>
      </c>
      <c r="R127" s="39">
        <v>0</v>
      </c>
    </row>
    <row r="128" spans="1:18" x14ac:dyDescent="0.2">
      <c r="A128" s="38" t="s">
        <v>77</v>
      </c>
      <c r="B128" s="38" t="s">
        <v>35</v>
      </c>
      <c r="D128" s="38">
        <v>0</v>
      </c>
      <c r="E128" s="38">
        <v>0</v>
      </c>
      <c r="F128" s="38">
        <v>0</v>
      </c>
      <c r="H128" s="38">
        <v>0</v>
      </c>
      <c r="I128" s="38">
        <v>0</v>
      </c>
      <c r="J128" s="38">
        <v>0</v>
      </c>
      <c r="P128" s="38">
        <v>0</v>
      </c>
      <c r="Q128" s="38">
        <v>0</v>
      </c>
      <c r="R128" s="38">
        <v>0</v>
      </c>
    </row>
    <row r="129" spans="1:18" x14ac:dyDescent="0.2">
      <c r="A129" s="39" t="s">
        <v>77</v>
      </c>
      <c r="B129" s="39" t="s">
        <v>36</v>
      </c>
      <c r="D129" s="39">
        <v>0</v>
      </c>
      <c r="E129" s="39">
        <v>0</v>
      </c>
      <c r="F129" s="39">
        <v>0</v>
      </c>
      <c r="H129" s="39">
        <v>0</v>
      </c>
      <c r="I129" s="39">
        <v>0</v>
      </c>
      <c r="J129" s="39">
        <v>0</v>
      </c>
      <c r="P129" s="39">
        <v>0</v>
      </c>
      <c r="Q129" s="39">
        <v>0</v>
      </c>
      <c r="R129" s="39">
        <v>0</v>
      </c>
    </row>
    <row r="130" spans="1:18" x14ac:dyDescent="0.2">
      <c r="A130" s="38" t="s">
        <v>125</v>
      </c>
      <c r="B130" s="38" t="s">
        <v>34</v>
      </c>
      <c r="D130" s="38">
        <v>0</v>
      </c>
      <c r="E130" s="38">
        <v>0</v>
      </c>
      <c r="F130" s="38">
        <v>0</v>
      </c>
      <c r="H130" s="38">
        <v>0</v>
      </c>
      <c r="I130" s="38">
        <v>0</v>
      </c>
      <c r="J130" s="38">
        <v>0</v>
      </c>
      <c r="P130" s="38">
        <v>0</v>
      </c>
      <c r="Q130" s="38">
        <v>0</v>
      </c>
      <c r="R130" s="38">
        <v>0</v>
      </c>
    </row>
    <row r="131" spans="1:18" x14ac:dyDescent="0.2">
      <c r="A131" s="39" t="s">
        <v>125</v>
      </c>
      <c r="B131" s="39" t="s">
        <v>35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P131" s="39">
        <v>0</v>
      </c>
      <c r="Q131" s="39">
        <v>0</v>
      </c>
      <c r="R131" s="39">
        <v>0</v>
      </c>
    </row>
    <row r="132" spans="1:18" x14ac:dyDescent="0.2">
      <c r="A132" s="38" t="s">
        <v>125</v>
      </c>
      <c r="B132" s="38" t="s">
        <v>36</v>
      </c>
      <c r="D132" s="38">
        <v>0</v>
      </c>
      <c r="E132" s="38">
        <v>0</v>
      </c>
      <c r="F132" s="38">
        <v>0</v>
      </c>
      <c r="H132" s="38">
        <v>0</v>
      </c>
      <c r="I132" s="38">
        <v>0</v>
      </c>
      <c r="J132" s="38">
        <v>0</v>
      </c>
      <c r="P132" s="38">
        <v>0</v>
      </c>
      <c r="Q132" s="38">
        <v>0</v>
      </c>
      <c r="R132" s="38">
        <v>0</v>
      </c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3Q and September 2022
&amp;P of 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2"/>
  <sheetViews>
    <sheetView view="pageLayout" topLeftCell="A114" zoomScaleNormal="100" workbookViewId="0">
      <selection activeCell="E136" sqref="E136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</cols>
  <sheetData>
    <row r="1" spans="1:6" ht="30" customHeight="1" x14ac:dyDescent="0.2">
      <c r="A1" s="2" t="s">
        <v>113</v>
      </c>
      <c r="B1" s="2"/>
      <c r="D1" s="9" t="s">
        <v>16</v>
      </c>
      <c r="E1" s="9"/>
      <c r="F1" s="9"/>
    </row>
    <row r="2" spans="1:6" x14ac:dyDescent="0.2">
      <c r="A2" s="2" t="s">
        <v>0</v>
      </c>
      <c r="B2" s="2" t="s">
        <v>1</v>
      </c>
      <c r="D2" s="58" t="s">
        <v>126</v>
      </c>
      <c r="E2" s="58" t="s">
        <v>127</v>
      </c>
      <c r="F2" s="58" t="s">
        <v>128</v>
      </c>
    </row>
    <row r="3" spans="1:6" x14ac:dyDescent="0.2">
      <c r="A3" s="38" t="s">
        <v>80</v>
      </c>
      <c r="B3" s="38" t="s">
        <v>34</v>
      </c>
      <c r="D3" s="38">
        <v>0</v>
      </c>
      <c r="E3" s="38">
        <v>0</v>
      </c>
      <c r="F3" s="38">
        <v>0</v>
      </c>
    </row>
    <row r="4" spans="1:6" x14ac:dyDescent="0.2">
      <c r="A4" s="39" t="s">
        <v>81</v>
      </c>
      <c r="B4" s="39" t="s">
        <v>34</v>
      </c>
      <c r="D4" s="39">
        <v>0</v>
      </c>
      <c r="E4" s="39">
        <v>0</v>
      </c>
      <c r="F4" s="39">
        <v>0</v>
      </c>
    </row>
    <row r="5" spans="1:6" x14ac:dyDescent="0.2">
      <c r="A5" s="38" t="s">
        <v>82</v>
      </c>
      <c r="B5" s="38" t="s">
        <v>34</v>
      </c>
      <c r="D5" s="38">
        <v>0</v>
      </c>
      <c r="E5" s="38">
        <v>0</v>
      </c>
      <c r="F5" s="38">
        <v>0</v>
      </c>
    </row>
    <row r="6" spans="1:6" x14ac:dyDescent="0.2">
      <c r="A6" s="39" t="s">
        <v>39</v>
      </c>
      <c r="B6" s="39" t="s">
        <v>34</v>
      </c>
      <c r="D6" s="39">
        <v>0</v>
      </c>
      <c r="E6" s="39">
        <v>0</v>
      </c>
      <c r="F6" s="39">
        <v>0</v>
      </c>
    </row>
    <row r="7" spans="1:6" x14ac:dyDescent="0.2">
      <c r="A7" s="38" t="s">
        <v>40</v>
      </c>
      <c r="B7" s="38" t="s">
        <v>34</v>
      </c>
      <c r="D7" s="38">
        <v>0</v>
      </c>
      <c r="E7" s="38">
        <v>0</v>
      </c>
      <c r="F7" s="38">
        <v>0</v>
      </c>
    </row>
    <row r="8" spans="1:6" x14ac:dyDescent="0.2">
      <c r="A8" s="39" t="s">
        <v>41</v>
      </c>
      <c r="B8" s="39" t="s">
        <v>34</v>
      </c>
      <c r="D8" s="39">
        <v>0</v>
      </c>
      <c r="E8" s="39">
        <v>0</v>
      </c>
      <c r="F8" s="39">
        <v>0</v>
      </c>
    </row>
    <row r="9" spans="1:6" x14ac:dyDescent="0.2">
      <c r="A9" s="38" t="s">
        <v>42</v>
      </c>
      <c r="B9" s="38" t="s">
        <v>34</v>
      </c>
      <c r="D9" s="38">
        <v>0</v>
      </c>
      <c r="E9" s="38">
        <v>0</v>
      </c>
      <c r="F9" s="38">
        <v>0</v>
      </c>
    </row>
    <row r="10" spans="1:6" x14ac:dyDescent="0.2">
      <c r="A10" s="39" t="s">
        <v>43</v>
      </c>
      <c r="B10" s="39" t="s">
        <v>34</v>
      </c>
      <c r="D10" s="39">
        <v>0</v>
      </c>
      <c r="E10" s="39">
        <v>0</v>
      </c>
      <c r="F10" s="39">
        <v>0</v>
      </c>
    </row>
    <row r="11" spans="1:6" x14ac:dyDescent="0.2">
      <c r="A11" s="38" t="s">
        <v>44</v>
      </c>
      <c r="B11" s="38" t="s">
        <v>34</v>
      </c>
      <c r="D11" s="38">
        <v>0</v>
      </c>
      <c r="E11" s="38">
        <v>0</v>
      </c>
      <c r="F11" s="38">
        <v>0</v>
      </c>
    </row>
    <row r="12" spans="1:6" x14ac:dyDescent="0.2">
      <c r="A12" s="39" t="s">
        <v>45</v>
      </c>
      <c r="B12" s="39" t="s">
        <v>34</v>
      </c>
      <c r="D12" s="39">
        <v>0</v>
      </c>
      <c r="E12" s="39">
        <v>0</v>
      </c>
      <c r="F12" s="39">
        <v>0</v>
      </c>
    </row>
    <row r="13" spans="1:6" x14ac:dyDescent="0.2">
      <c r="A13" s="38" t="s">
        <v>46</v>
      </c>
      <c r="B13" s="38" t="s">
        <v>34</v>
      </c>
      <c r="D13" s="38">
        <v>0</v>
      </c>
      <c r="E13" s="38">
        <v>0</v>
      </c>
      <c r="F13" s="38">
        <v>0</v>
      </c>
    </row>
    <row r="14" spans="1:6" x14ac:dyDescent="0.2">
      <c r="A14" s="39" t="s">
        <v>47</v>
      </c>
      <c r="B14" s="39" t="s">
        <v>34</v>
      </c>
      <c r="D14" s="39">
        <v>0</v>
      </c>
      <c r="E14" s="39">
        <v>0</v>
      </c>
      <c r="F14" s="39">
        <v>0</v>
      </c>
    </row>
    <row r="15" spans="1:6" x14ac:dyDescent="0.2">
      <c r="A15" s="38" t="s">
        <v>48</v>
      </c>
      <c r="B15" s="38" t="s">
        <v>34</v>
      </c>
      <c r="D15" s="38">
        <v>0</v>
      </c>
      <c r="E15" s="38">
        <v>0</v>
      </c>
      <c r="F15" s="38">
        <v>0</v>
      </c>
    </row>
    <row r="16" spans="1:6" x14ac:dyDescent="0.2">
      <c r="A16" s="39" t="s">
        <v>49</v>
      </c>
      <c r="B16" s="39" t="s">
        <v>34</v>
      </c>
      <c r="D16" s="39">
        <v>0</v>
      </c>
      <c r="E16" s="39">
        <v>0</v>
      </c>
      <c r="F16" s="39">
        <v>0</v>
      </c>
    </row>
    <row r="17" spans="1:6" x14ac:dyDescent="0.2">
      <c r="A17" s="38" t="s">
        <v>50</v>
      </c>
      <c r="B17" s="38" t="s">
        <v>34</v>
      </c>
      <c r="D17" s="38">
        <v>0</v>
      </c>
      <c r="E17" s="38">
        <v>0</v>
      </c>
      <c r="F17" s="38">
        <v>0</v>
      </c>
    </row>
    <row r="18" spans="1:6" x14ac:dyDescent="0.2">
      <c r="A18" s="39" t="s">
        <v>51</v>
      </c>
      <c r="B18" s="39" t="s">
        <v>34</v>
      </c>
      <c r="D18" s="39">
        <v>0</v>
      </c>
      <c r="E18" s="39">
        <v>0</v>
      </c>
      <c r="F18" s="39">
        <v>0</v>
      </c>
    </row>
    <row r="19" spans="1:6" x14ac:dyDescent="0.2">
      <c r="A19" s="38" t="s">
        <v>52</v>
      </c>
      <c r="B19" s="38" t="s">
        <v>34</v>
      </c>
      <c r="D19" s="38">
        <v>0</v>
      </c>
      <c r="E19" s="38">
        <v>0</v>
      </c>
      <c r="F19" s="38">
        <v>0</v>
      </c>
    </row>
    <row r="20" spans="1:6" x14ac:dyDescent="0.2">
      <c r="A20" s="39" t="s">
        <v>53</v>
      </c>
      <c r="B20" s="39" t="s">
        <v>34</v>
      </c>
      <c r="D20" s="39">
        <v>0</v>
      </c>
      <c r="E20" s="39">
        <v>0</v>
      </c>
      <c r="F20" s="39">
        <v>0</v>
      </c>
    </row>
    <row r="21" spans="1:6" x14ac:dyDescent="0.2">
      <c r="A21" s="38" t="s">
        <v>54</v>
      </c>
      <c r="B21" s="38" t="s">
        <v>34</v>
      </c>
      <c r="D21" s="38">
        <v>0</v>
      </c>
      <c r="E21" s="38">
        <v>0</v>
      </c>
      <c r="F21" s="38">
        <v>0</v>
      </c>
    </row>
    <row r="22" spans="1:6" x14ac:dyDescent="0.2">
      <c r="A22" s="39" t="s">
        <v>55</v>
      </c>
      <c r="B22" s="39" t="s">
        <v>34</v>
      </c>
      <c r="D22" s="39">
        <v>0</v>
      </c>
      <c r="E22" s="39">
        <v>0</v>
      </c>
      <c r="F22" s="39">
        <v>0</v>
      </c>
    </row>
    <row r="23" spans="1:6" x14ac:dyDescent="0.2">
      <c r="A23" s="38" t="s">
        <v>56</v>
      </c>
      <c r="B23" s="38" t="s">
        <v>34</v>
      </c>
      <c r="D23" s="38">
        <v>0</v>
      </c>
      <c r="E23" s="38">
        <v>0</v>
      </c>
      <c r="F23" s="38">
        <v>0</v>
      </c>
    </row>
    <row r="24" spans="1:6" x14ac:dyDescent="0.2">
      <c r="A24" s="39" t="s">
        <v>57</v>
      </c>
      <c r="B24" s="39" t="s">
        <v>34</v>
      </c>
      <c r="D24" s="39">
        <v>0</v>
      </c>
      <c r="E24" s="39">
        <v>0</v>
      </c>
      <c r="F24" s="39">
        <v>0</v>
      </c>
    </row>
    <row r="25" spans="1:6" x14ac:dyDescent="0.2">
      <c r="A25" s="38" t="s">
        <v>58</v>
      </c>
      <c r="B25" s="38" t="s">
        <v>34</v>
      </c>
      <c r="D25" s="38">
        <v>0</v>
      </c>
      <c r="E25" s="38">
        <v>0</v>
      </c>
      <c r="F25" s="38">
        <v>0</v>
      </c>
    </row>
    <row r="26" spans="1:6" x14ac:dyDescent="0.2">
      <c r="A26" s="39" t="s">
        <v>59</v>
      </c>
      <c r="B26" s="39" t="s">
        <v>34</v>
      </c>
      <c r="D26" s="39">
        <v>0</v>
      </c>
      <c r="E26" s="39">
        <v>0</v>
      </c>
      <c r="F26" s="39">
        <v>0</v>
      </c>
    </row>
    <row r="27" spans="1:6" x14ac:dyDescent="0.2">
      <c r="A27" s="38" t="s">
        <v>60</v>
      </c>
      <c r="B27" s="38" t="s">
        <v>34</v>
      </c>
      <c r="D27" s="38">
        <v>0</v>
      </c>
      <c r="E27" s="38">
        <v>0</v>
      </c>
      <c r="F27" s="38">
        <v>0</v>
      </c>
    </row>
    <row r="28" spans="1:6" x14ac:dyDescent="0.2">
      <c r="A28" s="39" t="s">
        <v>61</v>
      </c>
      <c r="B28" s="39" t="s">
        <v>34</v>
      </c>
      <c r="D28" s="39">
        <v>0</v>
      </c>
      <c r="E28" s="39">
        <v>0</v>
      </c>
      <c r="F28" s="39">
        <v>0</v>
      </c>
    </row>
    <row r="29" spans="1:6" x14ac:dyDescent="0.2">
      <c r="A29" s="38" t="s">
        <v>62</v>
      </c>
      <c r="B29" s="38" t="s">
        <v>34</v>
      </c>
      <c r="D29" s="38">
        <v>0</v>
      </c>
      <c r="E29" s="38">
        <v>0</v>
      </c>
      <c r="F29" s="38">
        <v>0</v>
      </c>
    </row>
    <row r="30" spans="1:6" x14ac:dyDescent="0.2">
      <c r="A30" s="39" t="s">
        <v>63</v>
      </c>
      <c r="B30" s="39" t="s">
        <v>34</v>
      </c>
      <c r="D30" s="39">
        <v>0</v>
      </c>
      <c r="E30" s="39">
        <v>0</v>
      </c>
      <c r="F30" s="39">
        <v>0</v>
      </c>
    </row>
    <row r="31" spans="1:6" x14ac:dyDescent="0.2">
      <c r="A31" s="38" t="s">
        <v>64</v>
      </c>
      <c r="B31" s="38" t="s">
        <v>34</v>
      </c>
      <c r="D31" s="38">
        <v>0</v>
      </c>
      <c r="E31" s="38">
        <v>0</v>
      </c>
      <c r="F31" s="38">
        <v>0</v>
      </c>
    </row>
    <row r="32" spans="1:6" x14ac:dyDescent="0.2">
      <c r="A32" s="39" t="s">
        <v>65</v>
      </c>
      <c r="B32" s="39" t="s">
        <v>34</v>
      </c>
      <c r="D32" s="39">
        <v>0</v>
      </c>
      <c r="E32" s="39">
        <v>0</v>
      </c>
      <c r="F32" s="39">
        <v>0</v>
      </c>
    </row>
    <row r="33" spans="1:6" x14ac:dyDescent="0.2">
      <c r="A33" s="38" t="s">
        <v>66</v>
      </c>
      <c r="B33" s="38" t="s">
        <v>34</v>
      </c>
      <c r="D33" s="38">
        <v>0</v>
      </c>
      <c r="E33" s="38">
        <v>0</v>
      </c>
      <c r="F33" s="38">
        <v>0</v>
      </c>
    </row>
    <row r="34" spans="1:6" x14ac:dyDescent="0.2">
      <c r="A34" s="39" t="s">
        <v>67</v>
      </c>
      <c r="B34" s="39" t="s">
        <v>34</v>
      </c>
      <c r="D34" s="39">
        <v>0</v>
      </c>
      <c r="E34" s="39">
        <v>0</v>
      </c>
      <c r="F34" s="39">
        <v>0</v>
      </c>
    </row>
    <row r="35" spans="1:6" x14ac:dyDescent="0.2">
      <c r="A35" s="38" t="s">
        <v>68</v>
      </c>
      <c r="B35" s="38" t="s">
        <v>34</v>
      </c>
      <c r="D35" s="38">
        <v>0</v>
      </c>
      <c r="E35" s="38">
        <v>0</v>
      </c>
      <c r="F35" s="38">
        <v>0</v>
      </c>
    </row>
    <row r="36" spans="1:6" x14ac:dyDescent="0.2">
      <c r="A36" s="39" t="s">
        <v>69</v>
      </c>
      <c r="B36" s="39" t="s">
        <v>34</v>
      </c>
      <c r="D36" s="39">
        <v>0</v>
      </c>
      <c r="E36" s="39">
        <v>0</v>
      </c>
      <c r="F36" s="39">
        <v>0</v>
      </c>
    </row>
    <row r="37" spans="1:6" x14ac:dyDescent="0.2">
      <c r="A37" s="38" t="s">
        <v>70</v>
      </c>
      <c r="B37" s="38" t="s">
        <v>34</v>
      </c>
      <c r="D37" s="38">
        <v>0</v>
      </c>
      <c r="E37" s="38">
        <v>0</v>
      </c>
      <c r="F37" s="38">
        <v>0</v>
      </c>
    </row>
    <row r="38" spans="1:6" x14ac:dyDescent="0.2">
      <c r="A38" s="39" t="s">
        <v>71</v>
      </c>
      <c r="B38" s="39" t="s">
        <v>34</v>
      </c>
      <c r="D38" s="39">
        <v>0</v>
      </c>
      <c r="E38" s="39">
        <v>0</v>
      </c>
      <c r="F38" s="39">
        <v>0</v>
      </c>
    </row>
    <row r="39" spans="1:6" x14ac:dyDescent="0.2">
      <c r="A39" s="38" t="s">
        <v>72</v>
      </c>
      <c r="B39" s="38" t="s">
        <v>34</v>
      </c>
      <c r="D39" s="38">
        <v>0</v>
      </c>
      <c r="E39" s="38">
        <v>0</v>
      </c>
      <c r="F39" s="38">
        <v>0</v>
      </c>
    </row>
    <row r="40" spans="1:6" x14ac:dyDescent="0.2">
      <c r="A40" s="39" t="s">
        <v>73</v>
      </c>
      <c r="B40" s="39" t="s">
        <v>34</v>
      </c>
      <c r="D40" s="39">
        <v>0</v>
      </c>
      <c r="E40" s="39">
        <v>0</v>
      </c>
      <c r="F40" s="39">
        <v>0</v>
      </c>
    </row>
    <row r="41" spans="1:6" x14ac:dyDescent="0.2">
      <c r="A41" s="38" t="s">
        <v>74</v>
      </c>
      <c r="B41" s="38" t="s">
        <v>34</v>
      </c>
      <c r="D41" s="38">
        <v>0</v>
      </c>
      <c r="E41" s="38">
        <v>0</v>
      </c>
      <c r="F41" s="38">
        <v>0</v>
      </c>
    </row>
    <row r="42" spans="1:6" x14ac:dyDescent="0.2">
      <c r="A42" s="39" t="s">
        <v>75</v>
      </c>
      <c r="B42" s="39" t="s">
        <v>34</v>
      </c>
      <c r="D42" s="39">
        <v>0</v>
      </c>
      <c r="E42" s="39">
        <v>0</v>
      </c>
      <c r="F42" s="39">
        <v>0</v>
      </c>
    </row>
    <row r="43" spans="1:6" x14ac:dyDescent="0.2">
      <c r="A43" s="38" t="s">
        <v>76</v>
      </c>
      <c r="B43" s="38" t="s">
        <v>34</v>
      </c>
      <c r="D43" s="38">
        <v>0</v>
      </c>
      <c r="E43" s="38">
        <v>0</v>
      </c>
      <c r="F43" s="38">
        <v>0</v>
      </c>
    </row>
    <row r="44" spans="1:6" x14ac:dyDescent="0.2">
      <c r="A44" s="39" t="s">
        <v>77</v>
      </c>
      <c r="B44" s="39" t="s">
        <v>34</v>
      </c>
      <c r="D44" s="39">
        <v>0</v>
      </c>
      <c r="E44" s="39">
        <v>0</v>
      </c>
      <c r="F44" s="39">
        <v>0</v>
      </c>
    </row>
    <row r="45" spans="1:6" x14ac:dyDescent="0.2">
      <c r="A45" s="38" t="s">
        <v>125</v>
      </c>
      <c r="B45" s="38" t="s">
        <v>34</v>
      </c>
      <c r="D45" s="38">
        <v>0</v>
      </c>
      <c r="E45" s="38">
        <v>0</v>
      </c>
      <c r="F45" s="38">
        <v>0</v>
      </c>
    </row>
    <row r="46" spans="1:6" x14ac:dyDescent="0.2">
      <c r="A46" s="39" t="s">
        <v>80</v>
      </c>
      <c r="B46" s="39" t="s">
        <v>35</v>
      </c>
      <c r="D46" s="39">
        <v>0</v>
      </c>
      <c r="E46" s="39">
        <v>0</v>
      </c>
      <c r="F46" s="39">
        <v>0</v>
      </c>
    </row>
    <row r="47" spans="1:6" x14ac:dyDescent="0.2">
      <c r="A47" s="38" t="s">
        <v>81</v>
      </c>
      <c r="B47" s="38" t="s">
        <v>35</v>
      </c>
      <c r="D47" s="38">
        <v>0</v>
      </c>
      <c r="E47" s="38">
        <v>0</v>
      </c>
      <c r="F47" s="38">
        <v>0</v>
      </c>
    </row>
    <row r="48" spans="1:6" x14ac:dyDescent="0.2">
      <c r="A48" s="39" t="s">
        <v>82</v>
      </c>
      <c r="B48" s="39" t="s">
        <v>35</v>
      </c>
      <c r="D48" s="39">
        <v>0</v>
      </c>
      <c r="E48" s="39">
        <v>0</v>
      </c>
      <c r="F48" s="39">
        <v>0</v>
      </c>
    </row>
    <row r="49" spans="1:6" x14ac:dyDescent="0.2">
      <c r="A49" s="38" t="s">
        <v>39</v>
      </c>
      <c r="B49" s="38" t="s">
        <v>35</v>
      </c>
      <c r="D49" s="38">
        <v>0</v>
      </c>
      <c r="E49" s="38">
        <v>0</v>
      </c>
      <c r="F49" s="38">
        <v>0</v>
      </c>
    </row>
    <row r="50" spans="1:6" x14ac:dyDescent="0.2">
      <c r="A50" s="39" t="s">
        <v>40</v>
      </c>
      <c r="B50" s="39" t="s">
        <v>35</v>
      </c>
      <c r="D50" s="39">
        <v>0</v>
      </c>
      <c r="E50" s="39">
        <v>0</v>
      </c>
      <c r="F50" s="39">
        <v>0</v>
      </c>
    </row>
    <row r="51" spans="1:6" x14ac:dyDescent="0.2">
      <c r="A51" s="38" t="s">
        <v>41</v>
      </c>
      <c r="B51" s="38" t="s">
        <v>35</v>
      </c>
      <c r="D51" s="38">
        <v>0</v>
      </c>
      <c r="E51" s="38">
        <v>0</v>
      </c>
      <c r="F51" s="38">
        <v>0</v>
      </c>
    </row>
    <row r="52" spans="1:6" x14ac:dyDescent="0.2">
      <c r="A52" s="39" t="s">
        <v>42</v>
      </c>
      <c r="B52" s="39" t="s">
        <v>35</v>
      </c>
      <c r="D52" s="39">
        <v>0</v>
      </c>
      <c r="E52" s="39">
        <v>0</v>
      </c>
      <c r="F52" s="39">
        <v>0</v>
      </c>
    </row>
    <row r="53" spans="1:6" x14ac:dyDescent="0.2">
      <c r="A53" s="38" t="s">
        <v>43</v>
      </c>
      <c r="B53" s="38" t="s">
        <v>35</v>
      </c>
      <c r="D53" s="38">
        <v>0</v>
      </c>
      <c r="E53" s="38">
        <v>0</v>
      </c>
      <c r="F53" s="38">
        <v>0</v>
      </c>
    </row>
    <row r="54" spans="1:6" x14ac:dyDescent="0.2">
      <c r="A54" s="39" t="s">
        <v>44</v>
      </c>
      <c r="B54" s="39" t="s">
        <v>35</v>
      </c>
      <c r="D54" s="39">
        <v>0</v>
      </c>
      <c r="E54" s="39">
        <v>0</v>
      </c>
      <c r="F54" s="39">
        <v>0</v>
      </c>
    </row>
    <row r="55" spans="1:6" x14ac:dyDescent="0.2">
      <c r="A55" s="38" t="s">
        <v>45</v>
      </c>
      <c r="B55" s="38" t="s">
        <v>35</v>
      </c>
      <c r="D55" s="38">
        <v>0</v>
      </c>
      <c r="E55" s="38">
        <v>0</v>
      </c>
      <c r="F55" s="38">
        <v>0</v>
      </c>
    </row>
    <row r="56" spans="1:6" x14ac:dyDescent="0.2">
      <c r="A56" s="39" t="s">
        <v>46</v>
      </c>
      <c r="B56" s="39" t="s">
        <v>35</v>
      </c>
      <c r="D56" s="39">
        <v>0</v>
      </c>
      <c r="E56" s="39">
        <v>0</v>
      </c>
      <c r="F56" s="39">
        <v>0</v>
      </c>
    </row>
    <row r="57" spans="1:6" x14ac:dyDescent="0.2">
      <c r="A57" s="38" t="s">
        <v>47</v>
      </c>
      <c r="B57" s="38" t="s">
        <v>35</v>
      </c>
      <c r="D57" s="38">
        <v>0</v>
      </c>
      <c r="E57" s="38">
        <v>0</v>
      </c>
      <c r="F57" s="38">
        <v>0</v>
      </c>
    </row>
    <row r="58" spans="1:6" x14ac:dyDescent="0.2">
      <c r="A58" s="39" t="s">
        <v>48</v>
      </c>
      <c r="B58" s="39" t="s">
        <v>35</v>
      </c>
      <c r="D58" s="39">
        <v>0</v>
      </c>
      <c r="E58" s="39">
        <v>0</v>
      </c>
      <c r="F58" s="39">
        <v>0</v>
      </c>
    </row>
    <row r="59" spans="1:6" x14ac:dyDescent="0.2">
      <c r="A59" s="38" t="s">
        <v>49</v>
      </c>
      <c r="B59" s="38" t="s">
        <v>35</v>
      </c>
      <c r="D59" s="38">
        <v>0</v>
      </c>
      <c r="E59" s="38">
        <v>0</v>
      </c>
      <c r="F59" s="38">
        <v>0</v>
      </c>
    </row>
    <row r="60" spans="1:6" x14ac:dyDescent="0.2">
      <c r="A60" s="39" t="s">
        <v>50</v>
      </c>
      <c r="B60" s="39" t="s">
        <v>35</v>
      </c>
      <c r="D60" s="39">
        <v>0</v>
      </c>
      <c r="E60" s="39">
        <v>0</v>
      </c>
      <c r="F60" s="39">
        <v>0</v>
      </c>
    </row>
    <row r="61" spans="1:6" x14ac:dyDescent="0.2">
      <c r="A61" s="38" t="s">
        <v>51</v>
      </c>
      <c r="B61" s="38" t="s">
        <v>35</v>
      </c>
      <c r="D61" s="38">
        <v>0</v>
      </c>
      <c r="E61" s="38">
        <v>0</v>
      </c>
      <c r="F61" s="38">
        <v>0</v>
      </c>
    </row>
    <row r="62" spans="1:6" x14ac:dyDescent="0.2">
      <c r="A62" s="39" t="s">
        <v>52</v>
      </c>
      <c r="B62" s="39" t="s">
        <v>35</v>
      </c>
      <c r="D62" s="39">
        <v>0</v>
      </c>
      <c r="E62" s="39">
        <v>0</v>
      </c>
      <c r="F62" s="39">
        <v>0</v>
      </c>
    </row>
    <row r="63" spans="1:6" x14ac:dyDescent="0.2">
      <c r="A63" s="38" t="s">
        <v>53</v>
      </c>
      <c r="B63" s="38" t="s">
        <v>35</v>
      </c>
      <c r="D63" s="38">
        <v>0</v>
      </c>
      <c r="E63" s="38">
        <v>0</v>
      </c>
      <c r="F63" s="38">
        <v>0</v>
      </c>
    </row>
    <row r="64" spans="1:6" x14ac:dyDescent="0.2">
      <c r="A64" s="39" t="s">
        <v>54</v>
      </c>
      <c r="B64" s="39" t="s">
        <v>35</v>
      </c>
      <c r="D64" s="39">
        <v>0</v>
      </c>
      <c r="E64" s="39">
        <v>0</v>
      </c>
      <c r="F64" s="39">
        <v>0</v>
      </c>
    </row>
    <row r="65" spans="1:6" x14ac:dyDescent="0.2">
      <c r="A65" s="38" t="s">
        <v>55</v>
      </c>
      <c r="B65" s="38" t="s">
        <v>35</v>
      </c>
      <c r="D65" s="38">
        <v>0</v>
      </c>
      <c r="E65" s="38">
        <v>0</v>
      </c>
      <c r="F65" s="38">
        <v>0</v>
      </c>
    </row>
    <row r="66" spans="1:6" x14ac:dyDescent="0.2">
      <c r="A66" s="39" t="s">
        <v>56</v>
      </c>
      <c r="B66" s="39" t="s">
        <v>35</v>
      </c>
      <c r="D66" s="39">
        <v>0</v>
      </c>
      <c r="E66" s="39">
        <v>0</v>
      </c>
      <c r="F66" s="39">
        <v>0</v>
      </c>
    </row>
    <row r="67" spans="1:6" x14ac:dyDescent="0.2">
      <c r="A67" s="38" t="s">
        <v>57</v>
      </c>
      <c r="B67" s="38" t="s">
        <v>35</v>
      </c>
      <c r="D67" s="38">
        <v>0</v>
      </c>
      <c r="E67" s="38">
        <v>0</v>
      </c>
      <c r="F67" s="38">
        <v>0</v>
      </c>
    </row>
    <row r="68" spans="1:6" x14ac:dyDescent="0.2">
      <c r="A68" s="39" t="s">
        <v>58</v>
      </c>
      <c r="B68" s="39" t="s">
        <v>35</v>
      </c>
      <c r="D68" s="39">
        <v>0</v>
      </c>
      <c r="E68" s="39">
        <v>0</v>
      </c>
      <c r="F68" s="39">
        <v>0</v>
      </c>
    </row>
    <row r="69" spans="1:6" x14ac:dyDescent="0.2">
      <c r="A69" s="38" t="s">
        <v>59</v>
      </c>
      <c r="B69" s="38" t="s">
        <v>35</v>
      </c>
      <c r="D69" s="38">
        <v>0</v>
      </c>
      <c r="E69" s="38">
        <v>0</v>
      </c>
      <c r="F69" s="38">
        <v>0</v>
      </c>
    </row>
    <row r="70" spans="1:6" x14ac:dyDescent="0.2">
      <c r="A70" s="39" t="s">
        <v>60</v>
      </c>
      <c r="B70" s="39" t="s">
        <v>35</v>
      </c>
      <c r="D70" s="39">
        <v>0</v>
      </c>
      <c r="E70" s="39">
        <v>0</v>
      </c>
      <c r="F70" s="39">
        <v>0</v>
      </c>
    </row>
    <row r="71" spans="1:6" x14ac:dyDescent="0.2">
      <c r="A71" s="38" t="s">
        <v>61</v>
      </c>
      <c r="B71" s="38" t="s">
        <v>35</v>
      </c>
      <c r="D71" s="38">
        <v>0</v>
      </c>
      <c r="E71" s="38">
        <v>0</v>
      </c>
      <c r="F71" s="38">
        <v>0</v>
      </c>
    </row>
    <row r="72" spans="1:6" x14ac:dyDescent="0.2">
      <c r="A72" s="39" t="s">
        <v>62</v>
      </c>
      <c r="B72" s="39" t="s">
        <v>35</v>
      </c>
      <c r="D72" s="39">
        <v>0</v>
      </c>
      <c r="E72" s="39">
        <v>0</v>
      </c>
      <c r="F72" s="39">
        <v>0</v>
      </c>
    </row>
    <row r="73" spans="1:6" x14ac:dyDescent="0.2">
      <c r="A73" s="38" t="s">
        <v>63</v>
      </c>
      <c r="B73" s="38" t="s">
        <v>35</v>
      </c>
      <c r="D73" s="38">
        <v>0</v>
      </c>
      <c r="E73" s="38">
        <v>0</v>
      </c>
      <c r="F73" s="38">
        <v>0</v>
      </c>
    </row>
    <row r="74" spans="1:6" x14ac:dyDescent="0.2">
      <c r="A74" s="39" t="s">
        <v>64</v>
      </c>
      <c r="B74" s="39" t="s">
        <v>35</v>
      </c>
      <c r="D74" s="39">
        <v>0</v>
      </c>
      <c r="E74" s="39">
        <v>0</v>
      </c>
      <c r="F74" s="39">
        <v>0</v>
      </c>
    </row>
    <row r="75" spans="1:6" x14ac:dyDescent="0.2">
      <c r="A75" s="38" t="s">
        <v>65</v>
      </c>
      <c r="B75" s="38" t="s">
        <v>35</v>
      </c>
      <c r="D75" s="38">
        <v>0</v>
      </c>
      <c r="E75" s="38">
        <v>0</v>
      </c>
      <c r="F75" s="38">
        <v>0</v>
      </c>
    </row>
    <row r="76" spans="1:6" x14ac:dyDescent="0.2">
      <c r="A76" s="39" t="s">
        <v>66</v>
      </c>
      <c r="B76" s="39" t="s">
        <v>35</v>
      </c>
      <c r="D76" s="39">
        <v>0</v>
      </c>
      <c r="E76" s="39">
        <v>0</v>
      </c>
      <c r="F76" s="39">
        <v>0</v>
      </c>
    </row>
    <row r="77" spans="1:6" x14ac:dyDescent="0.2">
      <c r="A77" s="38" t="s">
        <v>67</v>
      </c>
      <c r="B77" s="38" t="s">
        <v>35</v>
      </c>
      <c r="D77" s="38">
        <v>0</v>
      </c>
      <c r="E77" s="38">
        <v>0</v>
      </c>
      <c r="F77" s="38">
        <v>0</v>
      </c>
    </row>
    <row r="78" spans="1:6" x14ac:dyDescent="0.2">
      <c r="A78" s="39" t="s">
        <v>68</v>
      </c>
      <c r="B78" s="39" t="s">
        <v>35</v>
      </c>
      <c r="D78" s="39">
        <v>0</v>
      </c>
      <c r="E78" s="39">
        <v>0</v>
      </c>
      <c r="F78" s="39">
        <v>0</v>
      </c>
    </row>
    <row r="79" spans="1:6" x14ac:dyDescent="0.2">
      <c r="A79" s="38" t="s">
        <v>69</v>
      </c>
      <c r="B79" s="38" t="s">
        <v>35</v>
      </c>
      <c r="D79" s="38">
        <v>0</v>
      </c>
      <c r="E79" s="38">
        <v>0</v>
      </c>
      <c r="F79" s="38">
        <v>0</v>
      </c>
    </row>
    <row r="80" spans="1:6" x14ac:dyDescent="0.2">
      <c r="A80" s="39" t="s">
        <v>70</v>
      </c>
      <c r="B80" s="39" t="s">
        <v>35</v>
      </c>
      <c r="D80" s="39">
        <v>0</v>
      </c>
      <c r="E80" s="39">
        <v>0</v>
      </c>
      <c r="F80" s="39">
        <v>0</v>
      </c>
    </row>
    <row r="81" spans="1:6" x14ac:dyDescent="0.2">
      <c r="A81" s="38" t="s">
        <v>71</v>
      </c>
      <c r="B81" s="38" t="s">
        <v>35</v>
      </c>
      <c r="D81" s="38">
        <v>0</v>
      </c>
      <c r="E81" s="38">
        <v>0</v>
      </c>
      <c r="F81" s="38">
        <v>0</v>
      </c>
    </row>
    <row r="82" spans="1:6" x14ac:dyDescent="0.2">
      <c r="A82" s="39" t="s">
        <v>72</v>
      </c>
      <c r="B82" s="39" t="s">
        <v>35</v>
      </c>
      <c r="D82" s="39">
        <v>0</v>
      </c>
      <c r="E82" s="39">
        <v>0</v>
      </c>
      <c r="F82" s="39">
        <v>0</v>
      </c>
    </row>
    <row r="83" spans="1:6" x14ac:dyDescent="0.2">
      <c r="A83" s="38" t="s">
        <v>73</v>
      </c>
      <c r="B83" s="38" t="s">
        <v>35</v>
      </c>
      <c r="D83" s="38">
        <v>0</v>
      </c>
      <c r="E83" s="38">
        <v>0</v>
      </c>
      <c r="F83" s="38">
        <v>0</v>
      </c>
    </row>
    <row r="84" spans="1:6" x14ac:dyDescent="0.2">
      <c r="A84" s="39" t="s">
        <v>74</v>
      </c>
      <c r="B84" s="39" t="s">
        <v>35</v>
      </c>
      <c r="D84" s="39">
        <v>0</v>
      </c>
      <c r="E84" s="39">
        <v>0</v>
      </c>
      <c r="F84" s="39">
        <v>0</v>
      </c>
    </row>
    <row r="85" spans="1:6" x14ac:dyDescent="0.2">
      <c r="A85" s="38" t="s">
        <v>75</v>
      </c>
      <c r="B85" s="38" t="s">
        <v>35</v>
      </c>
      <c r="D85" s="38">
        <v>0</v>
      </c>
      <c r="E85" s="38">
        <v>0</v>
      </c>
      <c r="F85" s="38">
        <v>0</v>
      </c>
    </row>
    <row r="86" spans="1:6" x14ac:dyDescent="0.2">
      <c r="A86" s="39" t="s">
        <v>76</v>
      </c>
      <c r="B86" s="39" t="s">
        <v>35</v>
      </c>
      <c r="D86" s="39">
        <v>0</v>
      </c>
      <c r="E86" s="39">
        <v>0</v>
      </c>
      <c r="F86" s="39">
        <v>0</v>
      </c>
    </row>
    <row r="87" spans="1:6" x14ac:dyDescent="0.2">
      <c r="A87" s="38" t="s">
        <v>77</v>
      </c>
      <c r="B87" s="38" t="s">
        <v>35</v>
      </c>
      <c r="D87" s="38">
        <v>0</v>
      </c>
      <c r="E87" s="38">
        <v>0</v>
      </c>
      <c r="F87" s="38">
        <v>0</v>
      </c>
    </row>
    <row r="88" spans="1:6" x14ac:dyDescent="0.2">
      <c r="A88" s="39" t="s">
        <v>125</v>
      </c>
      <c r="B88" s="39" t="s">
        <v>35</v>
      </c>
      <c r="D88" s="39">
        <v>0</v>
      </c>
      <c r="E88" s="39">
        <v>0</v>
      </c>
      <c r="F88" s="39">
        <v>0</v>
      </c>
    </row>
    <row r="89" spans="1:6" x14ac:dyDescent="0.2">
      <c r="A89" s="38" t="s">
        <v>80</v>
      </c>
      <c r="B89" s="38" t="s">
        <v>36</v>
      </c>
      <c r="D89" s="38">
        <v>0</v>
      </c>
      <c r="E89" s="38">
        <v>0</v>
      </c>
      <c r="F89" s="38">
        <v>0</v>
      </c>
    </row>
    <row r="90" spans="1:6" x14ac:dyDescent="0.2">
      <c r="A90" s="39" t="s">
        <v>81</v>
      </c>
      <c r="B90" s="39" t="s">
        <v>36</v>
      </c>
      <c r="D90" s="39">
        <v>0</v>
      </c>
      <c r="E90" s="39">
        <v>0</v>
      </c>
      <c r="F90" s="39">
        <v>0</v>
      </c>
    </row>
    <row r="91" spans="1:6" x14ac:dyDescent="0.2">
      <c r="A91" s="38" t="s">
        <v>82</v>
      </c>
      <c r="B91" s="38" t="s">
        <v>36</v>
      </c>
      <c r="D91" s="38">
        <v>0</v>
      </c>
      <c r="E91" s="38">
        <v>0</v>
      </c>
      <c r="F91" s="38">
        <v>0</v>
      </c>
    </row>
    <row r="92" spans="1:6" x14ac:dyDescent="0.2">
      <c r="A92" s="39" t="s">
        <v>39</v>
      </c>
      <c r="B92" s="39" t="s">
        <v>36</v>
      </c>
      <c r="D92" s="39">
        <v>0</v>
      </c>
      <c r="E92" s="39">
        <v>0</v>
      </c>
      <c r="F92" s="39">
        <v>0</v>
      </c>
    </row>
    <row r="93" spans="1:6" x14ac:dyDescent="0.2">
      <c r="A93" s="38" t="s">
        <v>40</v>
      </c>
      <c r="B93" s="38" t="s">
        <v>36</v>
      </c>
      <c r="D93" s="38">
        <v>0</v>
      </c>
      <c r="E93" s="38">
        <v>0</v>
      </c>
      <c r="F93" s="38">
        <v>0</v>
      </c>
    </row>
    <row r="94" spans="1:6" x14ac:dyDescent="0.2">
      <c r="A94" s="39" t="s">
        <v>41</v>
      </c>
      <c r="B94" s="39" t="s">
        <v>36</v>
      </c>
      <c r="D94" s="39">
        <v>0</v>
      </c>
      <c r="E94" s="39">
        <v>0</v>
      </c>
      <c r="F94" s="39">
        <v>0</v>
      </c>
    </row>
    <row r="95" spans="1:6" x14ac:dyDescent="0.2">
      <c r="A95" s="38" t="s">
        <v>42</v>
      </c>
      <c r="B95" s="38" t="s">
        <v>36</v>
      </c>
      <c r="D95" s="38">
        <v>0</v>
      </c>
      <c r="E95" s="38">
        <v>0</v>
      </c>
      <c r="F95" s="38">
        <v>0</v>
      </c>
    </row>
    <row r="96" spans="1:6" x14ac:dyDescent="0.2">
      <c r="A96" s="39" t="s">
        <v>43</v>
      </c>
      <c r="B96" s="39" t="s">
        <v>36</v>
      </c>
      <c r="D96" s="39">
        <v>0</v>
      </c>
      <c r="E96" s="39">
        <v>0</v>
      </c>
      <c r="F96" s="39">
        <v>0</v>
      </c>
    </row>
    <row r="97" spans="1:6" x14ac:dyDescent="0.2">
      <c r="A97" s="38" t="s">
        <v>44</v>
      </c>
      <c r="B97" s="38" t="s">
        <v>36</v>
      </c>
      <c r="D97" s="38">
        <v>0</v>
      </c>
      <c r="E97" s="38">
        <v>0</v>
      </c>
      <c r="F97" s="38">
        <v>0</v>
      </c>
    </row>
    <row r="98" spans="1:6" x14ac:dyDescent="0.2">
      <c r="A98" s="39" t="s">
        <v>45</v>
      </c>
      <c r="B98" s="39" t="s">
        <v>36</v>
      </c>
      <c r="D98" s="39">
        <v>1</v>
      </c>
      <c r="E98" s="39">
        <v>4</v>
      </c>
      <c r="F98" s="39">
        <v>2</v>
      </c>
    </row>
    <row r="99" spans="1:6" x14ac:dyDescent="0.2">
      <c r="A99" s="38" t="s">
        <v>46</v>
      </c>
      <c r="B99" s="38" t="s">
        <v>36</v>
      </c>
      <c r="D99" s="38">
        <v>0</v>
      </c>
      <c r="E99" s="38">
        <v>0</v>
      </c>
      <c r="F99" s="38">
        <v>0</v>
      </c>
    </row>
    <row r="100" spans="1:6" x14ac:dyDescent="0.2">
      <c r="A100" s="39" t="s">
        <v>47</v>
      </c>
      <c r="B100" s="39" t="s">
        <v>36</v>
      </c>
      <c r="D100" s="39">
        <v>0</v>
      </c>
      <c r="E100" s="39">
        <v>0</v>
      </c>
      <c r="F100" s="39">
        <v>0</v>
      </c>
    </row>
    <row r="101" spans="1:6" x14ac:dyDescent="0.2">
      <c r="A101" s="38" t="s">
        <v>48</v>
      </c>
      <c r="B101" s="38" t="s">
        <v>36</v>
      </c>
      <c r="D101" s="38">
        <v>4</v>
      </c>
      <c r="E101" s="38">
        <v>3</v>
      </c>
      <c r="F101" s="38">
        <v>1</v>
      </c>
    </row>
    <row r="102" spans="1:6" x14ac:dyDescent="0.2">
      <c r="A102" s="39" t="s">
        <v>49</v>
      </c>
      <c r="B102" s="39" t="s">
        <v>36</v>
      </c>
      <c r="D102" s="39">
        <v>1</v>
      </c>
      <c r="E102" s="39">
        <v>0</v>
      </c>
      <c r="F102" s="39">
        <v>0</v>
      </c>
    </row>
    <row r="103" spans="1:6" x14ac:dyDescent="0.2">
      <c r="A103" s="38" t="s">
        <v>50</v>
      </c>
      <c r="B103" s="38" t="s">
        <v>36</v>
      </c>
      <c r="D103" s="38">
        <v>0</v>
      </c>
      <c r="E103" s="38">
        <v>0</v>
      </c>
      <c r="F103" s="38">
        <v>0</v>
      </c>
    </row>
    <row r="104" spans="1:6" x14ac:dyDescent="0.2">
      <c r="A104" s="39" t="s">
        <v>51</v>
      </c>
      <c r="B104" s="39" t="s">
        <v>36</v>
      </c>
      <c r="D104" s="39">
        <v>0</v>
      </c>
      <c r="E104" s="39">
        <v>0</v>
      </c>
      <c r="F104" s="39">
        <v>0</v>
      </c>
    </row>
    <row r="105" spans="1:6" x14ac:dyDescent="0.2">
      <c r="A105" s="38" t="s">
        <v>52</v>
      </c>
      <c r="B105" s="38" t="s">
        <v>36</v>
      </c>
      <c r="D105" s="38">
        <v>0</v>
      </c>
      <c r="E105" s="38">
        <v>0</v>
      </c>
      <c r="F105" s="38">
        <v>0</v>
      </c>
    </row>
    <row r="106" spans="1:6" x14ac:dyDescent="0.2">
      <c r="A106" s="39" t="s">
        <v>53</v>
      </c>
      <c r="B106" s="39" t="s">
        <v>36</v>
      </c>
      <c r="D106" s="39">
        <v>0</v>
      </c>
      <c r="E106" s="39">
        <v>0</v>
      </c>
      <c r="F106" s="39">
        <v>0</v>
      </c>
    </row>
    <row r="107" spans="1:6" x14ac:dyDescent="0.2">
      <c r="A107" s="38" t="s">
        <v>54</v>
      </c>
      <c r="B107" s="38" t="s">
        <v>36</v>
      </c>
      <c r="D107" s="38">
        <v>0</v>
      </c>
      <c r="E107" s="38">
        <v>0</v>
      </c>
      <c r="F107" s="38">
        <v>0</v>
      </c>
    </row>
    <row r="108" spans="1:6" x14ac:dyDescent="0.2">
      <c r="A108" s="39" t="s">
        <v>55</v>
      </c>
      <c r="B108" s="39" t="s">
        <v>36</v>
      </c>
      <c r="D108" s="39">
        <v>0</v>
      </c>
      <c r="E108" s="39">
        <v>2</v>
      </c>
      <c r="F108" s="39">
        <v>1</v>
      </c>
    </row>
    <row r="109" spans="1:6" x14ac:dyDescent="0.2">
      <c r="A109" s="38" t="s">
        <v>56</v>
      </c>
      <c r="B109" s="38" t="s">
        <v>36</v>
      </c>
      <c r="D109" s="38">
        <v>0</v>
      </c>
      <c r="E109" s="38">
        <v>0</v>
      </c>
      <c r="F109" s="38">
        <v>0</v>
      </c>
    </row>
    <row r="110" spans="1:6" x14ac:dyDescent="0.2">
      <c r="A110" s="39" t="s">
        <v>57</v>
      </c>
      <c r="B110" s="39" t="s">
        <v>36</v>
      </c>
      <c r="D110" s="39">
        <v>0</v>
      </c>
      <c r="E110" s="39">
        <v>0</v>
      </c>
      <c r="F110" s="39">
        <v>0</v>
      </c>
    </row>
    <row r="111" spans="1:6" x14ac:dyDescent="0.2">
      <c r="A111" s="38" t="s">
        <v>58</v>
      </c>
      <c r="B111" s="38" t="s">
        <v>36</v>
      </c>
      <c r="D111" s="38">
        <v>1</v>
      </c>
      <c r="E111" s="38">
        <v>5</v>
      </c>
      <c r="F111" s="38">
        <v>2</v>
      </c>
    </row>
    <row r="112" spans="1:6" x14ac:dyDescent="0.2">
      <c r="A112" s="39" t="s">
        <v>59</v>
      </c>
      <c r="B112" s="39" t="s">
        <v>36</v>
      </c>
      <c r="D112" s="39">
        <v>0</v>
      </c>
      <c r="E112" s="39">
        <v>0</v>
      </c>
      <c r="F112" s="39">
        <v>0</v>
      </c>
    </row>
    <row r="113" spans="1:6" x14ac:dyDescent="0.2">
      <c r="A113" s="38" t="s">
        <v>60</v>
      </c>
      <c r="B113" s="38" t="s">
        <v>36</v>
      </c>
      <c r="D113" s="38">
        <v>5</v>
      </c>
      <c r="E113" s="38">
        <v>4</v>
      </c>
      <c r="F113" s="38">
        <v>4</v>
      </c>
    </row>
    <row r="114" spans="1:6" x14ac:dyDescent="0.2">
      <c r="A114" s="39" t="s">
        <v>61</v>
      </c>
      <c r="B114" s="39" t="s">
        <v>36</v>
      </c>
      <c r="D114" s="39">
        <v>7</v>
      </c>
      <c r="E114" s="39">
        <v>10</v>
      </c>
      <c r="F114" s="39">
        <v>2</v>
      </c>
    </row>
    <row r="115" spans="1:6" x14ac:dyDescent="0.2">
      <c r="A115" s="38" t="s">
        <v>62</v>
      </c>
      <c r="B115" s="38" t="s">
        <v>36</v>
      </c>
      <c r="D115" s="38">
        <v>8</v>
      </c>
      <c r="E115" s="38">
        <v>11</v>
      </c>
      <c r="F115" s="38">
        <v>2</v>
      </c>
    </row>
    <row r="116" spans="1:6" x14ac:dyDescent="0.2">
      <c r="A116" s="39" t="s">
        <v>63</v>
      </c>
      <c r="B116" s="39" t="s">
        <v>36</v>
      </c>
      <c r="D116" s="39">
        <v>0</v>
      </c>
      <c r="E116" s="39">
        <v>3</v>
      </c>
      <c r="F116" s="39">
        <v>0</v>
      </c>
    </row>
    <row r="117" spans="1:6" x14ac:dyDescent="0.2">
      <c r="A117" s="38" t="s">
        <v>64</v>
      </c>
      <c r="B117" s="38" t="s">
        <v>36</v>
      </c>
      <c r="D117" s="38">
        <v>3</v>
      </c>
      <c r="E117" s="38">
        <v>4</v>
      </c>
      <c r="F117" s="38">
        <v>0</v>
      </c>
    </row>
    <row r="118" spans="1:6" x14ac:dyDescent="0.2">
      <c r="A118" s="39" t="s">
        <v>65</v>
      </c>
      <c r="B118" s="39" t="s">
        <v>36</v>
      </c>
      <c r="D118" s="39">
        <v>2</v>
      </c>
      <c r="E118" s="39">
        <v>8</v>
      </c>
      <c r="F118" s="39">
        <v>2</v>
      </c>
    </row>
    <row r="119" spans="1:6" x14ac:dyDescent="0.2">
      <c r="A119" s="38" t="s">
        <v>66</v>
      </c>
      <c r="B119" s="38" t="s">
        <v>36</v>
      </c>
      <c r="D119" s="38">
        <v>0</v>
      </c>
      <c r="E119" s="38">
        <v>0</v>
      </c>
      <c r="F119" s="38">
        <v>0</v>
      </c>
    </row>
    <row r="120" spans="1:6" x14ac:dyDescent="0.2">
      <c r="A120" s="39" t="s">
        <v>67</v>
      </c>
      <c r="B120" s="39" t="s">
        <v>36</v>
      </c>
      <c r="D120" s="39">
        <v>0</v>
      </c>
      <c r="E120" s="39">
        <v>0</v>
      </c>
      <c r="F120" s="39">
        <v>0</v>
      </c>
    </row>
    <row r="121" spans="1:6" x14ac:dyDescent="0.2">
      <c r="A121" s="38" t="s">
        <v>68</v>
      </c>
      <c r="B121" s="38" t="s">
        <v>36</v>
      </c>
      <c r="D121" s="38">
        <v>2</v>
      </c>
      <c r="E121" s="38">
        <v>3</v>
      </c>
      <c r="F121" s="38">
        <v>3</v>
      </c>
    </row>
    <row r="122" spans="1:6" x14ac:dyDescent="0.2">
      <c r="A122" s="39" t="s">
        <v>69</v>
      </c>
      <c r="B122" s="39" t="s">
        <v>36</v>
      </c>
      <c r="D122" s="39">
        <v>1</v>
      </c>
      <c r="E122" s="39">
        <v>0</v>
      </c>
      <c r="F122" s="39">
        <v>0</v>
      </c>
    </row>
    <row r="123" spans="1:6" x14ac:dyDescent="0.2">
      <c r="A123" s="38" t="s">
        <v>70</v>
      </c>
      <c r="B123" s="38" t="s">
        <v>36</v>
      </c>
      <c r="D123" s="38">
        <v>0</v>
      </c>
      <c r="E123" s="38">
        <v>0</v>
      </c>
      <c r="F123" s="38">
        <v>0</v>
      </c>
    </row>
    <row r="124" spans="1:6" x14ac:dyDescent="0.2">
      <c r="A124" s="39" t="s">
        <v>71</v>
      </c>
      <c r="B124" s="39" t="s">
        <v>36</v>
      </c>
      <c r="D124" s="39">
        <v>0</v>
      </c>
      <c r="E124" s="39">
        <v>0</v>
      </c>
      <c r="F124" s="39">
        <v>0</v>
      </c>
    </row>
    <row r="125" spans="1:6" x14ac:dyDescent="0.2">
      <c r="A125" s="38" t="s">
        <v>72</v>
      </c>
      <c r="B125" s="38" t="s">
        <v>36</v>
      </c>
      <c r="D125" s="38">
        <v>10</v>
      </c>
      <c r="E125" s="38">
        <v>17</v>
      </c>
      <c r="F125" s="38">
        <v>5</v>
      </c>
    </row>
    <row r="126" spans="1:6" x14ac:dyDescent="0.2">
      <c r="A126" s="39" t="s">
        <v>73</v>
      </c>
      <c r="B126" s="39" t="s">
        <v>36</v>
      </c>
      <c r="D126" s="39">
        <v>2</v>
      </c>
      <c r="E126" s="39">
        <v>4</v>
      </c>
      <c r="F126" s="39">
        <v>1</v>
      </c>
    </row>
    <row r="127" spans="1:6" x14ac:dyDescent="0.2">
      <c r="A127" s="38" t="s">
        <v>74</v>
      </c>
      <c r="B127" s="38" t="s">
        <v>36</v>
      </c>
      <c r="D127" s="38">
        <v>6</v>
      </c>
      <c r="E127" s="38">
        <v>7</v>
      </c>
      <c r="F127" s="38">
        <v>3</v>
      </c>
    </row>
    <row r="128" spans="1:6" x14ac:dyDescent="0.2">
      <c r="A128" s="39" t="s">
        <v>75</v>
      </c>
      <c r="B128" s="39" t="s">
        <v>36</v>
      </c>
      <c r="D128" s="39">
        <v>0</v>
      </c>
      <c r="E128" s="39">
        <v>3</v>
      </c>
      <c r="F128" s="39">
        <v>1</v>
      </c>
    </row>
    <row r="129" spans="1:6" x14ac:dyDescent="0.2">
      <c r="A129" s="38" t="s">
        <v>76</v>
      </c>
      <c r="B129" s="38" t="s">
        <v>36</v>
      </c>
      <c r="D129" s="38">
        <v>5</v>
      </c>
      <c r="E129" s="38">
        <v>1</v>
      </c>
      <c r="F129" s="38">
        <v>0</v>
      </c>
    </row>
    <row r="130" spans="1:6" x14ac:dyDescent="0.2">
      <c r="A130" s="39" t="s">
        <v>77</v>
      </c>
      <c r="B130" s="39" t="s">
        <v>36</v>
      </c>
      <c r="D130" s="39">
        <v>0</v>
      </c>
      <c r="E130" s="39">
        <v>0</v>
      </c>
      <c r="F130" s="39">
        <v>0</v>
      </c>
    </row>
    <row r="131" spans="1:6" ht="16" thickBot="1" x14ac:dyDescent="0.25">
      <c r="A131" s="80" t="s">
        <v>125</v>
      </c>
      <c r="B131" s="80" t="s">
        <v>36</v>
      </c>
      <c r="D131" s="80">
        <v>0</v>
      </c>
      <c r="E131" s="80">
        <v>0</v>
      </c>
      <c r="F131" s="80">
        <v>0</v>
      </c>
    </row>
    <row r="132" spans="1:6" ht="16" thickBot="1" x14ac:dyDescent="0.25">
      <c r="A132" s="81"/>
      <c r="B132" s="82"/>
      <c r="C132" s="82"/>
      <c r="D132" s="82">
        <f>SUM(D89:D131)</f>
        <v>58</v>
      </c>
      <c r="E132" s="82">
        <f t="shared" ref="E132:F132" si="0">SUM(E89:E131)</f>
        <v>89</v>
      </c>
      <c r="F132" s="82">
        <f t="shared" si="0"/>
        <v>29</v>
      </c>
    </row>
  </sheetData>
  <sortState xmlns:xlrd2="http://schemas.microsoft.com/office/spreadsheetml/2017/richdata2" ref="A3:F131">
    <sortCondition ref="B3:B131"/>
  </sortState>
  <phoneticPr fontId="1" type="noConversion"/>
  <pageMargins left="0.5" right="0.5" top="0.5" bottom="0.5" header="0.25" footer="0.25"/>
  <pageSetup scale="60" orientation="portrait" r:id="rId1"/>
  <headerFooter>
    <oddHeader>&amp;RU-200281 NWN COVID Data Rpt 3Q and September 2022
&amp;P of 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O139"/>
  <sheetViews>
    <sheetView tabSelected="1" zoomScaleNormal="100" workbookViewId="0">
      <pane xSplit="2" ySplit="3" topLeftCell="BB23" activePane="bottomRight" state="frozen"/>
      <selection pane="topRight" activeCell="C1" sqref="C1"/>
      <selection pane="bottomLeft" activeCell="A4" sqref="A4"/>
      <selection pane="bottomRight" activeCell="BM48" sqref="BM48:BO4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8" width="14.6640625" customWidth="1"/>
    <col min="9" max="9" width="14.6640625" style="8" customWidth="1"/>
    <col min="10" max="10" width="14.6640625" customWidth="1"/>
    <col min="11" max="11" width="14.6640625" style="8" customWidth="1"/>
    <col min="12" max="12" width="14.6640625" customWidth="1"/>
    <col min="13" max="13" width="14.6640625" style="8" customWidth="1"/>
    <col min="14" max="14" width="14.6640625" customWidth="1"/>
    <col min="15" max="15" width="14.6640625" style="8" customWidth="1"/>
    <col min="16" max="16" width="14.6640625" customWidth="1"/>
    <col min="17" max="17" width="14.6640625" style="8" customWidth="1"/>
    <col min="18" max="18" width="14.6640625" customWidth="1"/>
    <col min="19" max="19" width="14.6640625" style="8" customWidth="1"/>
    <col min="20" max="20" width="14.6640625" customWidth="1"/>
    <col min="21" max="21" width="14.6640625" style="8" customWidth="1"/>
    <col min="22" max="22" width="14.6640625" customWidth="1"/>
    <col min="23" max="23" width="14.6640625" style="8" customWidth="1"/>
    <col min="24" max="24" width="14.6640625" customWidth="1"/>
    <col min="25" max="25" width="14.6640625" style="8" customWidth="1"/>
    <col min="26" max="26" width="14.6640625" customWidth="1"/>
    <col min="27" max="27" width="14.6640625" style="8" customWidth="1"/>
    <col min="28" max="28" width="14.6640625" customWidth="1"/>
    <col min="29" max="29" width="14.6640625" style="8" customWidth="1"/>
    <col min="30" max="30" width="14.6640625" customWidth="1"/>
    <col min="31" max="31" width="14.6640625" style="8" customWidth="1"/>
    <col min="32" max="32" width="3.6640625" style="1" customWidth="1"/>
    <col min="33" max="44" width="14.6640625" customWidth="1"/>
    <col min="45" max="45" width="2.83203125" style="1" customWidth="1"/>
    <col min="46" max="46" width="18.6640625" customWidth="1"/>
    <col min="47" max="49" width="17.6640625" customWidth="1"/>
    <col min="50" max="50" width="2.83203125" style="1" customWidth="1"/>
    <col min="51" max="53" width="15.6640625" customWidth="1"/>
    <col min="54" max="54" width="2.83203125" style="1" customWidth="1"/>
    <col min="55" max="55" width="14.6640625" customWidth="1"/>
    <col min="56" max="58" width="17.6640625" customWidth="1"/>
    <col min="59" max="59" width="2.83203125" style="1" customWidth="1"/>
    <col min="60" max="62" width="17.6640625" customWidth="1"/>
    <col min="63" max="63" width="2.83203125" style="1" customWidth="1"/>
    <col min="64" max="64" width="18.6640625" customWidth="1"/>
    <col min="65" max="67" width="17.6640625" customWidth="1"/>
  </cols>
  <sheetData>
    <row r="1" spans="1:67" ht="32" x14ac:dyDescent="0.2">
      <c r="A1" s="2" t="s">
        <v>114</v>
      </c>
      <c r="B1" s="2"/>
      <c r="D1" s="9" t="s">
        <v>10</v>
      </c>
      <c r="E1" s="9"/>
      <c r="F1" s="9"/>
      <c r="H1" s="79" t="s">
        <v>11</v>
      </c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G1" s="79" t="s">
        <v>12</v>
      </c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U1" s="9" t="s">
        <v>8</v>
      </c>
      <c r="AV1" s="9"/>
      <c r="AW1" s="9"/>
      <c r="AY1" s="9" t="s">
        <v>9</v>
      </c>
      <c r="AZ1" s="9"/>
      <c r="BA1" s="9"/>
      <c r="BB1" s="7"/>
      <c r="BD1" s="9" t="s">
        <v>13</v>
      </c>
      <c r="BE1" s="9"/>
      <c r="BF1" s="9"/>
      <c r="BH1" s="9" t="s">
        <v>15</v>
      </c>
      <c r="BI1" s="9"/>
      <c r="BJ1" s="9"/>
      <c r="BM1" s="9" t="s">
        <v>14</v>
      </c>
      <c r="BN1" s="9"/>
      <c r="BO1" s="9"/>
    </row>
    <row r="2" spans="1:67" x14ac:dyDescent="0.2">
      <c r="A2" s="2"/>
      <c r="B2" s="2"/>
      <c r="D2" s="3"/>
      <c r="E2" s="3"/>
      <c r="F2" s="3"/>
      <c r="H2" s="71">
        <f>+D3</f>
        <v>44743</v>
      </c>
      <c r="I2" s="71"/>
      <c r="J2" s="26"/>
      <c r="K2" s="26"/>
      <c r="L2" s="26"/>
      <c r="M2" s="26"/>
      <c r="N2" s="26"/>
      <c r="O2" s="72"/>
      <c r="P2" s="71">
        <f>+E3</f>
        <v>44774</v>
      </c>
      <c r="Q2" s="71"/>
      <c r="R2" s="26"/>
      <c r="S2" s="26"/>
      <c r="T2" s="26"/>
      <c r="U2" s="26"/>
      <c r="V2" s="26"/>
      <c r="W2" s="72"/>
      <c r="X2" s="71">
        <f>+F3</f>
        <v>44805</v>
      </c>
      <c r="Y2" s="71"/>
      <c r="Z2" s="26"/>
      <c r="AA2" s="26"/>
      <c r="AB2" s="26"/>
      <c r="AC2" s="26"/>
      <c r="AD2" s="26"/>
      <c r="AE2" s="73"/>
      <c r="AG2" s="77">
        <f>+D3</f>
        <v>44743</v>
      </c>
      <c r="AH2" s="78"/>
      <c r="AI2" s="78"/>
      <c r="AJ2" s="78"/>
      <c r="AK2" s="77">
        <f>+E3</f>
        <v>44774</v>
      </c>
      <c r="AL2" s="78"/>
      <c r="AM2" s="78"/>
      <c r="AN2" s="78"/>
      <c r="AO2" s="77">
        <f>+F3</f>
        <v>44805</v>
      </c>
      <c r="AP2" s="78"/>
      <c r="AQ2" s="78"/>
      <c r="AR2" s="78"/>
      <c r="AU2" s="9"/>
      <c r="AV2" s="9"/>
      <c r="AW2" s="9"/>
      <c r="AY2" s="9"/>
      <c r="AZ2" s="9"/>
      <c r="BA2" s="9"/>
      <c r="BB2" s="7"/>
      <c r="BD2" s="9"/>
      <c r="BE2" s="9"/>
      <c r="BF2" s="9"/>
      <c r="BH2" s="9"/>
      <c r="BI2" s="9"/>
      <c r="BJ2" s="9"/>
      <c r="BM2" s="9"/>
      <c r="BN2" s="9"/>
      <c r="BO2" s="9"/>
    </row>
    <row r="3" spans="1:67" x14ac:dyDescent="0.2">
      <c r="A3" s="2" t="s">
        <v>0</v>
      </c>
      <c r="B3" s="2" t="s">
        <v>1</v>
      </c>
      <c r="D3" s="58">
        <v>44743</v>
      </c>
      <c r="E3" s="58">
        <v>44774</v>
      </c>
      <c r="F3" s="58">
        <v>44805</v>
      </c>
      <c r="H3" s="45" t="s">
        <v>116</v>
      </c>
      <c r="I3" s="65" t="s">
        <v>117</v>
      </c>
      <c r="J3" s="45" t="s">
        <v>118</v>
      </c>
      <c r="K3" s="65" t="s">
        <v>119</v>
      </c>
      <c r="L3" s="45" t="s">
        <v>120</v>
      </c>
      <c r="M3" s="65" t="s">
        <v>121</v>
      </c>
      <c r="N3" s="45" t="s">
        <v>7</v>
      </c>
      <c r="O3" s="65" t="s">
        <v>122</v>
      </c>
      <c r="P3" s="45" t="str">
        <f>+H3</f>
        <v>30 Days Amt</v>
      </c>
      <c r="Q3" s="65" t="str">
        <f t="shared" ref="Q3:W3" si="0">+I3</f>
        <v>30 Day Count</v>
      </c>
      <c r="R3" s="45" t="str">
        <f t="shared" si="0"/>
        <v>60 Days Amt</v>
      </c>
      <c r="S3" s="65" t="str">
        <f t="shared" si="0"/>
        <v>60 Days Count</v>
      </c>
      <c r="T3" s="45" t="str">
        <f t="shared" si="0"/>
        <v>90 Days + Amt</v>
      </c>
      <c r="U3" s="65" t="str">
        <f t="shared" si="0"/>
        <v>90 Days + Count</v>
      </c>
      <c r="V3" s="45" t="str">
        <f t="shared" si="0"/>
        <v>Total Arrearages</v>
      </c>
      <c r="W3" s="65" t="str">
        <f t="shared" si="0"/>
        <v>Total Count</v>
      </c>
      <c r="X3" s="45" t="str">
        <f>+P3</f>
        <v>30 Days Amt</v>
      </c>
      <c r="Y3" s="65" t="str">
        <f t="shared" ref="Y3:AE3" si="1">+Q3</f>
        <v>30 Day Count</v>
      </c>
      <c r="Z3" s="45" t="str">
        <f t="shared" si="1"/>
        <v>60 Days Amt</v>
      </c>
      <c r="AA3" s="65" t="str">
        <f t="shared" si="1"/>
        <v>60 Days Count</v>
      </c>
      <c r="AB3" s="45" t="str">
        <f t="shared" si="1"/>
        <v>90 Days + Amt</v>
      </c>
      <c r="AC3" s="65" t="str">
        <f t="shared" si="1"/>
        <v>90 Days + Count</v>
      </c>
      <c r="AD3" s="45" t="str">
        <f t="shared" si="1"/>
        <v>Total Arrearages</v>
      </c>
      <c r="AE3" s="65" t="str">
        <f t="shared" si="1"/>
        <v>Total Count</v>
      </c>
      <c r="AG3" s="2" t="s">
        <v>4</v>
      </c>
      <c r="AH3" s="2" t="s">
        <v>5</v>
      </c>
      <c r="AI3" s="2" t="s">
        <v>6</v>
      </c>
      <c r="AJ3" s="2" t="s">
        <v>7</v>
      </c>
      <c r="AK3" s="2" t="s">
        <v>4</v>
      </c>
      <c r="AL3" s="2" t="s">
        <v>5</v>
      </c>
      <c r="AM3" s="2" t="s">
        <v>6</v>
      </c>
      <c r="AN3" s="2" t="s">
        <v>7</v>
      </c>
      <c r="AO3" s="2" t="s">
        <v>4</v>
      </c>
      <c r="AP3" s="2" t="s">
        <v>5</v>
      </c>
      <c r="AQ3" s="2" t="s">
        <v>6</v>
      </c>
      <c r="AR3" s="2" t="s">
        <v>7</v>
      </c>
      <c r="AU3" s="40">
        <v>44743</v>
      </c>
      <c r="AV3" s="40">
        <v>44774</v>
      </c>
      <c r="AW3" s="40">
        <v>44805</v>
      </c>
      <c r="AY3" s="4">
        <f>+AU3</f>
        <v>44743</v>
      </c>
      <c r="AZ3" s="4">
        <f t="shared" ref="AZ3:BA3" si="2">+AV3</f>
        <v>44774</v>
      </c>
      <c r="BA3" s="4">
        <f t="shared" si="2"/>
        <v>44805</v>
      </c>
      <c r="BB3" s="6"/>
      <c r="BD3" s="4">
        <f>+AY3</f>
        <v>44743</v>
      </c>
      <c r="BE3" s="4">
        <f t="shared" ref="BE3:BF3" si="3">+AZ3</f>
        <v>44774</v>
      </c>
      <c r="BF3" s="4">
        <f t="shared" si="3"/>
        <v>44805</v>
      </c>
      <c r="BH3" s="4">
        <f>+BD3</f>
        <v>44743</v>
      </c>
      <c r="BI3" s="4">
        <f t="shared" ref="BI3:BJ3" si="4">+BE3</f>
        <v>44774</v>
      </c>
      <c r="BJ3" s="4">
        <f t="shared" si="4"/>
        <v>44805</v>
      </c>
      <c r="BK3" s="6"/>
      <c r="BM3" s="4">
        <f>+BH3</f>
        <v>44743</v>
      </c>
      <c r="BN3" s="4">
        <f t="shared" ref="BN3:BO3" si="5">+BI3</f>
        <v>44774</v>
      </c>
      <c r="BO3" s="4">
        <f t="shared" si="5"/>
        <v>44805</v>
      </c>
    </row>
    <row r="4" spans="1:67" x14ac:dyDescent="0.2">
      <c r="A4" s="38" t="s">
        <v>80</v>
      </c>
      <c r="B4" s="38" t="s">
        <v>34</v>
      </c>
      <c r="D4" s="38">
        <v>0</v>
      </c>
      <c r="E4" s="38">
        <v>0</v>
      </c>
      <c r="F4" s="38">
        <v>0</v>
      </c>
      <c r="H4" s="43">
        <v>0</v>
      </c>
      <c r="I4" s="66">
        <v>0</v>
      </c>
      <c r="J4" s="43">
        <v>0</v>
      </c>
      <c r="K4" s="66">
        <v>0</v>
      </c>
      <c r="L4" s="43">
        <v>0</v>
      </c>
      <c r="M4" s="66">
        <v>0</v>
      </c>
      <c r="N4" s="43">
        <v>0</v>
      </c>
      <c r="O4" s="66">
        <v>0</v>
      </c>
      <c r="P4" s="43">
        <v>0</v>
      </c>
      <c r="Q4" s="66">
        <v>0</v>
      </c>
      <c r="R4" s="43">
        <v>0</v>
      </c>
      <c r="S4" s="66">
        <v>0</v>
      </c>
      <c r="T4" s="43">
        <v>0</v>
      </c>
      <c r="U4" s="66">
        <v>0</v>
      </c>
      <c r="V4" s="43">
        <v>0</v>
      </c>
      <c r="W4" s="66">
        <v>0</v>
      </c>
      <c r="X4" s="43">
        <v>0</v>
      </c>
      <c r="Y4" s="66">
        <v>0</v>
      </c>
      <c r="Z4" s="43">
        <v>0</v>
      </c>
      <c r="AA4" s="66">
        <v>0</v>
      </c>
      <c r="AB4" s="43">
        <v>0</v>
      </c>
      <c r="AC4" s="66">
        <v>0</v>
      </c>
      <c r="AD4" s="43">
        <v>0</v>
      </c>
      <c r="AE4" s="69">
        <v>0</v>
      </c>
      <c r="AG4" s="43">
        <v>0</v>
      </c>
      <c r="AH4" s="43">
        <v>0</v>
      </c>
      <c r="AI4" s="43">
        <v>0</v>
      </c>
      <c r="AJ4" s="43">
        <v>0</v>
      </c>
      <c r="AK4" s="43">
        <v>0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>
        <v>0</v>
      </c>
      <c r="AR4" s="43">
        <v>0</v>
      </c>
      <c r="AT4" s="10"/>
      <c r="AU4" s="10" t="s">
        <v>37</v>
      </c>
      <c r="AV4" s="10"/>
      <c r="AW4" s="10"/>
      <c r="AY4" s="10"/>
      <c r="AZ4" s="10"/>
      <c r="BA4" s="10"/>
      <c r="BD4" s="10" t="s">
        <v>37</v>
      </c>
      <c r="BE4" s="10"/>
      <c r="BF4" s="10"/>
      <c r="BH4" s="10"/>
      <c r="BI4" s="10"/>
      <c r="BJ4" s="10"/>
      <c r="BL4" s="10"/>
      <c r="BM4" s="10" t="s">
        <v>37</v>
      </c>
      <c r="BN4" s="10"/>
      <c r="BO4" s="10"/>
    </row>
    <row r="5" spans="1:67" ht="16" thickBot="1" x14ac:dyDescent="0.25">
      <c r="A5" s="39" t="s">
        <v>81</v>
      </c>
      <c r="B5" s="39" t="s">
        <v>34</v>
      </c>
      <c r="D5" s="39">
        <v>0</v>
      </c>
      <c r="E5" s="39">
        <v>0</v>
      </c>
      <c r="F5" s="39">
        <v>0</v>
      </c>
      <c r="H5" s="44">
        <v>0</v>
      </c>
      <c r="I5" s="67">
        <v>0</v>
      </c>
      <c r="J5" s="44">
        <v>0</v>
      </c>
      <c r="K5" s="67">
        <v>0</v>
      </c>
      <c r="L5" s="44">
        <v>0</v>
      </c>
      <c r="M5" s="67">
        <v>0</v>
      </c>
      <c r="N5" s="44">
        <v>0</v>
      </c>
      <c r="O5" s="67">
        <v>0</v>
      </c>
      <c r="P5" s="44">
        <v>0</v>
      </c>
      <c r="Q5" s="67">
        <v>0</v>
      </c>
      <c r="R5" s="44">
        <v>0</v>
      </c>
      <c r="S5" s="67">
        <v>0</v>
      </c>
      <c r="T5" s="44">
        <v>0</v>
      </c>
      <c r="U5" s="67">
        <v>0</v>
      </c>
      <c r="V5" s="44">
        <v>0</v>
      </c>
      <c r="W5" s="67">
        <v>0</v>
      </c>
      <c r="X5" s="44">
        <v>0</v>
      </c>
      <c r="Y5" s="67">
        <v>0</v>
      </c>
      <c r="Z5" s="44">
        <v>0</v>
      </c>
      <c r="AA5" s="67">
        <v>0</v>
      </c>
      <c r="AB5" s="44">
        <v>0</v>
      </c>
      <c r="AC5" s="67">
        <v>0</v>
      </c>
      <c r="AD5" s="44">
        <v>0</v>
      </c>
      <c r="AE5" s="70">
        <v>0</v>
      </c>
      <c r="AG5" s="44">
        <v>0</v>
      </c>
      <c r="AH5" s="44">
        <v>0</v>
      </c>
      <c r="AI5" s="44">
        <v>0</v>
      </c>
      <c r="AJ5" s="44">
        <v>0</v>
      </c>
      <c r="AK5" s="44">
        <v>0</v>
      </c>
      <c r="AL5" s="44">
        <v>0</v>
      </c>
      <c r="AM5" s="44">
        <v>0</v>
      </c>
      <c r="AN5" s="44">
        <v>0</v>
      </c>
      <c r="AO5" s="44">
        <v>0</v>
      </c>
      <c r="AP5" s="44">
        <v>0</v>
      </c>
      <c r="AQ5" s="44">
        <v>0</v>
      </c>
      <c r="AR5" s="44">
        <v>0</v>
      </c>
      <c r="AT5" s="10" t="s">
        <v>35</v>
      </c>
      <c r="AU5" s="11">
        <v>0</v>
      </c>
      <c r="AV5" s="11">
        <v>0</v>
      </c>
      <c r="AW5" s="11">
        <v>0</v>
      </c>
      <c r="AY5" s="85"/>
      <c r="AZ5" s="10"/>
      <c r="BA5" s="85"/>
      <c r="BC5" t="s">
        <v>35</v>
      </c>
      <c r="BD5" s="10">
        <v>0</v>
      </c>
      <c r="BE5" s="10">
        <v>0</v>
      </c>
      <c r="BF5" s="10">
        <v>0</v>
      </c>
      <c r="BH5" s="85"/>
      <c r="BI5" s="10"/>
      <c r="BJ5" s="85"/>
      <c r="BL5" s="10" t="s">
        <v>35</v>
      </c>
      <c r="BM5" s="11">
        <v>0</v>
      </c>
      <c r="BN5" s="11">
        <v>0</v>
      </c>
      <c r="BO5" s="11">
        <v>0</v>
      </c>
    </row>
    <row r="6" spans="1:67" x14ac:dyDescent="0.2">
      <c r="A6" s="38" t="s">
        <v>82</v>
      </c>
      <c r="B6" s="38" t="s">
        <v>34</v>
      </c>
      <c r="D6" s="38">
        <v>0</v>
      </c>
      <c r="E6" s="38">
        <v>0</v>
      </c>
      <c r="F6" s="38">
        <v>0</v>
      </c>
      <c r="H6" s="43">
        <v>0</v>
      </c>
      <c r="I6" s="66">
        <v>0</v>
      </c>
      <c r="J6" s="43">
        <v>0</v>
      </c>
      <c r="K6" s="66">
        <v>0</v>
      </c>
      <c r="L6" s="43">
        <v>0</v>
      </c>
      <c r="M6" s="66">
        <v>0</v>
      </c>
      <c r="N6" s="43">
        <v>0</v>
      </c>
      <c r="O6" s="66">
        <v>0</v>
      </c>
      <c r="P6" s="43">
        <v>0</v>
      </c>
      <c r="Q6" s="66">
        <v>0</v>
      </c>
      <c r="R6" s="43">
        <v>0</v>
      </c>
      <c r="S6" s="66">
        <v>0</v>
      </c>
      <c r="T6" s="43">
        <v>0</v>
      </c>
      <c r="U6" s="66">
        <v>0</v>
      </c>
      <c r="V6" s="43">
        <v>0</v>
      </c>
      <c r="W6" s="66">
        <v>0</v>
      </c>
      <c r="X6" s="43">
        <v>0</v>
      </c>
      <c r="Y6" s="66">
        <v>0</v>
      </c>
      <c r="Z6" s="43">
        <v>0</v>
      </c>
      <c r="AA6" s="66">
        <v>0</v>
      </c>
      <c r="AB6" s="43">
        <v>0</v>
      </c>
      <c r="AC6" s="66">
        <v>0</v>
      </c>
      <c r="AD6" s="43">
        <v>0</v>
      </c>
      <c r="AE6" s="69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T6" s="10" t="s">
        <v>79</v>
      </c>
      <c r="AU6" s="11">
        <f>SUM(AU2:AU4)</f>
        <v>44743</v>
      </c>
      <c r="AV6" s="11">
        <f>SUM(AV2:AV4)</f>
        <v>44774</v>
      </c>
      <c r="AW6" s="11">
        <f>SUM(AW2:AW4)</f>
        <v>44805</v>
      </c>
      <c r="AY6" s="12"/>
      <c r="AZ6" s="13"/>
      <c r="BA6" s="49"/>
      <c r="BC6" t="s">
        <v>79</v>
      </c>
      <c r="BD6" s="10">
        <f>SUM(BD2:BD4)</f>
        <v>44743</v>
      </c>
      <c r="BE6" s="10">
        <f>SUM(BE2:BE4)</f>
        <v>44774</v>
      </c>
      <c r="BF6" s="10">
        <f>SUM(BF2:BF4)</f>
        <v>44805</v>
      </c>
      <c r="BH6" s="12"/>
      <c r="BI6" s="13"/>
      <c r="BJ6" s="49"/>
      <c r="BL6" s="10" t="s">
        <v>79</v>
      </c>
      <c r="BM6" s="11">
        <f>SUM(BM2:BM4)</f>
        <v>44743</v>
      </c>
      <c r="BN6" s="11">
        <f>SUM(BN2:BN4)</f>
        <v>44774</v>
      </c>
      <c r="BO6" s="11">
        <f>SUM(BO2:BO4)</f>
        <v>44805</v>
      </c>
    </row>
    <row r="7" spans="1:67" x14ac:dyDescent="0.2">
      <c r="A7" s="39" t="s">
        <v>39</v>
      </c>
      <c r="B7" s="39" t="s">
        <v>34</v>
      </c>
      <c r="D7" s="39">
        <v>0</v>
      </c>
      <c r="E7" s="39">
        <v>0</v>
      </c>
      <c r="F7" s="39">
        <v>0</v>
      </c>
      <c r="H7" s="44">
        <v>0</v>
      </c>
      <c r="I7" s="67">
        <v>0</v>
      </c>
      <c r="J7" s="44">
        <v>0</v>
      </c>
      <c r="K7" s="67">
        <v>0</v>
      </c>
      <c r="L7" s="44">
        <v>0</v>
      </c>
      <c r="M7" s="67">
        <v>0</v>
      </c>
      <c r="N7" s="44">
        <v>0</v>
      </c>
      <c r="O7" s="67">
        <v>0</v>
      </c>
      <c r="P7" s="44">
        <v>0</v>
      </c>
      <c r="Q7" s="67">
        <v>0</v>
      </c>
      <c r="R7" s="44">
        <v>0</v>
      </c>
      <c r="S7" s="67">
        <v>0</v>
      </c>
      <c r="T7" s="44">
        <v>0</v>
      </c>
      <c r="U7" s="67">
        <v>0</v>
      </c>
      <c r="V7" s="44">
        <v>0</v>
      </c>
      <c r="W7" s="67">
        <v>0</v>
      </c>
      <c r="X7" s="44">
        <v>0</v>
      </c>
      <c r="Y7" s="67">
        <v>0</v>
      </c>
      <c r="Z7" s="44">
        <v>0</v>
      </c>
      <c r="AA7" s="67">
        <v>0</v>
      </c>
      <c r="AB7" s="44">
        <v>0</v>
      </c>
      <c r="AC7" s="67">
        <v>0</v>
      </c>
      <c r="AD7" s="44">
        <v>0</v>
      </c>
      <c r="AE7" s="70">
        <v>0</v>
      </c>
      <c r="AG7" s="44">
        <v>0</v>
      </c>
      <c r="AH7" s="44">
        <v>0</v>
      </c>
      <c r="AI7" s="44">
        <v>0</v>
      </c>
      <c r="AJ7" s="44">
        <v>0</v>
      </c>
      <c r="AK7" s="44">
        <v>0</v>
      </c>
      <c r="AL7" s="44">
        <v>0</v>
      </c>
      <c r="AM7" s="44">
        <v>0</v>
      </c>
      <c r="AN7" s="44">
        <v>0</v>
      </c>
      <c r="AO7" s="44">
        <v>0</v>
      </c>
      <c r="AP7" s="44">
        <v>0</v>
      </c>
      <c r="AQ7" s="44">
        <v>0</v>
      </c>
      <c r="AR7" s="44">
        <v>0</v>
      </c>
      <c r="AT7" s="10"/>
      <c r="AU7" s="11"/>
      <c r="AV7" s="11"/>
      <c r="AW7" s="11"/>
      <c r="AY7" s="14"/>
      <c r="AZ7" s="10"/>
      <c r="BA7" s="50"/>
      <c r="BD7" s="10"/>
      <c r="BE7" s="10"/>
      <c r="BF7" s="10"/>
      <c r="BH7" s="14"/>
      <c r="BI7" s="10"/>
      <c r="BJ7" s="50"/>
      <c r="BL7" s="10"/>
      <c r="BM7" s="11"/>
      <c r="BN7" s="11"/>
      <c r="BO7" s="11"/>
    </row>
    <row r="8" spans="1:67" x14ac:dyDescent="0.2">
      <c r="A8" s="38" t="s">
        <v>40</v>
      </c>
      <c r="B8" s="38" t="s">
        <v>34</v>
      </c>
      <c r="D8" s="38">
        <v>0</v>
      </c>
      <c r="E8" s="38">
        <v>0</v>
      </c>
      <c r="F8" s="38">
        <v>0</v>
      </c>
      <c r="H8" s="43">
        <v>0</v>
      </c>
      <c r="I8" s="66">
        <v>0</v>
      </c>
      <c r="J8" s="43">
        <v>0</v>
      </c>
      <c r="K8" s="66">
        <v>0</v>
      </c>
      <c r="L8" s="43">
        <v>0</v>
      </c>
      <c r="M8" s="66">
        <v>0</v>
      </c>
      <c r="N8" s="43">
        <v>0</v>
      </c>
      <c r="O8" s="66">
        <v>0</v>
      </c>
      <c r="P8" s="43">
        <v>0</v>
      </c>
      <c r="Q8" s="66">
        <v>0</v>
      </c>
      <c r="R8" s="43">
        <v>0</v>
      </c>
      <c r="S8" s="66">
        <v>0</v>
      </c>
      <c r="T8" s="43">
        <v>0</v>
      </c>
      <c r="U8" s="66">
        <v>0</v>
      </c>
      <c r="V8" s="43">
        <v>0</v>
      </c>
      <c r="W8" s="66">
        <v>0</v>
      </c>
      <c r="X8" s="43">
        <v>0</v>
      </c>
      <c r="Y8" s="66">
        <v>0</v>
      </c>
      <c r="Z8" s="43">
        <v>0</v>
      </c>
      <c r="AA8" s="66">
        <v>0</v>
      </c>
      <c r="AB8" s="43">
        <v>0</v>
      </c>
      <c r="AC8" s="66">
        <v>0</v>
      </c>
      <c r="AD8" s="43">
        <v>0</v>
      </c>
      <c r="AE8" s="69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T8" s="10"/>
      <c r="AU8" s="18"/>
      <c r="AV8" s="18"/>
      <c r="AW8" s="18"/>
      <c r="AY8" s="14"/>
      <c r="AZ8" s="10"/>
      <c r="BA8" s="50"/>
      <c r="BD8" s="18"/>
      <c r="BE8" s="18"/>
      <c r="BF8" s="18"/>
      <c r="BH8" s="14"/>
      <c r="BI8" s="10"/>
      <c r="BJ8" s="50"/>
      <c r="BL8" s="10"/>
      <c r="BM8" s="18"/>
      <c r="BN8" s="18"/>
      <c r="BO8" s="18"/>
    </row>
    <row r="9" spans="1:67" x14ac:dyDescent="0.2">
      <c r="A9" s="39" t="s">
        <v>41</v>
      </c>
      <c r="B9" s="39" t="s">
        <v>34</v>
      </c>
      <c r="D9" s="39">
        <v>0</v>
      </c>
      <c r="E9" s="39">
        <v>0</v>
      </c>
      <c r="F9" s="39">
        <v>0</v>
      </c>
      <c r="H9" s="44">
        <v>0</v>
      </c>
      <c r="I9" s="67">
        <v>0</v>
      </c>
      <c r="J9" s="44">
        <v>0</v>
      </c>
      <c r="K9" s="67">
        <v>0</v>
      </c>
      <c r="L9" s="44">
        <v>0</v>
      </c>
      <c r="M9" s="67">
        <v>0</v>
      </c>
      <c r="N9" s="44">
        <v>0</v>
      </c>
      <c r="O9" s="67">
        <v>0</v>
      </c>
      <c r="P9" s="44">
        <v>0</v>
      </c>
      <c r="Q9" s="67">
        <v>0</v>
      </c>
      <c r="R9" s="44">
        <v>0</v>
      </c>
      <c r="S9" s="67">
        <v>0</v>
      </c>
      <c r="T9" s="44">
        <v>0</v>
      </c>
      <c r="U9" s="67">
        <v>0</v>
      </c>
      <c r="V9" s="44">
        <v>0</v>
      </c>
      <c r="W9" s="67">
        <v>0</v>
      </c>
      <c r="X9" s="44">
        <v>0</v>
      </c>
      <c r="Y9" s="67">
        <v>0</v>
      </c>
      <c r="Z9" s="44">
        <v>0</v>
      </c>
      <c r="AA9" s="67">
        <v>0</v>
      </c>
      <c r="AB9" s="44">
        <v>0</v>
      </c>
      <c r="AC9" s="67">
        <v>0</v>
      </c>
      <c r="AD9" s="44">
        <v>0</v>
      </c>
      <c r="AE9" s="70">
        <v>0</v>
      </c>
      <c r="AG9" s="44">
        <v>0</v>
      </c>
      <c r="AH9" s="44">
        <v>0</v>
      </c>
      <c r="AI9" s="44">
        <v>0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0</v>
      </c>
      <c r="AP9" s="44">
        <v>0</v>
      </c>
      <c r="AQ9" s="44">
        <v>0</v>
      </c>
      <c r="AR9" s="44">
        <v>0</v>
      </c>
      <c r="AT9" s="10"/>
      <c r="AU9" s="10"/>
      <c r="AV9" s="10"/>
      <c r="AW9" s="10"/>
      <c r="AY9" s="14"/>
      <c r="AZ9" s="10"/>
      <c r="BA9" s="50"/>
      <c r="BD9" s="10"/>
      <c r="BE9" s="10"/>
      <c r="BF9" s="10"/>
      <c r="BH9" s="14"/>
      <c r="BI9" s="10"/>
      <c r="BJ9" s="50"/>
      <c r="BL9" s="10"/>
      <c r="BM9" s="10"/>
      <c r="BN9" s="10"/>
      <c r="BO9" s="10"/>
    </row>
    <row r="10" spans="1:67" ht="16" thickBot="1" x14ac:dyDescent="0.25">
      <c r="A10" s="38" t="s">
        <v>42</v>
      </c>
      <c r="B10" s="38" t="s">
        <v>34</v>
      </c>
      <c r="D10" s="38">
        <v>0</v>
      </c>
      <c r="E10" s="38">
        <v>0</v>
      </c>
      <c r="F10" s="38">
        <v>0</v>
      </c>
      <c r="H10" s="43">
        <v>0</v>
      </c>
      <c r="I10" s="66">
        <v>0</v>
      </c>
      <c r="J10" s="43">
        <v>0</v>
      </c>
      <c r="K10" s="66">
        <v>0</v>
      </c>
      <c r="L10" s="43">
        <v>0</v>
      </c>
      <c r="M10" s="66">
        <v>0</v>
      </c>
      <c r="N10" s="43">
        <v>0</v>
      </c>
      <c r="O10" s="66">
        <v>0</v>
      </c>
      <c r="P10" s="43">
        <v>0</v>
      </c>
      <c r="Q10" s="66">
        <v>0</v>
      </c>
      <c r="R10" s="43">
        <v>0</v>
      </c>
      <c r="S10" s="66">
        <v>0</v>
      </c>
      <c r="T10" s="43">
        <v>0</v>
      </c>
      <c r="U10" s="66">
        <v>0</v>
      </c>
      <c r="V10" s="43">
        <v>0</v>
      </c>
      <c r="W10" s="66">
        <v>0</v>
      </c>
      <c r="X10" s="43">
        <v>0</v>
      </c>
      <c r="Y10" s="66">
        <v>0</v>
      </c>
      <c r="Z10" s="43">
        <v>0</v>
      </c>
      <c r="AA10" s="66">
        <v>0</v>
      </c>
      <c r="AB10" s="43">
        <v>0</v>
      </c>
      <c r="AC10" s="66">
        <v>0</v>
      </c>
      <c r="AD10" s="43">
        <v>0</v>
      </c>
      <c r="AE10" s="69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T10" s="10"/>
      <c r="AU10" s="10"/>
      <c r="AV10" s="10"/>
      <c r="AW10" s="10"/>
      <c r="AY10" s="16"/>
      <c r="AZ10" s="17"/>
      <c r="BA10" s="51"/>
      <c r="BD10" s="10"/>
      <c r="BE10" s="10"/>
      <c r="BF10" s="10"/>
      <c r="BH10" s="16"/>
      <c r="BI10" s="17"/>
      <c r="BJ10" s="51"/>
      <c r="BL10" s="10"/>
      <c r="BM10" s="10"/>
      <c r="BN10" s="10"/>
      <c r="BO10" s="10"/>
    </row>
    <row r="11" spans="1:67" x14ac:dyDescent="0.2">
      <c r="A11" s="39" t="s">
        <v>43</v>
      </c>
      <c r="B11" s="39" t="s">
        <v>34</v>
      </c>
      <c r="D11" s="39">
        <v>0</v>
      </c>
      <c r="E11" s="39">
        <v>0</v>
      </c>
      <c r="F11" s="39">
        <v>0</v>
      </c>
      <c r="H11" s="44">
        <v>0</v>
      </c>
      <c r="I11" s="67">
        <v>0</v>
      </c>
      <c r="J11" s="44">
        <v>0</v>
      </c>
      <c r="K11" s="67">
        <v>0</v>
      </c>
      <c r="L11" s="44">
        <v>0</v>
      </c>
      <c r="M11" s="67">
        <v>0</v>
      </c>
      <c r="N11" s="44">
        <v>0</v>
      </c>
      <c r="O11" s="67">
        <v>0</v>
      </c>
      <c r="P11" s="44">
        <v>0</v>
      </c>
      <c r="Q11" s="67">
        <v>0</v>
      </c>
      <c r="R11" s="44">
        <v>0</v>
      </c>
      <c r="S11" s="67">
        <v>0</v>
      </c>
      <c r="T11" s="44">
        <v>0</v>
      </c>
      <c r="U11" s="67">
        <v>0</v>
      </c>
      <c r="V11" s="44">
        <v>0</v>
      </c>
      <c r="W11" s="67">
        <v>0</v>
      </c>
      <c r="X11" s="44">
        <v>0</v>
      </c>
      <c r="Y11" s="67">
        <v>0</v>
      </c>
      <c r="Z11" s="44">
        <v>0</v>
      </c>
      <c r="AA11" s="67">
        <v>0</v>
      </c>
      <c r="AB11" s="44">
        <v>0</v>
      </c>
      <c r="AC11" s="67">
        <v>0</v>
      </c>
      <c r="AD11" s="44">
        <v>0</v>
      </c>
      <c r="AE11" s="70">
        <v>0</v>
      </c>
      <c r="AG11" s="44">
        <v>0</v>
      </c>
      <c r="AH11" s="44">
        <v>0</v>
      </c>
      <c r="AI11" s="44">
        <v>0</v>
      </c>
      <c r="AJ11" s="44">
        <v>0</v>
      </c>
      <c r="AK11" s="44">
        <v>0</v>
      </c>
      <c r="AL11" s="44">
        <v>0</v>
      </c>
      <c r="AM11" s="44">
        <v>0</v>
      </c>
      <c r="AN11" s="44">
        <v>0</v>
      </c>
      <c r="AO11" s="44">
        <v>0</v>
      </c>
      <c r="AP11" s="44">
        <v>0</v>
      </c>
      <c r="AQ11" s="44">
        <v>0</v>
      </c>
      <c r="AR11" s="44">
        <v>0</v>
      </c>
      <c r="AT11" s="10"/>
      <c r="AU11" s="10"/>
      <c r="AV11" s="10"/>
      <c r="AW11" s="10"/>
      <c r="AY11" s="10"/>
      <c r="AZ11" s="10"/>
      <c r="BA11" s="10"/>
      <c r="BD11" s="10"/>
      <c r="BE11" s="10"/>
      <c r="BF11" s="10"/>
      <c r="BH11" s="10"/>
      <c r="BI11" s="10"/>
      <c r="BJ11" s="10"/>
      <c r="BL11" s="10"/>
      <c r="BM11" s="10"/>
      <c r="BN11" s="10"/>
      <c r="BO11" s="10"/>
    </row>
    <row r="12" spans="1:67" x14ac:dyDescent="0.2">
      <c r="A12" s="38" t="s">
        <v>44</v>
      </c>
      <c r="B12" s="38" t="s">
        <v>34</v>
      </c>
      <c r="D12" s="38">
        <v>0</v>
      </c>
      <c r="E12" s="38">
        <v>0</v>
      </c>
      <c r="F12" s="38">
        <v>0</v>
      </c>
      <c r="H12" s="43">
        <v>0</v>
      </c>
      <c r="I12" s="66">
        <v>0</v>
      </c>
      <c r="J12" s="43">
        <v>0</v>
      </c>
      <c r="K12" s="66">
        <v>0</v>
      </c>
      <c r="L12" s="43">
        <v>0</v>
      </c>
      <c r="M12" s="66">
        <v>0</v>
      </c>
      <c r="N12" s="43">
        <v>0</v>
      </c>
      <c r="O12" s="66">
        <v>0</v>
      </c>
      <c r="P12" s="43">
        <v>0</v>
      </c>
      <c r="Q12" s="66">
        <v>0</v>
      </c>
      <c r="R12" s="43">
        <v>0</v>
      </c>
      <c r="S12" s="66">
        <v>0</v>
      </c>
      <c r="T12" s="43">
        <v>0</v>
      </c>
      <c r="U12" s="66">
        <v>0</v>
      </c>
      <c r="V12" s="43">
        <v>0</v>
      </c>
      <c r="W12" s="66">
        <v>0</v>
      </c>
      <c r="X12" s="43">
        <v>0</v>
      </c>
      <c r="Y12" s="66">
        <v>0</v>
      </c>
      <c r="Z12" s="43">
        <v>0</v>
      </c>
      <c r="AA12" s="66">
        <v>0</v>
      </c>
      <c r="AB12" s="43">
        <v>0</v>
      </c>
      <c r="AC12" s="66">
        <v>0</v>
      </c>
      <c r="AD12" s="43">
        <v>0</v>
      </c>
      <c r="AE12" s="69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T12" s="10"/>
      <c r="AU12" s="10"/>
      <c r="AV12" s="10"/>
      <c r="AW12" s="10"/>
      <c r="AY12" s="10"/>
      <c r="AZ12" s="10"/>
      <c r="BA12" s="10"/>
      <c r="BD12" s="10"/>
      <c r="BE12" s="10"/>
      <c r="BF12" s="10"/>
      <c r="BH12" s="10"/>
      <c r="BI12" s="10"/>
      <c r="BJ12" s="10"/>
      <c r="BL12" s="10"/>
      <c r="BM12" s="10"/>
      <c r="BN12" s="10"/>
      <c r="BO12" s="10"/>
    </row>
    <row r="13" spans="1:67" x14ac:dyDescent="0.2">
      <c r="A13" s="39" t="s">
        <v>45</v>
      </c>
      <c r="B13" s="39" t="s">
        <v>34</v>
      </c>
      <c r="D13" s="39">
        <v>26</v>
      </c>
      <c r="E13" s="39">
        <v>19</v>
      </c>
      <c r="F13" s="39">
        <v>23</v>
      </c>
      <c r="H13" s="44">
        <v>3910.41</v>
      </c>
      <c r="I13" s="67">
        <v>16</v>
      </c>
      <c r="J13" s="44">
        <v>1229.78</v>
      </c>
      <c r="K13" s="67">
        <v>5</v>
      </c>
      <c r="L13" s="44">
        <v>5920.11</v>
      </c>
      <c r="M13" s="67">
        <v>5</v>
      </c>
      <c r="N13" s="44">
        <v>11060.3</v>
      </c>
      <c r="O13" s="67">
        <v>26</v>
      </c>
      <c r="P13" s="44">
        <v>1313.17</v>
      </c>
      <c r="Q13" s="67">
        <v>11</v>
      </c>
      <c r="R13" s="44">
        <v>893.71</v>
      </c>
      <c r="S13" s="67">
        <v>3</v>
      </c>
      <c r="T13" s="44">
        <v>3633.9</v>
      </c>
      <c r="U13" s="67">
        <v>5</v>
      </c>
      <c r="V13" s="44">
        <v>5840.78</v>
      </c>
      <c r="W13" s="67">
        <v>19</v>
      </c>
      <c r="X13" s="44">
        <v>1711.15</v>
      </c>
      <c r="Y13" s="67">
        <v>15</v>
      </c>
      <c r="Z13" s="44">
        <v>378.57</v>
      </c>
      <c r="AA13" s="67">
        <v>2</v>
      </c>
      <c r="AB13" s="44">
        <v>3419.23</v>
      </c>
      <c r="AC13" s="67">
        <v>6</v>
      </c>
      <c r="AD13" s="44">
        <v>5508.95</v>
      </c>
      <c r="AE13" s="70">
        <v>23</v>
      </c>
      <c r="AG13" s="44">
        <v>0</v>
      </c>
      <c r="AH13" s="44">
        <v>0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4">
        <v>0</v>
      </c>
      <c r="AO13" s="44">
        <v>0</v>
      </c>
      <c r="AP13" s="44">
        <v>0</v>
      </c>
      <c r="AQ13" s="44">
        <v>0</v>
      </c>
      <c r="AR13" s="44">
        <v>0</v>
      </c>
      <c r="AT13" s="10"/>
      <c r="AU13" s="10"/>
      <c r="AV13" s="10"/>
      <c r="AW13" s="10"/>
      <c r="AY13" s="10"/>
      <c r="AZ13" s="10"/>
      <c r="BA13" s="10"/>
      <c r="BD13" s="10"/>
      <c r="BE13" s="10"/>
      <c r="BF13" s="10"/>
      <c r="BH13" s="10"/>
      <c r="BI13" s="10"/>
      <c r="BJ13" s="10"/>
      <c r="BL13" s="10"/>
      <c r="BM13" s="10"/>
      <c r="BN13" s="10"/>
      <c r="BO13" s="10"/>
    </row>
    <row r="14" spans="1:67" x14ac:dyDescent="0.2">
      <c r="A14" s="38" t="s">
        <v>46</v>
      </c>
      <c r="B14" s="38" t="s">
        <v>34</v>
      </c>
      <c r="D14" s="38">
        <v>4</v>
      </c>
      <c r="E14" s="38">
        <v>3</v>
      </c>
      <c r="F14" s="38">
        <v>5</v>
      </c>
      <c r="H14" s="43">
        <v>793.87</v>
      </c>
      <c r="I14" s="66">
        <v>3</v>
      </c>
      <c r="J14" s="43">
        <v>100.19</v>
      </c>
      <c r="K14" s="66">
        <v>0</v>
      </c>
      <c r="L14" s="43">
        <v>941.17</v>
      </c>
      <c r="M14" s="66">
        <v>1</v>
      </c>
      <c r="N14" s="43">
        <v>1835.23</v>
      </c>
      <c r="O14" s="66">
        <v>4</v>
      </c>
      <c r="P14" s="43">
        <v>311.62</v>
      </c>
      <c r="Q14" s="66">
        <v>3</v>
      </c>
      <c r="R14" s="43">
        <v>0</v>
      </c>
      <c r="S14" s="66">
        <v>0</v>
      </c>
      <c r="T14" s="43">
        <v>0</v>
      </c>
      <c r="U14" s="66">
        <v>0</v>
      </c>
      <c r="V14" s="43">
        <v>311.62</v>
      </c>
      <c r="W14" s="66">
        <v>3</v>
      </c>
      <c r="X14" s="43">
        <v>634.53</v>
      </c>
      <c r="Y14" s="66">
        <v>4</v>
      </c>
      <c r="Z14" s="43">
        <v>19.559999999999999</v>
      </c>
      <c r="AA14" s="66">
        <v>1</v>
      </c>
      <c r="AB14" s="43">
        <v>0</v>
      </c>
      <c r="AC14" s="66">
        <v>0</v>
      </c>
      <c r="AD14" s="43">
        <v>654.09</v>
      </c>
      <c r="AE14" s="69">
        <v>5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T14" s="10"/>
      <c r="AU14" s="10"/>
      <c r="AV14" s="10"/>
      <c r="AW14" s="10"/>
      <c r="AY14" s="10"/>
      <c r="AZ14" s="10"/>
      <c r="BA14" s="10"/>
      <c r="BD14" s="10"/>
      <c r="BE14" s="10"/>
      <c r="BF14" s="10"/>
      <c r="BH14" s="10"/>
      <c r="BI14" s="10"/>
      <c r="BJ14" s="10"/>
      <c r="BL14" s="10"/>
      <c r="BM14" s="10"/>
      <c r="BN14" s="10"/>
      <c r="BO14" s="10"/>
    </row>
    <row r="15" spans="1:67" x14ac:dyDescent="0.2">
      <c r="A15" s="39" t="s">
        <v>47</v>
      </c>
      <c r="B15" s="39" t="s">
        <v>34</v>
      </c>
      <c r="D15" s="39">
        <v>0</v>
      </c>
      <c r="E15" s="39">
        <v>0</v>
      </c>
      <c r="F15" s="39">
        <v>1</v>
      </c>
      <c r="H15" s="44">
        <v>0</v>
      </c>
      <c r="I15" s="67">
        <v>0</v>
      </c>
      <c r="J15" s="44">
        <v>0</v>
      </c>
      <c r="K15" s="67">
        <v>0</v>
      </c>
      <c r="L15" s="44">
        <v>0</v>
      </c>
      <c r="M15" s="67">
        <v>0</v>
      </c>
      <c r="N15" s="44">
        <v>0</v>
      </c>
      <c r="O15" s="67">
        <v>0</v>
      </c>
      <c r="P15" s="44">
        <v>0</v>
      </c>
      <c r="Q15" s="67">
        <v>0</v>
      </c>
      <c r="R15" s="44">
        <v>0</v>
      </c>
      <c r="S15" s="67">
        <v>0</v>
      </c>
      <c r="T15" s="44">
        <v>0</v>
      </c>
      <c r="U15" s="67">
        <v>0</v>
      </c>
      <c r="V15" s="44">
        <v>0</v>
      </c>
      <c r="W15" s="67">
        <v>0</v>
      </c>
      <c r="X15" s="44">
        <v>9</v>
      </c>
      <c r="Y15" s="67">
        <v>1</v>
      </c>
      <c r="Z15" s="44">
        <v>0</v>
      </c>
      <c r="AA15" s="67">
        <v>0</v>
      </c>
      <c r="AB15" s="44">
        <v>0</v>
      </c>
      <c r="AC15" s="67">
        <v>0</v>
      </c>
      <c r="AD15" s="44">
        <v>9</v>
      </c>
      <c r="AE15" s="70">
        <v>1</v>
      </c>
      <c r="AG15" s="44">
        <v>0</v>
      </c>
      <c r="AH15" s="44">
        <v>0</v>
      </c>
      <c r="AI15" s="44">
        <v>0</v>
      </c>
      <c r="AJ15" s="44">
        <v>0</v>
      </c>
      <c r="AK15" s="44">
        <v>0</v>
      </c>
      <c r="AL15" s="44">
        <v>0</v>
      </c>
      <c r="AM15" s="44">
        <v>0</v>
      </c>
      <c r="AN15" s="44">
        <v>0</v>
      </c>
      <c r="AO15" s="44">
        <v>0</v>
      </c>
      <c r="AP15" s="44">
        <v>0</v>
      </c>
      <c r="AQ15" s="44">
        <v>0</v>
      </c>
      <c r="AR15" s="44">
        <v>0</v>
      </c>
      <c r="AT15" s="10"/>
      <c r="AU15" s="10"/>
      <c r="AV15" s="10"/>
      <c r="AW15" s="10"/>
      <c r="AY15" s="10"/>
      <c r="AZ15" s="10"/>
      <c r="BA15" s="10"/>
      <c r="BD15" s="10"/>
      <c r="BE15" s="10"/>
      <c r="BF15" s="10"/>
      <c r="BH15" s="10"/>
      <c r="BI15" s="10"/>
      <c r="BJ15" s="10"/>
      <c r="BL15" s="10"/>
      <c r="BM15" s="10"/>
      <c r="BN15" s="10"/>
      <c r="BO15" s="10"/>
    </row>
    <row r="16" spans="1:67" x14ac:dyDescent="0.2">
      <c r="A16" s="38" t="s">
        <v>48</v>
      </c>
      <c r="B16" s="38" t="s">
        <v>34</v>
      </c>
      <c r="D16" s="38">
        <v>33</v>
      </c>
      <c r="E16" s="38">
        <v>26</v>
      </c>
      <c r="F16" s="38">
        <v>20</v>
      </c>
      <c r="H16" s="43">
        <v>7523.36</v>
      </c>
      <c r="I16" s="66">
        <v>21</v>
      </c>
      <c r="J16" s="43">
        <v>891.63</v>
      </c>
      <c r="K16" s="66">
        <v>5</v>
      </c>
      <c r="L16" s="43">
        <v>5087.3999999999996</v>
      </c>
      <c r="M16" s="66">
        <v>7</v>
      </c>
      <c r="N16" s="43">
        <v>13502.39</v>
      </c>
      <c r="O16" s="66">
        <v>33</v>
      </c>
      <c r="P16" s="43">
        <v>5614.95</v>
      </c>
      <c r="Q16" s="66">
        <v>11</v>
      </c>
      <c r="R16" s="43">
        <v>593.98</v>
      </c>
      <c r="S16" s="66">
        <v>5</v>
      </c>
      <c r="T16" s="43">
        <v>5761.63</v>
      </c>
      <c r="U16" s="66">
        <v>10</v>
      </c>
      <c r="V16" s="43">
        <v>11970.56</v>
      </c>
      <c r="W16" s="66">
        <v>26</v>
      </c>
      <c r="X16" s="43">
        <v>542.32000000000005</v>
      </c>
      <c r="Y16" s="66">
        <v>3</v>
      </c>
      <c r="Z16" s="43">
        <v>461.63</v>
      </c>
      <c r="AA16" s="66">
        <v>6</v>
      </c>
      <c r="AB16" s="43">
        <v>6128.61</v>
      </c>
      <c r="AC16" s="66">
        <v>11</v>
      </c>
      <c r="AD16" s="43">
        <v>7132.56</v>
      </c>
      <c r="AE16" s="69">
        <v>20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T16" s="10"/>
      <c r="AU16" s="10"/>
      <c r="AV16" s="10"/>
      <c r="AW16" s="10"/>
      <c r="AY16" s="10"/>
      <c r="AZ16" s="10"/>
      <c r="BA16" s="10"/>
      <c r="BD16" s="10"/>
      <c r="BE16" s="10"/>
      <c r="BF16" s="10"/>
      <c r="BH16" s="10"/>
      <c r="BI16" s="10"/>
      <c r="BJ16" s="10"/>
      <c r="BL16" s="10"/>
      <c r="BM16" s="10"/>
      <c r="BN16" s="10"/>
      <c r="BO16" s="10"/>
    </row>
    <row r="17" spans="1:67" x14ac:dyDescent="0.2">
      <c r="A17" s="39" t="s">
        <v>49</v>
      </c>
      <c r="B17" s="39" t="s">
        <v>34</v>
      </c>
      <c r="D17" s="39">
        <v>4</v>
      </c>
      <c r="E17" s="39">
        <v>6</v>
      </c>
      <c r="F17" s="39">
        <v>2</v>
      </c>
      <c r="H17" s="44">
        <v>891.83</v>
      </c>
      <c r="I17" s="67">
        <v>3</v>
      </c>
      <c r="J17" s="44">
        <v>135.53</v>
      </c>
      <c r="K17" s="67">
        <v>1</v>
      </c>
      <c r="L17" s="44">
        <v>0</v>
      </c>
      <c r="M17" s="67">
        <v>0</v>
      </c>
      <c r="N17" s="44">
        <v>1027.3599999999999</v>
      </c>
      <c r="O17" s="67">
        <v>4</v>
      </c>
      <c r="P17" s="44">
        <v>519.85</v>
      </c>
      <c r="Q17" s="67">
        <v>5</v>
      </c>
      <c r="R17" s="44">
        <v>26.4</v>
      </c>
      <c r="S17" s="67">
        <v>0</v>
      </c>
      <c r="T17" s="44">
        <v>135.53</v>
      </c>
      <c r="U17" s="67">
        <v>1</v>
      </c>
      <c r="V17" s="44">
        <v>681.78</v>
      </c>
      <c r="W17" s="67">
        <v>6</v>
      </c>
      <c r="X17" s="44">
        <v>234.14</v>
      </c>
      <c r="Y17" s="67">
        <v>1</v>
      </c>
      <c r="Z17" s="44">
        <v>255.2</v>
      </c>
      <c r="AA17" s="67">
        <v>1</v>
      </c>
      <c r="AB17" s="44">
        <v>0</v>
      </c>
      <c r="AC17" s="67">
        <v>0</v>
      </c>
      <c r="AD17" s="44">
        <v>489.34</v>
      </c>
      <c r="AE17" s="70">
        <v>2</v>
      </c>
      <c r="AG17" s="44">
        <v>0</v>
      </c>
      <c r="AH17" s="44">
        <v>0</v>
      </c>
      <c r="AI17" s="44">
        <v>0</v>
      </c>
      <c r="AJ17" s="44">
        <v>0</v>
      </c>
      <c r="AK17" s="44">
        <v>0</v>
      </c>
      <c r="AL17" s="44">
        <v>0</v>
      </c>
      <c r="AM17" s="44">
        <v>0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T17" s="10"/>
      <c r="AU17" s="10"/>
      <c r="AV17" s="10"/>
      <c r="AW17" s="10"/>
      <c r="AY17" s="10"/>
      <c r="AZ17" s="10"/>
      <c r="BA17" s="10"/>
      <c r="BD17" s="10"/>
      <c r="BE17" s="10"/>
      <c r="BF17" s="10"/>
      <c r="BH17" s="10"/>
      <c r="BI17" s="10"/>
      <c r="BJ17" s="10"/>
      <c r="BL17" s="10"/>
      <c r="BM17" s="10"/>
      <c r="BN17" s="10"/>
      <c r="BO17" s="10"/>
    </row>
    <row r="18" spans="1:67" x14ac:dyDescent="0.2">
      <c r="A18" s="38" t="s">
        <v>50</v>
      </c>
      <c r="B18" s="38" t="s">
        <v>34</v>
      </c>
      <c r="D18" s="38">
        <v>0</v>
      </c>
      <c r="E18" s="38">
        <v>0</v>
      </c>
      <c r="F18" s="38">
        <v>0</v>
      </c>
      <c r="H18" s="43">
        <v>0</v>
      </c>
      <c r="I18" s="66">
        <v>0</v>
      </c>
      <c r="J18" s="43">
        <v>0</v>
      </c>
      <c r="K18" s="66">
        <v>0</v>
      </c>
      <c r="L18" s="43">
        <v>0</v>
      </c>
      <c r="M18" s="66">
        <v>0</v>
      </c>
      <c r="N18" s="43">
        <v>0</v>
      </c>
      <c r="O18" s="66">
        <v>0</v>
      </c>
      <c r="P18" s="43">
        <v>0</v>
      </c>
      <c r="Q18" s="66">
        <v>0</v>
      </c>
      <c r="R18" s="43">
        <v>0</v>
      </c>
      <c r="S18" s="66">
        <v>0</v>
      </c>
      <c r="T18" s="43">
        <v>0</v>
      </c>
      <c r="U18" s="66">
        <v>0</v>
      </c>
      <c r="V18" s="43">
        <v>0</v>
      </c>
      <c r="W18" s="66">
        <v>0</v>
      </c>
      <c r="X18" s="43">
        <v>0</v>
      </c>
      <c r="Y18" s="66">
        <v>0</v>
      </c>
      <c r="Z18" s="43">
        <v>0</v>
      </c>
      <c r="AA18" s="66">
        <v>0</v>
      </c>
      <c r="AB18" s="43">
        <v>0</v>
      </c>
      <c r="AC18" s="66">
        <v>0</v>
      </c>
      <c r="AD18" s="43">
        <v>0</v>
      </c>
      <c r="AE18" s="69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T18" s="10"/>
      <c r="AU18" s="10"/>
      <c r="AV18" s="10"/>
      <c r="AW18" s="10"/>
      <c r="AY18" s="10"/>
      <c r="AZ18" s="10"/>
      <c r="BA18" s="10"/>
      <c r="BD18" s="10"/>
      <c r="BE18" s="10"/>
      <c r="BF18" s="10"/>
      <c r="BH18" s="10"/>
      <c r="BI18" s="10"/>
      <c r="BJ18" s="10"/>
      <c r="BL18" s="10"/>
      <c r="BM18" s="10"/>
      <c r="BN18" s="10"/>
      <c r="BO18" s="10"/>
    </row>
    <row r="19" spans="1:67" x14ac:dyDescent="0.2">
      <c r="A19" s="39" t="s">
        <v>51</v>
      </c>
      <c r="B19" s="39" t="s">
        <v>34</v>
      </c>
      <c r="D19" s="39">
        <v>1</v>
      </c>
      <c r="E19" s="39">
        <v>1</v>
      </c>
      <c r="F19" s="39">
        <v>1</v>
      </c>
      <c r="H19" s="44">
        <v>7</v>
      </c>
      <c r="I19" s="67">
        <v>0</v>
      </c>
      <c r="J19" s="44">
        <v>6.55</v>
      </c>
      <c r="K19" s="67">
        <v>1</v>
      </c>
      <c r="L19" s="44">
        <v>0</v>
      </c>
      <c r="M19" s="67">
        <v>0</v>
      </c>
      <c r="N19" s="44">
        <v>13.55</v>
      </c>
      <c r="O19" s="67">
        <v>1</v>
      </c>
      <c r="P19" s="44">
        <v>7</v>
      </c>
      <c r="Q19" s="67">
        <v>0</v>
      </c>
      <c r="R19" s="44">
        <v>7</v>
      </c>
      <c r="S19" s="67">
        <v>0</v>
      </c>
      <c r="T19" s="44">
        <v>6.55</v>
      </c>
      <c r="U19" s="67">
        <v>1</v>
      </c>
      <c r="V19" s="44">
        <v>20.55</v>
      </c>
      <c r="W19" s="67">
        <v>1</v>
      </c>
      <c r="X19" s="44">
        <v>7</v>
      </c>
      <c r="Y19" s="67">
        <v>0</v>
      </c>
      <c r="Z19" s="44">
        <v>7</v>
      </c>
      <c r="AA19" s="67">
        <v>1</v>
      </c>
      <c r="AB19" s="44">
        <v>0</v>
      </c>
      <c r="AC19" s="67">
        <v>0</v>
      </c>
      <c r="AD19" s="44">
        <v>14</v>
      </c>
      <c r="AE19" s="70">
        <v>1</v>
      </c>
      <c r="AG19" s="44">
        <v>0</v>
      </c>
      <c r="AH19" s="44">
        <v>0</v>
      </c>
      <c r="AI19" s="44">
        <v>0</v>
      </c>
      <c r="AJ19" s="44">
        <v>0</v>
      </c>
      <c r="AK19" s="44">
        <v>0</v>
      </c>
      <c r="AL19" s="44">
        <v>0</v>
      </c>
      <c r="AM19" s="44">
        <v>0</v>
      </c>
      <c r="AN19" s="44">
        <v>0</v>
      </c>
      <c r="AO19" s="44">
        <v>0</v>
      </c>
      <c r="AP19" s="44">
        <v>0</v>
      </c>
      <c r="AQ19" s="44">
        <v>0</v>
      </c>
      <c r="AR19" s="44">
        <v>0</v>
      </c>
      <c r="AT19" s="10"/>
      <c r="AU19" s="10"/>
      <c r="AV19" s="10"/>
      <c r="AW19" s="10"/>
      <c r="AY19" s="10"/>
      <c r="AZ19" s="10"/>
      <c r="BA19" s="10"/>
      <c r="BD19" s="10"/>
      <c r="BE19" s="10"/>
      <c r="BF19" s="10"/>
      <c r="BH19" s="10"/>
      <c r="BI19" s="10"/>
      <c r="BJ19" s="10"/>
      <c r="BL19" s="10"/>
      <c r="BM19" s="10"/>
      <c r="BN19" s="10"/>
      <c r="BO19" s="10"/>
    </row>
    <row r="20" spans="1:67" x14ac:dyDescent="0.2">
      <c r="A20" s="38" t="s">
        <v>52</v>
      </c>
      <c r="B20" s="38" t="s">
        <v>34</v>
      </c>
      <c r="D20" s="38">
        <v>0</v>
      </c>
      <c r="E20" s="38">
        <v>0</v>
      </c>
      <c r="F20" s="38">
        <v>0</v>
      </c>
      <c r="H20" s="43">
        <v>0</v>
      </c>
      <c r="I20" s="66">
        <v>0</v>
      </c>
      <c r="J20" s="43">
        <v>0</v>
      </c>
      <c r="K20" s="66">
        <v>0</v>
      </c>
      <c r="L20" s="43">
        <v>0</v>
      </c>
      <c r="M20" s="66">
        <v>0</v>
      </c>
      <c r="N20" s="43">
        <v>0</v>
      </c>
      <c r="O20" s="66">
        <v>0</v>
      </c>
      <c r="P20" s="43">
        <v>0</v>
      </c>
      <c r="Q20" s="66">
        <v>0</v>
      </c>
      <c r="R20" s="43">
        <v>0</v>
      </c>
      <c r="S20" s="66">
        <v>0</v>
      </c>
      <c r="T20" s="43">
        <v>0</v>
      </c>
      <c r="U20" s="66">
        <v>0</v>
      </c>
      <c r="V20" s="43">
        <v>0</v>
      </c>
      <c r="W20" s="66">
        <v>0</v>
      </c>
      <c r="X20" s="43">
        <v>0</v>
      </c>
      <c r="Y20" s="66">
        <v>0</v>
      </c>
      <c r="Z20" s="43">
        <v>0</v>
      </c>
      <c r="AA20" s="66">
        <v>0</v>
      </c>
      <c r="AB20" s="43">
        <v>0</v>
      </c>
      <c r="AC20" s="66">
        <v>0</v>
      </c>
      <c r="AD20" s="43">
        <v>0</v>
      </c>
      <c r="AE20" s="69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T20" s="10"/>
      <c r="AU20" s="10"/>
      <c r="AV20" s="10"/>
      <c r="AW20" s="10"/>
      <c r="AY20" s="10"/>
      <c r="AZ20" s="10"/>
      <c r="BA20" s="10"/>
      <c r="BD20" s="10"/>
      <c r="BE20" s="10"/>
      <c r="BF20" s="10"/>
      <c r="BH20" s="10"/>
      <c r="BI20" s="10"/>
      <c r="BJ20" s="10"/>
      <c r="BL20" s="10"/>
      <c r="BM20" s="10"/>
      <c r="BN20" s="10"/>
      <c r="BO20" s="10"/>
    </row>
    <row r="21" spans="1:67" x14ac:dyDescent="0.2">
      <c r="A21" s="39" t="s">
        <v>53</v>
      </c>
      <c r="B21" s="39" t="s">
        <v>34</v>
      </c>
      <c r="D21" s="39">
        <v>0</v>
      </c>
      <c r="E21" s="39">
        <v>0</v>
      </c>
      <c r="F21" s="39">
        <v>0</v>
      </c>
      <c r="H21" s="44">
        <v>0</v>
      </c>
      <c r="I21" s="67">
        <v>0</v>
      </c>
      <c r="J21" s="44">
        <v>0</v>
      </c>
      <c r="K21" s="67">
        <v>0</v>
      </c>
      <c r="L21" s="44">
        <v>0</v>
      </c>
      <c r="M21" s="67">
        <v>0</v>
      </c>
      <c r="N21" s="44">
        <v>0</v>
      </c>
      <c r="O21" s="67">
        <v>0</v>
      </c>
      <c r="P21" s="44">
        <v>0</v>
      </c>
      <c r="Q21" s="67">
        <v>0</v>
      </c>
      <c r="R21" s="44">
        <v>0</v>
      </c>
      <c r="S21" s="67">
        <v>0</v>
      </c>
      <c r="T21" s="44">
        <v>0</v>
      </c>
      <c r="U21" s="67">
        <v>0</v>
      </c>
      <c r="V21" s="44">
        <v>0</v>
      </c>
      <c r="W21" s="67">
        <v>0</v>
      </c>
      <c r="X21" s="44">
        <v>0</v>
      </c>
      <c r="Y21" s="67">
        <v>0</v>
      </c>
      <c r="Z21" s="44">
        <v>0</v>
      </c>
      <c r="AA21" s="67">
        <v>0</v>
      </c>
      <c r="AB21" s="44">
        <v>0</v>
      </c>
      <c r="AC21" s="67">
        <v>0</v>
      </c>
      <c r="AD21" s="44">
        <v>0</v>
      </c>
      <c r="AE21" s="70">
        <v>0</v>
      </c>
      <c r="AG21" s="44">
        <v>0</v>
      </c>
      <c r="AH21" s="44">
        <v>0</v>
      </c>
      <c r="AI21" s="44">
        <v>0</v>
      </c>
      <c r="AJ21" s="44">
        <v>0</v>
      </c>
      <c r="AK21" s="44">
        <v>0</v>
      </c>
      <c r="AL21" s="44">
        <v>0</v>
      </c>
      <c r="AM21" s="44">
        <v>0</v>
      </c>
      <c r="AN21" s="44">
        <v>0</v>
      </c>
      <c r="AO21" s="44">
        <v>0</v>
      </c>
      <c r="AP21" s="44">
        <v>0</v>
      </c>
      <c r="AQ21" s="44">
        <v>0</v>
      </c>
      <c r="AR21" s="44">
        <v>0</v>
      </c>
      <c r="AT21" s="10"/>
      <c r="AU21" s="10"/>
      <c r="AV21" s="10"/>
      <c r="AW21" s="10"/>
      <c r="AY21" s="10"/>
      <c r="AZ21" s="10"/>
      <c r="BA21" s="10"/>
      <c r="BD21" s="10"/>
      <c r="BE21" s="10"/>
      <c r="BF21" s="10"/>
      <c r="BH21" s="10"/>
      <c r="BI21" s="10"/>
      <c r="BJ21" s="10"/>
      <c r="BL21" s="10"/>
      <c r="BM21" s="10"/>
      <c r="BN21" s="10"/>
      <c r="BO21" s="10"/>
    </row>
    <row r="22" spans="1:67" x14ac:dyDescent="0.2">
      <c r="A22" s="38" t="s">
        <v>54</v>
      </c>
      <c r="B22" s="38" t="s">
        <v>34</v>
      </c>
      <c r="D22" s="38">
        <v>0</v>
      </c>
      <c r="E22" s="38">
        <v>0</v>
      </c>
      <c r="F22" s="38">
        <v>2</v>
      </c>
      <c r="H22" s="43">
        <v>0</v>
      </c>
      <c r="I22" s="66">
        <v>0</v>
      </c>
      <c r="J22" s="43">
        <v>0</v>
      </c>
      <c r="K22" s="66">
        <v>0</v>
      </c>
      <c r="L22" s="43">
        <v>0</v>
      </c>
      <c r="M22" s="66">
        <v>0</v>
      </c>
      <c r="N22" s="43">
        <v>0</v>
      </c>
      <c r="O22" s="66">
        <v>0</v>
      </c>
      <c r="P22" s="43">
        <v>0</v>
      </c>
      <c r="Q22" s="66">
        <v>0</v>
      </c>
      <c r="R22" s="43">
        <v>0</v>
      </c>
      <c r="S22" s="66">
        <v>0</v>
      </c>
      <c r="T22" s="43">
        <v>0</v>
      </c>
      <c r="U22" s="66">
        <v>0</v>
      </c>
      <c r="V22" s="43">
        <v>0</v>
      </c>
      <c r="W22" s="66">
        <v>0</v>
      </c>
      <c r="X22" s="43">
        <v>226.37</v>
      </c>
      <c r="Y22" s="66">
        <v>2</v>
      </c>
      <c r="Z22" s="43">
        <v>0</v>
      </c>
      <c r="AA22" s="66">
        <v>0</v>
      </c>
      <c r="AB22" s="43">
        <v>0</v>
      </c>
      <c r="AC22" s="66">
        <v>0</v>
      </c>
      <c r="AD22" s="43">
        <v>226.37</v>
      </c>
      <c r="AE22" s="69">
        <v>2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T22" s="10"/>
      <c r="AU22" s="10"/>
      <c r="AV22" s="10"/>
      <c r="AW22" s="10"/>
      <c r="AY22" s="10"/>
      <c r="AZ22" s="10"/>
      <c r="BA22" s="10"/>
      <c r="BD22" s="10"/>
      <c r="BE22" s="10"/>
      <c r="BF22" s="10"/>
      <c r="BH22" s="10"/>
      <c r="BI22" s="10"/>
      <c r="BJ22" s="10"/>
      <c r="BL22" s="10"/>
      <c r="BM22" s="10"/>
      <c r="BN22" s="10"/>
      <c r="BO22" s="10"/>
    </row>
    <row r="23" spans="1:67" x14ac:dyDescent="0.2">
      <c r="A23" s="39" t="s">
        <v>55</v>
      </c>
      <c r="B23" s="39" t="s">
        <v>34</v>
      </c>
      <c r="D23" s="39">
        <v>2</v>
      </c>
      <c r="E23" s="39">
        <v>4</v>
      </c>
      <c r="F23" s="39">
        <v>4</v>
      </c>
      <c r="H23" s="44">
        <v>51.42</v>
      </c>
      <c r="I23" s="67">
        <v>1</v>
      </c>
      <c r="J23" s="44">
        <v>25.71</v>
      </c>
      <c r="K23" s="67">
        <v>0</v>
      </c>
      <c r="L23" s="44">
        <v>31.99</v>
      </c>
      <c r="M23" s="67">
        <v>1</v>
      </c>
      <c r="N23" s="44">
        <v>109.12</v>
      </c>
      <c r="O23" s="67">
        <v>2</v>
      </c>
      <c r="P23" s="44">
        <v>268.99</v>
      </c>
      <c r="Q23" s="67">
        <v>2</v>
      </c>
      <c r="R23" s="44">
        <v>51.42</v>
      </c>
      <c r="S23" s="67">
        <v>1</v>
      </c>
      <c r="T23" s="44">
        <v>57.7</v>
      </c>
      <c r="U23" s="67">
        <v>1</v>
      </c>
      <c r="V23" s="44">
        <v>378.11</v>
      </c>
      <c r="W23" s="67">
        <v>4</v>
      </c>
      <c r="X23" s="44">
        <v>96.87</v>
      </c>
      <c r="Y23" s="67">
        <v>3</v>
      </c>
      <c r="Z23" s="44">
        <v>23.32</v>
      </c>
      <c r="AA23" s="67">
        <v>0</v>
      </c>
      <c r="AB23" s="44">
        <v>83.41</v>
      </c>
      <c r="AC23" s="67">
        <v>1</v>
      </c>
      <c r="AD23" s="44">
        <v>203.6</v>
      </c>
      <c r="AE23" s="70">
        <v>4</v>
      </c>
      <c r="AG23" s="44">
        <v>0</v>
      </c>
      <c r="AH23" s="44">
        <v>0</v>
      </c>
      <c r="AI23" s="44">
        <v>0</v>
      </c>
      <c r="AJ23" s="44">
        <v>0</v>
      </c>
      <c r="AK23" s="44">
        <v>0</v>
      </c>
      <c r="AL23" s="44">
        <v>0</v>
      </c>
      <c r="AM23" s="44">
        <v>0</v>
      </c>
      <c r="AN23" s="44">
        <v>0</v>
      </c>
      <c r="AO23" s="44">
        <v>0</v>
      </c>
      <c r="AP23" s="44">
        <v>0</v>
      </c>
      <c r="AQ23" s="44">
        <v>0</v>
      </c>
      <c r="AR23" s="44">
        <v>0</v>
      </c>
      <c r="AT23" s="10"/>
      <c r="AU23" s="10"/>
      <c r="AV23" s="10"/>
      <c r="AW23" s="10"/>
      <c r="AY23" s="10"/>
      <c r="AZ23" s="10"/>
      <c r="BA23" s="10"/>
      <c r="BD23" s="10"/>
      <c r="BE23" s="10"/>
      <c r="BF23" s="10"/>
      <c r="BH23" s="10"/>
      <c r="BI23" s="10"/>
      <c r="BJ23" s="10"/>
      <c r="BL23" s="10"/>
      <c r="BM23" s="10"/>
      <c r="BN23" s="10"/>
      <c r="BO23" s="10"/>
    </row>
    <row r="24" spans="1:67" x14ac:dyDescent="0.2">
      <c r="A24" s="38" t="s">
        <v>56</v>
      </c>
      <c r="B24" s="38" t="s">
        <v>34</v>
      </c>
      <c r="D24" s="38">
        <v>0</v>
      </c>
      <c r="E24" s="38">
        <v>0</v>
      </c>
      <c r="F24" s="38">
        <v>0</v>
      </c>
      <c r="H24" s="43">
        <v>0</v>
      </c>
      <c r="I24" s="66">
        <v>0</v>
      </c>
      <c r="J24" s="43">
        <v>0</v>
      </c>
      <c r="K24" s="66">
        <v>0</v>
      </c>
      <c r="L24" s="43">
        <v>0</v>
      </c>
      <c r="M24" s="66">
        <v>0</v>
      </c>
      <c r="N24" s="43">
        <v>0</v>
      </c>
      <c r="O24" s="66">
        <v>0</v>
      </c>
      <c r="P24" s="43">
        <v>0</v>
      </c>
      <c r="Q24" s="66">
        <v>0</v>
      </c>
      <c r="R24" s="43">
        <v>0</v>
      </c>
      <c r="S24" s="66">
        <v>0</v>
      </c>
      <c r="T24" s="43">
        <v>0</v>
      </c>
      <c r="U24" s="66">
        <v>0</v>
      </c>
      <c r="V24" s="43">
        <v>0</v>
      </c>
      <c r="W24" s="66">
        <v>0</v>
      </c>
      <c r="X24" s="43">
        <v>0</v>
      </c>
      <c r="Y24" s="66">
        <v>0</v>
      </c>
      <c r="Z24" s="43">
        <v>0</v>
      </c>
      <c r="AA24" s="66">
        <v>0</v>
      </c>
      <c r="AB24" s="43">
        <v>0</v>
      </c>
      <c r="AC24" s="66">
        <v>0</v>
      </c>
      <c r="AD24" s="43">
        <v>0</v>
      </c>
      <c r="AE24" s="69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T24" s="10"/>
      <c r="AU24" s="10"/>
      <c r="AV24" s="10"/>
      <c r="AW24" s="10"/>
      <c r="AY24" s="10"/>
      <c r="AZ24" s="10"/>
      <c r="BA24" s="10"/>
      <c r="BD24" s="10"/>
      <c r="BE24" s="10"/>
      <c r="BF24" s="10"/>
      <c r="BH24" s="10"/>
      <c r="BI24" s="10"/>
      <c r="BJ24" s="10"/>
      <c r="BL24" s="10"/>
      <c r="BM24" s="10"/>
      <c r="BN24" s="10"/>
      <c r="BO24" s="10"/>
    </row>
    <row r="25" spans="1:67" x14ac:dyDescent="0.2">
      <c r="A25" s="39" t="s">
        <v>57</v>
      </c>
      <c r="B25" s="39" t="s">
        <v>34</v>
      </c>
      <c r="D25" s="39">
        <v>0</v>
      </c>
      <c r="E25" s="39">
        <v>1</v>
      </c>
      <c r="F25" s="39">
        <v>1</v>
      </c>
      <c r="H25" s="44">
        <v>0</v>
      </c>
      <c r="I25" s="67">
        <v>0</v>
      </c>
      <c r="J25" s="44">
        <v>0</v>
      </c>
      <c r="K25" s="67">
        <v>0</v>
      </c>
      <c r="L25" s="44">
        <v>0</v>
      </c>
      <c r="M25" s="67">
        <v>0</v>
      </c>
      <c r="N25" s="44">
        <v>0</v>
      </c>
      <c r="O25" s="67">
        <v>0</v>
      </c>
      <c r="P25" s="44">
        <v>23.32</v>
      </c>
      <c r="Q25" s="67">
        <v>1</v>
      </c>
      <c r="R25" s="44">
        <v>0</v>
      </c>
      <c r="S25" s="67">
        <v>0</v>
      </c>
      <c r="T25" s="44">
        <v>0</v>
      </c>
      <c r="U25" s="67">
        <v>0</v>
      </c>
      <c r="V25" s="44">
        <v>23.32</v>
      </c>
      <c r="W25" s="67">
        <v>1</v>
      </c>
      <c r="X25" s="44">
        <v>23.32</v>
      </c>
      <c r="Y25" s="67">
        <v>1</v>
      </c>
      <c r="Z25" s="44">
        <v>0</v>
      </c>
      <c r="AA25" s="67">
        <v>0</v>
      </c>
      <c r="AB25" s="44">
        <v>0</v>
      </c>
      <c r="AC25" s="67">
        <v>0</v>
      </c>
      <c r="AD25" s="44">
        <v>23.32</v>
      </c>
      <c r="AE25" s="70">
        <v>1</v>
      </c>
      <c r="AG25" s="44">
        <v>0</v>
      </c>
      <c r="AH25" s="44">
        <v>0</v>
      </c>
      <c r="AI25" s="44">
        <v>0</v>
      </c>
      <c r="AJ25" s="44">
        <v>0</v>
      </c>
      <c r="AK25" s="44">
        <v>0</v>
      </c>
      <c r="AL25" s="44">
        <v>0</v>
      </c>
      <c r="AM25" s="44">
        <v>0</v>
      </c>
      <c r="AN25" s="44">
        <v>0</v>
      </c>
      <c r="AO25" s="44">
        <v>0</v>
      </c>
      <c r="AP25" s="44">
        <v>0</v>
      </c>
      <c r="AQ25" s="44">
        <v>0</v>
      </c>
      <c r="AR25" s="44">
        <v>0</v>
      </c>
      <c r="AT25" s="10"/>
      <c r="AU25" s="10"/>
      <c r="AV25" s="10"/>
      <c r="AW25" s="10"/>
      <c r="AY25" s="10"/>
      <c r="AZ25" s="10"/>
      <c r="BA25" s="10"/>
      <c r="BD25" s="10"/>
      <c r="BE25" s="10"/>
      <c r="BF25" s="10"/>
      <c r="BH25" s="10"/>
      <c r="BI25" s="10"/>
      <c r="BJ25" s="10"/>
      <c r="BL25" s="10"/>
      <c r="BM25" s="10"/>
      <c r="BN25" s="10"/>
      <c r="BO25" s="10"/>
    </row>
    <row r="26" spans="1:67" x14ac:dyDescent="0.2">
      <c r="A26" s="38" t="s">
        <v>58</v>
      </c>
      <c r="B26" s="38" t="s">
        <v>34</v>
      </c>
      <c r="D26" s="38">
        <v>38</v>
      </c>
      <c r="E26" s="38">
        <v>47</v>
      </c>
      <c r="F26" s="38">
        <v>42</v>
      </c>
      <c r="H26" s="43">
        <v>2161.02</v>
      </c>
      <c r="I26" s="66">
        <v>29</v>
      </c>
      <c r="J26" s="43">
        <v>912.92</v>
      </c>
      <c r="K26" s="66">
        <v>6</v>
      </c>
      <c r="L26" s="43">
        <v>140.79</v>
      </c>
      <c r="M26" s="66">
        <v>3</v>
      </c>
      <c r="N26" s="43">
        <v>3214.73</v>
      </c>
      <c r="O26" s="66">
        <v>38</v>
      </c>
      <c r="P26" s="43">
        <v>1036.1500000000001</v>
      </c>
      <c r="Q26" s="66">
        <v>36</v>
      </c>
      <c r="R26" s="43">
        <v>874.47</v>
      </c>
      <c r="S26" s="66">
        <v>7</v>
      </c>
      <c r="T26" s="43">
        <v>288.19</v>
      </c>
      <c r="U26" s="66">
        <v>4</v>
      </c>
      <c r="V26" s="43">
        <v>2198.81</v>
      </c>
      <c r="W26" s="66">
        <v>47</v>
      </c>
      <c r="X26" s="43">
        <v>2432.4899999999998</v>
      </c>
      <c r="Y26" s="66">
        <v>30</v>
      </c>
      <c r="Z26" s="43">
        <v>396.48</v>
      </c>
      <c r="AA26" s="66">
        <v>7</v>
      </c>
      <c r="AB26" s="43">
        <v>353.9</v>
      </c>
      <c r="AC26" s="66">
        <v>5</v>
      </c>
      <c r="AD26" s="43">
        <v>3182.87</v>
      </c>
      <c r="AE26" s="69">
        <v>42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T26" s="10"/>
      <c r="AU26" s="10"/>
      <c r="AV26" s="10"/>
      <c r="AW26" s="10"/>
      <c r="AY26" s="10"/>
      <c r="AZ26" s="10"/>
      <c r="BA26" s="10"/>
      <c r="BD26" s="10"/>
      <c r="BE26" s="10"/>
      <c r="BF26" s="10"/>
      <c r="BH26" s="10"/>
      <c r="BI26" s="10"/>
      <c r="BJ26" s="10"/>
      <c r="BL26" s="10"/>
      <c r="BM26" s="10"/>
      <c r="BN26" s="10"/>
      <c r="BO26" s="10"/>
    </row>
    <row r="27" spans="1:67" x14ac:dyDescent="0.2">
      <c r="A27" s="39" t="s">
        <v>59</v>
      </c>
      <c r="B27" s="39" t="s">
        <v>34</v>
      </c>
      <c r="D27" s="39">
        <v>0</v>
      </c>
      <c r="E27" s="39">
        <v>0</v>
      </c>
      <c r="F27" s="39">
        <v>0</v>
      </c>
      <c r="H27" s="44">
        <v>0</v>
      </c>
      <c r="I27" s="67">
        <v>0</v>
      </c>
      <c r="J27" s="44">
        <v>0</v>
      </c>
      <c r="K27" s="67">
        <v>0</v>
      </c>
      <c r="L27" s="44">
        <v>0</v>
      </c>
      <c r="M27" s="67">
        <v>0</v>
      </c>
      <c r="N27" s="44">
        <v>0</v>
      </c>
      <c r="O27" s="67">
        <v>0</v>
      </c>
      <c r="P27" s="44">
        <v>0</v>
      </c>
      <c r="Q27" s="67">
        <v>0</v>
      </c>
      <c r="R27" s="44">
        <v>0</v>
      </c>
      <c r="S27" s="67">
        <v>0</v>
      </c>
      <c r="T27" s="44">
        <v>0</v>
      </c>
      <c r="U27" s="67">
        <v>0</v>
      </c>
      <c r="V27" s="44">
        <v>0</v>
      </c>
      <c r="W27" s="67">
        <v>0</v>
      </c>
      <c r="X27" s="44">
        <v>0</v>
      </c>
      <c r="Y27" s="67">
        <v>0</v>
      </c>
      <c r="Z27" s="44">
        <v>0</v>
      </c>
      <c r="AA27" s="67">
        <v>0</v>
      </c>
      <c r="AB27" s="44">
        <v>0</v>
      </c>
      <c r="AC27" s="67">
        <v>0</v>
      </c>
      <c r="AD27" s="44">
        <v>0</v>
      </c>
      <c r="AE27" s="70">
        <v>0</v>
      </c>
      <c r="AG27" s="44">
        <v>0</v>
      </c>
      <c r="AH27" s="44">
        <v>0</v>
      </c>
      <c r="AI27" s="44">
        <v>0</v>
      </c>
      <c r="AJ27" s="44">
        <v>0</v>
      </c>
      <c r="AK27" s="44">
        <v>0</v>
      </c>
      <c r="AL27" s="44">
        <v>0</v>
      </c>
      <c r="AM27" s="44">
        <v>0</v>
      </c>
      <c r="AN27" s="44">
        <v>0</v>
      </c>
      <c r="AO27" s="44">
        <v>0</v>
      </c>
      <c r="AP27" s="44">
        <v>0</v>
      </c>
      <c r="AQ27" s="44">
        <v>0</v>
      </c>
      <c r="AR27" s="44">
        <v>0</v>
      </c>
      <c r="AT27" s="10"/>
      <c r="AU27" s="10"/>
      <c r="AV27" s="10"/>
      <c r="AW27" s="10"/>
      <c r="AY27" s="10"/>
      <c r="AZ27" s="10"/>
      <c r="BA27" s="10"/>
      <c r="BD27" s="10"/>
      <c r="BE27" s="10"/>
      <c r="BF27" s="10"/>
      <c r="BH27" s="10"/>
      <c r="BI27" s="10"/>
      <c r="BJ27" s="10"/>
      <c r="BL27" s="10"/>
      <c r="BM27" s="10"/>
      <c r="BN27" s="10"/>
      <c r="BO27" s="10"/>
    </row>
    <row r="28" spans="1:67" x14ac:dyDescent="0.2">
      <c r="A28" s="38" t="s">
        <v>60</v>
      </c>
      <c r="B28" s="38" t="s">
        <v>34</v>
      </c>
      <c r="D28" s="38">
        <v>29</v>
      </c>
      <c r="E28" s="38">
        <v>32</v>
      </c>
      <c r="F28" s="38">
        <v>32</v>
      </c>
      <c r="H28" s="43">
        <v>15297.68</v>
      </c>
      <c r="I28" s="66">
        <v>15</v>
      </c>
      <c r="J28" s="43">
        <v>2482.34</v>
      </c>
      <c r="K28" s="66">
        <v>6</v>
      </c>
      <c r="L28" s="43">
        <v>7227.86</v>
      </c>
      <c r="M28" s="66">
        <v>8</v>
      </c>
      <c r="N28" s="43">
        <v>25007.88</v>
      </c>
      <c r="O28" s="66">
        <v>29</v>
      </c>
      <c r="P28" s="43">
        <v>4935.34</v>
      </c>
      <c r="Q28" s="66">
        <v>13</v>
      </c>
      <c r="R28" s="43">
        <v>12888.84</v>
      </c>
      <c r="S28" s="66">
        <v>9</v>
      </c>
      <c r="T28" s="43">
        <v>8826.81</v>
      </c>
      <c r="U28" s="66">
        <v>10</v>
      </c>
      <c r="V28" s="43">
        <v>26650.99</v>
      </c>
      <c r="W28" s="66">
        <v>32</v>
      </c>
      <c r="X28" s="43">
        <v>3281.08</v>
      </c>
      <c r="Y28" s="66">
        <v>12</v>
      </c>
      <c r="Z28" s="43">
        <v>3461.07</v>
      </c>
      <c r="AA28" s="66">
        <v>4</v>
      </c>
      <c r="AB28" s="43">
        <v>16110.96</v>
      </c>
      <c r="AC28" s="66">
        <v>16</v>
      </c>
      <c r="AD28" s="43">
        <v>22853.11</v>
      </c>
      <c r="AE28" s="69">
        <v>32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T28" s="10"/>
      <c r="AU28" s="10"/>
      <c r="AV28" s="10"/>
      <c r="AW28" s="10"/>
      <c r="AY28" s="10"/>
      <c r="AZ28" s="10"/>
      <c r="BA28" s="10"/>
      <c r="BD28" s="10"/>
      <c r="BE28" s="10"/>
      <c r="BF28" s="10"/>
      <c r="BH28" s="10"/>
      <c r="BI28" s="10"/>
      <c r="BJ28" s="10"/>
      <c r="BL28" s="10"/>
      <c r="BM28" s="10"/>
      <c r="BN28" s="10"/>
      <c r="BO28" s="10"/>
    </row>
    <row r="29" spans="1:67" x14ac:dyDescent="0.2">
      <c r="A29" s="39" t="s">
        <v>61</v>
      </c>
      <c r="B29" s="39" t="s">
        <v>34</v>
      </c>
      <c r="D29" s="39">
        <v>73</v>
      </c>
      <c r="E29" s="39">
        <v>46</v>
      </c>
      <c r="F29" s="39">
        <v>48</v>
      </c>
      <c r="H29" s="44">
        <v>7749.4</v>
      </c>
      <c r="I29" s="67">
        <v>37</v>
      </c>
      <c r="J29" s="44">
        <v>6177.5</v>
      </c>
      <c r="K29" s="67">
        <v>9</v>
      </c>
      <c r="L29" s="44">
        <v>19699.46</v>
      </c>
      <c r="M29" s="67">
        <v>27</v>
      </c>
      <c r="N29" s="44">
        <v>33626.36</v>
      </c>
      <c r="O29" s="67">
        <v>73</v>
      </c>
      <c r="P29" s="44">
        <v>5338.8</v>
      </c>
      <c r="Q29" s="67">
        <v>7</v>
      </c>
      <c r="R29" s="44">
        <v>3749.2</v>
      </c>
      <c r="S29" s="67">
        <v>12</v>
      </c>
      <c r="T29" s="44">
        <v>15324.97</v>
      </c>
      <c r="U29" s="67">
        <v>27</v>
      </c>
      <c r="V29" s="44">
        <v>24412.97</v>
      </c>
      <c r="W29" s="67">
        <v>46</v>
      </c>
      <c r="X29" s="44">
        <v>4799.12</v>
      </c>
      <c r="Y29" s="67">
        <v>15</v>
      </c>
      <c r="Z29" s="44">
        <v>4110.1000000000004</v>
      </c>
      <c r="AA29" s="67">
        <v>5</v>
      </c>
      <c r="AB29" s="44">
        <v>14020.87</v>
      </c>
      <c r="AC29" s="67">
        <v>28</v>
      </c>
      <c r="AD29" s="44">
        <v>22930.09</v>
      </c>
      <c r="AE29" s="70">
        <v>48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0</v>
      </c>
      <c r="AP29" s="44">
        <v>0</v>
      </c>
      <c r="AQ29" s="44">
        <v>0</v>
      </c>
      <c r="AR29" s="44">
        <v>0</v>
      </c>
      <c r="AT29" s="10"/>
      <c r="AU29" s="10"/>
      <c r="AV29" s="10"/>
      <c r="AW29" s="10"/>
      <c r="AY29" s="10"/>
      <c r="AZ29" s="10"/>
      <c r="BA29" s="10"/>
      <c r="BD29" s="10"/>
      <c r="BE29" s="10"/>
      <c r="BF29" s="10"/>
      <c r="BH29" s="10"/>
      <c r="BI29" s="10"/>
      <c r="BJ29" s="10"/>
      <c r="BL29" s="10"/>
      <c r="BM29" s="10"/>
      <c r="BN29" s="10"/>
      <c r="BO29" s="10"/>
    </row>
    <row r="30" spans="1:67" x14ac:dyDescent="0.2">
      <c r="A30" s="38" t="s">
        <v>62</v>
      </c>
      <c r="B30" s="38" t="s">
        <v>34</v>
      </c>
      <c r="D30" s="38">
        <v>63</v>
      </c>
      <c r="E30" s="38">
        <v>51</v>
      </c>
      <c r="F30" s="38">
        <v>39</v>
      </c>
      <c r="H30" s="43">
        <v>7255.96</v>
      </c>
      <c r="I30" s="66">
        <v>39</v>
      </c>
      <c r="J30" s="43">
        <v>1535.61</v>
      </c>
      <c r="K30" s="66">
        <v>7</v>
      </c>
      <c r="L30" s="43">
        <v>8624.5499999999993</v>
      </c>
      <c r="M30" s="66">
        <v>17</v>
      </c>
      <c r="N30" s="43">
        <v>17416.12</v>
      </c>
      <c r="O30" s="66">
        <v>63</v>
      </c>
      <c r="P30" s="43">
        <v>4463.24</v>
      </c>
      <c r="Q30" s="66">
        <v>25</v>
      </c>
      <c r="R30" s="43">
        <v>1454.11</v>
      </c>
      <c r="S30" s="66">
        <v>9</v>
      </c>
      <c r="T30" s="43">
        <v>7862.52</v>
      </c>
      <c r="U30" s="66">
        <v>17</v>
      </c>
      <c r="V30" s="43">
        <v>13779.87</v>
      </c>
      <c r="W30" s="66">
        <v>51</v>
      </c>
      <c r="X30" s="43">
        <v>2313.37</v>
      </c>
      <c r="Y30" s="66">
        <v>15</v>
      </c>
      <c r="Z30" s="43">
        <v>1440.09</v>
      </c>
      <c r="AA30" s="66">
        <v>8</v>
      </c>
      <c r="AB30" s="43">
        <v>7302.97</v>
      </c>
      <c r="AC30" s="66">
        <v>16</v>
      </c>
      <c r="AD30" s="43">
        <v>11056.43</v>
      </c>
      <c r="AE30" s="69">
        <v>39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T30" s="10"/>
      <c r="AU30" s="10"/>
      <c r="AV30" s="10"/>
      <c r="AW30" s="10"/>
      <c r="AY30" s="10"/>
      <c r="AZ30" s="10"/>
      <c r="BA30" s="10"/>
      <c r="BD30" s="10"/>
      <c r="BE30" s="10"/>
      <c r="BF30" s="10"/>
      <c r="BH30" s="10"/>
      <c r="BI30" s="10"/>
      <c r="BJ30" s="10"/>
      <c r="BL30" s="10"/>
      <c r="BM30" s="10"/>
      <c r="BN30" s="10"/>
      <c r="BO30" s="10"/>
    </row>
    <row r="31" spans="1:67" x14ac:dyDescent="0.2">
      <c r="A31" s="39" t="s">
        <v>63</v>
      </c>
      <c r="B31" s="39" t="s">
        <v>34</v>
      </c>
      <c r="D31" s="39">
        <v>6</v>
      </c>
      <c r="E31" s="39">
        <v>3</v>
      </c>
      <c r="F31" s="39">
        <v>9</v>
      </c>
      <c r="H31" s="44">
        <v>187.95</v>
      </c>
      <c r="I31" s="67">
        <v>2</v>
      </c>
      <c r="J31" s="44">
        <v>198.83</v>
      </c>
      <c r="K31" s="67">
        <v>3</v>
      </c>
      <c r="L31" s="44">
        <v>189.79</v>
      </c>
      <c r="M31" s="67">
        <v>1</v>
      </c>
      <c r="N31" s="44">
        <v>576.57000000000005</v>
      </c>
      <c r="O31" s="67">
        <v>6</v>
      </c>
      <c r="P31" s="44">
        <v>71.260000000000005</v>
      </c>
      <c r="Q31" s="67">
        <v>0</v>
      </c>
      <c r="R31" s="44">
        <v>86.07</v>
      </c>
      <c r="S31" s="67">
        <v>1</v>
      </c>
      <c r="T31" s="44">
        <v>256.5</v>
      </c>
      <c r="U31" s="67">
        <v>2</v>
      </c>
      <c r="V31" s="44">
        <v>413.83</v>
      </c>
      <c r="W31" s="67">
        <v>3</v>
      </c>
      <c r="X31" s="44">
        <v>555.54999999999995</v>
      </c>
      <c r="Y31" s="67">
        <v>6</v>
      </c>
      <c r="Z31" s="44">
        <v>71.260000000000005</v>
      </c>
      <c r="AA31" s="67">
        <v>0</v>
      </c>
      <c r="AB31" s="44">
        <v>342.57</v>
      </c>
      <c r="AC31" s="67">
        <v>3</v>
      </c>
      <c r="AD31" s="44">
        <v>969.38</v>
      </c>
      <c r="AE31" s="70">
        <v>9</v>
      </c>
      <c r="AG31" s="44">
        <v>0</v>
      </c>
      <c r="AH31" s="44">
        <v>0</v>
      </c>
      <c r="AI31" s="44">
        <v>0</v>
      </c>
      <c r="AJ31" s="44">
        <v>0</v>
      </c>
      <c r="AK31" s="44">
        <v>0</v>
      </c>
      <c r="AL31" s="44">
        <v>0</v>
      </c>
      <c r="AM31" s="44">
        <v>0</v>
      </c>
      <c r="AN31" s="44">
        <v>0</v>
      </c>
      <c r="AO31" s="44">
        <v>0</v>
      </c>
      <c r="AP31" s="44">
        <v>0</v>
      </c>
      <c r="AQ31" s="44">
        <v>0</v>
      </c>
      <c r="AR31" s="44">
        <v>0</v>
      </c>
      <c r="AT31" s="10"/>
      <c r="AU31" s="10"/>
      <c r="AV31" s="10"/>
      <c r="AW31" s="10"/>
      <c r="AY31" s="10"/>
      <c r="AZ31" s="10"/>
      <c r="BA31" s="10"/>
      <c r="BD31" s="10"/>
      <c r="BE31" s="10"/>
      <c r="BF31" s="10"/>
      <c r="BH31" s="10"/>
      <c r="BI31" s="10"/>
      <c r="BJ31" s="10"/>
      <c r="BL31" s="10"/>
      <c r="BM31" s="10"/>
      <c r="BN31" s="10"/>
      <c r="BO31" s="10"/>
    </row>
    <row r="32" spans="1:67" x14ac:dyDescent="0.2">
      <c r="A32" s="38" t="s">
        <v>64</v>
      </c>
      <c r="B32" s="38" t="s">
        <v>34</v>
      </c>
      <c r="D32" s="38">
        <v>9</v>
      </c>
      <c r="E32" s="38">
        <v>6</v>
      </c>
      <c r="F32" s="38">
        <v>5</v>
      </c>
      <c r="H32" s="43">
        <v>5026.97</v>
      </c>
      <c r="I32" s="66">
        <v>6</v>
      </c>
      <c r="J32" s="43">
        <v>2428.6799999999998</v>
      </c>
      <c r="K32" s="66">
        <v>2</v>
      </c>
      <c r="L32" s="43">
        <v>573</v>
      </c>
      <c r="M32" s="66">
        <v>1</v>
      </c>
      <c r="N32" s="43">
        <v>8028.65</v>
      </c>
      <c r="O32" s="66">
        <v>9</v>
      </c>
      <c r="P32" s="43">
        <v>2241.7600000000002</v>
      </c>
      <c r="Q32" s="66">
        <v>3</v>
      </c>
      <c r="R32" s="43">
        <v>120.73</v>
      </c>
      <c r="S32" s="66">
        <v>1</v>
      </c>
      <c r="T32" s="43">
        <v>188.04</v>
      </c>
      <c r="U32" s="66">
        <v>2</v>
      </c>
      <c r="V32" s="43">
        <v>2550.5300000000002</v>
      </c>
      <c r="W32" s="66">
        <v>6</v>
      </c>
      <c r="X32" s="43">
        <v>2001.79</v>
      </c>
      <c r="Y32" s="66">
        <v>1</v>
      </c>
      <c r="Z32" s="43">
        <v>2142.63</v>
      </c>
      <c r="AA32" s="66">
        <v>2</v>
      </c>
      <c r="AB32" s="43">
        <v>121.38</v>
      </c>
      <c r="AC32" s="66">
        <v>2</v>
      </c>
      <c r="AD32" s="43">
        <v>4265.8</v>
      </c>
      <c r="AE32" s="69">
        <v>5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T32" s="10"/>
      <c r="AU32" s="10"/>
      <c r="AV32" s="10"/>
      <c r="AW32" s="10"/>
      <c r="AY32" s="10"/>
      <c r="AZ32" s="10"/>
      <c r="BA32" s="10"/>
      <c r="BD32" s="10"/>
      <c r="BE32" s="10"/>
      <c r="BF32" s="10"/>
      <c r="BH32" s="10"/>
      <c r="BI32" s="10"/>
      <c r="BJ32" s="10"/>
      <c r="BL32" s="10"/>
      <c r="BM32" s="10"/>
      <c r="BN32" s="10"/>
      <c r="BO32" s="10"/>
    </row>
    <row r="33" spans="1:67" x14ac:dyDescent="0.2">
      <c r="A33" s="39" t="s">
        <v>65</v>
      </c>
      <c r="B33" s="39" t="s">
        <v>34</v>
      </c>
      <c r="D33" s="39">
        <v>25</v>
      </c>
      <c r="E33" s="39">
        <v>24</v>
      </c>
      <c r="F33" s="39">
        <v>32</v>
      </c>
      <c r="H33" s="44">
        <v>2199.35</v>
      </c>
      <c r="I33" s="67">
        <v>16</v>
      </c>
      <c r="J33" s="44">
        <v>454.35</v>
      </c>
      <c r="K33" s="67">
        <v>2</v>
      </c>
      <c r="L33" s="44">
        <v>3148.57</v>
      </c>
      <c r="M33" s="67">
        <v>7</v>
      </c>
      <c r="N33" s="44">
        <v>5802.27</v>
      </c>
      <c r="O33" s="67">
        <v>25</v>
      </c>
      <c r="P33" s="44">
        <v>1119.93</v>
      </c>
      <c r="Q33" s="67">
        <v>9</v>
      </c>
      <c r="R33" s="44">
        <v>767.05</v>
      </c>
      <c r="S33" s="67">
        <v>7</v>
      </c>
      <c r="T33" s="44">
        <v>3520.53</v>
      </c>
      <c r="U33" s="67">
        <v>8</v>
      </c>
      <c r="V33" s="44">
        <v>5407.51</v>
      </c>
      <c r="W33" s="67">
        <v>24</v>
      </c>
      <c r="X33" s="44">
        <v>1989.4</v>
      </c>
      <c r="Y33" s="67">
        <v>18</v>
      </c>
      <c r="Z33" s="44">
        <v>838.65</v>
      </c>
      <c r="AA33" s="67">
        <v>1</v>
      </c>
      <c r="AB33" s="44">
        <v>2293.14</v>
      </c>
      <c r="AC33" s="67">
        <v>13</v>
      </c>
      <c r="AD33" s="44">
        <v>5121.1899999999996</v>
      </c>
      <c r="AE33" s="70">
        <v>32</v>
      </c>
      <c r="AG33" s="44">
        <v>0</v>
      </c>
      <c r="AH33" s="44">
        <v>0</v>
      </c>
      <c r="AI33" s="44">
        <v>0</v>
      </c>
      <c r="AJ33" s="44">
        <v>0</v>
      </c>
      <c r="AK33" s="44">
        <v>0</v>
      </c>
      <c r="AL33" s="44">
        <v>0</v>
      </c>
      <c r="AM33" s="44">
        <v>0</v>
      </c>
      <c r="AN33" s="44">
        <v>0</v>
      </c>
      <c r="AO33" s="44">
        <v>0</v>
      </c>
      <c r="AP33" s="44">
        <v>0</v>
      </c>
      <c r="AQ33" s="44">
        <v>0</v>
      </c>
      <c r="AR33" s="44">
        <v>0</v>
      </c>
      <c r="AT33" s="10"/>
      <c r="AU33" s="10"/>
      <c r="AV33" s="10"/>
      <c r="AW33" s="10"/>
      <c r="AY33" s="10"/>
      <c r="AZ33" s="10"/>
      <c r="BA33" s="10"/>
      <c r="BD33" s="10"/>
      <c r="BE33" s="10"/>
      <c r="BF33" s="10"/>
      <c r="BH33" s="10"/>
      <c r="BI33" s="10"/>
      <c r="BJ33" s="10"/>
      <c r="BL33" s="10"/>
      <c r="BM33" s="10"/>
      <c r="BN33" s="10"/>
      <c r="BO33" s="10"/>
    </row>
    <row r="34" spans="1:67" x14ac:dyDescent="0.2">
      <c r="A34" s="38" t="s">
        <v>66</v>
      </c>
      <c r="B34" s="38" t="s">
        <v>34</v>
      </c>
      <c r="D34" s="38">
        <v>0</v>
      </c>
      <c r="E34" s="38">
        <v>0</v>
      </c>
      <c r="F34" s="38">
        <v>0</v>
      </c>
      <c r="H34" s="43">
        <v>0</v>
      </c>
      <c r="I34" s="66">
        <v>0</v>
      </c>
      <c r="J34" s="43">
        <v>0</v>
      </c>
      <c r="K34" s="66">
        <v>0</v>
      </c>
      <c r="L34" s="43">
        <v>0</v>
      </c>
      <c r="M34" s="66">
        <v>0</v>
      </c>
      <c r="N34" s="43">
        <v>0</v>
      </c>
      <c r="O34" s="66">
        <v>0</v>
      </c>
      <c r="P34" s="43">
        <v>0</v>
      </c>
      <c r="Q34" s="66">
        <v>0</v>
      </c>
      <c r="R34" s="43">
        <v>0</v>
      </c>
      <c r="S34" s="66">
        <v>0</v>
      </c>
      <c r="T34" s="43">
        <v>0</v>
      </c>
      <c r="U34" s="66">
        <v>0</v>
      </c>
      <c r="V34" s="43">
        <v>0</v>
      </c>
      <c r="W34" s="66">
        <v>0</v>
      </c>
      <c r="X34" s="43">
        <v>0</v>
      </c>
      <c r="Y34" s="66">
        <v>0</v>
      </c>
      <c r="Z34" s="43">
        <v>0</v>
      </c>
      <c r="AA34" s="66">
        <v>0</v>
      </c>
      <c r="AB34" s="43">
        <v>0</v>
      </c>
      <c r="AC34" s="66">
        <v>0</v>
      </c>
      <c r="AD34" s="43">
        <v>0</v>
      </c>
      <c r="AE34" s="69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T34" s="10"/>
      <c r="AU34" s="10"/>
      <c r="AV34" s="10"/>
      <c r="AW34" s="10"/>
      <c r="AY34" s="10"/>
      <c r="AZ34" s="10"/>
      <c r="BA34" s="10"/>
      <c r="BD34" s="10"/>
      <c r="BE34" s="10"/>
      <c r="BF34" s="10"/>
      <c r="BH34" s="10"/>
      <c r="BI34" s="10"/>
      <c r="BJ34" s="10"/>
      <c r="BL34" s="10"/>
      <c r="BM34" s="10"/>
      <c r="BN34" s="10"/>
      <c r="BO34" s="10"/>
    </row>
    <row r="35" spans="1:67" x14ac:dyDescent="0.2">
      <c r="A35" s="39" t="s">
        <v>67</v>
      </c>
      <c r="B35" s="39" t="s">
        <v>34</v>
      </c>
      <c r="D35" s="39">
        <v>0</v>
      </c>
      <c r="E35" s="39">
        <v>0</v>
      </c>
      <c r="F35" s="39">
        <v>0</v>
      </c>
      <c r="H35" s="44">
        <v>0</v>
      </c>
      <c r="I35" s="67">
        <v>0</v>
      </c>
      <c r="J35" s="44">
        <v>0</v>
      </c>
      <c r="K35" s="67">
        <v>0</v>
      </c>
      <c r="L35" s="44">
        <v>0</v>
      </c>
      <c r="M35" s="67">
        <v>0</v>
      </c>
      <c r="N35" s="44">
        <v>0</v>
      </c>
      <c r="O35" s="67">
        <v>0</v>
      </c>
      <c r="P35" s="44">
        <v>0</v>
      </c>
      <c r="Q35" s="67">
        <v>0</v>
      </c>
      <c r="R35" s="44">
        <v>0</v>
      </c>
      <c r="S35" s="67">
        <v>0</v>
      </c>
      <c r="T35" s="44">
        <v>0</v>
      </c>
      <c r="U35" s="67">
        <v>0</v>
      </c>
      <c r="V35" s="44">
        <v>0</v>
      </c>
      <c r="W35" s="67">
        <v>0</v>
      </c>
      <c r="X35" s="44">
        <v>0</v>
      </c>
      <c r="Y35" s="67">
        <v>0</v>
      </c>
      <c r="Z35" s="44">
        <v>0</v>
      </c>
      <c r="AA35" s="67">
        <v>0</v>
      </c>
      <c r="AB35" s="44">
        <v>0</v>
      </c>
      <c r="AC35" s="67">
        <v>0</v>
      </c>
      <c r="AD35" s="44">
        <v>0</v>
      </c>
      <c r="AE35" s="70">
        <v>0</v>
      </c>
      <c r="AG35" s="44">
        <v>0</v>
      </c>
      <c r="AH35" s="44">
        <v>0</v>
      </c>
      <c r="AI35" s="44">
        <v>0</v>
      </c>
      <c r="AJ35" s="44">
        <v>0</v>
      </c>
      <c r="AK35" s="44">
        <v>0</v>
      </c>
      <c r="AL35" s="44">
        <v>0</v>
      </c>
      <c r="AM35" s="44">
        <v>0</v>
      </c>
      <c r="AN35" s="44">
        <v>0</v>
      </c>
      <c r="AO35" s="44">
        <v>0</v>
      </c>
      <c r="AP35" s="44">
        <v>0</v>
      </c>
      <c r="AQ35" s="44">
        <v>0</v>
      </c>
      <c r="AR35" s="44">
        <v>0</v>
      </c>
      <c r="AT35" s="10"/>
      <c r="AU35" s="10"/>
      <c r="AV35" s="10"/>
      <c r="AW35" s="10"/>
      <c r="AY35" s="10"/>
      <c r="AZ35" s="10"/>
      <c r="BA35" s="10"/>
      <c r="BD35" s="10"/>
      <c r="BE35" s="10"/>
      <c r="BF35" s="10"/>
      <c r="BH35" s="10"/>
      <c r="BI35" s="10"/>
      <c r="BJ35" s="10"/>
      <c r="BL35" s="10"/>
      <c r="BM35" s="10"/>
      <c r="BN35" s="10"/>
      <c r="BO35" s="10"/>
    </row>
    <row r="36" spans="1:67" x14ac:dyDescent="0.2">
      <c r="A36" s="38" t="s">
        <v>68</v>
      </c>
      <c r="B36" s="38" t="s">
        <v>34</v>
      </c>
      <c r="D36" s="38">
        <v>14</v>
      </c>
      <c r="E36" s="38">
        <v>18</v>
      </c>
      <c r="F36" s="38">
        <v>14</v>
      </c>
      <c r="H36" s="43">
        <v>4881.04</v>
      </c>
      <c r="I36" s="66">
        <v>8</v>
      </c>
      <c r="J36" s="43">
        <v>1114.07</v>
      </c>
      <c r="K36" s="66">
        <v>0</v>
      </c>
      <c r="L36" s="43">
        <v>4664.0600000000004</v>
      </c>
      <c r="M36" s="66">
        <v>6</v>
      </c>
      <c r="N36" s="43">
        <v>10659.17</v>
      </c>
      <c r="O36" s="66">
        <v>14</v>
      </c>
      <c r="P36" s="43">
        <v>2085</v>
      </c>
      <c r="Q36" s="66">
        <v>10</v>
      </c>
      <c r="R36" s="43">
        <v>206.12</v>
      </c>
      <c r="S36" s="66">
        <v>3</v>
      </c>
      <c r="T36" s="43">
        <v>1805.6</v>
      </c>
      <c r="U36" s="66">
        <v>5</v>
      </c>
      <c r="V36" s="43">
        <v>4096.72</v>
      </c>
      <c r="W36" s="66">
        <v>18</v>
      </c>
      <c r="X36" s="43">
        <v>1476.25</v>
      </c>
      <c r="Y36" s="66">
        <v>7</v>
      </c>
      <c r="Z36" s="43">
        <v>201.83</v>
      </c>
      <c r="AA36" s="66">
        <v>2</v>
      </c>
      <c r="AB36" s="43">
        <v>1744.47</v>
      </c>
      <c r="AC36" s="66">
        <v>5</v>
      </c>
      <c r="AD36" s="43">
        <v>3422.55</v>
      </c>
      <c r="AE36" s="69">
        <v>14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T36" s="10"/>
      <c r="AU36" s="10"/>
      <c r="AV36" s="10"/>
      <c r="AW36" s="10"/>
      <c r="AY36" s="10"/>
      <c r="AZ36" s="10"/>
      <c r="BA36" s="10"/>
      <c r="BD36" s="10"/>
      <c r="BE36" s="10"/>
      <c r="BF36" s="10"/>
      <c r="BH36" s="10"/>
      <c r="BI36" s="10"/>
      <c r="BJ36" s="10"/>
      <c r="BL36" s="10"/>
      <c r="BM36" s="10"/>
      <c r="BN36" s="10"/>
      <c r="BO36" s="10"/>
    </row>
    <row r="37" spans="1:67" x14ac:dyDescent="0.2">
      <c r="A37" s="39" t="s">
        <v>69</v>
      </c>
      <c r="B37" s="39" t="s">
        <v>34</v>
      </c>
      <c r="D37" s="39">
        <v>4</v>
      </c>
      <c r="E37" s="39">
        <v>6</v>
      </c>
      <c r="F37" s="39">
        <v>15</v>
      </c>
      <c r="H37" s="44">
        <v>165.37</v>
      </c>
      <c r="I37" s="67">
        <v>2</v>
      </c>
      <c r="J37" s="44">
        <v>94.01</v>
      </c>
      <c r="K37" s="67">
        <v>1</v>
      </c>
      <c r="L37" s="44">
        <v>211.26</v>
      </c>
      <c r="M37" s="67">
        <v>1</v>
      </c>
      <c r="N37" s="44">
        <v>470.64</v>
      </c>
      <c r="O37" s="67">
        <v>4</v>
      </c>
      <c r="P37" s="44">
        <v>315.64999999999998</v>
      </c>
      <c r="Q37" s="67">
        <v>3</v>
      </c>
      <c r="R37" s="44">
        <v>73.430000000000007</v>
      </c>
      <c r="S37" s="67">
        <v>1</v>
      </c>
      <c r="T37" s="44">
        <v>305.27</v>
      </c>
      <c r="U37" s="67">
        <v>2</v>
      </c>
      <c r="V37" s="44">
        <v>694.35</v>
      </c>
      <c r="W37" s="67">
        <v>6</v>
      </c>
      <c r="X37" s="44">
        <v>688.2</v>
      </c>
      <c r="Y37" s="67">
        <v>14</v>
      </c>
      <c r="Z37" s="44">
        <v>23.32</v>
      </c>
      <c r="AA37" s="67">
        <v>0</v>
      </c>
      <c r="AB37" s="44">
        <v>62.9</v>
      </c>
      <c r="AC37" s="67">
        <v>1</v>
      </c>
      <c r="AD37" s="44">
        <v>774.42</v>
      </c>
      <c r="AE37" s="70">
        <v>15</v>
      </c>
      <c r="AG37" s="44">
        <v>0</v>
      </c>
      <c r="AH37" s="44">
        <v>0</v>
      </c>
      <c r="AI37" s="44">
        <v>0</v>
      </c>
      <c r="AJ37" s="44">
        <v>0</v>
      </c>
      <c r="AK37" s="44">
        <v>0</v>
      </c>
      <c r="AL37" s="44">
        <v>0</v>
      </c>
      <c r="AM37" s="44">
        <v>0</v>
      </c>
      <c r="AN37" s="44">
        <v>0</v>
      </c>
      <c r="AO37" s="44">
        <v>0</v>
      </c>
      <c r="AP37" s="44">
        <v>0</v>
      </c>
      <c r="AQ37" s="44">
        <v>0</v>
      </c>
      <c r="AR37" s="44">
        <v>0</v>
      </c>
      <c r="AT37" s="10"/>
      <c r="AU37" s="10"/>
      <c r="AV37" s="10"/>
      <c r="AW37" s="10"/>
      <c r="AY37" s="10"/>
      <c r="AZ37" s="10"/>
      <c r="BA37" s="10"/>
      <c r="BD37" s="10"/>
      <c r="BE37" s="10"/>
      <c r="BF37" s="10"/>
      <c r="BH37" s="10"/>
      <c r="BI37" s="10"/>
      <c r="BJ37" s="10"/>
      <c r="BL37" s="10"/>
      <c r="BM37" s="10"/>
      <c r="BN37" s="10"/>
      <c r="BO37" s="10"/>
    </row>
    <row r="38" spans="1:67" x14ac:dyDescent="0.2">
      <c r="A38" s="38" t="s">
        <v>70</v>
      </c>
      <c r="B38" s="38" t="s">
        <v>34</v>
      </c>
      <c r="D38" s="38">
        <v>1</v>
      </c>
      <c r="E38" s="38">
        <v>1</v>
      </c>
      <c r="F38" s="38">
        <v>1</v>
      </c>
      <c r="H38" s="43">
        <v>22</v>
      </c>
      <c r="I38" s="66">
        <v>0</v>
      </c>
      <c r="J38" s="43">
        <v>316.27</v>
      </c>
      <c r="K38" s="66">
        <v>0</v>
      </c>
      <c r="L38" s="43">
        <v>5720.23</v>
      </c>
      <c r="M38" s="66">
        <v>1</v>
      </c>
      <c r="N38" s="43">
        <v>6058.5</v>
      </c>
      <c r="O38" s="66">
        <v>1</v>
      </c>
      <c r="P38" s="43">
        <v>0</v>
      </c>
      <c r="Q38" s="66">
        <v>0</v>
      </c>
      <c r="R38" s="43">
        <v>22</v>
      </c>
      <c r="S38" s="66">
        <v>0</v>
      </c>
      <c r="T38" s="43">
        <v>6036.5</v>
      </c>
      <c r="U38" s="66">
        <v>1</v>
      </c>
      <c r="V38" s="43">
        <v>6058.5</v>
      </c>
      <c r="W38" s="66">
        <v>1</v>
      </c>
      <c r="X38" s="43">
        <v>44</v>
      </c>
      <c r="Y38" s="66">
        <v>0</v>
      </c>
      <c r="Z38" s="43">
        <v>0</v>
      </c>
      <c r="AA38" s="66">
        <v>0</v>
      </c>
      <c r="AB38" s="43">
        <v>6058.5</v>
      </c>
      <c r="AC38" s="66">
        <v>1</v>
      </c>
      <c r="AD38" s="43">
        <v>6102.5</v>
      </c>
      <c r="AE38" s="69">
        <v>1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T38" s="10"/>
      <c r="AU38" s="10"/>
      <c r="AV38" s="10"/>
      <c r="AW38" s="10"/>
      <c r="AY38" s="10"/>
      <c r="AZ38" s="10"/>
      <c r="BA38" s="10"/>
      <c r="BD38" s="10"/>
      <c r="BE38" s="10"/>
      <c r="BF38" s="10"/>
      <c r="BH38" s="10"/>
      <c r="BI38" s="10"/>
      <c r="BJ38" s="10"/>
      <c r="BL38" s="10"/>
      <c r="BM38" s="10"/>
      <c r="BN38" s="10"/>
      <c r="BO38" s="10"/>
    </row>
    <row r="39" spans="1:67" x14ac:dyDescent="0.2">
      <c r="A39" s="39" t="s">
        <v>71</v>
      </c>
      <c r="B39" s="39" t="s">
        <v>34</v>
      </c>
      <c r="D39" s="39">
        <v>0</v>
      </c>
      <c r="E39" s="39">
        <v>0</v>
      </c>
      <c r="F39" s="39">
        <v>0</v>
      </c>
      <c r="H39" s="44">
        <v>0</v>
      </c>
      <c r="I39" s="67">
        <v>0</v>
      </c>
      <c r="J39" s="44">
        <v>0</v>
      </c>
      <c r="K39" s="67">
        <v>0</v>
      </c>
      <c r="L39" s="44">
        <v>0</v>
      </c>
      <c r="M39" s="67">
        <v>0</v>
      </c>
      <c r="N39" s="44">
        <v>0</v>
      </c>
      <c r="O39" s="67">
        <v>0</v>
      </c>
      <c r="P39" s="44">
        <v>0</v>
      </c>
      <c r="Q39" s="67">
        <v>0</v>
      </c>
      <c r="R39" s="44">
        <v>0</v>
      </c>
      <c r="S39" s="67">
        <v>0</v>
      </c>
      <c r="T39" s="44">
        <v>0</v>
      </c>
      <c r="U39" s="67">
        <v>0</v>
      </c>
      <c r="V39" s="44">
        <v>0</v>
      </c>
      <c r="W39" s="67">
        <v>0</v>
      </c>
      <c r="X39" s="44">
        <v>0</v>
      </c>
      <c r="Y39" s="67">
        <v>0</v>
      </c>
      <c r="Z39" s="44">
        <v>0</v>
      </c>
      <c r="AA39" s="67">
        <v>0</v>
      </c>
      <c r="AB39" s="44">
        <v>0</v>
      </c>
      <c r="AC39" s="67">
        <v>0</v>
      </c>
      <c r="AD39" s="44">
        <v>0</v>
      </c>
      <c r="AE39" s="70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44">
        <v>0</v>
      </c>
      <c r="AN39" s="44">
        <v>0</v>
      </c>
      <c r="AO39" s="44">
        <v>0</v>
      </c>
      <c r="AP39" s="44">
        <v>0</v>
      </c>
      <c r="AQ39" s="44">
        <v>0</v>
      </c>
      <c r="AR39" s="44">
        <v>0</v>
      </c>
      <c r="AT39" s="10"/>
      <c r="AU39" s="10"/>
      <c r="AV39" s="10"/>
      <c r="AW39" s="10"/>
      <c r="AY39" s="10"/>
      <c r="AZ39" s="10"/>
      <c r="BA39" s="10"/>
      <c r="BD39" s="10"/>
      <c r="BE39" s="10"/>
      <c r="BF39" s="10"/>
      <c r="BH39" s="10"/>
      <c r="BI39" s="10"/>
      <c r="BJ39" s="10"/>
      <c r="BL39" s="10"/>
      <c r="BM39" s="10"/>
      <c r="BN39" s="10"/>
      <c r="BO39" s="10"/>
    </row>
    <row r="40" spans="1:67" x14ac:dyDescent="0.2">
      <c r="A40" s="38" t="s">
        <v>72</v>
      </c>
      <c r="B40" s="38" t="s">
        <v>34</v>
      </c>
      <c r="D40" s="38">
        <v>106</v>
      </c>
      <c r="E40" s="38">
        <v>101</v>
      </c>
      <c r="F40" s="38">
        <v>94</v>
      </c>
      <c r="H40" s="43">
        <v>13931.73</v>
      </c>
      <c r="I40" s="66">
        <v>49</v>
      </c>
      <c r="J40" s="43">
        <v>3486.85</v>
      </c>
      <c r="K40" s="66">
        <v>16</v>
      </c>
      <c r="L40" s="43">
        <v>27059.39</v>
      </c>
      <c r="M40" s="66">
        <v>41</v>
      </c>
      <c r="N40" s="43">
        <v>44477.97</v>
      </c>
      <c r="O40" s="66">
        <v>106</v>
      </c>
      <c r="P40" s="43">
        <v>8686.74</v>
      </c>
      <c r="Q40" s="66">
        <v>51</v>
      </c>
      <c r="R40" s="43">
        <v>2057.06</v>
      </c>
      <c r="S40" s="66">
        <v>7</v>
      </c>
      <c r="T40" s="43">
        <v>25825.64</v>
      </c>
      <c r="U40" s="66">
        <v>43</v>
      </c>
      <c r="V40" s="43">
        <v>36569.440000000002</v>
      </c>
      <c r="W40" s="66">
        <v>101</v>
      </c>
      <c r="X40" s="43">
        <v>4010.93</v>
      </c>
      <c r="Y40" s="66">
        <v>31</v>
      </c>
      <c r="Z40" s="43">
        <v>6106.36</v>
      </c>
      <c r="AA40" s="66">
        <v>21</v>
      </c>
      <c r="AB40" s="43">
        <v>23392.17</v>
      </c>
      <c r="AC40" s="66">
        <v>42</v>
      </c>
      <c r="AD40" s="43">
        <v>33509.46</v>
      </c>
      <c r="AE40" s="69">
        <v>94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T40" s="10"/>
      <c r="AU40" s="10"/>
      <c r="AV40" s="10"/>
      <c r="AW40" s="10"/>
      <c r="AY40" s="10"/>
      <c r="AZ40" s="10"/>
      <c r="BA40" s="10"/>
      <c r="BD40" s="10"/>
      <c r="BE40" s="10"/>
      <c r="BF40" s="10"/>
      <c r="BH40" s="10"/>
      <c r="BI40" s="10"/>
      <c r="BJ40" s="10"/>
      <c r="BL40" s="10"/>
      <c r="BM40" s="10"/>
      <c r="BN40" s="10"/>
      <c r="BO40" s="10"/>
    </row>
    <row r="41" spans="1:67" x14ac:dyDescent="0.2">
      <c r="A41" s="39" t="s">
        <v>73</v>
      </c>
      <c r="B41" s="39" t="s">
        <v>34</v>
      </c>
      <c r="D41" s="39">
        <v>25</v>
      </c>
      <c r="E41" s="39">
        <v>30</v>
      </c>
      <c r="F41" s="39">
        <v>20</v>
      </c>
      <c r="H41" s="44">
        <v>6289.63</v>
      </c>
      <c r="I41" s="67">
        <v>15</v>
      </c>
      <c r="J41" s="44">
        <v>2347.6799999999998</v>
      </c>
      <c r="K41" s="67">
        <v>3</v>
      </c>
      <c r="L41" s="44">
        <v>4297.34</v>
      </c>
      <c r="M41" s="67">
        <v>7</v>
      </c>
      <c r="N41" s="44">
        <v>12934.65</v>
      </c>
      <c r="O41" s="67">
        <v>25</v>
      </c>
      <c r="P41" s="44">
        <v>4458.41</v>
      </c>
      <c r="Q41" s="67">
        <v>19</v>
      </c>
      <c r="R41" s="44">
        <v>2536.36</v>
      </c>
      <c r="S41" s="67">
        <v>3</v>
      </c>
      <c r="T41" s="44">
        <v>2149.48</v>
      </c>
      <c r="U41" s="67">
        <v>8</v>
      </c>
      <c r="V41" s="44">
        <v>9144.25</v>
      </c>
      <c r="W41" s="67">
        <v>30</v>
      </c>
      <c r="X41" s="44">
        <v>2585.15</v>
      </c>
      <c r="Y41" s="67">
        <v>3</v>
      </c>
      <c r="Z41" s="44">
        <v>2917.14</v>
      </c>
      <c r="AA41" s="67">
        <v>6</v>
      </c>
      <c r="AB41" s="44">
        <v>4685.84</v>
      </c>
      <c r="AC41" s="67">
        <v>11</v>
      </c>
      <c r="AD41" s="44">
        <v>10188.129999999999</v>
      </c>
      <c r="AE41" s="70">
        <v>20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T41" s="10"/>
      <c r="AU41" s="10"/>
      <c r="AV41" s="10"/>
      <c r="AW41" s="10"/>
      <c r="AY41" s="10"/>
      <c r="AZ41" s="10"/>
      <c r="BA41" s="10"/>
      <c r="BD41" s="10"/>
      <c r="BE41" s="10"/>
      <c r="BF41" s="10"/>
      <c r="BH41" s="10"/>
      <c r="BI41" s="10"/>
      <c r="BJ41" s="10"/>
      <c r="BL41" s="10"/>
      <c r="BM41" s="10"/>
      <c r="BN41" s="10"/>
      <c r="BO41" s="10"/>
    </row>
    <row r="42" spans="1:67" x14ac:dyDescent="0.2">
      <c r="A42" s="38" t="s">
        <v>74</v>
      </c>
      <c r="B42" s="38" t="s">
        <v>34</v>
      </c>
      <c r="D42" s="38">
        <v>51</v>
      </c>
      <c r="E42" s="38">
        <v>28</v>
      </c>
      <c r="F42" s="38">
        <v>31</v>
      </c>
      <c r="H42" s="43">
        <v>13687.64</v>
      </c>
      <c r="I42" s="66">
        <v>31</v>
      </c>
      <c r="J42" s="43">
        <v>3946.33</v>
      </c>
      <c r="K42" s="66">
        <v>6</v>
      </c>
      <c r="L42" s="43">
        <v>14909.47</v>
      </c>
      <c r="M42" s="66">
        <v>14</v>
      </c>
      <c r="N42" s="43">
        <v>32543.439999999999</v>
      </c>
      <c r="O42" s="66">
        <v>51</v>
      </c>
      <c r="P42" s="43">
        <v>1887.1</v>
      </c>
      <c r="Q42" s="66">
        <v>10</v>
      </c>
      <c r="R42" s="43">
        <v>2221.2199999999998</v>
      </c>
      <c r="S42" s="66">
        <v>6</v>
      </c>
      <c r="T42" s="43">
        <v>10461.280000000001</v>
      </c>
      <c r="U42" s="66">
        <v>12</v>
      </c>
      <c r="V42" s="43">
        <v>14569.6</v>
      </c>
      <c r="W42" s="66">
        <v>28</v>
      </c>
      <c r="X42" s="43">
        <v>1821.36</v>
      </c>
      <c r="Y42" s="66">
        <v>13</v>
      </c>
      <c r="Z42" s="43">
        <v>1240.71</v>
      </c>
      <c r="AA42" s="66">
        <v>4</v>
      </c>
      <c r="AB42" s="43">
        <v>9608.23</v>
      </c>
      <c r="AC42" s="66">
        <v>14</v>
      </c>
      <c r="AD42" s="43">
        <v>12670.3</v>
      </c>
      <c r="AE42" s="69">
        <v>31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T42" s="10"/>
      <c r="AU42" s="10"/>
      <c r="AV42" s="10"/>
      <c r="AW42" s="10"/>
      <c r="AY42" s="10"/>
      <c r="AZ42" s="10"/>
      <c r="BA42" s="10"/>
      <c r="BD42" s="10"/>
      <c r="BE42" s="10"/>
      <c r="BF42" s="10"/>
      <c r="BH42" s="10"/>
      <c r="BI42" s="10"/>
      <c r="BJ42" s="10"/>
      <c r="BL42" s="10"/>
      <c r="BM42" s="10"/>
      <c r="BN42" s="10"/>
      <c r="BO42" s="10"/>
    </row>
    <row r="43" spans="1:67" x14ac:dyDescent="0.2">
      <c r="A43" s="39" t="s">
        <v>75</v>
      </c>
      <c r="B43" s="39" t="s">
        <v>34</v>
      </c>
      <c r="D43" s="39">
        <v>21</v>
      </c>
      <c r="E43" s="39">
        <v>8</v>
      </c>
      <c r="F43" s="39">
        <v>11</v>
      </c>
      <c r="H43" s="44">
        <v>2835.74</v>
      </c>
      <c r="I43" s="67">
        <v>17</v>
      </c>
      <c r="J43" s="44">
        <v>981.43</v>
      </c>
      <c r="K43" s="67">
        <v>2</v>
      </c>
      <c r="L43" s="44">
        <v>914.33</v>
      </c>
      <c r="M43" s="67">
        <v>2</v>
      </c>
      <c r="N43" s="44">
        <v>4731.5</v>
      </c>
      <c r="O43" s="67">
        <v>21</v>
      </c>
      <c r="P43" s="44">
        <v>213.91</v>
      </c>
      <c r="Q43" s="67">
        <v>1</v>
      </c>
      <c r="R43" s="44">
        <v>276.12</v>
      </c>
      <c r="S43" s="67">
        <v>2</v>
      </c>
      <c r="T43" s="44">
        <v>2136.35</v>
      </c>
      <c r="U43" s="67">
        <v>5</v>
      </c>
      <c r="V43" s="44">
        <v>2626.38</v>
      </c>
      <c r="W43" s="67">
        <v>8</v>
      </c>
      <c r="X43" s="44">
        <v>370.51</v>
      </c>
      <c r="Y43" s="67">
        <v>5</v>
      </c>
      <c r="Z43" s="44">
        <v>119.7</v>
      </c>
      <c r="AA43" s="67">
        <v>0</v>
      </c>
      <c r="AB43" s="44">
        <v>2318.15</v>
      </c>
      <c r="AC43" s="67">
        <v>6</v>
      </c>
      <c r="AD43" s="44">
        <v>2808.36</v>
      </c>
      <c r="AE43" s="70">
        <v>11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44">
        <v>0</v>
      </c>
      <c r="AN43" s="44">
        <v>0</v>
      </c>
      <c r="AO43" s="44">
        <v>0</v>
      </c>
      <c r="AP43" s="44">
        <v>0</v>
      </c>
      <c r="AQ43" s="44">
        <v>0</v>
      </c>
      <c r="AR43" s="44">
        <v>0</v>
      </c>
      <c r="AT43" s="10"/>
      <c r="AU43" s="10"/>
      <c r="AV43" s="10"/>
      <c r="AW43" s="10"/>
      <c r="AY43" s="10"/>
      <c r="AZ43" s="10"/>
      <c r="BA43" s="10"/>
      <c r="BD43" s="10"/>
      <c r="BE43" s="10"/>
      <c r="BF43" s="10"/>
      <c r="BH43" s="10"/>
      <c r="BI43" s="10"/>
      <c r="BJ43" s="10"/>
      <c r="BL43" s="10"/>
      <c r="BM43" s="10"/>
      <c r="BN43" s="10"/>
      <c r="BO43" s="10"/>
    </row>
    <row r="44" spans="1:67" x14ac:dyDescent="0.2">
      <c r="A44" s="38" t="s">
        <v>76</v>
      </c>
      <c r="B44" s="38" t="s">
        <v>34</v>
      </c>
      <c r="D44" s="38">
        <v>15</v>
      </c>
      <c r="E44" s="38">
        <v>15</v>
      </c>
      <c r="F44" s="38">
        <v>20</v>
      </c>
      <c r="H44" s="43">
        <v>1727.81</v>
      </c>
      <c r="I44" s="66">
        <v>6</v>
      </c>
      <c r="J44" s="43">
        <v>749.29</v>
      </c>
      <c r="K44" s="66">
        <v>5</v>
      </c>
      <c r="L44" s="43">
        <v>11416.43</v>
      </c>
      <c r="M44" s="66">
        <v>4</v>
      </c>
      <c r="N44" s="43">
        <v>13893.53</v>
      </c>
      <c r="O44" s="66">
        <v>15</v>
      </c>
      <c r="P44" s="43">
        <v>2134.7199999999998</v>
      </c>
      <c r="Q44" s="66">
        <v>8</v>
      </c>
      <c r="R44" s="43">
        <v>597.92999999999995</v>
      </c>
      <c r="S44" s="66">
        <v>2</v>
      </c>
      <c r="T44" s="43">
        <v>10756.29</v>
      </c>
      <c r="U44" s="66">
        <v>5</v>
      </c>
      <c r="V44" s="43">
        <v>13488.94</v>
      </c>
      <c r="W44" s="66">
        <v>15</v>
      </c>
      <c r="X44" s="43">
        <v>1915.22</v>
      </c>
      <c r="Y44" s="66">
        <v>8</v>
      </c>
      <c r="Z44" s="43">
        <v>2047.14</v>
      </c>
      <c r="AA44" s="66">
        <v>5</v>
      </c>
      <c r="AB44" s="43">
        <v>8512.19</v>
      </c>
      <c r="AC44" s="66">
        <v>7</v>
      </c>
      <c r="AD44" s="43">
        <v>12474.55</v>
      </c>
      <c r="AE44" s="69">
        <v>20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T44" s="10"/>
      <c r="AU44" s="10"/>
      <c r="AV44" s="10"/>
      <c r="AW44" s="10"/>
      <c r="AY44" s="10"/>
      <c r="AZ44" s="10"/>
      <c r="BA44" s="10"/>
      <c r="BD44" s="10"/>
      <c r="BE44" s="10"/>
      <c r="BF44" s="10"/>
      <c r="BH44" s="10"/>
      <c r="BI44" s="10"/>
      <c r="BJ44" s="10"/>
      <c r="BL44" s="10"/>
      <c r="BM44" s="10"/>
      <c r="BN44" s="10"/>
      <c r="BO44" s="10"/>
    </row>
    <row r="45" spans="1:67" x14ac:dyDescent="0.2">
      <c r="A45" s="39" t="s">
        <v>77</v>
      </c>
      <c r="B45" s="39" t="s">
        <v>34</v>
      </c>
      <c r="D45" s="39">
        <v>0</v>
      </c>
      <c r="E45" s="39">
        <v>0</v>
      </c>
      <c r="F45" s="39">
        <v>0</v>
      </c>
      <c r="H45" s="44">
        <v>0</v>
      </c>
      <c r="I45" s="67">
        <v>0</v>
      </c>
      <c r="J45" s="44">
        <v>0</v>
      </c>
      <c r="K45" s="67">
        <v>0</v>
      </c>
      <c r="L45" s="44">
        <v>0</v>
      </c>
      <c r="M45" s="67">
        <v>0</v>
      </c>
      <c r="N45" s="44">
        <v>0</v>
      </c>
      <c r="O45" s="67">
        <v>0</v>
      </c>
      <c r="P45" s="44">
        <v>0</v>
      </c>
      <c r="Q45" s="67">
        <v>0</v>
      </c>
      <c r="R45" s="44">
        <v>0</v>
      </c>
      <c r="S45" s="67">
        <v>0</v>
      </c>
      <c r="T45" s="44">
        <v>0</v>
      </c>
      <c r="U45" s="67">
        <v>0</v>
      </c>
      <c r="V45" s="44">
        <v>0</v>
      </c>
      <c r="W45" s="67">
        <v>0</v>
      </c>
      <c r="X45" s="44">
        <v>0</v>
      </c>
      <c r="Y45" s="67">
        <v>0</v>
      </c>
      <c r="Z45" s="44">
        <v>0</v>
      </c>
      <c r="AA45" s="67">
        <v>0</v>
      </c>
      <c r="AB45" s="44">
        <v>0</v>
      </c>
      <c r="AC45" s="67">
        <v>0</v>
      </c>
      <c r="AD45" s="44">
        <v>0</v>
      </c>
      <c r="AE45" s="70">
        <v>0</v>
      </c>
      <c r="AG45" s="44">
        <v>0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44">
        <v>0</v>
      </c>
      <c r="AN45" s="44">
        <v>0</v>
      </c>
      <c r="AO45" s="44">
        <v>0</v>
      </c>
      <c r="AP45" s="44">
        <v>0</v>
      </c>
      <c r="AQ45" s="44">
        <v>0</v>
      </c>
      <c r="AR45" s="44">
        <v>0</v>
      </c>
      <c r="AT45" s="10"/>
      <c r="AU45" s="10"/>
      <c r="AV45" s="10"/>
      <c r="AW45" s="10"/>
      <c r="AY45" s="10"/>
      <c r="AZ45" s="10"/>
      <c r="BA45" s="10"/>
      <c r="BD45" s="10"/>
      <c r="BE45" s="10"/>
      <c r="BF45" s="10"/>
      <c r="BH45" s="10"/>
      <c r="BI45" s="10"/>
      <c r="BJ45" s="10"/>
      <c r="BL45" s="10"/>
      <c r="BM45" s="10"/>
      <c r="BN45" s="10"/>
      <c r="BO45" s="10"/>
    </row>
    <row r="46" spans="1:67" x14ac:dyDescent="0.2">
      <c r="A46" s="38" t="s">
        <v>125</v>
      </c>
      <c r="B46" s="38" t="s">
        <v>34</v>
      </c>
      <c r="D46" s="38">
        <v>0</v>
      </c>
      <c r="E46" s="38">
        <v>0</v>
      </c>
      <c r="F46" s="38">
        <v>0</v>
      </c>
      <c r="H46" s="43">
        <v>0</v>
      </c>
      <c r="I46" s="66">
        <v>0</v>
      </c>
      <c r="J46" s="43">
        <v>0</v>
      </c>
      <c r="K46" s="66">
        <v>0</v>
      </c>
      <c r="L46" s="43">
        <v>0</v>
      </c>
      <c r="M46" s="66">
        <v>0</v>
      </c>
      <c r="N46" s="43">
        <v>0</v>
      </c>
      <c r="O46" s="66">
        <v>0</v>
      </c>
      <c r="P46" s="43">
        <v>0</v>
      </c>
      <c r="Q46" s="66">
        <v>0</v>
      </c>
      <c r="R46" s="43">
        <v>0</v>
      </c>
      <c r="S46" s="66">
        <v>0</v>
      </c>
      <c r="T46" s="43">
        <v>0</v>
      </c>
      <c r="U46" s="66">
        <v>0</v>
      </c>
      <c r="V46" s="43">
        <v>0</v>
      </c>
      <c r="W46" s="66">
        <v>0</v>
      </c>
      <c r="X46" s="43">
        <v>0</v>
      </c>
      <c r="Y46" s="66">
        <v>0</v>
      </c>
      <c r="Z46" s="43">
        <v>0</v>
      </c>
      <c r="AA46" s="66">
        <v>0</v>
      </c>
      <c r="AB46" s="43">
        <v>0</v>
      </c>
      <c r="AC46" s="66">
        <v>0</v>
      </c>
      <c r="AD46" s="43">
        <v>0</v>
      </c>
      <c r="AE46" s="69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</row>
    <row r="47" spans="1:67" x14ac:dyDescent="0.2">
      <c r="A47" s="39" t="s">
        <v>80</v>
      </c>
      <c r="B47" s="39" t="s">
        <v>35</v>
      </c>
      <c r="D47" s="39">
        <v>0</v>
      </c>
      <c r="E47" s="39">
        <v>0</v>
      </c>
      <c r="F47" s="39">
        <v>0</v>
      </c>
      <c r="H47" s="44">
        <v>0</v>
      </c>
      <c r="I47" s="67">
        <v>0</v>
      </c>
      <c r="J47" s="44">
        <v>0</v>
      </c>
      <c r="K47" s="67">
        <v>0</v>
      </c>
      <c r="L47" s="44">
        <v>0</v>
      </c>
      <c r="M47" s="67">
        <v>0</v>
      </c>
      <c r="N47" s="44">
        <v>0</v>
      </c>
      <c r="O47" s="67">
        <v>0</v>
      </c>
      <c r="P47" s="44">
        <v>0</v>
      </c>
      <c r="Q47" s="67">
        <v>0</v>
      </c>
      <c r="R47" s="44">
        <v>0</v>
      </c>
      <c r="S47" s="67">
        <v>0</v>
      </c>
      <c r="T47" s="44">
        <v>0</v>
      </c>
      <c r="U47" s="67">
        <v>0</v>
      </c>
      <c r="V47" s="44">
        <v>0</v>
      </c>
      <c r="W47" s="67">
        <v>0</v>
      </c>
      <c r="X47" s="44">
        <v>0</v>
      </c>
      <c r="Y47" s="67">
        <v>0</v>
      </c>
      <c r="Z47" s="44">
        <v>0</v>
      </c>
      <c r="AA47" s="67">
        <v>0</v>
      </c>
      <c r="AB47" s="44">
        <v>0</v>
      </c>
      <c r="AC47" s="67">
        <v>0</v>
      </c>
      <c r="AD47" s="44">
        <v>0</v>
      </c>
      <c r="AE47" s="70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44">
        <v>0</v>
      </c>
      <c r="AN47" s="44">
        <v>0</v>
      </c>
      <c r="AO47" s="44">
        <v>0</v>
      </c>
      <c r="AP47" s="44">
        <v>0</v>
      </c>
      <c r="AQ47" s="44">
        <v>0</v>
      </c>
      <c r="AR47" s="44">
        <v>0</v>
      </c>
      <c r="AT47" s="10"/>
      <c r="AU47" s="10" t="s">
        <v>38</v>
      </c>
      <c r="AV47" s="10"/>
      <c r="AW47" s="10"/>
      <c r="AY47" s="10"/>
      <c r="AZ47" s="10"/>
      <c r="BA47" s="10"/>
      <c r="BD47" s="10" t="s">
        <v>38</v>
      </c>
      <c r="BE47" s="10"/>
      <c r="BF47" s="10"/>
      <c r="BH47" s="10"/>
      <c r="BI47" s="10"/>
      <c r="BJ47" s="10"/>
      <c r="BL47" s="10"/>
      <c r="BM47" s="10" t="s">
        <v>38</v>
      </c>
      <c r="BN47" s="10"/>
      <c r="BO47" s="10"/>
    </row>
    <row r="48" spans="1:67" x14ac:dyDescent="0.2">
      <c r="A48" s="38" t="s">
        <v>81</v>
      </c>
      <c r="B48" s="38" t="s">
        <v>35</v>
      </c>
      <c r="D48" s="38">
        <v>0</v>
      </c>
      <c r="E48" s="38">
        <v>0</v>
      </c>
      <c r="F48" s="38">
        <v>0</v>
      </c>
      <c r="H48" s="43">
        <v>0</v>
      </c>
      <c r="I48" s="66">
        <v>0</v>
      </c>
      <c r="J48" s="43">
        <v>0</v>
      </c>
      <c r="K48" s="66">
        <v>0</v>
      </c>
      <c r="L48" s="43">
        <v>0</v>
      </c>
      <c r="M48" s="66">
        <v>0</v>
      </c>
      <c r="N48" s="43">
        <v>0</v>
      </c>
      <c r="O48" s="66">
        <v>0</v>
      </c>
      <c r="P48" s="43">
        <v>0</v>
      </c>
      <c r="Q48" s="66">
        <v>0</v>
      </c>
      <c r="R48" s="43">
        <v>0</v>
      </c>
      <c r="S48" s="66">
        <v>0</v>
      </c>
      <c r="T48" s="43">
        <v>0</v>
      </c>
      <c r="U48" s="66">
        <v>0</v>
      </c>
      <c r="V48" s="43">
        <v>0</v>
      </c>
      <c r="W48" s="66">
        <v>0</v>
      </c>
      <c r="X48" s="43">
        <v>0</v>
      </c>
      <c r="Y48" s="66">
        <v>0</v>
      </c>
      <c r="Z48" s="43">
        <v>0</v>
      </c>
      <c r="AA48" s="66">
        <v>0</v>
      </c>
      <c r="AB48" s="43">
        <v>0</v>
      </c>
      <c r="AC48" s="66">
        <v>0</v>
      </c>
      <c r="AD48" s="43">
        <v>0</v>
      </c>
      <c r="AE48" s="69">
        <v>0</v>
      </c>
      <c r="AG48" s="43">
        <v>0</v>
      </c>
      <c r="AH48" s="43">
        <v>0</v>
      </c>
      <c r="AI48" s="43">
        <v>0</v>
      </c>
      <c r="AJ48" s="43">
        <v>0</v>
      </c>
      <c r="AK48" s="43">
        <v>0</v>
      </c>
      <c r="AL48" s="43">
        <v>0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0</v>
      </c>
      <c r="AT48" s="10" t="s">
        <v>36</v>
      </c>
      <c r="AU48" s="84">
        <v>28994.720000000001</v>
      </c>
      <c r="AV48" s="84">
        <v>45181.1</v>
      </c>
      <c r="AW48" s="84">
        <v>34627.1</v>
      </c>
      <c r="AY48" s="86" t="s">
        <v>33</v>
      </c>
      <c r="AZ48" s="15"/>
      <c r="BA48" s="87"/>
      <c r="BC48" t="s">
        <v>36</v>
      </c>
      <c r="BD48" s="85">
        <v>63</v>
      </c>
      <c r="BE48" s="85">
        <v>96</v>
      </c>
      <c r="BF48" s="85">
        <v>92</v>
      </c>
      <c r="BH48" s="86" t="s">
        <v>33</v>
      </c>
      <c r="BI48" s="15"/>
      <c r="BJ48" s="87"/>
      <c r="BL48" s="10" t="s">
        <v>36</v>
      </c>
      <c r="BM48" s="84">
        <v>2318.62</v>
      </c>
      <c r="BN48" s="84">
        <v>6184.68</v>
      </c>
      <c r="BO48" s="84">
        <v>4702.47</v>
      </c>
    </row>
    <row r="49" spans="1:67" x14ac:dyDescent="0.2">
      <c r="A49" s="39" t="s">
        <v>82</v>
      </c>
      <c r="B49" s="39" t="s">
        <v>35</v>
      </c>
      <c r="D49" s="39">
        <v>0</v>
      </c>
      <c r="E49" s="39">
        <v>0</v>
      </c>
      <c r="F49" s="39">
        <v>0</v>
      </c>
      <c r="H49" s="44">
        <v>0</v>
      </c>
      <c r="I49" s="67">
        <v>0</v>
      </c>
      <c r="J49" s="44">
        <v>0</v>
      </c>
      <c r="K49" s="67">
        <v>0</v>
      </c>
      <c r="L49" s="44">
        <v>0</v>
      </c>
      <c r="M49" s="67">
        <v>0</v>
      </c>
      <c r="N49" s="44">
        <v>0</v>
      </c>
      <c r="O49" s="67">
        <v>0</v>
      </c>
      <c r="P49" s="44">
        <v>0</v>
      </c>
      <c r="Q49" s="67">
        <v>0</v>
      </c>
      <c r="R49" s="44">
        <v>0</v>
      </c>
      <c r="S49" s="67">
        <v>0</v>
      </c>
      <c r="T49" s="44">
        <v>0</v>
      </c>
      <c r="U49" s="67">
        <v>0</v>
      </c>
      <c r="V49" s="44">
        <v>0</v>
      </c>
      <c r="W49" s="67">
        <v>0</v>
      </c>
      <c r="X49" s="44">
        <v>0</v>
      </c>
      <c r="Y49" s="67">
        <v>0</v>
      </c>
      <c r="Z49" s="44">
        <v>0</v>
      </c>
      <c r="AA49" s="67">
        <v>0</v>
      </c>
      <c r="AB49" s="44">
        <v>0</v>
      </c>
      <c r="AC49" s="67">
        <v>0</v>
      </c>
      <c r="AD49" s="44">
        <v>0</v>
      </c>
      <c r="AE49" s="70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44">
        <v>0</v>
      </c>
      <c r="AN49" s="44">
        <v>0</v>
      </c>
      <c r="AO49" s="44">
        <v>0</v>
      </c>
      <c r="AP49" s="44">
        <v>0</v>
      </c>
      <c r="AQ49" s="44">
        <v>0</v>
      </c>
      <c r="AR49" s="44">
        <v>0</v>
      </c>
      <c r="AT49" s="10"/>
      <c r="AU49" s="11"/>
      <c r="AV49" s="11"/>
      <c r="AW49" s="11"/>
      <c r="AY49" s="10"/>
      <c r="AZ49" s="10"/>
      <c r="BA49" s="10"/>
      <c r="BD49" s="10"/>
      <c r="BE49" s="10"/>
      <c r="BF49" s="10"/>
      <c r="BH49" s="10"/>
      <c r="BI49" s="10"/>
      <c r="BJ49" s="10"/>
      <c r="BL49" s="10"/>
      <c r="BM49" s="11"/>
      <c r="BN49" s="11"/>
      <c r="BO49" s="11"/>
    </row>
    <row r="50" spans="1:67" x14ac:dyDescent="0.2">
      <c r="A50" s="38" t="s">
        <v>39</v>
      </c>
      <c r="B50" s="38" t="s">
        <v>35</v>
      </c>
      <c r="D50" s="38">
        <v>0</v>
      </c>
      <c r="E50" s="38">
        <v>0</v>
      </c>
      <c r="F50" s="38">
        <v>0</v>
      </c>
      <c r="H50" s="43">
        <v>0</v>
      </c>
      <c r="I50" s="66">
        <v>0</v>
      </c>
      <c r="J50" s="43">
        <v>0</v>
      </c>
      <c r="K50" s="66">
        <v>0</v>
      </c>
      <c r="L50" s="43">
        <v>0</v>
      </c>
      <c r="M50" s="66">
        <v>0</v>
      </c>
      <c r="N50" s="43">
        <v>0</v>
      </c>
      <c r="O50" s="66">
        <v>0</v>
      </c>
      <c r="P50" s="43">
        <v>0</v>
      </c>
      <c r="Q50" s="66">
        <v>0</v>
      </c>
      <c r="R50" s="43">
        <v>0</v>
      </c>
      <c r="S50" s="66">
        <v>0</v>
      </c>
      <c r="T50" s="43">
        <v>0</v>
      </c>
      <c r="U50" s="66">
        <v>0</v>
      </c>
      <c r="V50" s="43">
        <v>0</v>
      </c>
      <c r="W50" s="66">
        <v>0</v>
      </c>
      <c r="X50" s="43">
        <v>0</v>
      </c>
      <c r="Y50" s="66">
        <v>0</v>
      </c>
      <c r="Z50" s="43">
        <v>0</v>
      </c>
      <c r="AA50" s="66">
        <v>0</v>
      </c>
      <c r="AB50" s="43">
        <v>0</v>
      </c>
      <c r="AC50" s="66">
        <v>0</v>
      </c>
      <c r="AD50" s="43">
        <v>0</v>
      </c>
      <c r="AE50" s="69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T50" s="10"/>
      <c r="AU50" s="11"/>
      <c r="AV50" s="11"/>
      <c r="AW50" s="11"/>
      <c r="AY50" s="10"/>
      <c r="AZ50" s="10"/>
      <c r="BA50" s="10"/>
      <c r="BD50" s="10"/>
      <c r="BE50" s="10"/>
      <c r="BF50" s="10"/>
      <c r="BH50" s="10"/>
      <c r="BI50" s="10"/>
      <c r="BJ50" s="10"/>
      <c r="BL50" s="10"/>
      <c r="BM50" s="10"/>
      <c r="BN50" s="10"/>
      <c r="BO50" s="10"/>
    </row>
    <row r="51" spans="1:67" x14ac:dyDescent="0.2">
      <c r="A51" s="39" t="s">
        <v>40</v>
      </c>
      <c r="B51" s="39" t="s">
        <v>35</v>
      </c>
      <c r="D51" s="39">
        <v>0</v>
      </c>
      <c r="E51" s="39">
        <v>0</v>
      </c>
      <c r="F51" s="39">
        <v>0</v>
      </c>
      <c r="H51" s="44">
        <v>0</v>
      </c>
      <c r="I51" s="67">
        <v>0</v>
      </c>
      <c r="J51" s="44">
        <v>0</v>
      </c>
      <c r="K51" s="67">
        <v>0</v>
      </c>
      <c r="L51" s="44">
        <v>0</v>
      </c>
      <c r="M51" s="67">
        <v>0</v>
      </c>
      <c r="N51" s="44">
        <v>0</v>
      </c>
      <c r="O51" s="67">
        <v>0</v>
      </c>
      <c r="P51" s="44">
        <v>0</v>
      </c>
      <c r="Q51" s="67">
        <v>0</v>
      </c>
      <c r="R51" s="44">
        <v>0</v>
      </c>
      <c r="S51" s="67">
        <v>0</v>
      </c>
      <c r="T51" s="44">
        <v>0</v>
      </c>
      <c r="U51" s="67">
        <v>0</v>
      </c>
      <c r="V51" s="44">
        <v>0</v>
      </c>
      <c r="W51" s="67">
        <v>0</v>
      </c>
      <c r="X51" s="44">
        <v>0</v>
      </c>
      <c r="Y51" s="67">
        <v>0</v>
      </c>
      <c r="Z51" s="44">
        <v>0</v>
      </c>
      <c r="AA51" s="67">
        <v>0</v>
      </c>
      <c r="AB51" s="44">
        <v>0</v>
      </c>
      <c r="AC51" s="67">
        <v>0</v>
      </c>
      <c r="AD51" s="44">
        <v>0</v>
      </c>
      <c r="AE51" s="70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44">
        <v>0</v>
      </c>
      <c r="AN51" s="44">
        <v>0</v>
      </c>
      <c r="AO51" s="44">
        <v>0</v>
      </c>
      <c r="AP51" s="44">
        <v>0</v>
      </c>
      <c r="AQ51" s="44">
        <v>0</v>
      </c>
      <c r="AR51" s="44">
        <v>0</v>
      </c>
      <c r="AT51" s="10"/>
      <c r="AU51" s="10"/>
      <c r="AV51" s="10"/>
      <c r="AW51" s="10"/>
      <c r="AY51" s="10"/>
      <c r="AZ51" s="10"/>
      <c r="BA51" s="10"/>
      <c r="BD51" s="10"/>
      <c r="BE51" s="10"/>
      <c r="BF51" s="10"/>
      <c r="BH51" s="10"/>
      <c r="BI51" s="10"/>
      <c r="BJ51" s="10"/>
      <c r="BL51" s="10"/>
      <c r="BM51" s="10"/>
      <c r="BN51" s="10"/>
      <c r="BO51" s="10"/>
    </row>
    <row r="52" spans="1:67" x14ac:dyDescent="0.2">
      <c r="A52" s="38" t="s">
        <v>41</v>
      </c>
      <c r="B52" s="38" t="s">
        <v>35</v>
      </c>
      <c r="D52" s="38">
        <v>0</v>
      </c>
      <c r="E52" s="38">
        <v>0</v>
      </c>
      <c r="F52" s="38">
        <v>0</v>
      </c>
      <c r="H52" s="43">
        <v>0</v>
      </c>
      <c r="I52" s="66">
        <v>0</v>
      </c>
      <c r="J52" s="43">
        <v>0</v>
      </c>
      <c r="K52" s="66">
        <v>0</v>
      </c>
      <c r="L52" s="43">
        <v>0</v>
      </c>
      <c r="M52" s="66">
        <v>0</v>
      </c>
      <c r="N52" s="43">
        <v>0</v>
      </c>
      <c r="O52" s="66">
        <v>0</v>
      </c>
      <c r="P52" s="43">
        <v>0</v>
      </c>
      <c r="Q52" s="66">
        <v>0</v>
      </c>
      <c r="R52" s="43">
        <v>0</v>
      </c>
      <c r="S52" s="66">
        <v>0</v>
      </c>
      <c r="T52" s="43">
        <v>0</v>
      </c>
      <c r="U52" s="66">
        <v>0</v>
      </c>
      <c r="V52" s="43">
        <v>0</v>
      </c>
      <c r="W52" s="66">
        <v>0</v>
      </c>
      <c r="X52" s="43">
        <v>0</v>
      </c>
      <c r="Y52" s="66">
        <v>0</v>
      </c>
      <c r="Z52" s="43">
        <v>0</v>
      </c>
      <c r="AA52" s="66">
        <v>0</v>
      </c>
      <c r="AB52" s="43">
        <v>0</v>
      </c>
      <c r="AC52" s="66">
        <v>0</v>
      </c>
      <c r="AD52" s="43">
        <v>0</v>
      </c>
      <c r="AE52" s="69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T52" s="10"/>
      <c r="AU52" s="10"/>
      <c r="AV52" s="10"/>
      <c r="AW52" s="10"/>
      <c r="AY52" s="10"/>
      <c r="AZ52" s="10"/>
      <c r="BA52" s="10"/>
      <c r="BD52" s="10"/>
      <c r="BE52" s="10"/>
      <c r="BF52" s="10"/>
      <c r="BH52" s="10"/>
      <c r="BI52" s="10"/>
      <c r="BJ52" s="10"/>
      <c r="BL52" s="10"/>
      <c r="BM52" s="10"/>
      <c r="BN52" s="10"/>
      <c r="BO52" s="10"/>
    </row>
    <row r="53" spans="1:67" x14ac:dyDescent="0.2">
      <c r="A53" s="39" t="s">
        <v>42</v>
      </c>
      <c r="B53" s="39" t="s">
        <v>35</v>
      </c>
      <c r="D53" s="39">
        <v>0</v>
      </c>
      <c r="E53" s="39">
        <v>0</v>
      </c>
      <c r="F53" s="39">
        <v>0</v>
      </c>
      <c r="H53" s="44">
        <v>0</v>
      </c>
      <c r="I53" s="67">
        <v>0</v>
      </c>
      <c r="J53" s="44">
        <v>0</v>
      </c>
      <c r="K53" s="67">
        <v>0</v>
      </c>
      <c r="L53" s="44">
        <v>0</v>
      </c>
      <c r="M53" s="67">
        <v>0</v>
      </c>
      <c r="N53" s="44">
        <v>0</v>
      </c>
      <c r="O53" s="67">
        <v>0</v>
      </c>
      <c r="P53" s="44">
        <v>0</v>
      </c>
      <c r="Q53" s="67">
        <v>0</v>
      </c>
      <c r="R53" s="44">
        <v>0</v>
      </c>
      <c r="S53" s="67">
        <v>0</v>
      </c>
      <c r="T53" s="44">
        <v>0</v>
      </c>
      <c r="U53" s="67">
        <v>0</v>
      </c>
      <c r="V53" s="44">
        <v>0</v>
      </c>
      <c r="W53" s="67">
        <v>0</v>
      </c>
      <c r="X53" s="44">
        <v>0</v>
      </c>
      <c r="Y53" s="67">
        <v>0</v>
      </c>
      <c r="Z53" s="44">
        <v>0</v>
      </c>
      <c r="AA53" s="67">
        <v>0</v>
      </c>
      <c r="AB53" s="44">
        <v>0</v>
      </c>
      <c r="AC53" s="67">
        <v>0</v>
      </c>
      <c r="AD53" s="44">
        <v>0</v>
      </c>
      <c r="AE53" s="70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44">
        <v>0</v>
      </c>
      <c r="AN53" s="44">
        <v>0</v>
      </c>
      <c r="AO53" s="44">
        <v>0</v>
      </c>
      <c r="AP53" s="44">
        <v>0</v>
      </c>
      <c r="AQ53" s="44">
        <v>0</v>
      </c>
      <c r="AR53" s="44">
        <v>0</v>
      </c>
      <c r="AT53" s="10"/>
      <c r="AU53" s="10"/>
      <c r="AV53" s="10"/>
      <c r="AW53" s="10"/>
      <c r="AY53" s="10"/>
      <c r="AZ53" s="10"/>
      <c r="BA53" s="10"/>
      <c r="BD53" s="10"/>
      <c r="BE53" s="10"/>
      <c r="BF53" s="10"/>
      <c r="BH53" s="10"/>
      <c r="BI53" s="10"/>
      <c r="BJ53" s="10"/>
      <c r="BL53" s="10"/>
      <c r="BM53" s="10"/>
      <c r="BN53" s="10"/>
      <c r="BO53" s="10"/>
    </row>
    <row r="54" spans="1:67" x14ac:dyDescent="0.2">
      <c r="A54" s="38" t="s">
        <v>43</v>
      </c>
      <c r="B54" s="38" t="s">
        <v>35</v>
      </c>
      <c r="D54" s="38">
        <v>0</v>
      </c>
      <c r="E54" s="38">
        <v>0</v>
      </c>
      <c r="F54" s="38">
        <v>0</v>
      </c>
      <c r="H54" s="43">
        <v>0</v>
      </c>
      <c r="I54" s="66">
        <v>0</v>
      </c>
      <c r="J54" s="43">
        <v>0</v>
      </c>
      <c r="K54" s="66">
        <v>0</v>
      </c>
      <c r="L54" s="43">
        <v>0</v>
      </c>
      <c r="M54" s="66">
        <v>0</v>
      </c>
      <c r="N54" s="43">
        <v>0</v>
      </c>
      <c r="O54" s="66">
        <v>0</v>
      </c>
      <c r="P54" s="43">
        <v>0</v>
      </c>
      <c r="Q54" s="66">
        <v>0</v>
      </c>
      <c r="R54" s="43">
        <v>0</v>
      </c>
      <c r="S54" s="66">
        <v>0</v>
      </c>
      <c r="T54" s="43">
        <v>0</v>
      </c>
      <c r="U54" s="66">
        <v>0</v>
      </c>
      <c r="V54" s="43">
        <v>0</v>
      </c>
      <c r="W54" s="66">
        <v>0</v>
      </c>
      <c r="X54" s="43">
        <v>0</v>
      </c>
      <c r="Y54" s="66">
        <v>0</v>
      </c>
      <c r="Z54" s="43">
        <v>0</v>
      </c>
      <c r="AA54" s="66">
        <v>0</v>
      </c>
      <c r="AB54" s="43">
        <v>0</v>
      </c>
      <c r="AC54" s="66">
        <v>0</v>
      </c>
      <c r="AD54" s="43">
        <v>0</v>
      </c>
      <c r="AE54" s="69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T54" s="10"/>
      <c r="AU54" s="10"/>
      <c r="AV54" s="10"/>
      <c r="AW54" s="10"/>
      <c r="AY54" s="10"/>
      <c r="AZ54" s="10"/>
      <c r="BA54" s="10"/>
      <c r="BD54" s="10"/>
      <c r="BE54" s="10"/>
      <c r="BF54" s="10"/>
      <c r="BH54" s="10"/>
      <c r="BI54" s="10"/>
      <c r="BJ54" s="10"/>
      <c r="BL54" s="10"/>
      <c r="BM54" s="10"/>
      <c r="BN54" s="10"/>
      <c r="BO54" s="10"/>
    </row>
    <row r="55" spans="1:67" x14ac:dyDescent="0.2">
      <c r="A55" s="39" t="s">
        <v>44</v>
      </c>
      <c r="B55" s="39" t="s">
        <v>35</v>
      </c>
      <c r="D55" s="39">
        <v>0</v>
      </c>
      <c r="E55" s="39">
        <v>0</v>
      </c>
      <c r="F55" s="39">
        <v>0</v>
      </c>
      <c r="H55" s="44">
        <v>0</v>
      </c>
      <c r="I55" s="67">
        <v>0</v>
      </c>
      <c r="J55" s="44">
        <v>0</v>
      </c>
      <c r="K55" s="67">
        <v>0</v>
      </c>
      <c r="L55" s="44">
        <v>0</v>
      </c>
      <c r="M55" s="67">
        <v>0</v>
      </c>
      <c r="N55" s="44">
        <v>0</v>
      </c>
      <c r="O55" s="67">
        <v>0</v>
      </c>
      <c r="P55" s="44">
        <v>0</v>
      </c>
      <c r="Q55" s="67">
        <v>0</v>
      </c>
      <c r="R55" s="44">
        <v>0</v>
      </c>
      <c r="S55" s="67">
        <v>0</v>
      </c>
      <c r="T55" s="44">
        <v>0</v>
      </c>
      <c r="U55" s="67">
        <v>0</v>
      </c>
      <c r="V55" s="44">
        <v>0</v>
      </c>
      <c r="W55" s="67">
        <v>0</v>
      </c>
      <c r="X55" s="44">
        <v>0</v>
      </c>
      <c r="Y55" s="67">
        <v>0</v>
      </c>
      <c r="Z55" s="44">
        <v>0</v>
      </c>
      <c r="AA55" s="67">
        <v>0</v>
      </c>
      <c r="AB55" s="44">
        <v>0</v>
      </c>
      <c r="AC55" s="67">
        <v>0</v>
      </c>
      <c r="AD55" s="44">
        <v>0</v>
      </c>
      <c r="AE55" s="70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44">
        <v>0</v>
      </c>
      <c r="AN55" s="44">
        <v>0</v>
      </c>
      <c r="AO55" s="44">
        <v>0</v>
      </c>
      <c r="AP55" s="44">
        <v>0</v>
      </c>
      <c r="AQ55" s="44">
        <v>0</v>
      </c>
      <c r="AR55" s="44">
        <v>0</v>
      </c>
      <c r="AT55" s="10"/>
      <c r="AU55" s="10"/>
      <c r="AV55" s="10"/>
      <c r="AW55" s="10"/>
      <c r="AY55" s="10"/>
      <c r="AZ55" s="10"/>
      <c r="BA55" s="10"/>
      <c r="BD55" s="10"/>
      <c r="BE55" s="10"/>
      <c r="BF55" s="10"/>
      <c r="BH55" s="10"/>
      <c r="BI55" s="10"/>
      <c r="BJ55" s="10"/>
      <c r="BL55" s="10"/>
      <c r="BM55" s="10"/>
      <c r="BN55" s="10"/>
      <c r="BO55" s="10"/>
    </row>
    <row r="56" spans="1:67" x14ac:dyDescent="0.2">
      <c r="A56" s="38" t="s">
        <v>45</v>
      </c>
      <c r="B56" s="38" t="s">
        <v>35</v>
      </c>
      <c r="D56" s="38">
        <v>0</v>
      </c>
      <c r="E56" s="38">
        <v>0</v>
      </c>
      <c r="F56" s="38">
        <v>0</v>
      </c>
      <c r="H56" s="43">
        <v>0</v>
      </c>
      <c r="I56" s="66">
        <v>0</v>
      </c>
      <c r="J56" s="43">
        <v>0</v>
      </c>
      <c r="K56" s="66">
        <v>0</v>
      </c>
      <c r="L56" s="43">
        <v>0</v>
      </c>
      <c r="M56" s="66">
        <v>0</v>
      </c>
      <c r="N56" s="43">
        <v>0</v>
      </c>
      <c r="O56" s="66">
        <v>0</v>
      </c>
      <c r="P56" s="43">
        <v>0</v>
      </c>
      <c r="Q56" s="66">
        <v>0</v>
      </c>
      <c r="R56" s="43">
        <v>0</v>
      </c>
      <c r="S56" s="66">
        <v>0</v>
      </c>
      <c r="T56" s="43">
        <v>0</v>
      </c>
      <c r="U56" s="66">
        <v>0</v>
      </c>
      <c r="V56" s="43">
        <v>0</v>
      </c>
      <c r="W56" s="66">
        <v>0</v>
      </c>
      <c r="X56" s="43">
        <v>0</v>
      </c>
      <c r="Y56" s="66">
        <v>0</v>
      </c>
      <c r="Z56" s="43">
        <v>0</v>
      </c>
      <c r="AA56" s="66">
        <v>0</v>
      </c>
      <c r="AB56" s="43">
        <v>0</v>
      </c>
      <c r="AC56" s="66">
        <v>0</v>
      </c>
      <c r="AD56" s="43">
        <v>0</v>
      </c>
      <c r="AE56" s="69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T56" s="10"/>
      <c r="AU56" s="10"/>
      <c r="AV56" s="10"/>
      <c r="AW56" s="10"/>
      <c r="AY56" s="10"/>
      <c r="AZ56" s="10"/>
      <c r="BA56" s="10"/>
      <c r="BD56" s="10"/>
      <c r="BE56" s="10"/>
      <c r="BF56" s="10"/>
      <c r="BH56" s="10"/>
      <c r="BI56" s="10"/>
      <c r="BJ56" s="10"/>
      <c r="BL56" s="10"/>
      <c r="BM56" s="10"/>
      <c r="BN56" s="10"/>
      <c r="BO56" s="10"/>
    </row>
    <row r="57" spans="1:67" x14ac:dyDescent="0.2">
      <c r="A57" s="39" t="s">
        <v>46</v>
      </c>
      <c r="B57" s="39" t="s">
        <v>35</v>
      </c>
      <c r="D57" s="39">
        <v>0</v>
      </c>
      <c r="E57" s="39">
        <v>0</v>
      </c>
      <c r="F57" s="39">
        <v>0</v>
      </c>
      <c r="H57" s="44">
        <v>0</v>
      </c>
      <c r="I57" s="67">
        <v>0</v>
      </c>
      <c r="J57" s="44">
        <v>0</v>
      </c>
      <c r="K57" s="67">
        <v>0</v>
      </c>
      <c r="L57" s="44">
        <v>0</v>
      </c>
      <c r="M57" s="67">
        <v>0</v>
      </c>
      <c r="N57" s="44">
        <v>0</v>
      </c>
      <c r="O57" s="67">
        <v>0</v>
      </c>
      <c r="P57" s="44">
        <v>0</v>
      </c>
      <c r="Q57" s="67">
        <v>0</v>
      </c>
      <c r="R57" s="44">
        <v>0</v>
      </c>
      <c r="S57" s="67">
        <v>0</v>
      </c>
      <c r="T57" s="44">
        <v>0</v>
      </c>
      <c r="U57" s="67">
        <v>0</v>
      </c>
      <c r="V57" s="44">
        <v>0</v>
      </c>
      <c r="W57" s="67">
        <v>0</v>
      </c>
      <c r="X57" s="44">
        <v>0</v>
      </c>
      <c r="Y57" s="67">
        <v>0</v>
      </c>
      <c r="Z57" s="44">
        <v>0</v>
      </c>
      <c r="AA57" s="67">
        <v>0</v>
      </c>
      <c r="AB57" s="44">
        <v>0</v>
      </c>
      <c r="AC57" s="67">
        <v>0</v>
      </c>
      <c r="AD57" s="44">
        <v>0</v>
      </c>
      <c r="AE57" s="70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44">
        <v>0</v>
      </c>
      <c r="AN57" s="44">
        <v>0</v>
      </c>
      <c r="AO57" s="44">
        <v>0</v>
      </c>
      <c r="AP57" s="44">
        <v>0</v>
      </c>
      <c r="AQ57" s="44">
        <v>0</v>
      </c>
      <c r="AR57" s="44">
        <v>0</v>
      </c>
      <c r="AT57" s="10"/>
      <c r="AU57" s="10"/>
      <c r="AV57" s="10"/>
      <c r="AW57" s="10"/>
      <c r="AY57" s="10"/>
      <c r="AZ57" s="10"/>
      <c r="BA57" s="10"/>
      <c r="BD57" s="10"/>
      <c r="BE57" s="10"/>
      <c r="BF57" s="10"/>
      <c r="BH57" s="10"/>
      <c r="BI57" s="10"/>
      <c r="BJ57" s="10"/>
      <c r="BL57" s="10"/>
      <c r="BM57" s="10"/>
      <c r="BN57" s="10"/>
      <c r="BO57" s="10"/>
    </row>
    <row r="58" spans="1:67" x14ac:dyDescent="0.2">
      <c r="A58" s="38" t="s">
        <v>47</v>
      </c>
      <c r="B58" s="38" t="s">
        <v>35</v>
      </c>
      <c r="D58" s="38">
        <v>0</v>
      </c>
      <c r="E58" s="38">
        <v>0</v>
      </c>
      <c r="F58" s="38">
        <v>0</v>
      </c>
      <c r="H58" s="43">
        <v>0</v>
      </c>
      <c r="I58" s="66">
        <v>0</v>
      </c>
      <c r="J58" s="43">
        <v>0</v>
      </c>
      <c r="K58" s="66">
        <v>0</v>
      </c>
      <c r="L58" s="43">
        <v>0</v>
      </c>
      <c r="M58" s="66">
        <v>0</v>
      </c>
      <c r="N58" s="43">
        <v>0</v>
      </c>
      <c r="O58" s="66">
        <v>0</v>
      </c>
      <c r="P58" s="43">
        <v>0</v>
      </c>
      <c r="Q58" s="66">
        <v>0</v>
      </c>
      <c r="R58" s="43">
        <v>0</v>
      </c>
      <c r="S58" s="66">
        <v>0</v>
      </c>
      <c r="T58" s="43">
        <v>0</v>
      </c>
      <c r="U58" s="66">
        <v>0</v>
      </c>
      <c r="V58" s="43">
        <v>0</v>
      </c>
      <c r="W58" s="66">
        <v>0</v>
      </c>
      <c r="X58" s="43">
        <v>0</v>
      </c>
      <c r="Y58" s="66">
        <v>0</v>
      </c>
      <c r="Z58" s="43">
        <v>0</v>
      </c>
      <c r="AA58" s="66">
        <v>0</v>
      </c>
      <c r="AB58" s="43">
        <v>0</v>
      </c>
      <c r="AC58" s="66">
        <v>0</v>
      </c>
      <c r="AD58" s="43">
        <v>0</v>
      </c>
      <c r="AE58" s="69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T58" s="10"/>
      <c r="AU58" s="10"/>
      <c r="AV58" s="10"/>
      <c r="AW58" s="10"/>
      <c r="AY58" s="10"/>
      <c r="AZ58" s="10"/>
      <c r="BA58" s="10"/>
      <c r="BD58" s="10"/>
      <c r="BE58" s="10"/>
      <c r="BF58" s="10"/>
      <c r="BH58" s="10"/>
      <c r="BI58" s="10"/>
      <c r="BJ58" s="10"/>
      <c r="BL58" s="10"/>
      <c r="BM58" s="10"/>
      <c r="BN58" s="10"/>
      <c r="BO58" s="10"/>
    </row>
    <row r="59" spans="1:67" x14ac:dyDescent="0.2">
      <c r="A59" s="39" t="s">
        <v>48</v>
      </c>
      <c r="B59" s="39" t="s">
        <v>35</v>
      </c>
      <c r="D59" s="39">
        <v>0</v>
      </c>
      <c r="E59" s="39">
        <v>0</v>
      </c>
      <c r="F59" s="39">
        <v>0</v>
      </c>
      <c r="H59" s="44">
        <v>0</v>
      </c>
      <c r="I59" s="67">
        <v>0</v>
      </c>
      <c r="J59" s="44">
        <v>0</v>
      </c>
      <c r="K59" s="67">
        <v>0</v>
      </c>
      <c r="L59" s="44">
        <v>0</v>
      </c>
      <c r="M59" s="67">
        <v>0</v>
      </c>
      <c r="N59" s="44">
        <v>0</v>
      </c>
      <c r="O59" s="67">
        <v>0</v>
      </c>
      <c r="P59" s="44">
        <v>0</v>
      </c>
      <c r="Q59" s="67">
        <v>0</v>
      </c>
      <c r="R59" s="44">
        <v>0</v>
      </c>
      <c r="S59" s="67">
        <v>0</v>
      </c>
      <c r="T59" s="44">
        <v>0</v>
      </c>
      <c r="U59" s="67">
        <v>0</v>
      </c>
      <c r="V59" s="44">
        <v>0</v>
      </c>
      <c r="W59" s="67">
        <v>0</v>
      </c>
      <c r="X59" s="44">
        <v>0</v>
      </c>
      <c r="Y59" s="67">
        <v>0</v>
      </c>
      <c r="Z59" s="44">
        <v>0</v>
      </c>
      <c r="AA59" s="67">
        <v>0</v>
      </c>
      <c r="AB59" s="44">
        <v>0</v>
      </c>
      <c r="AC59" s="67">
        <v>0</v>
      </c>
      <c r="AD59" s="44">
        <v>0</v>
      </c>
      <c r="AE59" s="70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44">
        <v>0</v>
      </c>
      <c r="AN59" s="44">
        <v>0</v>
      </c>
      <c r="AO59" s="44">
        <v>0</v>
      </c>
      <c r="AP59" s="44">
        <v>0</v>
      </c>
      <c r="AQ59" s="44">
        <v>0</v>
      </c>
      <c r="AR59" s="44">
        <v>0</v>
      </c>
      <c r="AT59" s="10"/>
      <c r="AU59" s="10"/>
      <c r="AV59" s="10"/>
      <c r="AW59" s="10"/>
      <c r="AY59" s="10"/>
      <c r="AZ59" s="10"/>
      <c r="BA59" s="10"/>
      <c r="BD59" s="10"/>
      <c r="BE59" s="10"/>
      <c r="BF59" s="10"/>
      <c r="BH59" s="10"/>
      <c r="BI59" s="10"/>
      <c r="BJ59" s="10"/>
      <c r="BL59" s="10"/>
      <c r="BM59" s="10"/>
      <c r="BN59" s="10"/>
      <c r="BO59" s="10"/>
    </row>
    <row r="60" spans="1:67" x14ac:dyDescent="0.2">
      <c r="A60" s="38" t="s">
        <v>49</v>
      </c>
      <c r="B60" s="38" t="s">
        <v>35</v>
      </c>
      <c r="D60" s="38">
        <v>0</v>
      </c>
      <c r="E60" s="38">
        <v>0</v>
      </c>
      <c r="F60" s="38">
        <v>0</v>
      </c>
      <c r="H60" s="43">
        <v>0</v>
      </c>
      <c r="I60" s="66">
        <v>0</v>
      </c>
      <c r="J60" s="43">
        <v>0</v>
      </c>
      <c r="K60" s="66">
        <v>0</v>
      </c>
      <c r="L60" s="43">
        <v>0</v>
      </c>
      <c r="M60" s="66">
        <v>0</v>
      </c>
      <c r="N60" s="43">
        <v>0</v>
      </c>
      <c r="O60" s="66">
        <v>0</v>
      </c>
      <c r="P60" s="43">
        <v>0</v>
      </c>
      <c r="Q60" s="66">
        <v>0</v>
      </c>
      <c r="R60" s="43">
        <v>0</v>
      </c>
      <c r="S60" s="66">
        <v>0</v>
      </c>
      <c r="T60" s="43">
        <v>0</v>
      </c>
      <c r="U60" s="66">
        <v>0</v>
      </c>
      <c r="V60" s="43">
        <v>0</v>
      </c>
      <c r="W60" s="66">
        <v>0</v>
      </c>
      <c r="X60" s="43">
        <v>0</v>
      </c>
      <c r="Y60" s="66">
        <v>0</v>
      </c>
      <c r="Z60" s="43">
        <v>0</v>
      </c>
      <c r="AA60" s="66">
        <v>0</v>
      </c>
      <c r="AB60" s="43">
        <v>0</v>
      </c>
      <c r="AC60" s="66">
        <v>0</v>
      </c>
      <c r="AD60" s="43">
        <v>0</v>
      </c>
      <c r="AE60" s="69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T60" s="10"/>
      <c r="AU60" s="10"/>
      <c r="AV60" s="10"/>
      <c r="AW60" s="10"/>
      <c r="AY60" s="10"/>
      <c r="AZ60" s="10"/>
      <c r="BA60" s="10"/>
      <c r="BD60" s="10"/>
      <c r="BE60" s="10"/>
      <c r="BF60" s="10"/>
      <c r="BH60" s="10"/>
      <c r="BI60" s="10"/>
      <c r="BJ60" s="10"/>
      <c r="BL60" s="10"/>
      <c r="BM60" s="10"/>
      <c r="BN60" s="10"/>
      <c r="BO60" s="10"/>
    </row>
    <row r="61" spans="1:67" x14ac:dyDescent="0.2">
      <c r="A61" s="39" t="s">
        <v>50</v>
      </c>
      <c r="B61" s="39" t="s">
        <v>35</v>
      </c>
      <c r="D61" s="39">
        <v>0</v>
      </c>
      <c r="E61" s="39">
        <v>0</v>
      </c>
      <c r="F61" s="39">
        <v>0</v>
      </c>
      <c r="H61" s="44">
        <v>0</v>
      </c>
      <c r="I61" s="67">
        <v>0</v>
      </c>
      <c r="J61" s="44">
        <v>0</v>
      </c>
      <c r="K61" s="67">
        <v>0</v>
      </c>
      <c r="L61" s="44">
        <v>0</v>
      </c>
      <c r="M61" s="67">
        <v>0</v>
      </c>
      <c r="N61" s="44">
        <v>0</v>
      </c>
      <c r="O61" s="67">
        <v>0</v>
      </c>
      <c r="P61" s="44">
        <v>0</v>
      </c>
      <c r="Q61" s="67">
        <v>0</v>
      </c>
      <c r="R61" s="44">
        <v>0</v>
      </c>
      <c r="S61" s="67">
        <v>0</v>
      </c>
      <c r="T61" s="44">
        <v>0</v>
      </c>
      <c r="U61" s="67">
        <v>0</v>
      </c>
      <c r="V61" s="44">
        <v>0</v>
      </c>
      <c r="W61" s="67">
        <v>0</v>
      </c>
      <c r="X61" s="44">
        <v>0</v>
      </c>
      <c r="Y61" s="67">
        <v>0</v>
      </c>
      <c r="Z61" s="44">
        <v>0</v>
      </c>
      <c r="AA61" s="67">
        <v>0</v>
      </c>
      <c r="AB61" s="44">
        <v>0</v>
      </c>
      <c r="AC61" s="67">
        <v>0</v>
      </c>
      <c r="AD61" s="44">
        <v>0</v>
      </c>
      <c r="AE61" s="70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44">
        <v>0</v>
      </c>
      <c r="AN61" s="44">
        <v>0</v>
      </c>
      <c r="AO61" s="44">
        <v>0</v>
      </c>
      <c r="AP61" s="44">
        <v>0</v>
      </c>
      <c r="AQ61" s="44">
        <v>0</v>
      </c>
      <c r="AR61" s="44">
        <v>0</v>
      </c>
      <c r="AT61" s="10"/>
      <c r="AU61" s="10"/>
      <c r="AV61" s="10"/>
      <c r="AW61" s="10"/>
      <c r="AY61" s="10"/>
      <c r="AZ61" s="10"/>
      <c r="BA61" s="10"/>
      <c r="BD61" s="10"/>
      <c r="BE61" s="10"/>
      <c r="BF61" s="10"/>
      <c r="BH61" s="10"/>
      <c r="BI61" s="10"/>
      <c r="BJ61" s="10"/>
      <c r="BL61" s="10"/>
      <c r="BM61" s="10"/>
      <c r="BN61" s="10"/>
      <c r="BO61" s="10"/>
    </row>
    <row r="62" spans="1:67" x14ac:dyDescent="0.2">
      <c r="A62" s="38" t="s">
        <v>51</v>
      </c>
      <c r="B62" s="38" t="s">
        <v>35</v>
      </c>
      <c r="D62" s="38">
        <v>0</v>
      </c>
      <c r="E62" s="38">
        <v>0</v>
      </c>
      <c r="F62" s="38">
        <v>0</v>
      </c>
      <c r="H62" s="43">
        <v>0</v>
      </c>
      <c r="I62" s="66">
        <v>0</v>
      </c>
      <c r="J62" s="43">
        <v>0</v>
      </c>
      <c r="K62" s="66">
        <v>0</v>
      </c>
      <c r="L62" s="43">
        <v>0</v>
      </c>
      <c r="M62" s="66">
        <v>0</v>
      </c>
      <c r="N62" s="43">
        <v>0</v>
      </c>
      <c r="O62" s="66">
        <v>0</v>
      </c>
      <c r="P62" s="43">
        <v>0</v>
      </c>
      <c r="Q62" s="66">
        <v>0</v>
      </c>
      <c r="R62" s="43">
        <v>0</v>
      </c>
      <c r="S62" s="66">
        <v>0</v>
      </c>
      <c r="T62" s="43">
        <v>0</v>
      </c>
      <c r="U62" s="66">
        <v>0</v>
      </c>
      <c r="V62" s="43">
        <v>0</v>
      </c>
      <c r="W62" s="66">
        <v>0</v>
      </c>
      <c r="X62" s="43">
        <v>0</v>
      </c>
      <c r="Y62" s="66">
        <v>0</v>
      </c>
      <c r="Z62" s="43">
        <v>0</v>
      </c>
      <c r="AA62" s="66">
        <v>0</v>
      </c>
      <c r="AB62" s="43">
        <v>0</v>
      </c>
      <c r="AC62" s="66">
        <v>0</v>
      </c>
      <c r="AD62" s="43">
        <v>0</v>
      </c>
      <c r="AE62" s="69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T62" s="10"/>
      <c r="AU62" s="10"/>
      <c r="AV62" s="10"/>
      <c r="AW62" s="10"/>
      <c r="AY62" s="10"/>
      <c r="AZ62" s="10"/>
      <c r="BA62" s="10"/>
      <c r="BD62" s="10"/>
      <c r="BE62" s="10"/>
      <c r="BF62" s="10"/>
      <c r="BH62" s="10"/>
      <c r="BI62" s="10"/>
      <c r="BJ62" s="10"/>
      <c r="BL62" s="10"/>
      <c r="BM62" s="10"/>
      <c r="BN62" s="10"/>
      <c r="BO62" s="10"/>
    </row>
    <row r="63" spans="1:67" x14ac:dyDescent="0.2">
      <c r="A63" s="39" t="s">
        <v>52</v>
      </c>
      <c r="B63" s="39" t="s">
        <v>35</v>
      </c>
      <c r="D63" s="39">
        <v>0</v>
      </c>
      <c r="E63" s="39">
        <v>0</v>
      </c>
      <c r="F63" s="39">
        <v>0</v>
      </c>
      <c r="H63" s="44">
        <v>0</v>
      </c>
      <c r="I63" s="67">
        <v>0</v>
      </c>
      <c r="J63" s="44">
        <v>0</v>
      </c>
      <c r="K63" s="67">
        <v>0</v>
      </c>
      <c r="L63" s="44">
        <v>0</v>
      </c>
      <c r="M63" s="67">
        <v>0</v>
      </c>
      <c r="N63" s="44">
        <v>0</v>
      </c>
      <c r="O63" s="67">
        <v>0</v>
      </c>
      <c r="P63" s="44">
        <v>0</v>
      </c>
      <c r="Q63" s="67">
        <v>0</v>
      </c>
      <c r="R63" s="44">
        <v>0</v>
      </c>
      <c r="S63" s="67">
        <v>0</v>
      </c>
      <c r="T63" s="44">
        <v>0</v>
      </c>
      <c r="U63" s="67">
        <v>0</v>
      </c>
      <c r="V63" s="44">
        <v>0</v>
      </c>
      <c r="W63" s="67">
        <v>0</v>
      </c>
      <c r="X63" s="44">
        <v>0</v>
      </c>
      <c r="Y63" s="67">
        <v>0</v>
      </c>
      <c r="Z63" s="44">
        <v>0</v>
      </c>
      <c r="AA63" s="67">
        <v>0</v>
      </c>
      <c r="AB63" s="44">
        <v>0</v>
      </c>
      <c r="AC63" s="67">
        <v>0</v>
      </c>
      <c r="AD63" s="44">
        <v>0</v>
      </c>
      <c r="AE63" s="70">
        <v>0</v>
      </c>
      <c r="AG63" s="44">
        <v>0</v>
      </c>
      <c r="AH63" s="44">
        <v>0</v>
      </c>
      <c r="AI63" s="44">
        <v>0</v>
      </c>
      <c r="AJ63" s="44">
        <v>0</v>
      </c>
      <c r="AK63" s="44">
        <v>0</v>
      </c>
      <c r="AL63" s="44">
        <v>0</v>
      </c>
      <c r="AM63" s="44">
        <v>0</v>
      </c>
      <c r="AN63" s="44">
        <v>0</v>
      </c>
      <c r="AO63" s="44">
        <v>0</v>
      </c>
      <c r="AP63" s="44">
        <v>0</v>
      </c>
      <c r="AQ63" s="44">
        <v>0</v>
      </c>
      <c r="AR63" s="44">
        <v>0</v>
      </c>
      <c r="AT63" s="10"/>
      <c r="AU63" s="10"/>
      <c r="AV63" s="10"/>
      <c r="AW63" s="10"/>
      <c r="AY63" s="10"/>
      <c r="AZ63" s="10"/>
      <c r="BA63" s="10"/>
      <c r="BD63" s="10"/>
      <c r="BE63" s="10"/>
      <c r="BF63" s="10"/>
      <c r="BH63" s="10"/>
      <c r="BI63" s="10"/>
      <c r="BJ63" s="10"/>
      <c r="BL63" s="10"/>
      <c r="BM63" s="10"/>
      <c r="BN63" s="10"/>
      <c r="BO63" s="10"/>
    </row>
    <row r="64" spans="1:67" x14ac:dyDescent="0.2">
      <c r="A64" s="38" t="s">
        <v>53</v>
      </c>
      <c r="B64" s="38" t="s">
        <v>35</v>
      </c>
      <c r="D64" s="38">
        <v>0</v>
      </c>
      <c r="E64" s="38">
        <v>0</v>
      </c>
      <c r="F64" s="38">
        <v>0</v>
      </c>
      <c r="H64" s="43">
        <v>0</v>
      </c>
      <c r="I64" s="66">
        <v>0</v>
      </c>
      <c r="J64" s="43">
        <v>0</v>
      </c>
      <c r="K64" s="66">
        <v>0</v>
      </c>
      <c r="L64" s="43">
        <v>0</v>
      </c>
      <c r="M64" s="66">
        <v>0</v>
      </c>
      <c r="N64" s="43">
        <v>0</v>
      </c>
      <c r="O64" s="66">
        <v>0</v>
      </c>
      <c r="P64" s="43">
        <v>0</v>
      </c>
      <c r="Q64" s="66">
        <v>0</v>
      </c>
      <c r="R64" s="43">
        <v>0</v>
      </c>
      <c r="S64" s="66">
        <v>0</v>
      </c>
      <c r="T64" s="43">
        <v>0</v>
      </c>
      <c r="U64" s="66">
        <v>0</v>
      </c>
      <c r="V64" s="43">
        <v>0</v>
      </c>
      <c r="W64" s="66">
        <v>0</v>
      </c>
      <c r="X64" s="43">
        <v>0</v>
      </c>
      <c r="Y64" s="66">
        <v>0</v>
      </c>
      <c r="Z64" s="43">
        <v>0</v>
      </c>
      <c r="AA64" s="66">
        <v>0</v>
      </c>
      <c r="AB64" s="43">
        <v>0</v>
      </c>
      <c r="AC64" s="66">
        <v>0</v>
      </c>
      <c r="AD64" s="43">
        <v>0</v>
      </c>
      <c r="AE64" s="69">
        <v>0</v>
      </c>
      <c r="AG64" s="43">
        <v>0</v>
      </c>
      <c r="AH64" s="43">
        <v>0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T64" s="10"/>
      <c r="AU64" s="10"/>
      <c r="AV64" s="10"/>
      <c r="AW64" s="10"/>
      <c r="AY64" s="10"/>
      <c r="AZ64" s="10"/>
      <c r="BA64" s="10"/>
      <c r="BD64" s="10"/>
      <c r="BE64" s="10"/>
      <c r="BF64" s="10"/>
      <c r="BH64" s="10"/>
      <c r="BI64" s="10"/>
      <c r="BJ64" s="10"/>
      <c r="BL64" s="10"/>
      <c r="BM64" s="10"/>
      <c r="BN64" s="10"/>
      <c r="BO64" s="10"/>
    </row>
    <row r="65" spans="1:67" x14ac:dyDescent="0.2">
      <c r="A65" s="39" t="s">
        <v>54</v>
      </c>
      <c r="B65" s="39" t="s">
        <v>35</v>
      </c>
      <c r="D65" s="39">
        <v>0</v>
      </c>
      <c r="E65" s="39">
        <v>0</v>
      </c>
      <c r="F65" s="39">
        <v>0</v>
      </c>
      <c r="H65" s="44">
        <v>0</v>
      </c>
      <c r="I65" s="67">
        <v>0</v>
      </c>
      <c r="J65" s="44">
        <v>0</v>
      </c>
      <c r="K65" s="67">
        <v>0</v>
      </c>
      <c r="L65" s="44">
        <v>0</v>
      </c>
      <c r="M65" s="67">
        <v>0</v>
      </c>
      <c r="N65" s="44">
        <v>0</v>
      </c>
      <c r="O65" s="67">
        <v>0</v>
      </c>
      <c r="P65" s="44">
        <v>0</v>
      </c>
      <c r="Q65" s="67">
        <v>0</v>
      </c>
      <c r="R65" s="44">
        <v>0</v>
      </c>
      <c r="S65" s="67">
        <v>0</v>
      </c>
      <c r="T65" s="44">
        <v>0</v>
      </c>
      <c r="U65" s="67">
        <v>0</v>
      </c>
      <c r="V65" s="44">
        <v>0</v>
      </c>
      <c r="W65" s="67">
        <v>0</v>
      </c>
      <c r="X65" s="44">
        <v>0</v>
      </c>
      <c r="Y65" s="67">
        <v>0</v>
      </c>
      <c r="Z65" s="44">
        <v>0</v>
      </c>
      <c r="AA65" s="67">
        <v>0</v>
      </c>
      <c r="AB65" s="44">
        <v>0</v>
      </c>
      <c r="AC65" s="67">
        <v>0</v>
      </c>
      <c r="AD65" s="44">
        <v>0</v>
      </c>
      <c r="AE65" s="70">
        <v>0</v>
      </c>
      <c r="AG65" s="44">
        <v>0</v>
      </c>
      <c r="AH65" s="44">
        <v>0</v>
      </c>
      <c r="AI65" s="44">
        <v>0</v>
      </c>
      <c r="AJ65" s="44">
        <v>0</v>
      </c>
      <c r="AK65" s="44">
        <v>0</v>
      </c>
      <c r="AL65" s="44">
        <v>0</v>
      </c>
      <c r="AM65" s="44">
        <v>0</v>
      </c>
      <c r="AN65" s="44">
        <v>0</v>
      </c>
      <c r="AO65" s="44">
        <v>0</v>
      </c>
      <c r="AP65" s="44">
        <v>0</v>
      </c>
      <c r="AQ65" s="44">
        <v>0</v>
      </c>
      <c r="AR65" s="44">
        <v>0</v>
      </c>
      <c r="AT65" s="10"/>
      <c r="AU65" s="10"/>
      <c r="AV65" s="10"/>
      <c r="AW65" s="10"/>
      <c r="AY65" s="10"/>
      <c r="AZ65" s="10"/>
      <c r="BA65" s="10"/>
      <c r="BD65" s="10"/>
      <c r="BE65" s="10"/>
      <c r="BF65" s="10"/>
      <c r="BH65" s="10"/>
      <c r="BI65" s="10"/>
      <c r="BJ65" s="10"/>
      <c r="BL65" s="10"/>
      <c r="BM65" s="10"/>
      <c r="BN65" s="10"/>
      <c r="BO65" s="10"/>
    </row>
    <row r="66" spans="1:67" x14ac:dyDescent="0.2">
      <c r="A66" s="38" t="s">
        <v>55</v>
      </c>
      <c r="B66" s="38" t="s">
        <v>35</v>
      </c>
      <c r="D66" s="38">
        <v>0</v>
      </c>
      <c r="E66" s="38">
        <v>0</v>
      </c>
      <c r="F66" s="38">
        <v>0</v>
      </c>
      <c r="H66" s="43">
        <v>0</v>
      </c>
      <c r="I66" s="66">
        <v>0</v>
      </c>
      <c r="J66" s="43">
        <v>0</v>
      </c>
      <c r="K66" s="66">
        <v>0</v>
      </c>
      <c r="L66" s="43">
        <v>0</v>
      </c>
      <c r="M66" s="66">
        <v>0</v>
      </c>
      <c r="N66" s="43">
        <v>0</v>
      </c>
      <c r="O66" s="66">
        <v>0</v>
      </c>
      <c r="P66" s="43">
        <v>0</v>
      </c>
      <c r="Q66" s="66">
        <v>0</v>
      </c>
      <c r="R66" s="43">
        <v>0</v>
      </c>
      <c r="S66" s="66">
        <v>0</v>
      </c>
      <c r="T66" s="43">
        <v>0</v>
      </c>
      <c r="U66" s="66">
        <v>0</v>
      </c>
      <c r="V66" s="43">
        <v>0</v>
      </c>
      <c r="W66" s="66">
        <v>0</v>
      </c>
      <c r="X66" s="43">
        <v>0</v>
      </c>
      <c r="Y66" s="66">
        <v>0</v>
      </c>
      <c r="Z66" s="43">
        <v>0</v>
      </c>
      <c r="AA66" s="66">
        <v>0</v>
      </c>
      <c r="AB66" s="43">
        <v>0</v>
      </c>
      <c r="AC66" s="66">
        <v>0</v>
      </c>
      <c r="AD66" s="43">
        <v>0</v>
      </c>
      <c r="AE66" s="69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T66" s="10"/>
      <c r="AU66" s="10"/>
      <c r="AV66" s="10"/>
      <c r="AW66" s="10"/>
      <c r="AY66" s="10"/>
      <c r="AZ66" s="10"/>
      <c r="BA66" s="10"/>
      <c r="BD66" s="10"/>
      <c r="BE66" s="10"/>
      <c r="BF66" s="10"/>
      <c r="BH66" s="10"/>
      <c r="BI66" s="10"/>
      <c r="BJ66" s="10"/>
      <c r="BL66" s="10"/>
      <c r="BM66" s="10"/>
      <c r="BN66" s="10"/>
      <c r="BO66" s="10"/>
    </row>
    <row r="67" spans="1:67" x14ac:dyDescent="0.2">
      <c r="A67" s="39" t="s">
        <v>56</v>
      </c>
      <c r="B67" s="39" t="s">
        <v>35</v>
      </c>
      <c r="D67" s="39">
        <v>0</v>
      </c>
      <c r="E67" s="39">
        <v>0</v>
      </c>
      <c r="F67" s="39">
        <v>0</v>
      </c>
      <c r="H67" s="44">
        <v>0</v>
      </c>
      <c r="I67" s="67">
        <v>0</v>
      </c>
      <c r="J67" s="44">
        <v>0</v>
      </c>
      <c r="K67" s="67">
        <v>0</v>
      </c>
      <c r="L67" s="44">
        <v>0</v>
      </c>
      <c r="M67" s="67">
        <v>0</v>
      </c>
      <c r="N67" s="44">
        <v>0</v>
      </c>
      <c r="O67" s="67">
        <v>0</v>
      </c>
      <c r="P67" s="44">
        <v>0</v>
      </c>
      <c r="Q67" s="67">
        <v>0</v>
      </c>
      <c r="R67" s="44">
        <v>0</v>
      </c>
      <c r="S67" s="67">
        <v>0</v>
      </c>
      <c r="T67" s="44">
        <v>0</v>
      </c>
      <c r="U67" s="67">
        <v>0</v>
      </c>
      <c r="V67" s="44">
        <v>0</v>
      </c>
      <c r="W67" s="67">
        <v>0</v>
      </c>
      <c r="X67" s="44">
        <v>0</v>
      </c>
      <c r="Y67" s="67">
        <v>0</v>
      </c>
      <c r="Z67" s="44">
        <v>0</v>
      </c>
      <c r="AA67" s="67">
        <v>0</v>
      </c>
      <c r="AB67" s="44">
        <v>0</v>
      </c>
      <c r="AC67" s="67">
        <v>0</v>
      </c>
      <c r="AD67" s="44">
        <v>0</v>
      </c>
      <c r="AE67" s="70">
        <v>0</v>
      </c>
      <c r="AG67" s="44">
        <v>0</v>
      </c>
      <c r="AH67" s="44">
        <v>0</v>
      </c>
      <c r="AI67" s="44">
        <v>0</v>
      </c>
      <c r="AJ67" s="44">
        <v>0</v>
      </c>
      <c r="AK67" s="44">
        <v>0</v>
      </c>
      <c r="AL67" s="44">
        <v>0</v>
      </c>
      <c r="AM67" s="44">
        <v>0</v>
      </c>
      <c r="AN67" s="44">
        <v>0</v>
      </c>
      <c r="AO67" s="44">
        <v>0</v>
      </c>
      <c r="AP67" s="44">
        <v>0</v>
      </c>
      <c r="AQ67" s="44">
        <v>0</v>
      </c>
      <c r="AR67" s="44">
        <v>0</v>
      </c>
      <c r="AT67" s="10"/>
      <c r="AU67" s="10"/>
      <c r="AV67" s="10"/>
      <c r="AW67" s="10"/>
      <c r="AY67" s="10"/>
      <c r="AZ67" s="10"/>
      <c r="BA67" s="10"/>
      <c r="BD67" s="10"/>
      <c r="BE67" s="10"/>
      <c r="BF67" s="10"/>
      <c r="BH67" s="10"/>
      <c r="BI67" s="10"/>
      <c r="BJ67" s="10"/>
      <c r="BL67" s="10"/>
      <c r="BM67" s="10"/>
      <c r="BN67" s="10"/>
      <c r="BO67" s="10"/>
    </row>
    <row r="68" spans="1:67" x14ac:dyDescent="0.2">
      <c r="A68" s="38" t="s">
        <v>57</v>
      </c>
      <c r="B68" s="38" t="s">
        <v>35</v>
      </c>
      <c r="D68" s="38">
        <v>0</v>
      </c>
      <c r="E68" s="38">
        <v>0</v>
      </c>
      <c r="F68" s="38">
        <v>0</v>
      </c>
      <c r="H68" s="43">
        <v>0</v>
      </c>
      <c r="I68" s="66">
        <v>0</v>
      </c>
      <c r="J68" s="43">
        <v>0</v>
      </c>
      <c r="K68" s="66">
        <v>0</v>
      </c>
      <c r="L68" s="43">
        <v>0</v>
      </c>
      <c r="M68" s="66">
        <v>0</v>
      </c>
      <c r="N68" s="43">
        <v>0</v>
      </c>
      <c r="O68" s="66">
        <v>0</v>
      </c>
      <c r="P68" s="43">
        <v>0</v>
      </c>
      <c r="Q68" s="66">
        <v>0</v>
      </c>
      <c r="R68" s="43">
        <v>0</v>
      </c>
      <c r="S68" s="66">
        <v>0</v>
      </c>
      <c r="T68" s="43">
        <v>0</v>
      </c>
      <c r="U68" s="66">
        <v>0</v>
      </c>
      <c r="V68" s="43">
        <v>0</v>
      </c>
      <c r="W68" s="66">
        <v>0</v>
      </c>
      <c r="X68" s="43">
        <v>0</v>
      </c>
      <c r="Y68" s="66">
        <v>0</v>
      </c>
      <c r="Z68" s="43">
        <v>0</v>
      </c>
      <c r="AA68" s="66">
        <v>0</v>
      </c>
      <c r="AB68" s="43">
        <v>0</v>
      </c>
      <c r="AC68" s="66">
        <v>0</v>
      </c>
      <c r="AD68" s="43">
        <v>0</v>
      </c>
      <c r="AE68" s="69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T68" s="10"/>
      <c r="AU68" s="10"/>
      <c r="AV68" s="10"/>
      <c r="AW68" s="10"/>
      <c r="AY68" s="10"/>
      <c r="AZ68" s="10"/>
      <c r="BA68" s="10"/>
      <c r="BD68" s="10"/>
      <c r="BE68" s="10"/>
      <c r="BF68" s="10"/>
      <c r="BH68" s="10"/>
      <c r="BI68" s="10"/>
      <c r="BJ68" s="10"/>
      <c r="BL68" s="10"/>
      <c r="BM68" s="10"/>
      <c r="BN68" s="10"/>
      <c r="BO68" s="10"/>
    </row>
    <row r="69" spans="1:67" x14ac:dyDescent="0.2">
      <c r="A69" s="39" t="s">
        <v>58</v>
      </c>
      <c r="B69" s="39" t="s">
        <v>35</v>
      </c>
      <c r="D69" s="39">
        <v>0</v>
      </c>
      <c r="E69" s="39">
        <v>0</v>
      </c>
      <c r="F69" s="39">
        <v>0</v>
      </c>
      <c r="H69" s="44">
        <v>0</v>
      </c>
      <c r="I69" s="67">
        <v>0</v>
      </c>
      <c r="J69" s="44">
        <v>0</v>
      </c>
      <c r="K69" s="67">
        <v>0</v>
      </c>
      <c r="L69" s="44">
        <v>0</v>
      </c>
      <c r="M69" s="67">
        <v>0</v>
      </c>
      <c r="N69" s="44">
        <v>0</v>
      </c>
      <c r="O69" s="67">
        <v>0</v>
      </c>
      <c r="P69" s="44">
        <v>0</v>
      </c>
      <c r="Q69" s="67">
        <v>0</v>
      </c>
      <c r="R69" s="44">
        <v>0</v>
      </c>
      <c r="S69" s="67">
        <v>0</v>
      </c>
      <c r="T69" s="44">
        <v>0</v>
      </c>
      <c r="U69" s="67">
        <v>0</v>
      </c>
      <c r="V69" s="44">
        <v>0</v>
      </c>
      <c r="W69" s="67">
        <v>0</v>
      </c>
      <c r="X69" s="44">
        <v>0</v>
      </c>
      <c r="Y69" s="67">
        <v>0</v>
      </c>
      <c r="Z69" s="44">
        <v>0</v>
      </c>
      <c r="AA69" s="67">
        <v>0</v>
      </c>
      <c r="AB69" s="44">
        <v>0</v>
      </c>
      <c r="AC69" s="67">
        <v>0</v>
      </c>
      <c r="AD69" s="44">
        <v>0</v>
      </c>
      <c r="AE69" s="70">
        <v>0</v>
      </c>
      <c r="AG69" s="44">
        <v>0</v>
      </c>
      <c r="AH69" s="44">
        <v>0</v>
      </c>
      <c r="AI69" s="44">
        <v>0</v>
      </c>
      <c r="AJ69" s="44">
        <v>0</v>
      </c>
      <c r="AK69" s="44">
        <v>0</v>
      </c>
      <c r="AL69" s="44">
        <v>0</v>
      </c>
      <c r="AM69" s="44">
        <v>0</v>
      </c>
      <c r="AN69" s="44">
        <v>0</v>
      </c>
      <c r="AO69" s="44">
        <v>0</v>
      </c>
      <c r="AP69" s="44">
        <v>0</v>
      </c>
      <c r="AQ69" s="44">
        <v>0</v>
      </c>
      <c r="AR69" s="44">
        <v>0</v>
      </c>
      <c r="AT69" s="10"/>
      <c r="AU69" s="10"/>
      <c r="AV69" s="10"/>
      <c r="AW69" s="10"/>
      <c r="AY69" s="10"/>
      <c r="AZ69" s="10"/>
      <c r="BA69" s="10"/>
      <c r="BD69" s="10"/>
      <c r="BE69" s="10"/>
      <c r="BF69" s="10"/>
      <c r="BH69" s="10"/>
      <c r="BI69" s="10"/>
      <c r="BJ69" s="10"/>
      <c r="BL69" s="10"/>
      <c r="BM69" s="10"/>
      <c r="BN69" s="10"/>
      <c r="BO69" s="10"/>
    </row>
    <row r="70" spans="1:67" x14ac:dyDescent="0.2">
      <c r="A70" s="38" t="s">
        <v>59</v>
      </c>
      <c r="B70" s="38" t="s">
        <v>35</v>
      </c>
      <c r="D70" s="38">
        <v>0</v>
      </c>
      <c r="E70" s="38">
        <v>0</v>
      </c>
      <c r="F70" s="38">
        <v>0</v>
      </c>
      <c r="H70" s="43">
        <v>0</v>
      </c>
      <c r="I70" s="66">
        <v>0</v>
      </c>
      <c r="J70" s="43">
        <v>0</v>
      </c>
      <c r="K70" s="66">
        <v>0</v>
      </c>
      <c r="L70" s="43">
        <v>0</v>
      </c>
      <c r="M70" s="66">
        <v>0</v>
      </c>
      <c r="N70" s="43">
        <v>0</v>
      </c>
      <c r="O70" s="66">
        <v>0</v>
      </c>
      <c r="P70" s="43">
        <v>0</v>
      </c>
      <c r="Q70" s="66">
        <v>0</v>
      </c>
      <c r="R70" s="43">
        <v>0</v>
      </c>
      <c r="S70" s="66">
        <v>0</v>
      </c>
      <c r="T70" s="43">
        <v>0</v>
      </c>
      <c r="U70" s="66">
        <v>0</v>
      </c>
      <c r="V70" s="43">
        <v>0</v>
      </c>
      <c r="W70" s="66">
        <v>0</v>
      </c>
      <c r="X70" s="43">
        <v>0</v>
      </c>
      <c r="Y70" s="66">
        <v>0</v>
      </c>
      <c r="Z70" s="43">
        <v>0</v>
      </c>
      <c r="AA70" s="66">
        <v>0</v>
      </c>
      <c r="AB70" s="43">
        <v>0</v>
      </c>
      <c r="AC70" s="66">
        <v>0</v>
      </c>
      <c r="AD70" s="43">
        <v>0</v>
      </c>
      <c r="AE70" s="69">
        <v>0</v>
      </c>
      <c r="AG70" s="43">
        <v>0</v>
      </c>
      <c r="AH70" s="43">
        <v>0</v>
      </c>
      <c r="AI70" s="43">
        <v>0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0</v>
      </c>
      <c r="AR70" s="43">
        <v>0</v>
      </c>
      <c r="AT70" s="10"/>
      <c r="AU70" s="10"/>
      <c r="AV70" s="10"/>
      <c r="AW70" s="10"/>
      <c r="AY70" s="10"/>
      <c r="AZ70" s="10"/>
      <c r="BA70" s="10"/>
      <c r="BD70" s="10"/>
      <c r="BE70" s="10"/>
      <c r="BF70" s="10"/>
      <c r="BH70" s="10"/>
      <c r="BI70" s="10"/>
      <c r="BJ70" s="10"/>
      <c r="BL70" s="10"/>
      <c r="BM70" s="10"/>
      <c r="BN70" s="10"/>
      <c r="BO70" s="10"/>
    </row>
    <row r="71" spans="1:67" x14ac:dyDescent="0.2">
      <c r="A71" s="39" t="s">
        <v>60</v>
      </c>
      <c r="B71" s="39" t="s">
        <v>35</v>
      </c>
      <c r="D71" s="39">
        <v>0</v>
      </c>
      <c r="E71" s="39">
        <v>0</v>
      </c>
      <c r="F71" s="39">
        <v>0</v>
      </c>
      <c r="H71" s="44">
        <v>0</v>
      </c>
      <c r="I71" s="67">
        <v>0</v>
      </c>
      <c r="J71" s="44">
        <v>0</v>
      </c>
      <c r="K71" s="67">
        <v>0</v>
      </c>
      <c r="L71" s="44">
        <v>0</v>
      </c>
      <c r="M71" s="67">
        <v>0</v>
      </c>
      <c r="N71" s="44">
        <v>0</v>
      </c>
      <c r="O71" s="67">
        <v>0</v>
      </c>
      <c r="P71" s="44">
        <v>0</v>
      </c>
      <c r="Q71" s="67">
        <v>0</v>
      </c>
      <c r="R71" s="44">
        <v>0</v>
      </c>
      <c r="S71" s="67">
        <v>0</v>
      </c>
      <c r="T71" s="44">
        <v>0</v>
      </c>
      <c r="U71" s="67">
        <v>0</v>
      </c>
      <c r="V71" s="44">
        <v>0</v>
      </c>
      <c r="W71" s="67">
        <v>0</v>
      </c>
      <c r="X71" s="44">
        <v>0</v>
      </c>
      <c r="Y71" s="67">
        <v>0</v>
      </c>
      <c r="Z71" s="44">
        <v>0</v>
      </c>
      <c r="AA71" s="67">
        <v>0</v>
      </c>
      <c r="AB71" s="44">
        <v>0</v>
      </c>
      <c r="AC71" s="67">
        <v>0</v>
      </c>
      <c r="AD71" s="44">
        <v>0</v>
      </c>
      <c r="AE71" s="70">
        <v>0</v>
      </c>
      <c r="AG71" s="44">
        <v>0</v>
      </c>
      <c r="AH71" s="44">
        <v>0</v>
      </c>
      <c r="AI71" s="44">
        <v>0</v>
      </c>
      <c r="AJ71" s="44">
        <v>0</v>
      </c>
      <c r="AK71" s="44">
        <v>0</v>
      </c>
      <c r="AL71" s="44">
        <v>0</v>
      </c>
      <c r="AM71" s="44">
        <v>0</v>
      </c>
      <c r="AN71" s="44">
        <v>0</v>
      </c>
      <c r="AO71" s="44">
        <v>0</v>
      </c>
      <c r="AP71" s="44">
        <v>0</v>
      </c>
      <c r="AQ71" s="44">
        <v>0</v>
      </c>
      <c r="AR71" s="44">
        <v>0</v>
      </c>
      <c r="AT71" s="10"/>
      <c r="AU71" s="10"/>
      <c r="AV71" s="10"/>
      <c r="AW71" s="10"/>
      <c r="AY71" s="10"/>
      <c r="AZ71" s="10"/>
      <c r="BA71" s="10"/>
      <c r="BD71" s="10"/>
      <c r="BE71" s="10"/>
      <c r="BF71" s="10"/>
      <c r="BH71" s="10"/>
      <c r="BI71" s="10"/>
      <c r="BJ71" s="10"/>
      <c r="BL71" s="10"/>
      <c r="BM71" s="10"/>
      <c r="BN71" s="10"/>
      <c r="BO71" s="10"/>
    </row>
    <row r="72" spans="1:67" x14ac:dyDescent="0.2">
      <c r="A72" s="38" t="s">
        <v>61</v>
      </c>
      <c r="B72" s="38" t="s">
        <v>35</v>
      </c>
      <c r="D72" s="38">
        <v>1</v>
      </c>
      <c r="E72" s="38">
        <v>1</v>
      </c>
      <c r="F72" s="38">
        <v>1</v>
      </c>
      <c r="H72" s="43">
        <v>33.979999999999997</v>
      </c>
      <c r="I72" s="66">
        <v>1</v>
      </c>
      <c r="J72" s="43">
        <v>0</v>
      </c>
      <c r="K72" s="66">
        <v>0</v>
      </c>
      <c r="L72" s="43">
        <v>0</v>
      </c>
      <c r="M72" s="66">
        <v>0</v>
      </c>
      <c r="N72" s="43">
        <v>33.979999999999997</v>
      </c>
      <c r="O72" s="66">
        <v>1</v>
      </c>
      <c r="P72" s="43">
        <v>124</v>
      </c>
      <c r="Q72" s="66">
        <v>0</v>
      </c>
      <c r="R72" s="43">
        <v>33.979999999999997</v>
      </c>
      <c r="S72" s="66">
        <v>1</v>
      </c>
      <c r="T72" s="43">
        <v>0</v>
      </c>
      <c r="U72" s="66">
        <v>0</v>
      </c>
      <c r="V72" s="43">
        <v>157.97999999999999</v>
      </c>
      <c r="W72" s="66">
        <v>1</v>
      </c>
      <c r="X72" s="43">
        <v>125.58</v>
      </c>
      <c r="Y72" s="66">
        <v>0</v>
      </c>
      <c r="Z72" s="43">
        <v>124</v>
      </c>
      <c r="AA72" s="66">
        <v>0</v>
      </c>
      <c r="AB72" s="43">
        <v>33.979999999999997</v>
      </c>
      <c r="AC72" s="66">
        <v>1</v>
      </c>
      <c r="AD72" s="43">
        <v>283.56</v>
      </c>
      <c r="AE72" s="69">
        <v>1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T72" s="10"/>
      <c r="AU72" s="10"/>
      <c r="AV72" s="10"/>
      <c r="AW72" s="10"/>
      <c r="AY72" s="10"/>
      <c r="AZ72" s="10"/>
      <c r="BA72" s="10"/>
      <c r="BD72" s="10"/>
      <c r="BE72" s="10"/>
      <c r="BF72" s="10"/>
      <c r="BH72" s="10"/>
      <c r="BI72" s="10"/>
      <c r="BJ72" s="10"/>
      <c r="BL72" s="10"/>
      <c r="BM72" s="10"/>
      <c r="BN72" s="10"/>
      <c r="BO72" s="10"/>
    </row>
    <row r="73" spans="1:67" x14ac:dyDescent="0.2">
      <c r="A73" s="39" t="s">
        <v>62</v>
      </c>
      <c r="B73" s="39" t="s">
        <v>35</v>
      </c>
      <c r="D73" s="39">
        <v>0</v>
      </c>
      <c r="E73" s="39">
        <v>0</v>
      </c>
      <c r="F73" s="39">
        <v>0</v>
      </c>
      <c r="H73" s="44">
        <v>0</v>
      </c>
      <c r="I73" s="67">
        <v>0</v>
      </c>
      <c r="J73" s="44">
        <v>0</v>
      </c>
      <c r="K73" s="67">
        <v>0</v>
      </c>
      <c r="L73" s="44">
        <v>0</v>
      </c>
      <c r="M73" s="67">
        <v>0</v>
      </c>
      <c r="N73" s="44">
        <v>0</v>
      </c>
      <c r="O73" s="67">
        <v>0</v>
      </c>
      <c r="P73" s="44">
        <v>0</v>
      </c>
      <c r="Q73" s="67">
        <v>0</v>
      </c>
      <c r="R73" s="44">
        <v>0</v>
      </c>
      <c r="S73" s="67">
        <v>0</v>
      </c>
      <c r="T73" s="44">
        <v>0</v>
      </c>
      <c r="U73" s="67">
        <v>0</v>
      </c>
      <c r="V73" s="44">
        <v>0</v>
      </c>
      <c r="W73" s="67">
        <v>0</v>
      </c>
      <c r="X73" s="44">
        <v>0</v>
      </c>
      <c r="Y73" s="67">
        <v>0</v>
      </c>
      <c r="Z73" s="44">
        <v>0</v>
      </c>
      <c r="AA73" s="67">
        <v>0</v>
      </c>
      <c r="AB73" s="44">
        <v>0</v>
      </c>
      <c r="AC73" s="67">
        <v>0</v>
      </c>
      <c r="AD73" s="44">
        <v>0</v>
      </c>
      <c r="AE73" s="70">
        <v>0</v>
      </c>
      <c r="AG73" s="44">
        <v>0</v>
      </c>
      <c r="AH73" s="44">
        <v>0</v>
      </c>
      <c r="AI73" s="44">
        <v>0</v>
      </c>
      <c r="AJ73" s="44">
        <v>0</v>
      </c>
      <c r="AK73" s="44">
        <v>0</v>
      </c>
      <c r="AL73" s="44">
        <v>0</v>
      </c>
      <c r="AM73" s="44">
        <v>0</v>
      </c>
      <c r="AN73" s="44">
        <v>0</v>
      </c>
      <c r="AO73" s="44">
        <v>0</v>
      </c>
      <c r="AP73" s="44">
        <v>0</v>
      </c>
      <c r="AQ73" s="44">
        <v>0</v>
      </c>
      <c r="AR73" s="44">
        <v>0</v>
      </c>
      <c r="AT73" s="10"/>
      <c r="AU73" s="10"/>
      <c r="AV73" s="10"/>
      <c r="AW73" s="10"/>
      <c r="AY73" s="10"/>
      <c r="AZ73" s="10"/>
      <c r="BA73" s="10"/>
      <c r="BD73" s="10"/>
      <c r="BE73" s="10"/>
      <c r="BF73" s="10"/>
      <c r="BH73" s="10"/>
      <c r="BI73" s="10"/>
      <c r="BJ73" s="10"/>
      <c r="BL73" s="10"/>
      <c r="BM73" s="10"/>
      <c r="BN73" s="10"/>
      <c r="BO73" s="10"/>
    </row>
    <row r="74" spans="1:67" x14ac:dyDescent="0.2">
      <c r="A74" s="38" t="s">
        <v>63</v>
      </c>
      <c r="B74" s="38" t="s">
        <v>35</v>
      </c>
      <c r="D74" s="38">
        <v>0</v>
      </c>
      <c r="E74" s="38">
        <v>0</v>
      </c>
      <c r="F74" s="38">
        <v>0</v>
      </c>
      <c r="H74" s="43">
        <v>0</v>
      </c>
      <c r="I74" s="66">
        <v>0</v>
      </c>
      <c r="J74" s="43">
        <v>0</v>
      </c>
      <c r="K74" s="66">
        <v>0</v>
      </c>
      <c r="L74" s="43">
        <v>0</v>
      </c>
      <c r="M74" s="66">
        <v>0</v>
      </c>
      <c r="N74" s="43">
        <v>0</v>
      </c>
      <c r="O74" s="66">
        <v>0</v>
      </c>
      <c r="P74" s="43">
        <v>0</v>
      </c>
      <c r="Q74" s="66">
        <v>0</v>
      </c>
      <c r="R74" s="43">
        <v>0</v>
      </c>
      <c r="S74" s="66">
        <v>0</v>
      </c>
      <c r="T74" s="43">
        <v>0</v>
      </c>
      <c r="U74" s="66">
        <v>0</v>
      </c>
      <c r="V74" s="43">
        <v>0</v>
      </c>
      <c r="W74" s="66">
        <v>0</v>
      </c>
      <c r="X74" s="43">
        <v>0</v>
      </c>
      <c r="Y74" s="66">
        <v>0</v>
      </c>
      <c r="Z74" s="43">
        <v>0</v>
      </c>
      <c r="AA74" s="66">
        <v>0</v>
      </c>
      <c r="AB74" s="43">
        <v>0</v>
      </c>
      <c r="AC74" s="66">
        <v>0</v>
      </c>
      <c r="AD74" s="43">
        <v>0</v>
      </c>
      <c r="AE74" s="69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T74" s="10"/>
      <c r="AU74" s="10"/>
      <c r="AV74" s="10"/>
      <c r="AW74" s="10"/>
      <c r="AY74" s="10"/>
      <c r="AZ74" s="10"/>
      <c r="BA74" s="10"/>
      <c r="BD74" s="10"/>
      <c r="BE74" s="10"/>
      <c r="BF74" s="10"/>
      <c r="BH74" s="10"/>
      <c r="BI74" s="10"/>
      <c r="BJ74" s="10"/>
      <c r="BL74" s="10"/>
      <c r="BM74" s="10"/>
      <c r="BN74" s="10"/>
      <c r="BO74" s="10"/>
    </row>
    <row r="75" spans="1:67" x14ac:dyDescent="0.2">
      <c r="A75" s="39" t="s">
        <v>64</v>
      </c>
      <c r="B75" s="39" t="s">
        <v>35</v>
      </c>
      <c r="D75" s="39">
        <v>0</v>
      </c>
      <c r="E75" s="39">
        <v>0</v>
      </c>
      <c r="F75" s="39">
        <v>0</v>
      </c>
      <c r="H75" s="44">
        <v>0</v>
      </c>
      <c r="I75" s="67">
        <v>0</v>
      </c>
      <c r="J75" s="44">
        <v>0</v>
      </c>
      <c r="K75" s="67">
        <v>0</v>
      </c>
      <c r="L75" s="44">
        <v>0</v>
      </c>
      <c r="M75" s="67">
        <v>0</v>
      </c>
      <c r="N75" s="44">
        <v>0</v>
      </c>
      <c r="O75" s="67">
        <v>0</v>
      </c>
      <c r="P75" s="44">
        <v>0</v>
      </c>
      <c r="Q75" s="67">
        <v>0</v>
      </c>
      <c r="R75" s="44">
        <v>0</v>
      </c>
      <c r="S75" s="67">
        <v>0</v>
      </c>
      <c r="T75" s="44">
        <v>0</v>
      </c>
      <c r="U75" s="67">
        <v>0</v>
      </c>
      <c r="V75" s="44">
        <v>0</v>
      </c>
      <c r="W75" s="67">
        <v>0</v>
      </c>
      <c r="X75" s="44">
        <v>0</v>
      </c>
      <c r="Y75" s="67">
        <v>0</v>
      </c>
      <c r="Z75" s="44">
        <v>0</v>
      </c>
      <c r="AA75" s="67">
        <v>0</v>
      </c>
      <c r="AB75" s="44">
        <v>0</v>
      </c>
      <c r="AC75" s="67">
        <v>0</v>
      </c>
      <c r="AD75" s="44">
        <v>0</v>
      </c>
      <c r="AE75" s="70">
        <v>0</v>
      </c>
      <c r="AG75" s="44">
        <v>0</v>
      </c>
      <c r="AH75" s="44">
        <v>0</v>
      </c>
      <c r="AI75" s="44">
        <v>0</v>
      </c>
      <c r="AJ75" s="44">
        <v>0</v>
      </c>
      <c r="AK75" s="44">
        <v>0</v>
      </c>
      <c r="AL75" s="44">
        <v>0</v>
      </c>
      <c r="AM75" s="44">
        <v>0</v>
      </c>
      <c r="AN75" s="44">
        <v>0</v>
      </c>
      <c r="AO75" s="44">
        <v>0</v>
      </c>
      <c r="AP75" s="44">
        <v>0</v>
      </c>
      <c r="AQ75" s="44">
        <v>0</v>
      </c>
      <c r="AR75" s="44">
        <v>0</v>
      </c>
      <c r="AT75" s="10"/>
      <c r="AU75" s="10"/>
      <c r="AV75" s="10"/>
      <c r="AW75" s="10"/>
      <c r="AY75" s="10"/>
      <c r="AZ75" s="10"/>
      <c r="BA75" s="10"/>
      <c r="BD75" s="10"/>
      <c r="BE75" s="10"/>
      <c r="BF75" s="10"/>
      <c r="BH75" s="10"/>
      <c r="BI75" s="10"/>
      <c r="BJ75" s="10"/>
      <c r="BL75" s="10"/>
      <c r="BM75" s="10"/>
      <c r="BN75" s="10"/>
      <c r="BO75" s="10"/>
    </row>
    <row r="76" spans="1:67" x14ac:dyDescent="0.2">
      <c r="A76" s="38" t="s">
        <v>65</v>
      </c>
      <c r="B76" s="38" t="s">
        <v>35</v>
      </c>
      <c r="D76" s="38">
        <v>0</v>
      </c>
      <c r="E76" s="38">
        <v>0</v>
      </c>
      <c r="F76" s="38">
        <v>0</v>
      </c>
      <c r="H76" s="43">
        <v>0</v>
      </c>
      <c r="I76" s="66">
        <v>0</v>
      </c>
      <c r="J76" s="43">
        <v>0</v>
      </c>
      <c r="K76" s="66">
        <v>0</v>
      </c>
      <c r="L76" s="43">
        <v>0</v>
      </c>
      <c r="M76" s="66">
        <v>0</v>
      </c>
      <c r="N76" s="43">
        <v>0</v>
      </c>
      <c r="O76" s="66">
        <v>0</v>
      </c>
      <c r="P76" s="43">
        <v>0</v>
      </c>
      <c r="Q76" s="66">
        <v>0</v>
      </c>
      <c r="R76" s="43">
        <v>0</v>
      </c>
      <c r="S76" s="66">
        <v>0</v>
      </c>
      <c r="T76" s="43">
        <v>0</v>
      </c>
      <c r="U76" s="66">
        <v>0</v>
      </c>
      <c r="V76" s="43">
        <v>0</v>
      </c>
      <c r="W76" s="66">
        <v>0</v>
      </c>
      <c r="X76" s="43">
        <v>0</v>
      </c>
      <c r="Y76" s="66">
        <v>0</v>
      </c>
      <c r="Z76" s="43">
        <v>0</v>
      </c>
      <c r="AA76" s="66">
        <v>0</v>
      </c>
      <c r="AB76" s="43">
        <v>0</v>
      </c>
      <c r="AC76" s="66">
        <v>0</v>
      </c>
      <c r="AD76" s="43">
        <v>0</v>
      </c>
      <c r="AE76" s="69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T76" s="10"/>
      <c r="AU76" s="10"/>
      <c r="AV76" s="10"/>
      <c r="AW76" s="10"/>
      <c r="AY76" s="10"/>
      <c r="AZ76" s="10"/>
      <c r="BA76" s="10"/>
      <c r="BD76" s="10"/>
      <c r="BE76" s="10"/>
      <c r="BF76" s="10"/>
      <c r="BH76" s="10"/>
      <c r="BI76" s="10"/>
      <c r="BJ76" s="10"/>
      <c r="BL76" s="10"/>
      <c r="BM76" s="10"/>
      <c r="BN76" s="10"/>
      <c r="BO76" s="10"/>
    </row>
    <row r="77" spans="1:67" x14ac:dyDescent="0.2">
      <c r="A77" s="39" t="s">
        <v>66</v>
      </c>
      <c r="B77" s="39" t="s">
        <v>35</v>
      </c>
      <c r="D77" s="39">
        <v>0</v>
      </c>
      <c r="E77" s="39">
        <v>0</v>
      </c>
      <c r="F77" s="39">
        <v>0</v>
      </c>
      <c r="H77" s="44">
        <v>0</v>
      </c>
      <c r="I77" s="67">
        <v>0</v>
      </c>
      <c r="J77" s="44">
        <v>0</v>
      </c>
      <c r="K77" s="67">
        <v>0</v>
      </c>
      <c r="L77" s="44">
        <v>0</v>
      </c>
      <c r="M77" s="67">
        <v>0</v>
      </c>
      <c r="N77" s="44">
        <v>0</v>
      </c>
      <c r="O77" s="67">
        <v>0</v>
      </c>
      <c r="P77" s="44">
        <v>0</v>
      </c>
      <c r="Q77" s="67">
        <v>0</v>
      </c>
      <c r="R77" s="44">
        <v>0</v>
      </c>
      <c r="S77" s="67">
        <v>0</v>
      </c>
      <c r="T77" s="44">
        <v>0</v>
      </c>
      <c r="U77" s="67">
        <v>0</v>
      </c>
      <c r="V77" s="44">
        <v>0</v>
      </c>
      <c r="W77" s="67">
        <v>0</v>
      </c>
      <c r="X77" s="44">
        <v>0</v>
      </c>
      <c r="Y77" s="67">
        <v>0</v>
      </c>
      <c r="Z77" s="44">
        <v>0</v>
      </c>
      <c r="AA77" s="67">
        <v>0</v>
      </c>
      <c r="AB77" s="44">
        <v>0</v>
      </c>
      <c r="AC77" s="67">
        <v>0</v>
      </c>
      <c r="AD77" s="44">
        <v>0</v>
      </c>
      <c r="AE77" s="70">
        <v>0</v>
      </c>
      <c r="AG77" s="44">
        <v>0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T77" s="10"/>
      <c r="AU77" s="10"/>
      <c r="AV77" s="10"/>
      <c r="AW77" s="10"/>
      <c r="AY77" s="10"/>
      <c r="AZ77" s="10"/>
      <c r="BA77" s="10"/>
      <c r="BD77" s="10"/>
      <c r="BE77" s="10"/>
      <c r="BF77" s="10"/>
      <c r="BH77" s="10"/>
      <c r="BI77" s="10"/>
      <c r="BJ77" s="10"/>
      <c r="BL77" s="10"/>
      <c r="BM77" s="10"/>
      <c r="BN77" s="10"/>
      <c r="BO77" s="10"/>
    </row>
    <row r="78" spans="1:67" x14ac:dyDescent="0.2">
      <c r="A78" s="38" t="s">
        <v>67</v>
      </c>
      <c r="B78" s="38" t="s">
        <v>35</v>
      </c>
      <c r="D78" s="38">
        <v>0</v>
      </c>
      <c r="E78" s="38">
        <v>0</v>
      </c>
      <c r="F78" s="38">
        <v>0</v>
      </c>
      <c r="H78" s="43">
        <v>0</v>
      </c>
      <c r="I78" s="66">
        <v>0</v>
      </c>
      <c r="J78" s="43">
        <v>0</v>
      </c>
      <c r="K78" s="66">
        <v>0</v>
      </c>
      <c r="L78" s="43">
        <v>0</v>
      </c>
      <c r="M78" s="66">
        <v>0</v>
      </c>
      <c r="N78" s="43">
        <v>0</v>
      </c>
      <c r="O78" s="66">
        <v>0</v>
      </c>
      <c r="P78" s="43">
        <v>0</v>
      </c>
      <c r="Q78" s="66">
        <v>0</v>
      </c>
      <c r="R78" s="43">
        <v>0</v>
      </c>
      <c r="S78" s="66">
        <v>0</v>
      </c>
      <c r="T78" s="43">
        <v>0</v>
      </c>
      <c r="U78" s="66">
        <v>0</v>
      </c>
      <c r="V78" s="43">
        <v>0</v>
      </c>
      <c r="W78" s="66">
        <v>0</v>
      </c>
      <c r="X78" s="43">
        <v>0</v>
      </c>
      <c r="Y78" s="66">
        <v>0</v>
      </c>
      <c r="Z78" s="43">
        <v>0</v>
      </c>
      <c r="AA78" s="66">
        <v>0</v>
      </c>
      <c r="AB78" s="43">
        <v>0</v>
      </c>
      <c r="AC78" s="66">
        <v>0</v>
      </c>
      <c r="AD78" s="43">
        <v>0</v>
      </c>
      <c r="AE78" s="69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T78" s="10"/>
      <c r="AU78" s="10"/>
      <c r="AV78" s="10"/>
      <c r="AW78" s="10"/>
      <c r="AY78" s="10"/>
      <c r="AZ78" s="10"/>
      <c r="BA78" s="10"/>
      <c r="BD78" s="10"/>
      <c r="BE78" s="10"/>
      <c r="BF78" s="10"/>
      <c r="BH78" s="10"/>
      <c r="BI78" s="10"/>
      <c r="BJ78" s="10"/>
      <c r="BL78" s="10"/>
      <c r="BM78" s="10"/>
      <c r="BN78" s="10"/>
      <c r="BO78" s="10"/>
    </row>
    <row r="79" spans="1:67" x14ac:dyDescent="0.2">
      <c r="A79" s="39" t="s">
        <v>68</v>
      </c>
      <c r="B79" s="39" t="s">
        <v>35</v>
      </c>
      <c r="D79" s="39">
        <v>2</v>
      </c>
      <c r="E79" s="39">
        <v>3</v>
      </c>
      <c r="F79" s="39">
        <v>1</v>
      </c>
      <c r="H79" s="44">
        <v>190.45</v>
      </c>
      <c r="I79" s="67">
        <v>2</v>
      </c>
      <c r="J79" s="44">
        <v>0</v>
      </c>
      <c r="K79" s="67">
        <v>0</v>
      </c>
      <c r="L79" s="44">
        <v>0</v>
      </c>
      <c r="M79" s="67">
        <v>0</v>
      </c>
      <c r="N79" s="44">
        <v>190.45</v>
      </c>
      <c r="O79" s="67">
        <v>2</v>
      </c>
      <c r="P79" s="44">
        <v>246.07</v>
      </c>
      <c r="Q79" s="67">
        <v>1</v>
      </c>
      <c r="R79" s="44">
        <v>190.45</v>
      </c>
      <c r="S79" s="67">
        <v>2</v>
      </c>
      <c r="T79" s="44">
        <v>0</v>
      </c>
      <c r="U79" s="67">
        <v>0</v>
      </c>
      <c r="V79" s="44">
        <v>436.52</v>
      </c>
      <c r="W79" s="67">
        <v>3</v>
      </c>
      <c r="X79" s="44">
        <v>24.17</v>
      </c>
      <c r="Y79" s="67">
        <v>0</v>
      </c>
      <c r="Z79" s="44">
        <v>23.17</v>
      </c>
      <c r="AA79" s="67">
        <v>0</v>
      </c>
      <c r="AB79" s="44">
        <v>46.71</v>
      </c>
      <c r="AC79" s="67">
        <v>1</v>
      </c>
      <c r="AD79" s="44">
        <v>94.05</v>
      </c>
      <c r="AE79" s="70">
        <v>1</v>
      </c>
      <c r="AG79" s="44">
        <v>0</v>
      </c>
      <c r="AH79" s="44">
        <v>0</v>
      </c>
      <c r="AI79" s="44">
        <v>0</v>
      </c>
      <c r="AJ79" s="44">
        <v>0</v>
      </c>
      <c r="AK79" s="44">
        <v>0</v>
      </c>
      <c r="AL79" s="44">
        <v>0</v>
      </c>
      <c r="AM79" s="44">
        <v>0</v>
      </c>
      <c r="AN79" s="44">
        <v>0</v>
      </c>
      <c r="AO79" s="44">
        <v>0</v>
      </c>
      <c r="AP79" s="44">
        <v>0</v>
      </c>
      <c r="AQ79" s="44">
        <v>0</v>
      </c>
      <c r="AR79" s="44">
        <v>0</v>
      </c>
      <c r="AT79" s="10"/>
      <c r="AU79" s="10"/>
      <c r="AV79" s="10"/>
      <c r="AW79" s="10"/>
      <c r="AY79" s="10"/>
      <c r="AZ79" s="10"/>
      <c r="BA79" s="10"/>
      <c r="BD79" s="10"/>
      <c r="BE79" s="10"/>
      <c r="BF79" s="10"/>
      <c r="BH79" s="10"/>
      <c r="BI79" s="10"/>
      <c r="BJ79" s="10"/>
      <c r="BL79" s="10"/>
      <c r="BM79" s="10"/>
      <c r="BN79" s="10"/>
      <c r="BO79" s="10"/>
    </row>
    <row r="80" spans="1:67" x14ac:dyDescent="0.2">
      <c r="A80" s="38" t="s">
        <v>69</v>
      </c>
      <c r="B80" s="38" t="s">
        <v>35</v>
      </c>
      <c r="D80" s="38">
        <v>0</v>
      </c>
      <c r="E80" s="38">
        <v>0</v>
      </c>
      <c r="F80" s="38">
        <v>0</v>
      </c>
      <c r="H80" s="43">
        <v>0</v>
      </c>
      <c r="I80" s="66">
        <v>0</v>
      </c>
      <c r="J80" s="43">
        <v>0</v>
      </c>
      <c r="K80" s="66">
        <v>0</v>
      </c>
      <c r="L80" s="43">
        <v>0</v>
      </c>
      <c r="M80" s="66">
        <v>0</v>
      </c>
      <c r="N80" s="43">
        <v>0</v>
      </c>
      <c r="O80" s="66">
        <v>0</v>
      </c>
      <c r="P80" s="43">
        <v>0</v>
      </c>
      <c r="Q80" s="66">
        <v>0</v>
      </c>
      <c r="R80" s="43">
        <v>0</v>
      </c>
      <c r="S80" s="66">
        <v>0</v>
      </c>
      <c r="T80" s="43">
        <v>0</v>
      </c>
      <c r="U80" s="66">
        <v>0</v>
      </c>
      <c r="V80" s="43">
        <v>0</v>
      </c>
      <c r="W80" s="66">
        <v>0</v>
      </c>
      <c r="X80" s="43">
        <v>0</v>
      </c>
      <c r="Y80" s="66">
        <v>0</v>
      </c>
      <c r="Z80" s="43">
        <v>0</v>
      </c>
      <c r="AA80" s="66">
        <v>0</v>
      </c>
      <c r="AB80" s="43">
        <v>0</v>
      </c>
      <c r="AC80" s="66">
        <v>0</v>
      </c>
      <c r="AD80" s="43">
        <v>0</v>
      </c>
      <c r="AE80" s="69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T80" s="10"/>
      <c r="AU80" s="10"/>
      <c r="AV80" s="10"/>
      <c r="AW80" s="10"/>
      <c r="AY80" s="10"/>
      <c r="AZ80" s="10"/>
      <c r="BA80" s="10"/>
      <c r="BD80" s="10"/>
      <c r="BE80" s="10"/>
      <c r="BF80" s="10"/>
      <c r="BH80" s="10"/>
      <c r="BI80" s="10"/>
      <c r="BJ80" s="10"/>
      <c r="BL80" s="10"/>
      <c r="BM80" s="10"/>
      <c r="BN80" s="10"/>
      <c r="BO80" s="10"/>
    </row>
    <row r="81" spans="1:67" x14ac:dyDescent="0.2">
      <c r="A81" s="39" t="s">
        <v>70</v>
      </c>
      <c r="B81" s="39" t="s">
        <v>35</v>
      </c>
      <c r="D81" s="39">
        <v>0</v>
      </c>
      <c r="E81" s="39">
        <v>0</v>
      </c>
      <c r="F81" s="39">
        <v>0</v>
      </c>
      <c r="H81" s="44">
        <v>0</v>
      </c>
      <c r="I81" s="67">
        <v>0</v>
      </c>
      <c r="J81" s="44">
        <v>0</v>
      </c>
      <c r="K81" s="67">
        <v>0</v>
      </c>
      <c r="L81" s="44">
        <v>0</v>
      </c>
      <c r="M81" s="67">
        <v>0</v>
      </c>
      <c r="N81" s="44">
        <v>0</v>
      </c>
      <c r="O81" s="67">
        <v>0</v>
      </c>
      <c r="P81" s="44">
        <v>0</v>
      </c>
      <c r="Q81" s="67">
        <v>0</v>
      </c>
      <c r="R81" s="44">
        <v>0</v>
      </c>
      <c r="S81" s="67">
        <v>0</v>
      </c>
      <c r="T81" s="44">
        <v>0</v>
      </c>
      <c r="U81" s="67">
        <v>0</v>
      </c>
      <c r="V81" s="44">
        <v>0</v>
      </c>
      <c r="W81" s="67">
        <v>0</v>
      </c>
      <c r="X81" s="44">
        <v>0</v>
      </c>
      <c r="Y81" s="67">
        <v>0</v>
      </c>
      <c r="Z81" s="44">
        <v>0</v>
      </c>
      <c r="AA81" s="67">
        <v>0</v>
      </c>
      <c r="AB81" s="44">
        <v>0</v>
      </c>
      <c r="AC81" s="67">
        <v>0</v>
      </c>
      <c r="AD81" s="44">
        <v>0</v>
      </c>
      <c r="AE81" s="70">
        <v>0</v>
      </c>
      <c r="AG81" s="44">
        <v>0</v>
      </c>
      <c r="AH81" s="44">
        <v>0</v>
      </c>
      <c r="AI81" s="44">
        <v>0</v>
      </c>
      <c r="AJ81" s="44">
        <v>0</v>
      </c>
      <c r="AK81" s="44">
        <v>0</v>
      </c>
      <c r="AL81" s="44">
        <v>0</v>
      </c>
      <c r="AM81" s="44">
        <v>0</v>
      </c>
      <c r="AN81" s="44">
        <v>0</v>
      </c>
      <c r="AO81" s="44">
        <v>0</v>
      </c>
      <c r="AP81" s="44">
        <v>0</v>
      </c>
      <c r="AQ81" s="44">
        <v>0</v>
      </c>
      <c r="AR81" s="44">
        <v>0</v>
      </c>
      <c r="AT81" s="10"/>
      <c r="AU81" s="10"/>
      <c r="AV81" s="10"/>
      <c r="AW81" s="10"/>
      <c r="AY81" s="10"/>
      <c r="AZ81" s="10"/>
      <c r="BA81" s="10"/>
      <c r="BD81" s="10"/>
      <c r="BE81" s="10"/>
      <c r="BF81" s="10"/>
      <c r="BH81" s="10"/>
      <c r="BI81" s="10"/>
      <c r="BJ81" s="10"/>
      <c r="BL81" s="10"/>
      <c r="BM81" s="10"/>
      <c r="BN81" s="10"/>
      <c r="BO81" s="10"/>
    </row>
    <row r="82" spans="1:67" x14ac:dyDescent="0.2">
      <c r="A82" s="38" t="s">
        <v>71</v>
      </c>
      <c r="B82" s="38" t="s">
        <v>35</v>
      </c>
      <c r="D82" s="38">
        <v>0</v>
      </c>
      <c r="E82" s="38">
        <v>0</v>
      </c>
      <c r="F82" s="38">
        <v>0</v>
      </c>
      <c r="H82" s="43">
        <v>0</v>
      </c>
      <c r="I82" s="66">
        <v>0</v>
      </c>
      <c r="J82" s="43">
        <v>0</v>
      </c>
      <c r="K82" s="66">
        <v>0</v>
      </c>
      <c r="L82" s="43">
        <v>0</v>
      </c>
      <c r="M82" s="66">
        <v>0</v>
      </c>
      <c r="N82" s="43">
        <v>0</v>
      </c>
      <c r="O82" s="66">
        <v>0</v>
      </c>
      <c r="P82" s="43">
        <v>0</v>
      </c>
      <c r="Q82" s="66">
        <v>0</v>
      </c>
      <c r="R82" s="43">
        <v>0</v>
      </c>
      <c r="S82" s="66">
        <v>0</v>
      </c>
      <c r="T82" s="43">
        <v>0</v>
      </c>
      <c r="U82" s="66">
        <v>0</v>
      </c>
      <c r="V82" s="43">
        <v>0</v>
      </c>
      <c r="W82" s="66">
        <v>0</v>
      </c>
      <c r="X82" s="43">
        <v>0</v>
      </c>
      <c r="Y82" s="66">
        <v>0</v>
      </c>
      <c r="Z82" s="43">
        <v>0</v>
      </c>
      <c r="AA82" s="66">
        <v>0</v>
      </c>
      <c r="AB82" s="43">
        <v>0</v>
      </c>
      <c r="AC82" s="66">
        <v>0</v>
      </c>
      <c r="AD82" s="43">
        <v>0</v>
      </c>
      <c r="AE82" s="69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0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>
        <v>0</v>
      </c>
      <c r="AR82" s="43">
        <v>0</v>
      </c>
      <c r="AT82" s="10"/>
      <c r="AU82" s="10"/>
      <c r="AV82" s="10"/>
      <c r="AW82" s="10"/>
      <c r="AY82" s="10"/>
      <c r="AZ82" s="10"/>
      <c r="BA82" s="10"/>
      <c r="BD82" s="10"/>
      <c r="BE82" s="10"/>
      <c r="BF82" s="10"/>
      <c r="BH82" s="10"/>
      <c r="BI82" s="10"/>
      <c r="BJ82" s="10"/>
      <c r="BL82" s="10"/>
      <c r="BM82" s="10"/>
      <c r="BN82" s="10"/>
      <c r="BO82" s="10"/>
    </row>
    <row r="83" spans="1:67" x14ac:dyDescent="0.2">
      <c r="A83" s="39" t="s">
        <v>72</v>
      </c>
      <c r="B83" s="39" t="s">
        <v>35</v>
      </c>
      <c r="D83" s="39">
        <v>1</v>
      </c>
      <c r="E83" s="39">
        <v>1</v>
      </c>
      <c r="F83" s="39">
        <v>1</v>
      </c>
      <c r="H83" s="44">
        <v>7296.27</v>
      </c>
      <c r="I83" s="67">
        <v>1</v>
      </c>
      <c r="J83" s="44">
        <v>0</v>
      </c>
      <c r="K83" s="67">
        <v>0</v>
      </c>
      <c r="L83" s="44">
        <v>0</v>
      </c>
      <c r="M83" s="67">
        <v>0</v>
      </c>
      <c r="N83" s="44">
        <v>7296.27</v>
      </c>
      <c r="O83" s="67">
        <v>1</v>
      </c>
      <c r="P83" s="44">
        <v>1660.95</v>
      </c>
      <c r="Q83" s="67">
        <v>1</v>
      </c>
      <c r="R83" s="44">
        <v>0</v>
      </c>
      <c r="S83" s="67">
        <v>0</v>
      </c>
      <c r="T83" s="44">
        <v>0</v>
      </c>
      <c r="U83" s="67">
        <v>0</v>
      </c>
      <c r="V83" s="44">
        <v>1660.95</v>
      </c>
      <c r="W83" s="67">
        <v>1</v>
      </c>
      <c r="X83" s="44">
        <v>2379.5500000000002</v>
      </c>
      <c r="Y83" s="67">
        <v>1</v>
      </c>
      <c r="Z83" s="44">
        <v>0</v>
      </c>
      <c r="AA83" s="67">
        <v>0</v>
      </c>
      <c r="AB83" s="44">
        <v>0</v>
      </c>
      <c r="AC83" s="67">
        <v>0</v>
      </c>
      <c r="AD83" s="44">
        <v>2379.5500000000002</v>
      </c>
      <c r="AE83" s="70">
        <v>1</v>
      </c>
      <c r="AG83" s="44">
        <v>0</v>
      </c>
      <c r="AH83" s="44">
        <v>0</v>
      </c>
      <c r="AI83" s="44">
        <v>0</v>
      </c>
      <c r="AJ83" s="44">
        <v>0</v>
      </c>
      <c r="AK83" s="44">
        <v>0</v>
      </c>
      <c r="AL83" s="44">
        <v>0</v>
      </c>
      <c r="AM83" s="44">
        <v>0</v>
      </c>
      <c r="AN83" s="44">
        <v>0</v>
      </c>
      <c r="AO83" s="44">
        <v>0</v>
      </c>
      <c r="AP83" s="44">
        <v>0</v>
      </c>
      <c r="AQ83" s="44">
        <v>0</v>
      </c>
      <c r="AR83" s="44">
        <v>0</v>
      </c>
      <c r="AT83" s="10"/>
      <c r="AU83" s="10"/>
      <c r="AV83" s="10"/>
      <c r="AW83" s="10"/>
      <c r="AY83" s="10"/>
      <c r="AZ83" s="10"/>
      <c r="BA83" s="10"/>
      <c r="BD83" s="10"/>
      <c r="BE83" s="10"/>
      <c r="BF83" s="10"/>
      <c r="BH83" s="10"/>
      <c r="BI83" s="10"/>
      <c r="BJ83" s="10"/>
      <c r="BL83" s="10"/>
      <c r="BM83" s="10"/>
      <c r="BN83" s="10"/>
      <c r="BO83" s="10"/>
    </row>
    <row r="84" spans="1:67" x14ac:dyDescent="0.2">
      <c r="A84" s="38" t="s">
        <v>73</v>
      </c>
      <c r="B84" s="38" t="s">
        <v>35</v>
      </c>
      <c r="D84" s="38">
        <v>0</v>
      </c>
      <c r="E84" s="38">
        <v>0</v>
      </c>
      <c r="F84" s="38">
        <v>0</v>
      </c>
      <c r="H84" s="43">
        <v>0</v>
      </c>
      <c r="I84" s="66">
        <v>0</v>
      </c>
      <c r="J84" s="43">
        <v>0</v>
      </c>
      <c r="K84" s="66">
        <v>0</v>
      </c>
      <c r="L84" s="43">
        <v>0</v>
      </c>
      <c r="M84" s="66">
        <v>0</v>
      </c>
      <c r="N84" s="43">
        <v>0</v>
      </c>
      <c r="O84" s="66">
        <v>0</v>
      </c>
      <c r="P84" s="43">
        <v>0</v>
      </c>
      <c r="Q84" s="66">
        <v>0</v>
      </c>
      <c r="R84" s="43">
        <v>0</v>
      </c>
      <c r="S84" s="66">
        <v>0</v>
      </c>
      <c r="T84" s="43">
        <v>0</v>
      </c>
      <c r="U84" s="66">
        <v>0</v>
      </c>
      <c r="V84" s="43">
        <v>0</v>
      </c>
      <c r="W84" s="66">
        <v>0</v>
      </c>
      <c r="X84" s="43">
        <v>0</v>
      </c>
      <c r="Y84" s="66">
        <v>0</v>
      </c>
      <c r="Z84" s="43">
        <v>0</v>
      </c>
      <c r="AA84" s="66">
        <v>0</v>
      </c>
      <c r="AB84" s="43">
        <v>0</v>
      </c>
      <c r="AC84" s="66">
        <v>0</v>
      </c>
      <c r="AD84" s="43">
        <v>0</v>
      </c>
      <c r="AE84" s="69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0</v>
      </c>
      <c r="AR84" s="43">
        <v>0</v>
      </c>
      <c r="AT84" s="10"/>
      <c r="AU84" s="10"/>
      <c r="AV84" s="10"/>
      <c r="AW84" s="10"/>
      <c r="AY84" s="10"/>
      <c r="AZ84" s="10"/>
      <c r="BA84" s="10"/>
      <c r="BD84" s="10"/>
      <c r="BE84" s="10"/>
      <c r="BF84" s="10"/>
      <c r="BH84" s="10"/>
      <c r="BI84" s="10"/>
      <c r="BJ84" s="10"/>
      <c r="BL84" s="10"/>
      <c r="BM84" s="10"/>
      <c r="BN84" s="10"/>
      <c r="BO84" s="10"/>
    </row>
    <row r="85" spans="1:67" x14ac:dyDescent="0.2">
      <c r="A85" s="39" t="s">
        <v>74</v>
      </c>
      <c r="B85" s="39" t="s">
        <v>35</v>
      </c>
      <c r="D85" s="39">
        <v>0</v>
      </c>
      <c r="E85" s="39">
        <v>0</v>
      </c>
      <c r="F85" s="39">
        <v>0</v>
      </c>
      <c r="H85" s="44">
        <v>0</v>
      </c>
      <c r="I85" s="67">
        <v>0</v>
      </c>
      <c r="J85" s="44">
        <v>0</v>
      </c>
      <c r="K85" s="67">
        <v>0</v>
      </c>
      <c r="L85" s="44">
        <v>0</v>
      </c>
      <c r="M85" s="67">
        <v>0</v>
      </c>
      <c r="N85" s="44">
        <v>0</v>
      </c>
      <c r="O85" s="67">
        <v>0</v>
      </c>
      <c r="P85" s="44">
        <v>0</v>
      </c>
      <c r="Q85" s="67">
        <v>0</v>
      </c>
      <c r="R85" s="44">
        <v>0</v>
      </c>
      <c r="S85" s="67">
        <v>0</v>
      </c>
      <c r="T85" s="44">
        <v>0</v>
      </c>
      <c r="U85" s="67">
        <v>0</v>
      </c>
      <c r="V85" s="44">
        <v>0</v>
      </c>
      <c r="W85" s="67">
        <v>0</v>
      </c>
      <c r="X85" s="44">
        <v>0</v>
      </c>
      <c r="Y85" s="67">
        <v>0</v>
      </c>
      <c r="Z85" s="44">
        <v>0</v>
      </c>
      <c r="AA85" s="67">
        <v>0</v>
      </c>
      <c r="AB85" s="44">
        <v>0</v>
      </c>
      <c r="AC85" s="67">
        <v>0</v>
      </c>
      <c r="AD85" s="44">
        <v>0</v>
      </c>
      <c r="AE85" s="70">
        <v>0</v>
      </c>
      <c r="AG85" s="44">
        <v>0</v>
      </c>
      <c r="AH85" s="44">
        <v>0</v>
      </c>
      <c r="AI85" s="44">
        <v>0</v>
      </c>
      <c r="AJ85" s="44">
        <v>0</v>
      </c>
      <c r="AK85" s="44">
        <v>0</v>
      </c>
      <c r="AL85" s="44">
        <v>0</v>
      </c>
      <c r="AM85" s="44">
        <v>0</v>
      </c>
      <c r="AN85" s="44">
        <v>0</v>
      </c>
      <c r="AO85" s="44">
        <v>0</v>
      </c>
      <c r="AP85" s="44">
        <v>0</v>
      </c>
      <c r="AQ85" s="44">
        <v>0</v>
      </c>
      <c r="AR85" s="44">
        <v>0</v>
      </c>
      <c r="AT85" s="10"/>
      <c r="AU85" s="10"/>
      <c r="AV85" s="10"/>
      <c r="AW85" s="10"/>
      <c r="AY85" s="10"/>
      <c r="AZ85" s="10"/>
      <c r="BA85" s="10"/>
      <c r="BD85" s="10"/>
      <c r="BE85" s="10"/>
      <c r="BF85" s="10"/>
      <c r="BH85" s="10"/>
      <c r="BI85" s="10"/>
      <c r="BJ85" s="10"/>
      <c r="BL85" s="10"/>
      <c r="BM85" s="10"/>
      <c r="BN85" s="10"/>
      <c r="BO85" s="10"/>
    </row>
    <row r="86" spans="1:67" x14ac:dyDescent="0.2">
      <c r="A86" s="38" t="s">
        <v>75</v>
      </c>
      <c r="B86" s="38" t="s">
        <v>35</v>
      </c>
      <c r="D86" s="38">
        <v>0</v>
      </c>
      <c r="E86" s="38">
        <v>0</v>
      </c>
      <c r="F86" s="38">
        <v>0</v>
      </c>
      <c r="H86" s="43">
        <v>0</v>
      </c>
      <c r="I86" s="66">
        <v>0</v>
      </c>
      <c r="J86" s="43">
        <v>0</v>
      </c>
      <c r="K86" s="66">
        <v>0</v>
      </c>
      <c r="L86" s="43">
        <v>0</v>
      </c>
      <c r="M86" s="66">
        <v>0</v>
      </c>
      <c r="N86" s="43">
        <v>0</v>
      </c>
      <c r="O86" s="66">
        <v>0</v>
      </c>
      <c r="P86" s="43">
        <v>0</v>
      </c>
      <c r="Q86" s="66">
        <v>0</v>
      </c>
      <c r="R86" s="43">
        <v>0</v>
      </c>
      <c r="S86" s="66">
        <v>0</v>
      </c>
      <c r="T86" s="43">
        <v>0</v>
      </c>
      <c r="U86" s="66">
        <v>0</v>
      </c>
      <c r="V86" s="43">
        <v>0</v>
      </c>
      <c r="W86" s="66">
        <v>0</v>
      </c>
      <c r="X86" s="43">
        <v>0</v>
      </c>
      <c r="Y86" s="66">
        <v>0</v>
      </c>
      <c r="Z86" s="43">
        <v>0</v>
      </c>
      <c r="AA86" s="66">
        <v>0</v>
      </c>
      <c r="AB86" s="43">
        <v>0</v>
      </c>
      <c r="AC86" s="66">
        <v>0</v>
      </c>
      <c r="AD86" s="43">
        <v>0</v>
      </c>
      <c r="AE86" s="69">
        <v>0</v>
      </c>
      <c r="AG86" s="43">
        <v>0</v>
      </c>
      <c r="AH86" s="43">
        <v>0</v>
      </c>
      <c r="AI86" s="43">
        <v>0</v>
      </c>
      <c r="AJ86" s="43">
        <v>0</v>
      </c>
      <c r="AK86" s="43">
        <v>0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0</v>
      </c>
      <c r="AT86" s="10"/>
      <c r="AU86" s="10"/>
      <c r="AV86" s="10"/>
      <c r="AW86" s="10"/>
      <c r="AY86" s="10"/>
      <c r="AZ86" s="10"/>
      <c r="BA86" s="10"/>
      <c r="BD86" s="10"/>
      <c r="BE86" s="10"/>
      <c r="BF86" s="10"/>
      <c r="BH86" s="10"/>
      <c r="BI86" s="10"/>
      <c r="BJ86" s="10"/>
      <c r="BL86" s="10"/>
      <c r="BM86" s="10"/>
      <c r="BN86" s="10"/>
      <c r="BO86" s="10"/>
    </row>
    <row r="87" spans="1:67" x14ac:dyDescent="0.2">
      <c r="A87" s="39" t="s">
        <v>76</v>
      </c>
      <c r="B87" s="39" t="s">
        <v>35</v>
      </c>
      <c r="D87" s="39">
        <v>0</v>
      </c>
      <c r="E87" s="39">
        <v>0</v>
      </c>
      <c r="F87" s="39">
        <v>0</v>
      </c>
      <c r="H87" s="44">
        <v>0</v>
      </c>
      <c r="I87" s="67">
        <v>0</v>
      </c>
      <c r="J87" s="44">
        <v>0</v>
      </c>
      <c r="K87" s="67">
        <v>0</v>
      </c>
      <c r="L87" s="44">
        <v>0</v>
      </c>
      <c r="M87" s="67">
        <v>0</v>
      </c>
      <c r="N87" s="44">
        <v>0</v>
      </c>
      <c r="O87" s="67">
        <v>0</v>
      </c>
      <c r="P87" s="44">
        <v>0</v>
      </c>
      <c r="Q87" s="67">
        <v>0</v>
      </c>
      <c r="R87" s="44">
        <v>0</v>
      </c>
      <c r="S87" s="67">
        <v>0</v>
      </c>
      <c r="T87" s="44">
        <v>0</v>
      </c>
      <c r="U87" s="67">
        <v>0</v>
      </c>
      <c r="V87" s="44">
        <v>0</v>
      </c>
      <c r="W87" s="67">
        <v>0</v>
      </c>
      <c r="X87" s="44">
        <v>0</v>
      </c>
      <c r="Y87" s="67">
        <v>0</v>
      </c>
      <c r="Z87" s="44">
        <v>0</v>
      </c>
      <c r="AA87" s="67">
        <v>0</v>
      </c>
      <c r="AB87" s="44">
        <v>0</v>
      </c>
      <c r="AC87" s="67">
        <v>0</v>
      </c>
      <c r="AD87" s="44">
        <v>0</v>
      </c>
      <c r="AE87" s="70">
        <v>0</v>
      </c>
      <c r="AG87" s="44">
        <v>0</v>
      </c>
      <c r="AH87" s="44">
        <v>0</v>
      </c>
      <c r="AI87" s="44">
        <v>0</v>
      </c>
      <c r="AJ87" s="44">
        <v>0</v>
      </c>
      <c r="AK87" s="44">
        <v>0</v>
      </c>
      <c r="AL87" s="44">
        <v>0</v>
      </c>
      <c r="AM87" s="44">
        <v>0</v>
      </c>
      <c r="AN87" s="44">
        <v>0</v>
      </c>
      <c r="AO87" s="44">
        <v>0</v>
      </c>
      <c r="AP87" s="44">
        <v>0</v>
      </c>
      <c r="AQ87" s="44">
        <v>0</v>
      </c>
      <c r="AR87" s="44">
        <v>0</v>
      </c>
      <c r="AT87" s="10"/>
      <c r="AU87" s="10"/>
      <c r="AV87" s="10"/>
      <c r="AW87" s="10"/>
      <c r="AY87" s="10"/>
      <c r="AZ87" s="10"/>
      <c r="BA87" s="10"/>
      <c r="BD87" s="10"/>
      <c r="BE87" s="10"/>
      <c r="BF87" s="10"/>
      <c r="BH87" s="10"/>
      <c r="BI87" s="10"/>
      <c r="BJ87" s="10"/>
      <c r="BL87" s="10"/>
      <c r="BM87" s="10"/>
      <c r="BN87" s="10"/>
      <c r="BO87" s="10"/>
    </row>
    <row r="88" spans="1:67" x14ac:dyDescent="0.2">
      <c r="A88" s="38" t="s">
        <v>77</v>
      </c>
      <c r="B88" s="38" t="s">
        <v>35</v>
      </c>
      <c r="D88" s="38">
        <v>0</v>
      </c>
      <c r="E88" s="38">
        <v>0</v>
      </c>
      <c r="F88" s="38">
        <v>0</v>
      </c>
      <c r="H88" s="43">
        <v>0</v>
      </c>
      <c r="I88" s="66">
        <v>0</v>
      </c>
      <c r="J88" s="43">
        <v>0</v>
      </c>
      <c r="K88" s="66">
        <v>0</v>
      </c>
      <c r="L88" s="43">
        <v>0</v>
      </c>
      <c r="M88" s="66">
        <v>0</v>
      </c>
      <c r="N88" s="43">
        <v>0</v>
      </c>
      <c r="O88" s="66">
        <v>0</v>
      </c>
      <c r="P88" s="43">
        <v>0</v>
      </c>
      <c r="Q88" s="66">
        <v>0</v>
      </c>
      <c r="R88" s="43">
        <v>0</v>
      </c>
      <c r="S88" s="66">
        <v>0</v>
      </c>
      <c r="T88" s="43">
        <v>0</v>
      </c>
      <c r="U88" s="66">
        <v>0</v>
      </c>
      <c r="V88" s="43">
        <v>0</v>
      </c>
      <c r="W88" s="66">
        <v>0</v>
      </c>
      <c r="X88" s="43">
        <v>0</v>
      </c>
      <c r="Y88" s="66">
        <v>0</v>
      </c>
      <c r="Z88" s="43">
        <v>0</v>
      </c>
      <c r="AA88" s="66">
        <v>0</v>
      </c>
      <c r="AB88" s="43">
        <v>0</v>
      </c>
      <c r="AC88" s="66">
        <v>0</v>
      </c>
      <c r="AD88" s="43">
        <v>0</v>
      </c>
      <c r="AE88" s="69">
        <v>0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</row>
    <row r="89" spans="1:67" x14ac:dyDescent="0.2">
      <c r="A89" s="39" t="s">
        <v>125</v>
      </c>
      <c r="B89" s="39" t="s">
        <v>35</v>
      </c>
      <c r="D89" s="39">
        <v>0</v>
      </c>
      <c r="E89" s="39">
        <v>0</v>
      </c>
      <c r="F89" s="39">
        <v>0</v>
      </c>
      <c r="H89" s="44">
        <v>0</v>
      </c>
      <c r="I89" s="67">
        <v>0</v>
      </c>
      <c r="J89" s="44">
        <v>0</v>
      </c>
      <c r="K89" s="67">
        <v>0</v>
      </c>
      <c r="L89" s="44">
        <v>0</v>
      </c>
      <c r="M89" s="67">
        <v>0</v>
      </c>
      <c r="N89" s="44">
        <v>0</v>
      </c>
      <c r="O89" s="67">
        <v>0</v>
      </c>
      <c r="P89" s="44">
        <v>0</v>
      </c>
      <c r="Q89" s="67">
        <v>0</v>
      </c>
      <c r="R89" s="44">
        <v>0</v>
      </c>
      <c r="S89" s="67">
        <v>0</v>
      </c>
      <c r="T89" s="44">
        <v>0</v>
      </c>
      <c r="U89" s="67">
        <v>0</v>
      </c>
      <c r="V89" s="44">
        <v>0</v>
      </c>
      <c r="W89" s="67">
        <v>0</v>
      </c>
      <c r="X89" s="44">
        <v>0</v>
      </c>
      <c r="Y89" s="67">
        <v>0</v>
      </c>
      <c r="Z89" s="44">
        <v>0</v>
      </c>
      <c r="AA89" s="67">
        <v>0</v>
      </c>
      <c r="AB89" s="44">
        <v>0</v>
      </c>
      <c r="AC89" s="67">
        <v>0</v>
      </c>
      <c r="AD89" s="44">
        <v>0</v>
      </c>
      <c r="AE89" s="70">
        <v>0</v>
      </c>
      <c r="AG89" s="44">
        <v>0</v>
      </c>
      <c r="AH89" s="44">
        <v>0</v>
      </c>
      <c r="AI89" s="44">
        <v>0</v>
      </c>
      <c r="AJ89" s="44">
        <v>0</v>
      </c>
      <c r="AK89" s="44">
        <v>0</v>
      </c>
      <c r="AL89" s="44">
        <v>0</v>
      </c>
      <c r="AM89" s="44">
        <v>0</v>
      </c>
      <c r="AN89" s="44">
        <v>0</v>
      </c>
      <c r="AO89" s="44">
        <v>0</v>
      </c>
      <c r="AP89" s="44">
        <v>0</v>
      </c>
      <c r="AQ89" s="44">
        <v>0</v>
      </c>
      <c r="AR89" s="44">
        <v>0</v>
      </c>
    </row>
    <row r="90" spans="1:67" x14ac:dyDescent="0.2">
      <c r="A90" s="38" t="s">
        <v>80</v>
      </c>
      <c r="B90" s="38" t="s">
        <v>36</v>
      </c>
      <c r="D90" s="38">
        <v>0</v>
      </c>
      <c r="E90" s="38">
        <v>0</v>
      </c>
      <c r="F90" s="38">
        <v>0</v>
      </c>
      <c r="H90" s="43">
        <v>0</v>
      </c>
      <c r="I90" s="66">
        <v>0</v>
      </c>
      <c r="J90" s="43">
        <v>0</v>
      </c>
      <c r="K90" s="66">
        <v>0</v>
      </c>
      <c r="L90" s="43">
        <v>0</v>
      </c>
      <c r="M90" s="66">
        <v>0</v>
      </c>
      <c r="N90" s="43">
        <v>0</v>
      </c>
      <c r="O90" s="66">
        <v>0</v>
      </c>
      <c r="P90" s="43">
        <v>0</v>
      </c>
      <c r="Q90" s="66">
        <v>0</v>
      </c>
      <c r="R90" s="43">
        <v>0</v>
      </c>
      <c r="S90" s="66">
        <v>0</v>
      </c>
      <c r="T90" s="43">
        <v>0</v>
      </c>
      <c r="U90" s="66">
        <v>0</v>
      </c>
      <c r="V90" s="43">
        <v>0</v>
      </c>
      <c r="W90" s="66">
        <v>0</v>
      </c>
      <c r="X90" s="43">
        <v>0</v>
      </c>
      <c r="Y90" s="66">
        <v>0</v>
      </c>
      <c r="Z90" s="43">
        <v>0</v>
      </c>
      <c r="AA90" s="66">
        <v>0</v>
      </c>
      <c r="AB90" s="43">
        <v>0</v>
      </c>
      <c r="AC90" s="66">
        <v>0</v>
      </c>
      <c r="AD90" s="43">
        <v>0</v>
      </c>
      <c r="AE90" s="69">
        <v>0</v>
      </c>
      <c r="AG90" s="43">
        <v>0</v>
      </c>
      <c r="AH90" s="43">
        <v>0</v>
      </c>
      <c r="AI90" s="43">
        <v>0</v>
      </c>
      <c r="AJ90" s="43">
        <v>0</v>
      </c>
      <c r="AK90" s="43">
        <v>0</v>
      </c>
      <c r="AL90" s="43">
        <v>0</v>
      </c>
      <c r="AM90" s="43">
        <v>0</v>
      </c>
      <c r="AN90" s="43">
        <v>0</v>
      </c>
      <c r="AO90" s="43">
        <v>0</v>
      </c>
      <c r="AP90" s="43">
        <v>0</v>
      </c>
      <c r="AQ90" s="43">
        <v>0</v>
      </c>
      <c r="AR90" s="43">
        <v>0</v>
      </c>
      <c r="AT90" s="10" t="s">
        <v>34</v>
      </c>
      <c r="AU90" s="11">
        <v>3041.11</v>
      </c>
      <c r="AV90" s="11">
        <v>3554.17</v>
      </c>
      <c r="AW90" s="11">
        <v>2997.02</v>
      </c>
      <c r="AY90" s="85"/>
      <c r="AZ90" s="85"/>
      <c r="BA90" s="85"/>
      <c r="BC90" t="s">
        <v>34</v>
      </c>
      <c r="BD90" s="10">
        <v>6</v>
      </c>
      <c r="BE90" s="10">
        <v>4</v>
      </c>
      <c r="BF90" s="10">
        <v>4</v>
      </c>
      <c r="BH90" s="85"/>
      <c r="BI90" s="85"/>
      <c r="BJ90" s="85"/>
      <c r="BL90" s="10" t="s">
        <v>34</v>
      </c>
      <c r="BM90" s="11">
        <v>92.21</v>
      </c>
      <c r="BN90" s="11">
        <v>0</v>
      </c>
      <c r="BO90" s="11">
        <v>533.33000000000004</v>
      </c>
    </row>
    <row r="91" spans="1:67" x14ac:dyDescent="0.2">
      <c r="A91" s="39" t="s">
        <v>81</v>
      </c>
      <c r="B91" s="39" t="s">
        <v>36</v>
      </c>
      <c r="D91" s="39">
        <v>0</v>
      </c>
      <c r="E91" s="39">
        <v>0</v>
      </c>
      <c r="F91" s="39">
        <v>0</v>
      </c>
      <c r="H91" s="44">
        <v>0</v>
      </c>
      <c r="I91" s="67">
        <v>0</v>
      </c>
      <c r="J91" s="44">
        <v>0</v>
      </c>
      <c r="K91" s="67">
        <v>0</v>
      </c>
      <c r="L91" s="44">
        <v>0</v>
      </c>
      <c r="M91" s="67">
        <v>0</v>
      </c>
      <c r="N91" s="44">
        <v>0</v>
      </c>
      <c r="O91" s="67">
        <v>0</v>
      </c>
      <c r="P91" s="44">
        <v>0</v>
      </c>
      <c r="Q91" s="67">
        <v>0</v>
      </c>
      <c r="R91" s="44">
        <v>0</v>
      </c>
      <c r="S91" s="67">
        <v>0</v>
      </c>
      <c r="T91" s="44">
        <v>0</v>
      </c>
      <c r="U91" s="67">
        <v>0</v>
      </c>
      <c r="V91" s="44">
        <v>0</v>
      </c>
      <c r="W91" s="67">
        <v>0</v>
      </c>
      <c r="X91" s="44">
        <v>0</v>
      </c>
      <c r="Y91" s="67">
        <v>0</v>
      </c>
      <c r="Z91" s="44">
        <v>0</v>
      </c>
      <c r="AA91" s="67">
        <v>0</v>
      </c>
      <c r="AB91" s="44">
        <v>0</v>
      </c>
      <c r="AC91" s="67">
        <v>0</v>
      </c>
      <c r="AD91" s="44">
        <v>0</v>
      </c>
      <c r="AE91" s="70">
        <v>0</v>
      </c>
      <c r="AG91" s="44">
        <v>0</v>
      </c>
      <c r="AH91" s="44">
        <v>0</v>
      </c>
      <c r="AI91" s="44">
        <v>0</v>
      </c>
      <c r="AJ91" s="44">
        <v>0</v>
      </c>
      <c r="AK91" s="44">
        <v>0</v>
      </c>
      <c r="AL91" s="44">
        <v>0</v>
      </c>
      <c r="AM91" s="44">
        <v>0</v>
      </c>
      <c r="AN91" s="44">
        <v>0</v>
      </c>
      <c r="AO91" s="44">
        <v>0</v>
      </c>
      <c r="AP91" s="44">
        <v>0</v>
      </c>
      <c r="AQ91" s="44">
        <v>0</v>
      </c>
      <c r="AR91" s="44">
        <v>0</v>
      </c>
      <c r="AT91" s="10"/>
      <c r="AU91" s="11"/>
      <c r="AV91" s="11"/>
      <c r="AW91" s="11"/>
      <c r="AY91" s="85"/>
      <c r="AZ91" s="10"/>
      <c r="BA91" s="85"/>
      <c r="BD91" s="10"/>
      <c r="BE91" s="10"/>
      <c r="BF91" s="10"/>
      <c r="BH91" s="85"/>
      <c r="BI91" s="10"/>
      <c r="BJ91" s="85"/>
      <c r="BL91" s="10"/>
      <c r="BM91" s="11"/>
      <c r="BN91" s="11"/>
      <c r="BO91" s="11"/>
    </row>
    <row r="92" spans="1:67" x14ac:dyDescent="0.2">
      <c r="A92" s="38" t="s">
        <v>82</v>
      </c>
      <c r="B92" s="38" t="s">
        <v>36</v>
      </c>
      <c r="D92" s="38">
        <v>0</v>
      </c>
      <c r="E92" s="38">
        <v>0</v>
      </c>
      <c r="F92" s="38">
        <v>0</v>
      </c>
      <c r="H92" s="43">
        <v>0</v>
      </c>
      <c r="I92" s="66">
        <v>0</v>
      </c>
      <c r="J92" s="43">
        <v>0</v>
      </c>
      <c r="K92" s="66">
        <v>0</v>
      </c>
      <c r="L92" s="43">
        <v>0</v>
      </c>
      <c r="M92" s="66">
        <v>0</v>
      </c>
      <c r="N92" s="43">
        <v>0</v>
      </c>
      <c r="O92" s="66">
        <v>0</v>
      </c>
      <c r="P92" s="43">
        <v>0</v>
      </c>
      <c r="Q92" s="66">
        <v>0</v>
      </c>
      <c r="R92" s="43">
        <v>0</v>
      </c>
      <c r="S92" s="66">
        <v>0</v>
      </c>
      <c r="T92" s="43">
        <v>0</v>
      </c>
      <c r="U92" s="66">
        <v>0</v>
      </c>
      <c r="V92" s="43">
        <v>0</v>
      </c>
      <c r="W92" s="66">
        <v>0</v>
      </c>
      <c r="X92" s="43">
        <v>0</v>
      </c>
      <c r="Y92" s="66">
        <v>0</v>
      </c>
      <c r="Z92" s="43">
        <v>0</v>
      </c>
      <c r="AA92" s="66">
        <v>0</v>
      </c>
      <c r="AB92" s="43">
        <v>0</v>
      </c>
      <c r="AC92" s="66">
        <v>0</v>
      </c>
      <c r="AD92" s="43">
        <v>0</v>
      </c>
      <c r="AE92" s="69">
        <v>0</v>
      </c>
      <c r="AG92" s="43">
        <v>0</v>
      </c>
      <c r="AH92" s="43">
        <v>0</v>
      </c>
      <c r="AI92" s="43">
        <v>0</v>
      </c>
      <c r="AJ92" s="43">
        <v>0</v>
      </c>
      <c r="AK92" s="43">
        <v>0</v>
      </c>
      <c r="AL92" s="43">
        <v>0</v>
      </c>
      <c r="AM92" s="43">
        <v>0</v>
      </c>
      <c r="AN92" s="43">
        <v>0</v>
      </c>
      <c r="AO92" s="43">
        <v>0</v>
      </c>
      <c r="AP92" s="43">
        <v>0</v>
      </c>
      <c r="AQ92" s="43">
        <v>0</v>
      </c>
      <c r="AR92" s="43">
        <v>0</v>
      </c>
      <c r="AT92" s="10"/>
      <c r="AU92" s="11"/>
      <c r="AV92" s="11"/>
      <c r="AW92" s="11"/>
      <c r="AY92" s="10"/>
      <c r="AZ92" s="10"/>
      <c r="BA92" s="10"/>
      <c r="BD92" s="10"/>
      <c r="BE92" s="10"/>
      <c r="BF92" s="10"/>
      <c r="BH92" s="10"/>
      <c r="BI92" s="10"/>
      <c r="BJ92" s="10"/>
      <c r="BL92" s="10"/>
      <c r="BM92" s="11"/>
      <c r="BN92" s="11"/>
      <c r="BO92" s="11"/>
    </row>
    <row r="93" spans="1:67" x14ac:dyDescent="0.2">
      <c r="A93" s="39" t="s">
        <v>39</v>
      </c>
      <c r="B93" s="39" t="s">
        <v>36</v>
      </c>
      <c r="D93" s="39">
        <v>0</v>
      </c>
      <c r="E93" s="39">
        <v>0</v>
      </c>
      <c r="F93" s="39">
        <v>0</v>
      </c>
      <c r="H93" s="44">
        <v>0</v>
      </c>
      <c r="I93" s="67">
        <v>0</v>
      </c>
      <c r="J93" s="44">
        <v>0</v>
      </c>
      <c r="K93" s="67">
        <v>0</v>
      </c>
      <c r="L93" s="44">
        <v>0</v>
      </c>
      <c r="M93" s="67">
        <v>0</v>
      </c>
      <c r="N93" s="44">
        <v>0</v>
      </c>
      <c r="O93" s="67">
        <v>0</v>
      </c>
      <c r="P93" s="44">
        <v>0</v>
      </c>
      <c r="Q93" s="67">
        <v>0</v>
      </c>
      <c r="R93" s="44">
        <v>0</v>
      </c>
      <c r="S93" s="67">
        <v>0</v>
      </c>
      <c r="T93" s="44">
        <v>0</v>
      </c>
      <c r="U93" s="67">
        <v>0</v>
      </c>
      <c r="V93" s="44">
        <v>0</v>
      </c>
      <c r="W93" s="67">
        <v>0</v>
      </c>
      <c r="X93" s="44">
        <v>0</v>
      </c>
      <c r="Y93" s="67">
        <v>0</v>
      </c>
      <c r="Z93" s="44">
        <v>0</v>
      </c>
      <c r="AA93" s="67">
        <v>0</v>
      </c>
      <c r="AB93" s="44">
        <v>0</v>
      </c>
      <c r="AC93" s="67">
        <v>0</v>
      </c>
      <c r="AD93" s="44">
        <v>0</v>
      </c>
      <c r="AE93" s="70">
        <v>0</v>
      </c>
      <c r="AG93" s="44">
        <v>0</v>
      </c>
      <c r="AH93" s="44">
        <v>0</v>
      </c>
      <c r="AI93" s="44">
        <v>0</v>
      </c>
      <c r="AJ93" s="44">
        <v>0</v>
      </c>
      <c r="AK93" s="44">
        <v>0</v>
      </c>
      <c r="AL93" s="44">
        <v>0</v>
      </c>
      <c r="AM93" s="44">
        <v>0</v>
      </c>
      <c r="AN93" s="44">
        <v>0</v>
      </c>
      <c r="AO93" s="44">
        <v>0</v>
      </c>
      <c r="AP93" s="44">
        <v>0</v>
      </c>
      <c r="AQ93" s="44">
        <v>0</v>
      </c>
      <c r="AR93" s="44">
        <v>0</v>
      </c>
      <c r="AT93" s="10"/>
      <c r="AU93" s="10"/>
      <c r="AV93" s="10"/>
      <c r="AW93" s="10"/>
      <c r="AY93" s="10"/>
      <c r="AZ93" s="10"/>
      <c r="BA93" s="10"/>
      <c r="BD93" s="10"/>
      <c r="BE93" s="10"/>
      <c r="BF93" s="10"/>
      <c r="BH93" s="10"/>
      <c r="BI93" s="10"/>
      <c r="BJ93" s="10"/>
      <c r="BL93" s="10"/>
      <c r="BM93" s="10"/>
      <c r="BN93" s="10"/>
      <c r="BO93" s="10"/>
    </row>
    <row r="94" spans="1:67" x14ac:dyDescent="0.2">
      <c r="A94" s="38" t="s">
        <v>40</v>
      </c>
      <c r="B94" s="38" t="s">
        <v>36</v>
      </c>
      <c r="D94" s="38">
        <v>0</v>
      </c>
      <c r="E94" s="38">
        <v>0</v>
      </c>
      <c r="F94" s="38">
        <v>0</v>
      </c>
      <c r="H94" s="43">
        <v>0</v>
      </c>
      <c r="I94" s="66">
        <v>0</v>
      </c>
      <c r="J94" s="43">
        <v>0</v>
      </c>
      <c r="K94" s="66">
        <v>0</v>
      </c>
      <c r="L94" s="43">
        <v>0</v>
      </c>
      <c r="M94" s="66">
        <v>0</v>
      </c>
      <c r="N94" s="43">
        <v>0</v>
      </c>
      <c r="O94" s="66">
        <v>0</v>
      </c>
      <c r="P94" s="43">
        <v>0</v>
      </c>
      <c r="Q94" s="66">
        <v>0</v>
      </c>
      <c r="R94" s="43">
        <v>0</v>
      </c>
      <c r="S94" s="66">
        <v>0</v>
      </c>
      <c r="T94" s="43">
        <v>0</v>
      </c>
      <c r="U94" s="66">
        <v>0</v>
      </c>
      <c r="V94" s="43">
        <v>0</v>
      </c>
      <c r="W94" s="66">
        <v>0</v>
      </c>
      <c r="X94" s="43">
        <v>0</v>
      </c>
      <c r="Y94" s="66">
        <v>0</v>
      </c>
      <c r="Z94" s="43">
        <v>0</v>
      </c>
      <c r="AA94" s="66">
        <v>0</v>
      </c>
      <c r="AB94" s="43">
        <v>0</v>
      </c>
      <c r="AC94" s="66">
        <v>0</v>
      </c>
      <c r="AD94" s="43">
        <v>0</v>
      </c>
      <c r="AE94" s="69">
        <v>0</v>
      </c>
      <c r="AG94" s="43">
        <v>0</v>
      </c>
      <c r="AH94" s="43">
        <v>0</v>
      </c>
      <c r="AI94" s="43">
        <v>0</v>
      </c>
      <c r="AJ94" s="43">
        <v>0</v>
      </c>
      <c r="AK94" s="43">
        <v>0</v>
      </c>
      <c r="AL94" s="43">
        <v>0</v>
      </c>
      <c r="AM94" s="43">
        <v>0</v>
      </c>
      <c r="AN94" s="43">
        <v>0</v>
      </c>
      <c r="AO94" s="43">
        <v>0</v>
      </c>
      <c r="AP94" s="43">
        <v>0</v>
      </c>
      <c r="AQ94" s="43">
        <v>0</v>
      </c>
      <c r="AR94" s="43">
        <v>0</v>
      </c>
      <c r="AT94" s="10"/>
      <c r="AU94" s="10"/>
      <c r="AV94" s="10"/>
      <c r="AW94" s="10"/>
      <c r="AY94" s="10"/>
      <c r="AZ94" s="10"/>
      <c r="BA94" s="10"/>
      <c r="BD94" s="10"/>
      <c r="BE94" s="10"/>
      <c r="BF94" s="10"/>
      <c r="BH94" s="10"/>
      <c r="BI94" s="10"/>
      <c r="BJ94" s="10"/>
      <c r="BL94" s="10"/>
      <c r="BM94" s="10"/>
      <c r="BN94" s="10"/>
      <c r="BO94" s="10"/>
    </row>
    <row r="95" spans="1:67" x14ac:dyDescent="0.2">
      <c r="A95" s="39" t="s">
        <v>41</v>
      </c>
      <c r="B95" s="39" t="s">
        <v>36</v>
      </c>
      <c r="D95" s="39">
        <v>0</v>
      </c>
      <c r="E95" s="39">
        <v>0</v>
      </c>
      <c r="F95" s="39">
        <v>0</v>
      </c>
      <c r="H95" s="44">
        <v>0</v>
      </c>
      <c r="I95" s="67">
        <v>0</v>
      </c>
      <c r="J95" s="44">
        <v>0</v>
      </c>
      <c r="K95" s="67">
        <v>0</v>
      </c>
      <c r="L95" s="44">
        <v>0</v>
      </c>
      <c r="M95" s="67">
        <v>0</v>
      </c>
      <c r="N95" s="44">
        <v>0</v>
      </c>
      <c r="O95" s="67">
        <v>0</v>
      </c>
      <c r="P95" s="44">
        <v>0</v>
      </c>
      <c r="Q95" s="67">
        <v>0</v>
      </c>
      <c r="R95" s="44">
        <v>0</v>
      </c>
      <c r="S95" s="67">
        <v>0</v>
      </c>
      <c r="T95" s="44">
        <v>0</v>
      </c>
      <c r="U95" s="67">
        <v>0</v>
      </c>
      <c r="V95" s="44">
        <v>0</v>
      </c>
      <c r="W95" s="67">
        <v>0</v>
      </c>
      <c r="X95" s="44">
        <v>0</v>
      </c>
      <c r="Y95" s="67">
        <v>0</v>
      </c>
      <c r="Z95" s="44">
        <v>0</v>
      </c>
      <c r="AA95" s="67">
        <v>0</v>
      </c>
      <c r="AB95" s="44">
        <v>0</v>
      </c>
      <c r="AC95" s="67">
        <v>0</v>
      </c>
      <c r="AD95" s="44">
        <v>0</v>
      </c>
      <c r="AE95" s="70">
        <v>0</v>
      </c>
      <c r="AG95" s="44">
        <v>0</v>
      </c>
      <c r="AH95" s="44">
        <v>0</v>
      </c>
      <c r="AI95" s="44">
        <v>0</v>
      </c>
      <c r="AJ95" s="44">
        <v>0</v>
      </c>
      <c r="AK95" s="44">
        <v>0</v>
      </c>
      <c r="AL95" s="44">
        <v>0</v>
      </c>
      <c r="AM95" s="44">
        <v>0</v>
      </c>
      <c r="AN95" s="44">
        <v>0</v>
      </c>
      <c r="AO95" s="44">
        <v>0</v>
      </c>
      <c r="AP95" s="44">
        <v>0</v>
      </c>
      <c r="AQ95" s="44">
        <v>0</v>
      </c>
      <c r="AR95" s="44">
        <v>0</v>
      </c>
      <c r="AT95" s="10"/>
      <c r="AU95" s="10"/>
      <c r="AV95" s="10"/>
      <c r="AW95" s="10"/>
      <c r="AY95" s="10"/>
      <c r="AZ95" s="10"/>
      <c r="BA95" s="10"/>
      <c r="BD95" s="10"/>
      <c r="BE95" s="10"/>
      <c r="BF95" s="10"/>
      <c r="BH95" s="10"/>
      <c r="BI95" s="10"/>
      <c r="BJ95" s="10"/>
      <c r="BL95" s="10"/>
      <c r="BM95" s="10"/>
      <c r="BN95" s="10"/>
      <c r="BO95" s="10"/>
    </row>
    <row r="96" spans="1:67" x14ac:dyDescent="0.2">
      <c r="A96" s="38" t="s">
        <v>42</v>
      </c>
      <c r="B96" s="38" t="s">
        <v>36</v>
      </c>
      <c r="D96" s="38">
        <v>0</v>
      </c>
      <c r="E96" s="38">
        <v>0</v>
      </c>
      <c r="F96" s="38">
        <v>0</v>
      </c>
      <c r="H96" s="43">
        <v>0</v>
      </c>
      <c r="I96" s="66">
        <v>0</v>
      </c>
      <c r="J96" s="43">
        <v>0</v>
      </c>
      <c r="K96" s="66">
        <v>0</v>
      </c>
      <c r="L96" s="43">
        <v>0</v>
      </c>
      <c r="M96" s="66">
        <v>0</v>
      </c>
      <c r="N96" s="43">
        <v>0</v>
      </c>
      <c r="O96" s="66">
        <v>0</v>
      </c>
      <c r="P96" s="43">
        <v>0</v>
      </c>
      <c r="Q96" s="66">
        <v>0</v>
      </c>
      <c r="R96" s="43">
        <v>0</v>
      </c>
      <c r="S96" s="66">
        <v>0</v>
      </c>
      <c r="T96" s="43">
        <v>0</v>
      </c>
      <c r="U96" s="66">
        <v>0</v>
      </c>
      <c r="V96" s="43">
        <v>0</v>
      </c>
      <c r="W96" s="66">
        <v>0</v>
      </c>
      <c r="X96" s="43">
        <v>0</v>
      </c>
      <c r="Y96" s="66">
        <v>0</v>
      </c>
      <c r="Z96" s="43">
        <v>0</v>
      </c>
      <c r="AA96" s="66">
        <v>0</v>
      </c>
      <c r="AB96" s="43">
        <v>0</v>
      </c>
      <c r="AC96" s="66">
        <v>0</v>
      </c>
      <c r="AD96" s="43">
        <v>0</v>
      </c>
      <c r="AE96" s="69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T96" s="10"/>
      <c r="AU96" s="10"/>
      <c r="AV96" s="10"/>
      <c r="AW96" s="10"/>
      <c r="AY96" s="10"/>
      <c r="AZ96" s="10"/>
      <c r="BA96" s="10"/>
      <c r="BD96" s="10"/>
      <c r="BE96" s="10"/>
      <c r="BF96" s="10"/>
      <c r="BH96" s="10"/>
      <c r="BI96" s="10"/>
      <c r="BJ96" s="10"/>
      <c r="BL96" s="10"/>
      <c r="BM96" s="10"/>
      <c r="BN96" s="10"/>
      <c r="BO96" s="10"/>
    </row>
    <row r="97" spans="1:67" x14ac:dyDescent="0.2">
      <c r="A97" s="39" t="s">
        <v>43</v>
      </c>
      <c r="B97" s="39" t="s">
        <v>36</v>
      </c>
      <c r="D97" s="39">
        <v>0</v>
      </c>
      <c r="E97" s="39">
        <v>0</v>
      </c>
      <c r="F97" s="39">
        <v>0</v>
      </c>
      <c r="H97" s="44">
        <v>0</v>
      </c>
      <c r="I97" s="67">
        <v>0</v>
      </c>
      <c r="J97" s="44">
        <v>0</v>
      </c>
      <c r="K97" s="67">
        <v>0</v>
      </c>
      <c r="L97" s="44">
        <v>0</v>
      </c>
      <c r="M97" s="67">
        <v>0</v>
      </c>
      <c r="N97" s="44">
        <v>0</v>
      </c>
      <c r="O97" s="67">
        <v>0</v>
      </c>
      <c r="P97" s="44">
        <v>0</v>
      </c>
      <c r="Q97" s="67">
        <v>0</v>
      </c>
      <c r="R97" s="44">
        <v>0</v>
      </c>
      <c r="S97" s="67">
        <v>0</v>
      </c>
      <c r="T97" s="44">
        <v>0</v>
      </c>
      <c r="U97" s="67">
        <v>0</v>
      </c>
      <c r="V97" s="44">
        <v>0</v>
      </c>
      <c r="W97" s="67">
        <v>0</v>
      </c>
      <c r="X97" s="44">
        <v>0</v>
      </c>
      <c r="Y97" s="67">
        <v>0</v>
      </c>
      <c r="Z97" s="44">
        <v>0</v>
      </c>
      <c r="AA97" s="67">
        <v>0</v>
      </c>
      <c r="AB97" s="44">
        <v>0</v>
      </c>
      <c r="AC97" s="67">
        <v>0</v>
      </c>
      <c r="AD97" s="44">
        <v>0</v>
      </c>
      <c r="AE97" s="70">
        <v>0</v>
      </c>
      <c r="AG97" s="44">
        <v>0</v>
      </c>
      <c r="AH97" s="44">
        <v>0</v>
      </c>
      <c r="AI97" s="44">
        <v>0</v>
      </c>
      <c r="AJ97" s="44">
        <v>0</v>
      </c>
      <c r="AK97" s="44">
        <v>0</v>
      </c>
      <c r="AL97" s="44">
        <v>0</v>
      </c>
      <c r="AM97" s="44">
        <v>0</v>
      </c>
      <c r="AN97" s="44">
        <v>0</v>
      </c>
      <c r="AO97" s="44">
        <v>0</v>
      </c>
      <c r="AP97" s="44">
        <v>0</v>
      </c>
      <c r="AQ97" s="44">
        <v>0</v>
      </c>
      <c r="AR97" s="44">
        <v>0</v>
      </c>
      <c r="AT97" s="10"/>
      <c r="AU97" s="10"/>
      <c r="AV97" s="10"/>
      <c r="AW97" s="10"/>
      <c r="AY97" s="10"/>
      <c r="AZ97" s="10"/>
      <c r="BA97" s="10"/>
      <c r="BD97" s="10"/>
      <c r="BE97" s="10"/>
      <c r="BF97" s="10"/>
      <c r="BH97" s="10"/>
      <c r="BI97" s="10"/>
      <c r="BJ97" s="10"/>
      <c r="BL97" s="10"/>
      <c r="BM97" s="10"/>
      <c r="BN97" s="10"/>
      <c r="BO97" s="10"/>
    </row>
    <row r="98" spans="1:67" x14ac:dyDescent="0.2">
      <c r="A98" s="38" t="s">
        <v>44</v>
      </c>
      <c r="B98" s="38" t="s">
        <v>36</v>
      </c>
      <c r="D98" s="38">
        <v>0</v>
      </c>
      <c r="E98" s="38">
        <v>0</v>
      </c>
      <c r="F98" s="38">
        <v>0</v>
      </c>
      <c r="H98" s="43">
        <v>0</v>
      </c>
      <c r="I98" s="66">
        <v>0</v>
      </c>
      <c r="J98" s="43">
        <v>0</v>
      </c>
      <c r="K98" s="66">
        <v>0</v>
      </c>
      <c r="L98" s="43">
        <v>0</v>
      </c>
      <c r="M98" s="66">
        <v>0</v>
      </c>
      <c r="N98" s="43">
        <v>0</v>
      </c>
      <c r="O98" s="66">
        <v>0</v>
      </c>
      <c r="P98" s="43">
        <v>0</v>
      </c>
      <c r="Q98" s="66">
        <v>0</v>
      </c>
      <c r="R98" s="43">
        <v>0</v>
      </c>
      <c r="S98" s="66">
        <v>0</v>
      </c>
      <c r="T98" s="43">
        <v>0</v>
      </c>
      <c r="U98" s="66">
        <v>0</v>
      </c>
      <c r="V98" s="43">
        <v>0</v>
      </c>
      <c r="W98" s="66">
        <v>0</v>
      </c>
      <c r="X98" s="43">
        <v>0</v>
      </c>
      <c r="Y98" s="66">
        <v>0</v>
      </c>
      <c r="Z98" s="43">
        <v>0</v>
      </c>
      <c r="AA98" s="66">
        <v>0</v>
      </c>
      <c r="AB98" s="43">
        <v>0</v>
      </c>
      <c r="AC98" s="66">
        <v>0</v>
      </c>
      <c r="AD98" s="43">
        <v>0</v>
      </c>
      <c r="AE98" s="69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0</v>
      </c>
      <c r="AM98" s="43">
        <v>0</v>
      </c>
      <c r="AN98" s="43">
        <v>0</v>
      </c>
      <c r="AO98" s="43">
        <v>0</v>
      </c>
      <c r="AP98" s="43">
        <v>0</v>
      </c>
      <c r="AQ98" s="43">
        <v>0</v>
      </c>
      <c r="AR98" s="43">
        <v>0</v>
      </c>
      <c r="AT98" s="10"/>
      <c r="AU98" s="10"/>
      <c r="AV98" s="10"/>
      <c r="AW98" s="10"/>
      <c r="AY98" s="10"/>
      <c r="AZ98" s="10"/>
      <c r="BA98" s="10"/>
      <c r="BD98" s="10"/>
      <c r="BE98" s="10"/>
      <c r="BF98" s="10"/>
      <c r="BH98" s="10"/>
      <c r="BI98" s="10"/>
      <c r="BJ98" s="10"/>
      <c r="BL98" s="10"/>
      <c r="BM98" s="10"/>
      <c r="BN98" s="10"/>
      <c r="BO98" s="10"/>
    </row>
    <row r="99" spans="1:67" x14ac:dyDescent="0.2">
      <c r="A99" s="39" t="s">
        <v>45</v>
      </c>
      <c r="B99" s="39" t="s">
        <v>36</v>
      </c>
      <c r="D99" s="39">
        <v>887</v>
      </c>
      <c r="E99" s="39">
        <v>716</v>
      </c>
      <c r="F99" s="39">
        <v>529</v>
      </c>
      <c r="H99" s="44">
        <v>30778.62</v>
      </c>
      <c r="I99" s="67">
        <v>359</v>
      </c>
      <c r="J99" s="44">
        <v>23670</v>
      </c>
      <c r="K99" s="67">
        <v>239</v>
      </c>
      <c r="L99" s="44">
        <v>77627.75</v>
      </c>
      <c r="M99" s="67">
        <v>289</v>
      </c>
      <c r="N99" s="44">
        <v>132076.37</v>
      </c>
      <c r="O99" s="67">
        <v>887</v>
      </c>
      <c r="P99" s="44">
        <v>19327.38</v>
      </c>
      <c r="Q99" s="67">
        <v>295</v>
      </c>
      <c r="R99" s="44">
        <v>13677.52</v>
      </c>
      <c r="S99" s="67">
        <v>160</v>
      </c>
      <c r="T99" s="44">
        <v>69116.83</v>
      </c>
      <c r="U99" s="67">
        <v>261</v>
      </c>
      <c r="V99" s="44">
        <v>102121.73</v>
      </c>
      <c r="W99" s="67">
        <v>716</v>
      </c>
      <c r="X99" s="44">
        <v>13167.43</v>
      </c>
      <c r="Y99" s="67">
        <v>220</v>
      </c>
      <c r="Z99" s="44">
        <v>9905.7999999999993</v>
      </c>
      <c r="AA99" s="67">
        <v>78</v>
      </c>
      <c r="AB99" s="44">
        <v>64196.87</v>
      </c>
      <c r="AC99" s="67">
        <v>231</v>
      </c>
      <c r="AD99" s="44">
        <v>87270.1</v>
      </c>
      <c r="AE99" s="70">
        <v>529</v>
      </c>
      <c r="AG99" s="44">
        <v>439.54</v>
      </c>
      <c r="AH99" s="44">
        <v>459.65</v>
      </c>
      <c r="AI99" s="44">
        <v>2621.41</v>
      </c>
      <c r="AJ99" s="44">
        <v>3520.6</v>
      </c>
      <c r="AK99" s="44">
        <v>162.78</v>
      </c>
      <c r="AL99" s="44">
        <v>194.79</v>
      </c>
      <c r="AM99" s="44">
        <v>274.2</v>
      </c>
      <c r="AN99" s="44">
        <v>631.77</v>
      </c>
      <c r="AO99" s="44">
        <v>71.92</v>
      </c>
      <c r="AP99" s="44">
        <v>112.39</v>
      </c>
      <c r="AQ99" s="44">
        <v>195.15</v>
      </c>
      <c r="AR99" s="44">
        <v>379.46</v>
      </c>
      <c r="AT99" s="10"/>
      <c r="AU99" s="10"/>
      <c r="AV99" s="10"/>
      <c r="AW99" s="10"/>
      <c r="AY99" s="10"/>
      <c r="AZ99" s="10"/>
      <c r="BA99" s="10"/>
      <c r="BD99" s="10"/>
      <c r="BE99" s="10"/>
      <c r="BF99" s="10"/>
      <c r="BH99" s="10"/>
      <c r="BI99" s="10"/>
      <c r="BJ99" s="10"/>
      <c r="BL99" s="10"/>
      <c r="BM99" s="10"/>
      <c r="BN99" s="10"/>
      <c r="BO99" s="10"/>
    </row>
    <row r="100" spans="1:67" x14ac:dyDescent="0.2">
      <c r="A100" s="38" t="s">
        <v>46</v>
      </c>
      <c r="B100" s="38" t="s">
        <v>36</v>
      </c>
      <c r="D100" s="38">
        <v>27</v>
      </c>
      <c r="E100" s="38">
        <v>27</v>
      </c>
      <c r="F100" s="38">
        <v>25</v>
      </c>
      <c r="H100" s="43">
        <v>572.17999999999995</v>
      </c>
      <c r="I100" s="66">
        <v>13</v>
      </c>
      <c r="J100" s="43">
        <v>373.68</v>
      </c>
      <c r="K100" s="66">
        <v>3</v>
      </c>
      <c r="L100" s="43">
        <v>2883.75</v>
      </c>
      <c r="M100" s="66">
        <v>11</v>
      </c>
      <c r="N100" s="43">
        <v>3829.61</v>
      </c>
      <c r="O100" s="66">
        <v>27</v>
      </c>
      <c r="P100" s="43">
        <v>412.01</v>
      </c>
      <c r="Q100" s="66">
        <v>10</v>
      </c>
      <c r="R100" s="43">
        <v>340.6</v>
      </c>
      <c r="S100" s="66">
        <v>6</v>
      </c>
      <c r="T100" s="43">
        <v>3013.58</v>
      </c>
      <c r="U100" s="66">
        <v>11</v>
      </c>
      <c r="V100" s="43">
        <v>3766.19</v>
      </c>
      <c r="W100" s="66">
        <v>27</v>
      </c>
      <c r="X100" s="43">
        <v>393.97</v>
      </c>
      <c r="Y100" s="66">
        <v>7</v>
      </c>
      <c r="Z100" s="43">
        <v>267.83</v>
      </c>
      <c r="AA100" s="66">
        <v>7</v>
      </c>
      <c r="AB100" s="43">
        <v>3077.4</v>
      </c>
      <c r="AC100" s="66">
        <v>11</v>
      </c>
      <c r="AD100" s="43">
        <v>3739.2</v>
      </c>
      <c r="AE100" s="69">
        <v>25</v>
      </c>
      <c r="AG100" s="43">
        <v>0</v>
      </c>
      <c r="AH100" s="43">
        <v>0</v>
      </c>
      <c r="AI100" s="43">
        <v>0</v>
      </c>
      <c r="AJ100" s="43">
        <v>0</v>
      </c>
      <c r="AK100" s="43">
        <v>0</v>
      </c>
      <c r="AL100" s="43">
        <v>0</v>
      </c>
      <c r="AM100" s="43">
        <v>0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T100" s="10"/>
      <c r="AU100" s="10"/>
      <c r="AV100" s="10"/>
      <c r="AW100" s="10"/>
      <c r="AY100" s="10"/>
      <c r="AZ100" s="10"/>
      <c r="BA100" s="10"/>
      <c r="BD100" s="10"/>
      <c r="BE100" s="10"/>
      <c r="BF100" s="10"/>
      <c r="BH100" s="10"/>
      <c r="BI100" s="10"/>
      <c r="BJ100" s="10"/>
      <c r="BL100" s="10"/>
      <c r="BM100" s="10"/>
      <c r="BN100" s="10"/>
      <c r="BO100" s="10"/>
    </row>
    <row r="101" spans="1:67" x14ac:dyDescent="0.2">
      <c r="A101" s="39" t="s">
        <v>47</v>
      </c>
      <c r="B101" s="39" t="s">
        <v>36</v>
      </c>
      <c r="D101" s="39">
        <v>53</v>
      </c>
      <c r="E101" s="39">
        <v>48</v>
      </c>
      <c r="F101" s="39">
        <v>28</v>
      </c>
      <c r="H101" s="44">
        <v>1994.56</v>
      </c>
      <c r="I101" s="67">
        <v>19</v>
      </c>
      <c r="J101" s="44">
        <v>1654.86</v>
      </c>
      <c r="K101" s="67">
        <v>18</v>
      </c>
      <c r="L101" s="44">
        <v>3722.81</v>
      </c>
      <c r="M101" s="67">
        <v>16</v>
      </c>
      <c r="N101" s="44">
        <v>7372.23</v>
      </c>
      <c r="O101" s="67">
        <v>53</v>
      </c>
      <c r="P101" s="44">
        <v>2083.83</v>
      </c>
      <c r="Q101" s="67">
        <v>24</v>
      </c>
      <c r="R101" s="44">
        <v>651.79</v>
      </c>
      <c r="S101" s="67">
        <v>8</v>
      </c>
      <c r="T101" s="44">
        <v>4151.32</v>
      </c>
      <c r="U101" s="67">
        <v>16</v>
      </c>
      <c r="V101" s="44">
        <v>6886.94</v>
      </c>
      <c r="W101" s="67">
        <v>48</v>
      </c>
      <c r="X101" s="44">
        <v>832.9</v>
      </c>
      <c r="Y101" s="67">
        <v>11</v>
      </c>
      <c r="Z101" s="44">
        <v>1330.22</v>
      </c>
      <c r="AA101" s="67">
        <v>5</v>
      </c>
      <c r="AB101" s="44">
        <v>3942.23</v>
      </c>
      <c r="AC101" s="67">
        <v>12</v>
      </c>
      <c r="AD101" s="44">
        <v>6105.35</v>
      </c>
      <c r="AE101" s="70">
        <v>28</v>
      </c>
      <c r="AG101" s="44">
        <v>0</v>
      </c>
      <c r="AH101" s="44">
        <v>0</v>
      </c>
      <c r="AI101" s="44">
        <v>0</v>
      </c>
      <c r="AJ101" s="44">
        <v>0</v>
      </c>
      <c r="AK101" s="44">
        <v>0</v>
      </c>
      <c r="AL101" s="44">
        <v>0</v>
      </c>
      <c r="AM101" s="44">
        <v>0</v>
      </c>
      <c r="AN101" s="44">
        <v>0</v>
      </c>
      <c r="AO101" s="44">
        <v>0</v>
      </c>
      <c r="AP101" s="44">
        <v>0</v>
      </c>
      <c r="AQ101" s="44">
        <v>0</v>
      </c>
      <c r="AR101" s="44">
        <v>0</v>
      </c>
      <c r="AT101" s="10"/>
      <c r="AU101" s="10"/>
      <c r="AV101" s="10"/>
      <c r="AW101" s="10"/>
      <c r="AY101" s="10"/>
      <c r="AZ101" s="10"/>
      <c r="BA101" s="10"/>
      <c r="BD101" s="10"/>
      <c r="BE101" s="10"/>
      <c r="BF101" s="10"/>
      <c r="BH101" s="10"/>
      <c r="BI101" s="10"/>
      <c r="BJ101" s="10"/>
      <c r="BL101" s="10"/>
      <c r="BM101" s="10"/>
      <c r="BN101" s="10"/>
      <c r="BO101" s="10"/>
    </row>
    <row r="102" spans="1:67" x14ac:dyDescent="0.2">
      <c r="A102" s="38" t="s">
        <v>48</v>
      </c>
      <c r="B102" s="38" t="s">
        <v>36</v>
      </c>
      <c r="D102" s="38">
        <v>1043</v>
      </c>
      <c r="E102" s="38">
        <v>809</v>
      </c>
      <c r="F102" s="38">
        <v>689</v>
      </c>
      <c r="H102" s="43">
        <v>43369.06</v>
      </c>
      <c r="I102" s="66">
        <v>401</v>
      </c>
      <c r="J102" s="43">
        <v>42745.51</v>
      </c>
      <c r="K102" s="66">
        <v>291</v>
      </c>
      <c r="L102" s="43">
        <v>84309.08</v>
      </c>
      <c r="M102" s="66">
        <v>351</v>
      </c>
      <c r="N102" s="43">
        <v>170423.65</v>
      </c>
      <c r="O102" s="66">
        <v>1043</v>
      </c>
      <c r="P102" s="43">
        <v>25104.1</v>
      </c>
      <c r="Q102" s="66">
        <v>288</v>
      </c>
      <c r="R102" s="43">
        <v>21340.26</v>
      </c>
      <c r="S102" s="66">
        <v>190</v>
      </c>
      <c r="T102" s="43">
        <v>86905.66</v>
      </c>
      <c r="U102" s="66">
        <v>331</v>
      </c>
      <c r="V102" s="43">
        <v>133350.01999999999</v>
      </c>
      <c r="W102" s="66">
        <v>809</v>
      </c>
      <c r="X102" s="43">
        <v>17352.29</v>
      </c>
      <c r="Y102" s="66">
        <v>285</v>
      </c>
      <c r="Z102" s="43">
        <v>12644.85</v>
      </c>
      <c r="AA102" s="66">
        <v>133</v>
      </c>
      <c r="AB102" s="43">
        <v>81883.39</v>
      </c>
      <c r="AC102" s="66">
        <v>271</v>
      </c>
      <c r="AD102" s="43">
        <v>111880.53</v>
      </c>
      <c r="AE102" s="69">
        <v>689</v>
      </c>
      <c r="AG102" s="43">
        <v>99.57</v>
      </c>
      <c r="AH102" s="43">
        <v>109.91</v>
      </c>
      <c r="AI102" s="43">
        <v>24.4</v>
      </c>
      <c r="AJ102" s="43">
        <v>233.88</v>
      </c>
      <c r="AK102" s="43">
        <v>40.840000000000003</v>
      </c>
      <c r="AL102" s="43">
        <v>43.98</v>
      </c>
      <c r="AM102" s="43">
        <v>92.1</v>
      </c>
      <c r="AN102" s="43">
        <v>176.92</v>
      </c>
      <c r="AO102" s="43">
        <v>33.479999999999997</v>
      </c>
      <c r="AP102" s="43">
        <v>40.840000000000003</v>
      </c>
      <c r="AQ102" s="43">
        <v>136.08000000000001</v>
      </c>
      <c r="AR102" s="43">
        <v>210.4</v>
      </c>
      <c r="AT102" s="10"/>
      <c r="AU102" s="10"/>
      <c r="AV102" s="10"/>
      <c r="AW102" s="10"/>
      <c r="AY102" s="10"/>
      <c r="AZ102" s="10"/>
      <c r="BA102" s="10"/>
      <c r="BD102" s="10"/>
      <c r="BE102" s="10"/>
      <c r="BF102" s="10"/>
      <c r="BH102" s="10"/>
      <c r="BI102" s="10"/>
      <c r="BJ102" s="10"/>
      <c r="BL102" s="10"/>
      <c r="BM102" s="10"/>
      <c r="BN102" s="10"/>
      <c r="BO102" s="10"/>
    </row>
    <row r="103" spans="1:67" x14ac:dyDescent="0.2">
      <c r="A103" s="39" t="s">
        <v>49</v>
      </c>
      <c r="B103" s="39" t="s">
        <v>36</v>
      </c>
      <c r="D103" s="39">
        <v>61</v>
      </c>
      <c r="E103" s="39">
        <v>52</v>
      </c>
      <c r="F103" s="39">
        <v>45</v>
      </c>
      <c r="H103" s="44">
        <v>1886.2</v>
      </c>
      <c r="I103" s="67">
        <v>25</v>
      </c>
      <c r="J103" s="44">
        <v>1590.29</v>
      </c>
      <c r="K103" s="67">
        <v>13</v>
      </c>
      <c r="L103" s="44">
        <v>6022.39</v>
      </c>
      <c r="M103" s="67">
        <v>23</v>
      </c>
      <c r="N103" s="44">
        <v>9498.8799999999992</v>
      </c>
      <c r="O103" s="67">
        <v>61</v>
      </c>
      <c r="P103" s="44">
        <v>1072.8</v>
      </c>
      <c r="Q103" s="67">
        <v>19</v>
      </c>
      <c r="R103" s="44">
        <v>979.16</v>
      </c>
      <c r="S103" s="67">
        <v>6</v>
      </c>
      <c r="T103" s="44">
        <v>6511.37</v>
      </c>
      <c r="U103" s="67">
        <v>27</v>
      </c>
      <c r="V103" s="44">
        <v>8563.33</v>
      </c>
      <c r="W103" s="67">
        <v>52</v>
      </c>
      <c r="X103" s="44">
        <v>789.43</v>
      </c>
      <c r="Y103" s="67">
        <v>19</v>
      </c>
      <c r="Z103" s="44">
        <v>543.75</v>
      </c>
      <c r="AA103" s="67">
        <v>9</v>
      </c>
      <c r="AB103" s="44">
        <v>5991.37</v>
      </c>
      <c r="AC103" s="67">
        <v>17</v>
      </c>
      <c r="AD103" s="44">
        <v>7324.55</v>
      </c>
      <c r="AE103" s="70">
        <v>45</v>
      </c>
      <c r="AG103" s="44">
        <v>39.54</v>
      </c>
      <c r="AH103" s="44">
        <v>72.98</v>
      </c>
      <c r="AI103" s="44">
        <v>120.9</v>
      </c>
      <c r="AJ103" s="44">
        <v>233.42</v>
      </c>
      <c r="AK103" s="44">
        <v>20.72</v>
      </c>
      <c r="AL103" s="44">
        <v>39.54</v>
      </c>
      <c r="AM103" s="44">
        <v>193.88</v>
      </c>
      <c r="AN103" s="44">
        <v>254.14</v>
      </c>
      <c r="AO103" s="44">
        <v>9.9600000000000009</v>
      </c>
      <c r="AP103" s="44">
        <v>0</v>
      </c>
      <c r="AQ103" s="44">
        <v>0</v>
      </c>
      <c r="AR103" s="44">
        <v>9.9600000000000009</v>
      </c>
      <c r="AT103" s="10"/>
      <c r="AU103" s="10"/>
      <c r="AV103" s="10"/>
      <c r="AW103" s="10"/>
      <c r="AY103" s="10"/>
      <c r="AZ103" s="10"/>
      <c r="BA103" s="10"/>
      <c r="BD103" s="10"/>
      <c r="BE103" s="10"/>
      <c r="BF103" s="10"/>
      <c r="BH103" s="10"/>
      <c r="BI103" s="10"/>
      <c r="BJ103" s="10"/>
      <c r="BL103" s="10"/>
      <c r="BM103" s="10"/>
      <c r="BN103" s="10"/>
      <c r="BO103" s="10"/>
    </row>
    <row r="104" spans="1:67" x14ac:dyDescent="0.2">
      <c r="A104" s="38" t="s">
        <v>50</v>
      </c>
      <c r="B104" s="38" t="s">
        <v>36</v>
      </c>
      <c r="D104" s="38">
        <v>0</v>
      </c>
      <c r="E104" s="38">
        <v>0</v>
      </c>
      <c r="F104" s="38">
        <v>0</v>
      </c>
      <c r="H104" s="43">
        <v>0</v>
      </c>
      <c r="I104" s="66">
        <v>0</v>
      </c>
      <c r="J104" s="43">
        <v>0</v>
      </c>
      <c r="K104" s="66">
        <v>0</v>
      </c>
      <c r="L104" s="43">
        <v>0</v>
      </c>
      <c r="M104" s="66">
        <v>0</v>
      </c>
      <c r="N104" s="43">
        <v>0</v>
      </c>
      <c r="O104" s="66">
        <v>0</v>
      </c>
      <c r="P104" s="43">
        <v>0</v>
      </c>
      <c r="Q104" s="66">
        <v>0</v>
      </c>
      <c r="R104" s="43">
        <v>0</v>
      </c>
      <c r="S104" s="66">
        <v>0</v>
      </c>
      <c r="T104" s="43">
        <v>0</v>
      </c>
      <c r="U104" s="66">
        <v>0</v>
      </c>
      <c r="V104" s="43">
        <v>0</v>
      </c>
      <c r="W104" s="66">
        <v>0</v>
      </c>
      <c r="X104" s="43">
        <v>0</v>
      </c>
      <c r="Y104" s="66">
        <v>0</v>
      </c>
      <c r="Z104" s="43">
        <v>0</v>
      </c>
      <c r="AA104" s="66">
        <v>0</v>
      </c>
      <c r="AB104" s="43">
        <v>0</v>
      </c>
      <c r="AC104" s="66">
        <v>0</v>
      </c>
      <c r="AD104" s="43">
        <v>0</v>
      </c>
      <c r="AE104" s="69">
        <v>0</v>
      </c>
      <c r="AG104" s="43">
        <v>0</v>
      </c>
      <c r="AH104" s="43">
        <v>0</v>
      </c>
      <c r="AI104" s="43">
        <v>0</v>
      </c>
      <c r="AJ104" s="43">
        <v>0</v>
      </c>
      <c r="AK104" s="43">
        <v>0</v>
      </c>
      <c r="AL104" s="43">
        <v>0</v>
      </c>
      <c r="AM104" s="43">
        <v>0</v>
      </c>
      <c r="AN104" s="43">
        <v>0</v>
      </c>
      <c r="AO104" s="43">
        <v>0</v>
      </c>
      <c r="AP104" s="43">
        <v>0</v>
      </c>
      <c r="AQ104" s="43">
        <v>0</v>
      </c>
      <c r="AR104" s="43">
        <v>0</v>
      </c>
      <c r="AT104" s="10"/>
      <c r="AU104" s="10"/>
      <c r="AV104" s="10"/>
      <c r="AW104" s="10"/>
      <c r="AY104" s="10"/>
      <c r="AZ104" s="10"/>
      <c r="BA104" s="10"/>
      <c r="BD104" s="10"/>
      <c r="BE104" s="10"/>
      <c r="BF104" s="10"/>
      <c r="BH104" s="10"/>
      <c r="BI104" s="10"/>
      <c r="BJ104" s="10"/>
      <c r="BL104" s="10"/>
      <c r="BM104" s="10"/>
      <c r="BN104" s="10"/>
      <c r="BO104" s="10"/>
    </row>
    <row r="105" spans="1:67" x14ac:dyDescent="0.2">
      <c r="A105" s="39" t="s">
        <v>51</v>
      </c>
      <c r="B105" s="39" t="s">
        <v>36</v>
      </c>
      <c r="D105" s="39">
        <v>0</v>
      </c>
      <c r="E105" s="39">
        <v>0</v>
      </c>
      <c r="F105" s="39">
        <v>0</v>
      </c>
      <c r="H105" s="44">
        <v>0</v>
      </c>
      <c r="I105" s="67">
        <v>0</v>
      </c>
      <c r="J105" s="44">
        <v>0</v>
      </c>
      <c r="K105" s="67">
        <v>0</v>
      </c>
      <c r="L105" s="44">
        <v>0</v>
      </c>
      <c r="M105" s="67">
        <v>0</v>
      </c>
      <c r="N105" s="44">
        <v>0</v>
      </c>
      <c r="O105" s="67">
        <v>0</v>
      </c>
      <c r="P105" s="44">
        <v>0</v>
      </c>
      <c r="Q105" s="67">
        <v>0</v>
      </c>
      <c r="R105" s="44">
        <v>0</v>
      </c>
      <c r="S105" s="67">
        <v>0</v>
      </c>
      <c r="T105" s="44">
        <v>0</v>
      </c>
      <c r="U105" s="67">
        <v>0</v>
      </c>
      <c r="V105" s="44">
        <v>0</v>
      </c>
      <c r="W105" s="67">
        <v>0</v>
      </c>
      <c r="X105" s="44">
        <v>0</v>
      </c>
      <c r="Y105" s="67">
        <v>0</v>
      </c>
      <c r="Z105" s="44">
        <v>0</v>
      </c>
      <c r="AA105" s="67">
        <v>0</v>
      </c>
      <c r="AB105" s="44">
        <v>0</v>
      </c>
      <c r="AC105" s="67">
        <v>0</v>
      </c>
      <c r="AD105" s="44">
        <v>0</v>
      </c>
      <c r="AE105" s="70">
        <v>0</v>
      </c>
      <c r="AG105" s="44">
        <v>0</v>
      </c>
      <c r="AH105" s="44">
        <v>0</v>
      </c>
      <c r="AI105" s="44">
        <v>0</v>
      </c>
      <c r="AJ105" s="44">
        <v>0</v>
      </c>
      <c r="AK105" s="44">
        <v>0</v>
      </c>
      <c r="AL105" s="44">
        <v>0</v>
      </c>
      <c r="AM105" s="44">
        <v>0</v>
      </c>
      <c r="AN105" s="44">
        <v>0</v>
      </c>
      <c r="AO105" s="44">
        <v>0</v>
      </c>
      <c r="AP105" s="44">
        <v>0</v>
      </c>
      <c r="AQ105" s="44">
        <v>0</v>
      </c>
      <c r="AR105" s="44">
        <v>0</v>
      </c>
      <c r="AT105" s="10"/>
      <c r="AU105" s="10"/>
      <c r="AV105" s="10"/>
      <c r="AW105" s="10"/>
      <c r="AY105" s="10"/>
      <c r="AZ105" s="10"/>
      <c r="BA105" s="10"/>
      <c r="BD105" s="10"/>
      <c r="BE105" s="10"/>
      <c r="BF105" s="10"/>
      <c r="BH105" s="10"/>
      <c r="BI105" s="10"/>
      <c r="BJ105" s="10"/>
      <c r="BL105" s="10"/>
      <c r="BM105" s="10"/>
      <c r="BN105" s="10"/>
      <c r="BO105" s="10"/>
    </row>
    <row r="106" spans="1:67" x14ac:dyDescent="0.2">
      <c r="A106" s="38" t="s">
        <v>52</v>
      </c>
      <c r="B106" s="38" t="s">
        <v>36</v>
      </c>
      <c r="D106" s="38">
        <v>0</v>
      </c>
      <c r="E106" s="38">
        <v>0</v>
      </c>
      <c r="F106" s="38">
        <v>0</v>
      </c>
      <c r="H106" s="43">
        <v>0</v>
      </c>
      <c r="I106" s="66">
        <v>0</v>
      </c>
      <c r="J106" s="43">
        <v>0</v>
      </c>
      <c r="K106" s="66">
        <v>0</v>
      </c>
      <c r="L106" s="43">
        <v>0</v>
      </c>
      <c r="M106" s="66">
        <v>0</v>
      </c>
      <c r="N106" s="43">
        <v>0</v>
      </c>
      <c r="O106" s="66">
        <v>0</v>
      </c>
      <c r="P106" s="43">
        <v>0</v>
      </c>
      <c r="Q106" s="66">
        <v>0</v>
      </c>
      <c r="R106" s="43">
        <v>0</v>
      </c>
      <c r="S106" s="66">
        <v>0</v>
      </c>
      <c r="T106" s="43">
        <v>0</v>
      </c>
      <c r="U106" s="66">
        <v>0</v>
      </c>
      <c r="V106" s="43">
        <v>0</v>
      </c>
      <c r="W106" s="66">
        <v>0</v>
      </c>
      <c r="X106" s="43">
        <v>0</v>
      </c>
      <c r="Y106" s="66">
        <v>0</v>
      </c>
      <c r="Z106" s="43">
        <v>0</v>
      </c>
      <c r="AA106" s="66">
        <v>0</v>
      </c>
      <c r="AB106" s="43">
        <v>0</v>
      </c>
      <c r="AC106" s="66">
        <v>0</v>
      </c>
      <c r="AD106" s="43">
        <v>0</v>
      </c>
      <c r="AE106" s="69">
        <v>0</v>
      </c>
      <c r="AG106" s="43">
        <v>0</v>
      </c>
      <c r="AH106" s="43">
        <v>0</v>
      </c>
      <c r="AI106" s="43">
        <v>0</v>
      </c>
      <c r="AJ106" s="43">
        <v>0</v>
      </c>
      <c r="AK106" s="43">
        <v>0</v>
      </c>
      <c r="AL106" s="43">
        <v>0</v>
      </c>
      <c r="AM106" s="43">
        <v>0</v>
      </c>
      <c r="AN106" s="43">
        <v>0</v>
      </c>
      <c r="AO106" s="43">
        <v>0</v>
      </c>
      <c r="AP106" s="43">
        <v>0</v>
      </c>
      <c r="AQ106" s="43">
        <v>0</v>
      </c>
      <c r="AR106" s="43">
        <v>0</v>
      </c>
      <c r="AT106" s="10"/>
      <c r="AU106" s="10"/>
      <c r="AV106" s="10"/>
      <c r="AW106" s="10"/>
      <c r="AY106" s="10"/>
      <c r="AZ106" s="10"/>
      <c r="BA106" s="10"/>
      <c r="BD106" s="10"/>
      <c r="BE106" s="10"/>
      <c r="BF106" s="10"/>
      <c r="BH106" s="10"/>
      <c r="BI106" s="10"/>
      <c r="BJ106" s="10"/>
      <c r="BL106" s="10"/>
      <c r="BM106" s="10"/>
      <c r="BN106" s="10"/>
      <c r="BO106" s="10"/>
    </row>
    <row r="107" spans="1:67" x14ac:dyDescent="0.2">
      <c r="A107" s="39" t="s">
        <v>53</v>
      </c>
      <c r="B107" s="39" t="s">
        <v>36</v>
      </c>
      <c r="D107" s="39">
        <v>0</v>
      </c>
      <c r="E107" s="39">
        <v>0</v>
      </c>
      <c r="F107" s="39">
        <v>0</v>
      </c>
      <c r="H107" s="44">
        <v>0</v>
      </c>
      <c r="I107" s="67">
        <v>0</v>
      </c>
      <c r="J107" s="44">
        <v>0</v>
      </c>
      <c r="K107" s="67">
        <v>0</v>
      </c>
      <c r="L107" s="44">
        <v>0</v>
      </c>
      <c r="M107" s="67">
        <v>0</v>
      </c>
      <c r="N107" s="44">
        <v>0</v>
      </c>
      <c r="O107" s="67">
        <v>0</v>
      </c>
      <c r="P107" s="44">
        <v>0</v>
      </c>
      <c r="Q107" s="67">
        <v>0</v>
      </c>
      <c r="R107" s="44">
        <v>0</v>
      </c>
      <c r="S107" s="67">
        <v>0</v>
      </c>
      <c r="T107" s="44">
        <v>0</v>
      </c>
      <c r="U107" s="67">
        <v>0</v>
      </c>
      <c r="V107" s="44">
        <v>0</v>
      </c>
      <c r="W107" s="67">
        <v>0</v>
      </c>
      <c r="X107" s="44">
        <v>0</v>
      </c>
      <c r="Y107" s="67">
        <v>0</v>
      </c>
      <c r="Z107" s="44">
        <v>0</v>
      </c>
      <c r="AA107" s="67">
        <v>0</v>
      </c>
      <c r="AB107" s="44">
        <v>0</v>
      </c>
      <c r="AC107" s="67">
        <v>0</v>
      </c>
      <c r="AD107" s="44">
        <v>0</v>
      </c>
      <c r="AE107" s="70">
        <v>0</v>
      </c>
      <c r="AG107" s="44">
        <v>0</v>
      </c>
      <c r="AH107" s="44">
        <v>0</v>
      </c>
      <c r="AI107" s="44">
        <v>0</v>
      </c>
      <c r="AJ107" s="44">
        <v>0</v>
      </c>
      <c r="AK107" s="44">
        <v>0</v>
      </c>
      <c r="AL107" s="44">
        <v>0</v>
      </c>
      <c r="AM107" s="44">
        <v>0</v>
      </c>
      <c r="AN107" s="44">
        <v>0</v>
      </c>
      <c r="AO107" s="44">
        <v>0</v>
      </c>
      <c r="AP107" s="44">
        <v>0</v>
      </c>
      <c r="AQ107" s="44">
        <v>0</v>
      </c>
      <c r="AR107" s="44">
        <v>0</v>
      </c>
      <c r="AT107" s="10"/>
      <c r="AU107" s="10"/>
      <c r="AV107" s="10"/>
      <c r="AW107" s="10"/>
      <c r="AY107" s="10"/>
      <c r="AZ107" s="10"/>
      <c r="BA107" s="10"/>
      <c r="BD107" s="10"/>
      <c r="BE107" s="10"/>
      <c r="BF107" s="10"/>
      <c r="BH107" s="10"/>
      <c r="BI107" s="10"/>
      <c r="BJ107" s="10"/>
      <c r="BL107" s="10"/>
      <c r="BM107" s="10"/>
      <c r="BN107" s="10"/>
      <c r="BO107" s="10"/>
    </row>
    <row r="108" spans="1:67" x14ac:dyDescent="0.2">
      <c r="A108" s="38" t="s">
        <v>54</v>
      </c>
      <c r="B108" s="38" t="s">
        <v>36</v>
      </c>
      <c r="D108" s="38">
        <v>29</v>
      </c>
      <c r="E108" s="38">
        <v>29</v>
      </c>
      <c r="F108" s="38">
        <v>27</v>
      </c>
      <c r="H108" s="43">
        <v>658.24</v>
      </c>
      <c r="I108" s="66">
        <v>9</v>
      </c>
      <c r="J108" s="43">
        <v>656.08</v>
      </c>
      <c r="K108" s="66">
        <v>4</v>
      </c>
      <c r="L108" s="43">
        <v>5276.28</v>
      </c>
      <c r="M108" s="66">
        <v>16</v>
      </c>
      <c r="N108" s="43">
        <v>6590.6</v>
      </c>
      <c r="O108" s="66">
        <v>29</v>
      </c>
      <c r="P108" s="43">
        <v>467.81</v>
      </c>
      <c r="Q108" s="66">
        <v>7</v>
      </c>
      <c r="R108" s="43">
        <v>528.49</v>
      </c>
      <c r="S108" s="66">
        <v>4</v>
      </c>
      <c r="T108" s="43">
        <v>5180.38</v>
      </c>
      <c r="U108" s="66">
        <v>18</v>
      </c>
      <c r="V108" s="43">
        <v>6176.68</v>
      </c>
      <c r="W108" s="66">
        <v>29</v>
      </c>
      <c r="X108" s="43">
        <v>449.13</v>
      </c>
      <c r="Y108" s="66">
        <v>8</v>
      </c>
      <c r="Z108" s="43">
        <v>331.06</v>
      </c>
      <c r="AA108" s="66">
        <v>1</v>
      </c>
      <c r="AB108" s="43">
        <v>5082.92</v>
      </c>
      <c r="AC108" s="66">
        <v>18</v>
      </c>
      <c r="AD108" s="43">
        <v>5863.11</v>
      </c>
      <c r="AE108" s="69">
        <v>27</v>
      </c>
      <c r="AG108" s="43">
        <v>14.73</v>
      </c>
      <c r="AH108" s="43">
        <v>0</v>
      </c>
      <c r="AI108" s="43">
        <v>18.2</v>
      </c>
      <c r="AJ108" s="43">
        <v>32.93</v>
      </c>
      <c r="AK108" s="43">
        <v>14.83</v>
      </c>
      <c r="AL108" s="43">
        <v>14.73</v>
      </c>
      <c r="AM108" s="43">
        <v>18.2</v>
      </c>
      <c r="AN108" s="43">
        <v>47.76</v>
      </c>
      <c r="AO108" s="43">
        <v>9.16</v>
      </c>
      <c r="AP108" s="43">
        <v>14.83</v>
      </c>
      <c r="AQ108" s="43">
        <v>32.93</v>
      </c>
      <c r="AR108" s="43">
        <v>56.92</v>
      </c>
      <c r="AT108" s="10"/>
      <c r="AU108" s="10"/>
      <c r="AV108" s="10"/>
      <c r="AW108" s="10"/>
      <c r="AY108" s="10"/>
      <c r="AZ108" s="10"/>
      <c r="BA108" s="10"/>
      <c r="BD108" s="10"/>
      <c r="BE108" s="10"/>
      <c r="BF108" s="10"/>
      <c r="BH108" s="10"/>
      <c r="BI108" s="10"/>
      <c r="BJ108" s="10"/>
      <c r="BL108" s="10"/>
      <c r="BM108" s="10"/>
      <c r="BN108" s="10"/>
      <c r="BO108" s="10"/>
    </row>
    <row r="109" spans="1:67" x14ac:dyDescent="0.2">
      <c r="A109" s="39" t="s">
        <v>55</v>
      </c>
      <c r="B109" s="39" t="s">
        <v>36</v>
      </c>
      <c r="D109" s="39">
        <v>209</v>
      </c>
      <c r="E109" s="39">
        <v>177</v>
      </c>
      <c r="F109" s="39">
        <v>140</v>
      </c>
      <c r="H109" s="44">
        <v>6676.57</v>
      </c>
      <c r="I109" s="67">
        <v>78</v>
      </c>
      <c r="J109" s="44">
        <v>6239.33</v>
      </c>
      <c r="K109" s="67">
        <v>64</v>
      </c>
      <c r="L109" s="44">
        <v>16540.27</v>
      </c>
      <c r="M109" s="67">
        <v>67</v>
      </c>
      <c r="N109" s="44">
        <v>29456.17</v>
      </c>
      <c r="O109" s="67">
        <v>209</v>
      </c>
      <c r="P109" s="44">
        <v>4281.4399999999996</v>
      </c>
      <c r="Q109" s="67">
        <v>82</v>
      </c>
      <c r="R109" s="44">
        <v>2597.33</v>
      </c>
      <c r="S109" s="67">
        <v>35</v>
      </c>
      <c r="T109" s="44">
        <v>14522.8</v>
      </c>
      <c r="U109" s="67">
        <v>60</v>
      </c>
      <c r="V109" s="44">
        <v>21401.57</v>
      </c>
      <c r="W109" s="67">
        <v>177</v>
      </c>
      <c r="X109" s="44">
        <v>2945.83</v>
      </c>
      <c r="Y109" s="67">
        <v>60</v>
      </c>
      <c r="Z109" s="44">
        <v>1941.15</v>
      </c>
      <c r="AA109" s="67">
        <v>26</v>
      </c>
      <c r="AB109" s="44">
        <v>13600.06</v>
      </c>
      <c r="AC109" s="67">
        <v>54</v>
      </c>
      <c r="AD109" s="44">
        <v>18487.04</v>
      </c>
      <c r="AE109" s="70">
        <v>140</v>
      </c>
      <c r="AG109" s="44">
        <v>39.24</v>
      </c>
      <c r="AH109" s="44">
        <v>64.2</v>
      </c>
      <c r="AI109" s="44">
        <v>180.12</v>
      </c>
      <c r="AJ109" s="44">
        <v>283.56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T109" s="10"/>
      <c r="AU109" s="10"/>
      <c r="AV109" s="10"/>
      <c r="AW109" s="10"/>
      <c r="AY109" s="10"/>
      <c r="AZ109" s="10"/>
      <c r="BA109" s="10"/>
      <c r="BD109" s="10"/>
      <c r="BE109" s="10"/>
      <c r="BF109" s="10"/>
      <c r="BH109" s="10"/>
      <c r="BI109" s="10"/>
      <c r="BJ109" s="10"/>
      <c r="BL109" s="10"/>
      <c r="BM109" s="10"/>
      <c r="BN109" s="10"/>
      <c r="BO109" s="10"/>
    </row>
    <row r="110" spans="1:67" x14ac:dyDescent="0.2">
      <c r="A110" s="38" t="s">
        <v>56</v>
      </c>
      <c r="B110" s="38" t="s">
        <v>36</v>
      </c>
      <c r="D110" s="38">
        <v>1</v>
      </c>
      <c r="E110" s="38">
        <v>1</v>
      </c>
      <c r="F110" s="38">
        <v>0</v>
      </c>
      <c r="H110" s="43">
        <v>98.53</v>
      </c>
      <c r="I110" s="66">
        <v>0</v>
      </c>
      <c r="J110" s="43">
        <v>185.95</v>
      </c>
      <c r="K110" s="66">
        <v>1</v>
      </c>
      <c r="L110" s="43">
        <v>0</v>
      </c>
      <c r="M110" s="66">
        <v>0</v>
      </c>
      <c r="N110" s="43">
        <v>284.48</v>
      </c>
      <c r="O110" s="66">
        <v>1</v>
      </c>
      <c r="P110" s="43">
        <v>23.04</v>
      </c>
      <c r="Q110" s="66">
        <v>0</v>
      </c>
      <c r="R110" s="43">
        <v>0.48</v>
      </c>
      <c r="S110" s="66">
        <v>1</v>
      </c>
      <c r="T110" s="43">
        <v>0</v>
      </c>
      <c r="U110" s="66">
        <v>0</v>
      </c>
      <c r="V110" s="43">
        <v>23.52</v>
      </c>
      <c r="W110" s="66">
        <v>1</v>
      </c>
      <c r="X110" s="43">
        <v>0</v>
      </c>
      <c r="Y110" s="66">
        <v>0</v>
      </c>
      <c r="Z110" s="43">
        <v>0</v>
      </c>
      <c r="AA110" s="66">
        <v>0</v>
      </c>
      <c r="AB110" s="43">
        <v>0</v>
      </c>
      <c r="AC110" s="66">
        <v>0</v>
      </c>
      <c r="AD110" s="43">
        <v>0</v>
      </c>
      <c r="AE110" s="69">
        <v>0</v>
      </c>
      <c r="AG110" s="43">
        <v>0</v>
      </c>
      <c r="AH110" s="43">
        <v>0</v>
      </c>
      <c r="AI110" s="43">
        <v>0</v>
      </c>
      <c r="AJ110" s="43">
        <v>0</v>
      </c>
      <c r="AK110" s="43">
        <v>0</v>
      </c>
      <c r="AL110" s="43">
        <v>0</v>
      </c>
      <c r="AM110" s="43">
        <v>0</v>
      </c>
      <c r="AN110" s="43">
        <v>0</v>
      </c>
      <c r="AO110" s="43">
        <v>0</v>
      </c>
      <c r="AP110" s="43">
        <v>0</v>
      </c>
      <c r="AQ110" s="43">
        <v>0</v>
      </c>
      <c r="AR110" s="43">
        <v>0</v>
      </c>
      <c r="AT110" s="10"/>
      <c r="AU110" s="10"/>
      <c r="AV110" s="10"/>
      <c r="AW110" s="10"/>
      <c r="AY110" s="10"/>
      <c r="AZ110" s="10"/>
      <c r="BA110" s="10"/>
      <c r="BD110" s="10"/>
      <c r="BE110" s="10"/>
      <c r="BF110" s="10"/>
      <c r="BH110" s="10"/>
      <c r="BI110" s="10"/>
      <c r="BJ110" s="10"/>
      <c r="BL110" s="10"/>
      <c r="BM110" s="10"/>
      <c r="BN110" s="10"/>
      <c r="BO110" s="10"/>
    </row>
    <row r="111" spans="1:67" x14ac:dyDescent="0.2">
      <c r="A111" s="39" t="s">
        <v>57</v>
      </c>
      <c r="B111" s="39" t="s">
        <v>36</v>
      </c>
      <c r="D111" s="39">
        <v>45</v>
      </c>
      <c r="E111" s="39">
        <v>35</v>
      </c>
      <c r="F111" s="39">
        <v>32</v>
      </c>
      <c r="H111" s="44">
        <v>1392.49</v>
      </c>
      <c r="I111" s="67">
        <v>17</v>
      </c>
      <c r="J111" s="44">
        <v>1286.78</v>
      </c>
      <c r="K111" s="67">
        <v>9</v>
      </c>
      <c r="L111" s="44">
        <v>1919.38</v>
      </c>
      <c r="M111" s="67">
        <v>19</v>
      </c>
      <c r="N111" s="44">
        <v>4598.6499999999996</v>
      </c>
      <c r="O111" s="67">
        <v>45</v>
      </c>
      <c r="P111" s="44">
        <v>861.58</v>
      </c>
      <c r="Q111" s="67">
        <v>9</v>
      </c>
      <c r="R111" s="44">
        <v>788.13</v>
      </c>
      <c r="S111" s="67">
        <v>6</v>
      </c>
      <c r="T111" s="44">
        <v>2233.25</v>
      </c>
      <c r="U111" s="67">
        <v>20</v>
      </c>
      <c r="V111" s="44">
        <v>3882.96</v>
      </c>
      <c r="W111" s="67">
        <v>35</v>
      </c>
      <c r="X111" s="44">
        <v>669.04</v>
      </c>
      <c r="Y111" s="67">
        <v>12</v>
      </c>
      <c r="Z111" s="44">
        <v>473.43</v>
      </c>
      <c r="AA111" s="67">
        <v>6</v>
      </c>
      <c r="AB111" s="44">
        <v>2356.58</v>
      </c>
      <c r="AC111" s="67">
        <v>14</v>
      </c>
      <c r="AD111" s="44">
        <v>3499.05</v>
      </c>
      <c r="AE111" s="70">
        <v>32</v>
      </c>
      <c r="AG111" s="44">
        <v>0</v>
      </c>
      <c r="AH111" s="44">
        <v>0</v>
      </c>
      <c r="AI111" s="44">
        <v>0</v>
      </c>
      <c r="AJ111" s="44">
        <v>0</v>
      </c>
      <c r="AK111" s="44">
        <v>35.68</v>
      </c>
      <c r="AL111" s="44">
        <v>0</v>
      </c>
      <c r="AM111" s="44">
        <v>0</v>
      </c>
      <c r="AN111" s="44">
        <v>35.68</v>
      </c>
      <c r="AO111" s="44">
        <v>30.55</v>
      </c>
      <c r="AP111" s="44">
        <v>35.68</v>
      </c>
      <c r="AQ111" s="44">
        <v>0</v>
      </c>
      <c r="AR111" s="44">
        <v>66.23</v>
      </c>
      <c r="AT111" s="10"/>
      <c r="AU111" s="10"/>
      <c r="AV111" s="10"/>
      <c r="AW111" s="10"/>
      <c r="AY111" s="10"/>
      <c r="AZ111" s="10"/>
      <c r="BA111" s="10"/>
      <c r="BD111" s="10"/>
      <c r="BE111" s="10"/>
      <c r="BF111" s="10"/>
      <c r="BH111" s="10"/>
      <c r="BI111" s="10"/>
      <c r="BJ111" s="10"/>
      <c r="BL111" s="10"/>
      <c r="BM111" s="10"/>
      <c r="BN111" s="10"/>
      <c r="BO111" s="10"/>
    </row>
    <row r="112" spans="1:67" x14ac:dyDescent="0.2">
      <c r="A112" s="38" t="s">
        <v>58</v>
      </c>
      <c r="B112" s="38" t="s">
        <v>36</v>
      </c>
      <c r="D112" s="38">
        <v>785</v>
      </c>
      <c r="E112" s="38">
        <v>680</v>
      </c>
      <c r="F112" s="38">
        <v>591</v>
      </c>
      <c r="H112" s="43">
        <v>21977.13</v>
      </c>
      <c r="I112" s="66">
        <v>336</v>
      </c>
      <c r="J112" s="43">
        <v>19771.05</v>
      </c>
      <c r="K112" s="66">
        <v>184</v>
      </c>
      <c r="L112" s="43">
        <v>51489.22</v>
      </c>
      <c r="M112" s="66">
        <v>265</v>
      </c>
      <c r="N112" s="43">
        <v>93237.4</v>
      </c>
      <c r="O112" s="66">
        <v>785</v>
      </c>
      <c r="P112" s="43">
        <v>15124.41</v>
      </c>
      <c r="Q112" s="66">
        <v>322</v>
      </c>
      <c r="R112" s="43">
        <v>10176.58</v>
      </c>
      <c r="S112" s="66">
        <v>117</v>
      </c>
      <c r="T112" s="43">
        <v>46753.23</v>
      </c>
      <c r="U112" s="66">
        <v>241</v>
      </c>
      <c r="V112" s="43">
        <v>72054.22</v>
      </c>
      <c r="W112" s="66">
        <v>680</v>
      </c>
      <c r="X112" s="43">
        <v>12146.38</v>
      </c>
      <c r="Y112" s="66">
        <v>284</v>
      </c>
      <c r="Z112" s="43">
        <v>6896.89</v>
      </c>
      <c r="AA112" s="66">
        <v>103</v>
      </c>
      <c r="AB112" s="43">
        <v>43943.14</v>
      </c>
      <c r="AC112" s="66">
        <v>204</v>
      </c>
      <c r="AD112" s="43">
        <v>62986.41</v>
      </c>
      <c r="AE112" s="69">
        <v>591</v>
      </c>
      <c r="AG112" s="43">
        <v>109.71</v>
      </c>
      <c r="AH112" s="43">
        <v>95.99</v>
      </c>
      <c r="AI112" s="43">
        <v>750.2</v>
      </c>
      <c r="AJ112" s="43">
        <v>955.9</v>
      </c>
      <c r="AK112" s="43">
        <v>17.25</v>
      </c>
      <c r="AL112" s="43">
        <v>35.86</v>
      </c>
      <c r="AM112" s="43">
        <v>0</v>
      </c>
      <c r="AN112" s="43">
        <v>53.11</v>
      </c>
      <c r="AO112" s="43">
        <v>0</v>
      </c>
      <c r="AP112" s="43">
        <v>0</v>
      </c>
      <c r="AQ112" s="43">
        <v>0</v>
      </c>
      <c r="AR112" s="43">
        <v>0</v>
      </c>
      <c r="AT112" s="10"/>
      <c r="AU112" s="10"/>
      <c r="AV112" s="10"/>
      <c r="AW112" s="10"/>
      <c r="AY112" s="10"/>
      <c r="AZ112" s="10"/>
      <c r="BA112" s="10"/>
      <c r="BD112" s="10"/>
      <c r="BE112" s="10"/>
      <c r="BF112" s="10"/>
      <c r="BH112" s="10"/>
      <c r="BI112" s="10"/>
      <c r="BJ112" s="10"/>
      <c r="BL112" s="10"/>
      <c r="BM112" s="10"/>
      <c r="BN112" s="10"/>
      <c r="BO112" s="10"/>
    </row>
    <row r="113" spans="1:67" x14ac:dyDescent="0.2">
      <c r="A113" s="39" t="s">
        <v>59</v>
      </c>
      <c r="B113" s="39" t="s">
        <v>36</v>
      </c>
      <c r="D113" s="39">
        <v>0</v>
      </c>
      <c r="E113" s="39">
        <v>0</v>
      </c>
      <c r="F113" s="39">
        <v>0</v>
      </c>
      <c r="H113" s="44">
        <v>0</v>
      </c>
      <c r="I113" s="67">
        <v>0</v>
      </c>
      <c r="J113" s="44">
        <v>0</v>
      </c>
      <c r="K113" s="67">
        <v>0</v>
      </c>
      <c r="L113" s="44">
        <v>0</v>
      </c>
      <c r="M113" s="67">
        <v>0</v>
      </c>
      <c r="N113" s="44">
        <v>0</v>
      </c>
      <c r="O113" s="67">
        <v>0</v>
      </c>
      <c r="P113" s="44">
        <v>0</v>
      </c>
      <c r="Q113" s="67">
        <v>0</v>
      </c>
      <c r="R113" s="44">
        <v>0</v>
      </c>
      <c r="S113" s="67">
        <v>0</v>
      </c>
      <c r="T113" s="44">
        <v>0</v>
      </c>
      <c r="U113" s="67">
        <v>0</v>
      </c>
      <c r="V113" s="44">
        <v>0</v>
      </c>
      <c r="W113" s="67">
        <v>0</v>
      </c>
      <c r="X113" s="44">
        <v>0</v>
      </c>
      <c r="Y113" s="67">
        <v>0</v>
      </c>
      <c r="Z113" s="44">
        <v>0</v>
      </c>
      <c r="AA113" s="67">
        <v>0</v>
      </c>
      <c r="AB113" s="44">
        <v>0</v>
      </c>
      <c r="AC113" s="67">
        <v>0</v>
      </c>
      <c r="AD113" s="44">
        <v>0</v>
      </c>
      <c r="AE113" s="70">
        <v>0</v>
      </c>
      <c r="AG113" s="44">
        <v>0</v>
      </c>
      <c r="AH113" s="44">
        <v>0</v>
      </c>
      <c r="AI113" s="44">
        <v>0</v>
      </c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>
        <v>0</v>
      </c>
      <c r="AP113" s="44">
        <v>0</v>
      </c>
      <c r="AQ113" s="44">
        <v>0</v>
      </c>
      <c r="AR113" s="44">
        <v>0</v>
      </c>
      <c r="AT113" s="10"/>
      <c r="AU113" s="10"/>
      <c r="AV113" s="10"/>
      <c r="AW113" s="10"/>
      <c r="AY113" s="10"/>
      <c r="AZ113" s="10"/>
      <c r="BA113" s="10"/>
      <c r="BD113" s="10"/>
      <c r="BE113" s="10"/>
      <c r="BF113" s="10"/>
      <c r="BH113" s="10"/>
      <c r="BI113" s="10"/>
      <c r="BJ113" s="10"/>
      <c r="BL113" s="10"/>
      <c r="BM113" s="10"/>
      <c r="BN113" s="10"/>
      <c r="BO113" s="10"/>
    </row>
    <row r="114" spans="1:67" x14ac:dyDescent="0.2">
      <c r="A114" s="38" t="s">
        <v>60</v>
      </c>
      <c r="B114" s="38" t="s">
        <v>36</v>
      </c>
      <c r="D114" s="38">
        <v>381</v>
      </c>
      <c r="E114" s="38">
        <v>317</v>
      </c>
      <c r="F114" s="38">
        <v>297</v>
      </c>
      <c r="H114" s="43">
        <v>9492.11</v>
      </c>
      <c r="I114" s="66">
        <v>146</v>
      </c>
      <c r="J114" s="43">
        <v>8826.91</v>
      </c>
      <c r="K114" s="66">
        <v>104</v>
      </c>
      <c r="L114" s="43">
        <v>25636.59</v>
      </c>
      <c r="M114" s="66">
        <v>131</v>
      </c>
      <c r="N114" s="43">
        <v>43955.61</v>
      </c>
      <c r="O114" s="66">
        <v>381</v>
      </c>
      <c r="P114" s="43">
        <v>5221</v>
      </c>
      <c r="Q114" s="66">
        <v>70</v>
      </c>
      <c r="R114" s="43">
        <v>5432.79</v>
      </c>
      <c r="S114" s="66">
        <v>86</v>
      </c>
      <c r="T114" s="43">
        <v>27558.07</v>
      </c>
      <c r="U114" s="66">
        <v>161</v>
      </c>
      <c r="V114" s="43">
        <v>38211.86</v>
      </c>
      <c r="W114" s="66">
        <v>317</v>
      </c>
      <c r="X114" s="43">
        <v>3785.18</v>
      </c>
      <c r="Y114" s="66">
        <v>107</v>
      </c>
      <c r="Z114" s="43">
        <v>2994.45</v>
      </c>
      <c r="AA114" s="66">
        <v>35</v>
      </c>
      <c r="AB114" s="43">
        <v>27871.57</v>
      </c>
      <c r="AC114" s="66">
        <v>155</v>
      </c>
      <c r="AD114" s="43">
        <v>34651.199999999997</v>
      </c>
      <c r="AE114" s="69">
        <v>297</v>
      </c>
      <c r="AG114" s="43">
        <v>134.47</v>
      </c>
      <c r="AH114" s="43">
        <v>199.28</v>
      </c>
      <c r="AI114" s="43">
        <v>0</v>
      </c>
      <c r="AJ114" s="43">
        <v>333.75</v>
      </c>
      <c r="AK114" s="43">
        <v>90</v>
      </c>
      <c r="AL114" s="43">
        <v>50.68</v>
      </c>
      <c r="AM114" s="43">
        <v>161.24</v>
      </c>
      <c r="AN114" s="43">
        <v>301.92</v>
      </c>
      <c r="AO114" s="43">
        <v>45.11</v>
      </c>
      <c r="AP114" s="43">
        <v>26.98</v>
      </c>
      <c r="AQ114" s="43">
        <v>35.479999999999997</v>
      </c>
      <c r="AR114" s="43">
        <v>107.57</v>
      </c>
      <c r="AT114" s="10"/>
      <c r="AU114" s="10"/>
      <c r="AV114" s="10"/>
      <c r="AW114" s="10"/>
      <c r="AY114" s="10"/>
      <c r="AZ114" s="10"/>
      <c r="BA114" s="10"/>
      <c r="BD114" s="10"/>
      <c r="BE114" s="10"/>
      <c r="BF114" s="10"/>
      <c r="BH114" s="10"/>
      <c r="BI114" s="10"/>
      <c r="BJ114" s="10"/>
      <c r="BL114" s="10"/>
      <c r="BM114" s="10"/>
      <c r="BN114" s="10"/>
      <c r="BO114" s="10"/>
    </row>
    <row r="115" spans="1:67" x14ac:dyDescent="0.2">
      <c r="A115" s="39" t="s">
        <v>61</v>
      </c>
      <c r="B115" s="39" t="s">
        <v>36</v>
      </c>
      <c r="D115" s="39">
        <v>907</v>
      </c>
      <c r="E115" s="39">
        <v>726</v>
      </c>
      <c r="F115" s="39">
        <v>627</v>
      </c>
      <c r="H115" s="44">
        <v>35166.78</v>
      </c>
      <c r="I115" s="67">
        <v>312</v>
      </c>
      <c r="J115" s="44">
        <v>33471.22</v>
      </c>
      <c r="K115" s="67">
        <v>234</v>
      </c>
      <c r="L115" s="44">
        <v>98220.07</v>
      </c>
      <c r="M115" s="67">
        <v>361</v>
      </c>
      <c r="N115" s="44">
        <v>166858.07</v>
      </c>
      <c r="O115" s="67">
        <v>907</v>
      </c>
      <c r="P115" s="44">
        <v>20168.39</v>
      </c>
      <c r="Q115" s="67">
        <v>211</v>
      </c>
      <c r="R115" s="44">
        <v>18861.88</v>
      </c>
      <c r="S115" s="67">
        <v>151</v>
      </c>
      <c r="T115" s="44">
        <v>96944.65</v>
      </c>
      <c r="U115" s="67">
        <v>364</v>
      </c>
      <c r="V115" s="44">
        <v>135974.92000000001</v>
      </c>
      <c r="W115" s="67">
        <v>726</v>
      </c>
      <c r="X115" s="44">
        <v>14085.31</v>
      </c>
      <c r="Y115" s="67">
        <v>162</v>
      </c>
      <c r="Z115" s="44">
        <v>12237.39</v>
      </c>
      <c r="AA115" s="67">
        <v>101</v>
      </c>
      <c r="AB115" s="44">
        <v>98583.69</v>
      </c>
      <c r="AC115" s="67">
        <v>364</v>
      </c>
      <c r="AD115" s="44">
        <v>124906.39</v>
      </c>
      <c r="AE115" s="70">
        <v>627</v>
      </c>
      <c r="AG115" s="44">
        <v>317.58999999999997</v>
      </c>
      <c r="AH115" s="44">
        <v>563.80999999999995</v>
      </c>
      <c r="AI115" s="44">
        <v>260.18</v>
      </c>
      <c r="AJ115" s="44">
        <v>1141.58</v>
      </c>
      <c r="AK115" s="44">
        <v>205.25</v>
      </c>
      <c r="AL115" s="44">
        <v>56.86</v>
      </c>
      <c r="AM115" s="44">
        <v>207.26</v>
      </c>
      <c r="AN115" s="44">
        <v>469.37</v>
      </c>
      <c r="AO115" s="44">
        <v>128.72</v>
      </c>
      <c r="AP115" s="44">
        <v>88.67</v>
      </c>
      <c r="AQ115" s="44">
        <v>110.77</v>
      </c>
      <c r="AR115" s="44">
        <v>328.16</v>
      </c>
      <c r="AT115" s="10"/>
      <c r="AU115" s="10"/>
      <c r="AV115" s="10"/>
      <c r="AW115" s="10"/>
      <c r="AY115" s="10"/>
      <c r="AZ115" s="10"/>
      <c r="BA115" s="10"/>
      <c r="BD115" s="10"/>
      <c r="BE115" s="10"/>
      <c r="BF115" s="10"/>
      <c r="BH115" s="10"/>
      <c r="BI115" s="10"/>
      <c r="BJ115" s="10"/>
      <c r="BL115" s="10"/>
      <c r="BM115" s="10"/>
      <c r="BN115" s="10"/>
      <c r="BO115" s="10"/>
    </row>
    <row r="116" spans="1:67" x14ac:dyDescent="0.2">
      <c r="A116" s="38" t="s">
        <v>62</v>
      </c>
      <c r="B116" s="38" t="s">
        <v>36</v>
      </c>
      <c r="D116" s="38">
        <v>1108</v>
      </c>
      <c r="E116" s="38">
        <v>946</v>
      </c>
      <c r="F116" s="38">
        <v>794</v>
      </c>
      <c r="H116" s="43">
        <v>38063.61</v>
      </c>
      <c r="I116" s="66">
        <v>405</v>
      </c>
      <c r="J116" s="43">
        <v>36022.36</v>
      </c>
      <c r="K116" s="66">
        <v>278</v>
      </c>
      <c r="L116" s="43">
        <v>92032.67</v>
      </c>
      <c r="M116" s="66">
        <v>425</v>
      </c>
      <c r="N116" s="43">
        <v>166118.64000000001</v>
      </c>
      <c r="O116" s="66">
        <v>1108</v>
      </c>
      <c r="P116" s="43">
        <v>24517.78</v>
      </c>
      <c r="Q116" s="66">
        <v>288</v>
      </c>
      <c r="R116" s="43">
        <v>21583.46</v>
      </c>
      <c r="S116" s="66">
        <v>208</v>
      </c>
      <c r="T116" s="43">
        <v>97998.56</v>
      </c>
      <c r="U116" s="66">
        <v>450</v>
      </c>
      <c r="V116" s="43">
        <v>144099.79999999999</v>
      </c>
      <c r="W116" s="66">
        <v>946</v>
      </c>
      <c r="X116" s="43">
        <v>16573.97</v>
      </c>
      <c r="Y116" s="66">
        <v>242</v>
      </c>
      <c r="Z116" s="43">
        <v>14242.01</v>
      </c>
      <c r="AA116" s="66">
        <v>130</v>
      </c>
      <c r="AB116" s="43">
        <v>91650.41</v>
      </c>
      <c r="AC116" s="66">
        <v>422</v>
      </c>
      <c r="AD116" s="43">
        <v>122466.39</v>
      </c>
      <c r="AE116" s="69">
        <v>794</v>
      </c>
      <c r="AG116" s="43">
        <v>359.23</v>
      </c>
      <c r="AH116" s="43">
        <v>425.52</v>
      </c>
      <c r="AI116" s="43">
        <v>927.13</v>
      </c>
      <c r="AJ116" s="43">
        <v>1711.88</v>
      </c>
      <c r="AK116" s="43">
        <v>175.74</v>
      </c>
      <c r="AL116" s="43">
        <v>154.37</v>
      </c>
      <c r="AM116" s="43">
        <v>658.79</v>
      </c>
      <c r="AN116" s="43">
        <v>988.9</v>
      </c>
      <c r="AO116" s="43">
        <v>221.77</v>
      </c>
      <c r="AP116" s="43">
        <v>147.65</v>
      </c>
      <c r="AQ116" s="43">
        <v>196.21</v>
      </c>
      <c r="AR116" s="43">
        <v>565.63</v>
      </c>
      <c r="AT116" s="10"/>
      <c r="AU116" s="10"/>
      <c r="AV116" s="10"/>
      <c r="AW116" s="10"/>
      <c r="AY116" s="10"/>
      <c r="AZ116" s="10"/>
      <c r="BA116" s="10"/>
      <c r="BD116" s="10"/>
      <c r="BE116" s="10"/>
      <c r="BF116" s="10"/>
      <c r="BH116" s="10"/>
      <c r="BI116" s="10"/>
      <c r="BJ116" s="10"/>
      <c r="BL116" s="10"/>
      <c r="BM116" s="10"/>
      <c r="BN116" s="10"/>
      <c r="BO116" s="10"/>
    </row>
    <row r="117" spans="1:67" x14ac:dyDescent="0.2">
      <c r="A117" s="39" t="s">
        <v>63</v>
      </c>
      <c r="B117" s="39" t="s">
        <v>36</v>
      </c>
      <c r="D117" s="39">
        <v>344</v>
      </c>
      <c r="E117" s="39">
        <v>276</v>
      </c>
      <c r="F117" s="39">
        <v>233</v>
      </c>
      <c r="H117" s="44">
        <v>13037.14</v>
      </c>
      <c r="I117" s="67">
        <v>109</v>
      </c>
      <c r="J117" s="44">
        <v>12326.29</v>
      </c>
      <c r="K117" s="67">
        <v>107</v>
      </c>
      <c r="L117" s="44">
        <v>31737.47</v>
      </c>
      <c r="M117" s="67">
        <v>128</v>
      </c>
      <c r="N117" s="44">
        <v>57100.9</v>
      </c>
      <c r="O117" s="67">
        <v>344</v>
      </c>
      <c r="P117" s="44">
        <v>6980.16</v>
      </c>
      <c r="Q117" s="67">
        <v>89</v>
      </c>
      <c r="R117" s="44">
        <v>6616.18</v>
      </c>
      <c r="S117" s="67">
        <v>48</v>
      </c>
      <c r="T117" s="44">
        <v>33069.54</v>
      </c>
      <c r="U117" s="67">
        <v>139</v>
      </c>
      <c r="V117" s="44">
        <v>46665.88</v>
      </c>
      <c r="W117" s="67">
        <v>276</v>
      </c>
      <c r="X117" s="44">
        <v>4435.3999999999996</v>
      </c>
      <c r="Y117" s="67">
        <v>57</v>
      </c>
      <c r="Z117" s="44">
        <v>4522.71</v>
      </c>
      <c r="AA117" s="67">
        <v>39</v>
      </c>
      <c r="AB117" s="44">
        <v>33179.480000000003</v>
      </c>
      <c r="AC117" s="67">
        <v>137</v>
      </c>
      <c r="AD117" s="44">
        <v>42137.59</v>
      </c>
      <c r="AE117" s="70">
        <v>233</v>
      </c>
      <c r="AG117" s="44">
        <v>249.96</v>
      </c>
      <c r="AH117" s="44">
        <v>354.16</v>
      </c>
      <c r="AI117" s="44">
        <v>2603.11</v>
      </c>
      <c r="AJ117" s="44">
        <v>3207.23</v>
      </c>
      <c r="AK117" s="44">
        <v>73.92</v>
      </c>
      <c r="AL117" s="44">
        <v>23.78</v>
      </c>
      <c r="AM117" s="44">
        <v>0</v>
      </c>
      <c r="AN117" s="44">
        <v>97.7</v>
      </c>
      <c r="AO117" s="44">
        <v>67.819999999999993</v>
      </c>
      <c r="AP117" s="44">
        <v>46.95</v>
      </c>
      <c r="AQ117" s="44">
        <v>7.53</v>
      </c>
      <c r="AR117" s="44">
        <v>122.3</v>
      </c>
      <c r="AT117" s="10"/>
      <c r="AU117" s="10"/>
      <c r="AV117" s="10"/>
      <c r="AW117" s="10"/>
      <c r="AY117" s="10"/>
      <c r="AZ117" s="10"/>
      <c r="BA117" s="10"/>
      <c r="BD117" s="10"/>
      <c r="BE117" s="10"/>
      <c r="BF117" s="10"/>
      <c r="BH117" s="10"/>
      <c r="BI117" s="10"/>
      <c r="BJ117" s="10"/>
      <c r="BL117" s="10"/>
      <c r="BM117" s="10"/>
      <c r="BN117" s="10"/>
      <c r="BO117" s="10"/>
    </row>
    <row r="118" spans="1:67" x14ac:dyDescent="0.2">
      <c r="A118" s="38" t="s">
        <v>64</v>
      </c>
      <c r="B118" s="38" t="s">
        <v>36</v>
      </c>
      <c r="D118" s="38">
        <v>630</v>
      </c>
      <c r="E118" s="38">
        <v>528</v>
      </c>
      <c r="F118" s="38">
        <v>466</v>
      </c>
      <c r="H118" s="43">
        <v>22891.78</v>
      </c>
      <c r="I118" s="66">
        <v>220</v>
      </c>
      <c r="J118" s="43">
        <v>23135.85</v>
      </c>
      <c r="K118" s="66">
        <v>175</v>
      </c>
      <c r="L118" s="43">
        <v>63640.13</v>
      </c>
      <c r="M118" s="66">
        <v>235</v>
      </c>
      <c r="N118" s="43">
        <v>109667.76</v>
      </c>
      <c r="O118" s="66">
        <v>630</v>
      </c>
      <c r="P118" s="43">
        <v>14963.63</v>
      </c>
      <c r="Q118" s="66">
        <v>161</v>
      </c>
      <c r="R118" s="43">
        <v>12985.97</v>
      </c>
      <c r="S118" s="66">
        <v>116</v>
      </c>
      <c r="T118" s="43">
        <v>69137.14</v>
      </c>
      <c r="U118" s="66">
        <v>251</v>
      </c>
      <c r="V118" s="43">
        <v>97086.74</v>
      </c>
      <c r="W118" s="66">
        <v>528</v>
      </c>
      <c r="X118" s="43">
        <v>11270.48</v>
      </c>
      <c r="Y118" s="66">
        <v>146</v>
      </c>
      <c r="Z118" s="43">
        <v>8767.65</v>
      </c>
      <c r="AA118" s="66">
        <v>70</v>
      </c>
      <c r="AB118" s="43">
        <v>69007.06</v>
      </c>
      <c r="AC118" s="66">
        <v>250</v>
      </c>
      <c r="AD118" s="43">
        <v>89045.19</v>
      </c>
      <c r="AE118" s="69">
        <v>466</v>
      </c>
      <c r="AG118" s="43">
        <v>299.87</v>
      </c>
      <c r="AH118" s="43">
        <v>331.57</v>
      </c>
      <c r="AI118" s="43">
        <v>591.54999999999995</v>
      </c>
      <c r="AJ118" s="43">
        <v>1222.99</v>
      </c>
      <c r="AK118" s="43">
        <v>151.63</v>
      </c>
      <c r="AL118" s="43">
        <v>154.94</v>
      </c>
      <c r="AM118" s="43">
        <v>635.54</v>
      </c>
      <c r="AN118" s="43">
        <v>942.11</v>
      </c>
      <c r="AO118" s="43">
        <v>163.02000000000001</v>
      </c>
      <c r="AP118" s="43">
        <v>129.68</v>
      </c>
      <c r="AQ118" s="43">
        <v>760.28</v>
      </c>
      <c r="AR118" s="43">
        <v>1052.98</v>
      </c>
      <c r="AT118" s="10"/>
      <c r="AU118" s="10"/>
      <c r="AV118" s="10"/>
      <c r="AW118" s="10"/>
      <c r="AY118" s="10"/>
      <c r="AZ118" s="10"/>
      <c r="BA118" s="10"/>
      <c r="BD118" s="10"/>
      <c r="BE118" s="10"/>
      <c r="BF118" s="10"/>
      <c r="BH118" s="10"/>
      <c r="BI118" s="10"/>
      <c r="BJ118" s="10"/>
      <c r="BL118" s="10"/>
      <c r="BM118" s="10"/>
      <c r="BN118" s="10"/>
      <c r="BO118" s="10"/>
    </row>
    <row r="119" spans="1:67" x14ac:dyDescent="0.2">
      <c r="A119" s="39" t="s">
        <v>65</v>
      </c>
      <c r="B119" s="39" t="s">
        <v>36</v>
      </c>
      <c r="D119" s="39">
        <v>873</v>
      </c>
      <c r="E119" s="39">
        <v>680</v>
      </c>
      <c r="F119" s="39">
        <v>615</v>
      </c>
      <c r="H119" s="44">
        <v>31521.64</v>
      </c>
      <c r="I119" s="67">
        <v>267</v>
      </c>
      <c r="J119" s="44">
        <v>32263.74</v>
      </c>
      <c r="K119" s="67">
        <v>233</v>
      </c>
      <c r="L119" s="44">
        <v>92778.78</v>
      </c>
      <c r="M119" s="67">
        <v>373</v>
      </c>
      <c r="N119" s="44">
        <v>156564.16</v>
      </c>
      <c r="O119" s="67">
        <v>873</v>
      </c>
      <c r="P119" s="44">
        <v>18157.62</v>
      </c>
      <c r="Q119" s="67">
        <v>183</v>
      </c>
      <c r="R119" s="44">
        <v>17140.87</v>
      </c>
      <c r="S119" s="67">
        <v>127</v>
      </c>
      <c r="T119" s="44">
        <v>94224.95</v>
      </c>
      <c r="U119" s="67">
        <v>370</v>
      </c>
      <c r="V119" s="44">
        <v>129523.44</v>
      </c>
      <c r="W119" s="67">
        <v>680</v>
      </c>
      <c r="X119" s="44">
        <v>13319.79</v>
      </c>
      <c r="Y119" s="67">
        <v>176</v>
      </c>
      <c r="Z119" s="44">
        <v>11796.21</v>
      </c>
      <c r="AA119" s="67">
        <v>88</v>
      </c>
      <c r="AB119" s="44">
        <v>86364.57</v>
      </c>
      <c r="AC119" s="67">
        <v>351</v>
      </c>
      <c r="AD119" s="44">
        <v>111480.57</v>
      </c>
      <c r="AE119" s="70">
        <v>615</v>
      </c>
      <c r="AG119" s="44">
        <v>268.01</v>
      </c>
      <c r="AH119" s="44">
        <v>530.73</v>
      </c>
      <c r="AI119" s="44">
        <v>1804.28</v>
      </c>
      <c r="AJ119" s="44">
        <v>2603.02</v>
      </c>
      <c r="AK119" s="44">
        <v>256.32</v>
      </c>
      <c r="AL119" s="44">
        <v>188.49</v>
      </c>
      <c r="AM119" s="44">
        <v>842.02</v>
      </c>
      <c r="AN119" s="44">
        <v>1286.83</v>
      </c>
      <c r="AO119" s="44">
        <v>207.57</v>
      </c>
      <c r="AP119" s="44">
        <v>210.45</v>
      </c>
      <c r="AQ119" s="44">
        <v>392.48</v>
      </c>
      <c r="AR119" s="44">
        <v>810.5</v>
      </c>
      <c r="AT119" s="10"/>
      <c r="AU119" s="10"/>
      <c r="AV119" s="10"/>
      <c r="AW119" s="10"/>
      <c r="AY119" s="10"/>
      <c r="AZ119" s="10"/>
      <c r="BA119" s="10"/>
      <c r="BD119" s="10"/>
      <c r="BE119" s="10"/>
      <c r="BF119" s="10"/>
      <c r="BH119" s="10"/>
      <c r="BI119" s="10"/>
      <c r="BJ119" s="10"/>
      <c r="BL119" s="10"/>
      <c r="BM119" s="10"/>
      <c r="BN119" s="10"/>
      <c r="BO119" s="10"/>
    </row>
    <row r="120" spans="1:67" x14ac:dyDescent="0.2">
      <c r="A120" s="38" t="s">
        <v>66</v>
      </c>
      <c r="B120" s="38" t="s">
        <v>36</v>
      </c>
      <c r="D120" s="38">
        <v>0</v>
      </c>
      <c r="E120" s="38">
        <v>0</v>
      </c>
      <c r="F120" s="38">
        <v>0</v>
      </c>
      <c r="H120" s="43">
        <v>0</v>
      </c>
      <c r="I120" s="66">
        <v>0</v>
      </c>
      <c r="J120" s="43">
        <v>0</v>
      </c>
      <c r="K120" s="66">
        <v>0</v>
      </c>
      <c r="L120" s="43">
        <v>0</v>
      </c>
      <c r="M120" s="66">
        <v>0</v>
      </c>
      <c r="N120" s="43">
        <v>0</v>
      </c>
      <c r="O120" s="66">
        <v>0</v>
      </c>
      <c r="P120" s="43">
        <v>0</v>
      </c>
      <c r="Q120" s="66">
        <v>0</v>
      </c>
      <c r="R120" s="43">
        <v>0</v>
      </c>
      <c r="S120" s="66">
        <v>0</v>
      </c>
      <c r="T120" s="43">
        <v>0</v>
      </c>
      <c r="U120" s="66">
        <v>0</v>
      </c>
      <c r="V120" s="43">
        <v>0</v>
      </c>
      <c r="W120" s="66">
        <v>0</v>
      </c>
      <c r="X120" s="43">
        <v>0</v>
      </c>
      <c r="Y120" s="66">
        <v>0</v>
      </c>
      <c r="Z120" s="43">
        <v>0</v>
      </c>
      <c r="AA120" s="66">
        <v>0</v>
      </c>
      <c r="AB120" s="43">
        <v>0</v>
      </c>
      <c r="AC120" s="66">
        <v>0</v>
      </c>
      <c r="AD120" s="43">
        <v>0</v>
      </c>
      <c r="AE120" s="69">
        <v>0</v>
      </c>
      <c r="AG120" s="43">
        <v>0</v>
      </c>
      <c r="AH120" s="43">
        <v>0</v>
      </c>
      <c r="AI120" s="43">
        <v>0</v>
      </c>
      <c r="AJ120" s="43">
        <v>0</v>
      </c>
      <c r="AK120" s="43">
        <v>0</v>
      </c>
      <c r="AL120" s="43">
        <v>0</v>
      </c>
      <c r="AM120" s="43">
        <v>0</v>
      </c>
      <c r="AN120" s="43">
        <v>0</v>
      </c>
      <c r="AO120" s="43">
        <v>0</v>
      </c>
      <c r="AP120" s="43">
        <v>0</v>
      </c>
      <c r="AQ120" s="43">
        <v>0</v>
      </c>
      <c r="AR120" s="43">
        <v>0</v>
      </c>
      <c r="AT120" s="10"/>
      <c r="AU120" s="10"/>
      <c r="AV120" s="10"/>
      <c r="AW120" s="10"/>
      <c r="AY120" s="10"/>
      <c r="AZ120" s="10"/>
      <c r="BA120" s="10"/>
      <c r="BD120" s="10"/>
      <c r="BE120" s="10"/>
      <c r="BF120" s="10"/>
      <c r="BH120" s="10"/>
      <c r="BI120" s="10"/>
      <c r="BJ120" s="10"/>
      <c r="BL120" s="10"/>
      <c r="BM120" s="10"/>
      <c r="BN120" s="10"/>
      <c r="BO120" s="10"/>
    </row>
    <row r="121" spans="1:67" x14ac:dyDescent="0.2">
      <c r="A121" s="39" t="s">
        <v>67</v>
      </c>
      <c r="B121" s="39" t="s">
        <v>36</v>
      </c>
      <c r="D121" s="39">
        <v>0</v>
      </c>
      <c r="E121" s="39">
        <v>0</v>
      </c>
      <c r="F121" s="39">
        <v>0</v>
      </c>
      <c r="H121" s="44">
        <v>0</v>
      </c>
      <c r="I121" s="67">
        <v>0</v>
      </c>
      <c r="J121" s="44">
        <v>0</v>
      </c>
      <c r="K121" s="67">
        <v>0</v>
      </c>
      <c r="L121" s="44">
        <v>0</v>
      </c>
      <c r="M121" s="67">
        <v>0</v>
      </c>
      <c r="N121" s="44">
        <v>0</v>
      </c>
      <c r="O121" s="67">
        <v>0</v>
      </c>
      <c r="P121" s="44">
        <v>0</v>
      </c>
      <c r="Q121" s="67">
        <v>0</v>
      </c>
      <c r="R121" s="44">
        <v>0</v>
      </c>
      <c r="S121" s="67">
        <v>0</v>
      </c>
      <c r="T121" s="44">
        <v>0</v>
      </c>
      <c r="U121" s="67">
        <v>0</v>
      </c>
      <c r="V121" s="44">
        <v>0</v>
      </c>
      <c r="W121" s="67">
        <v>0</v>
      </c>
      <c r="X121" s="44">
        <v>0</v>
      </c>
      <c r="Y121" s="67">
        <v>0</v>
      </c>
      <c r="Z121" s="44">
        <v>0</v>
      </c>
      <c r="AA121" s="67">
        <v>0</v>
      </c>
      <c r="AB121" s="44">
        <v>0</v>
      </c>
      <c r="AC121" s="67">
        <v>0</v>
      </c>
      <c r="AD121" s="44">
        <v>0</v>
      </c>
      <c r="AE121" s="70">
        <v>0</v>
      </c>
      <c r="AG121" s="44">
        <v>0</v>
      </c>
      <c r="AH121" s="44">
        <v>0</v>
      </c>
      <c r="AI121" s="44">
        <v>0</v>
      </c>
      <c r="AJ121" s="44">
        <v>0</v>
      </c>
      <c r="AK121" s="44">
        <v>0</v>
      </c>
      <c r="AL121" s="44">
        <v>0</v>
      </c>
      <c r="AM121" s="44">
        <v>0</v>
      </c>
      <c r="AN121" s="44">
        <v>0</v>
      </c>
      <c r="AO121" s="44">
        <v>0</v>
      </c>
      <c r="AP121" s="44">
        <v>0</v>
      </c>
      <c r="AQ121" s="44">
        <v>0</v>
      </c>
      <c r="AR121" s="44">
        <v>0</v>
      </c>
      <c r="AT121" s="10"/>
      <c r="AU121" s="10"/>
      <c r="AV121" s="10"/>
      <c r="AW121" s="10"/>
      <c r="AY121" s="10"/>
      <c r="AZ121" s="10"/>
      <c r="BA121" s="10"/>
      <c r="BD121" s="10"/>
      <c r="BE121" s="10"/>
      <c r="BF121" s="10"/>
      <c r="BH121" s="10"/>
      <c r="BI121" s="10"/>
      <c r="BJ121" s="10"/>
      <c r="BL121" s="10"/>
      <c r="BM121" s="10"/>
      <c r="BN121" s="10"/>
      <c r="BO121" s="10"/>
    </row>
    <row r="122" spans="1:67" x14ac:dyDescent="0.2">
      <c r="A122" s="38" t="s">
        <v>68</v>
      </c>
      <c r="B122" s="38" t="s">
        <v>36</v>
      </c>
      <c r="D122" s="38">
        <v>618</v>
      </c>
      <c r="E122" s="38">
        <v>499</v>
      </c>
      <c r="F122" s="38">
        <v>404</v>
      </c>
      <c r="H122" s="43">
        <v>24001.13</v>
      </c>
      <c r="I122" s="66">
        <v>190</v>
      </c>
      <c r="J122" s="43">
        <v>23943.040000000001</v>
      </c>
      <c r="K122" s="66">
        <v>175</v>
      </c>
      <c r="L122" s="43">
        <v>64625.81</v>
      </c>
      <c r="M122" s="66">
        <v>253</v>
      </c>
      <c r="N122" s="43">
        <v>112569.98</v>
      </c>
      <c r="O122" s="66">
        <v>618</v>
      </c>
      <c r="P122" s="43">
        <v>13277.39</v>
      </c>
      <c r="Q122" s="66">
        <v>147</v>
      </c>
      <c r="R122" s="43">
        <v>12294</v>
      </c>
      <c r="S122" s="66">
        <v>120</v>
      </c>
      <c r="T122" s="43">
        <v>61088.73</v>
      </c>
      <c r="U122" s="66">
        <v>232</v>
      </c>
      <c r="V122" s="43">
        <v>86660.12</v>
      </c>
      <c r="W122" s="66">
        <v>499</v>
      </c>
      <c r="X122" s="43">
        <v>8691.7000000000007</v>
      </c>
      <c r="Y122" s="66">
        <v>156</v>
      </c>
      <c r="Z122" s="43">
        <v>6009.52</v>
      </c>
      <c r="AA122" s="66">
        <v>53</v>
      </c>
      <c r="AB122" s="43">
        <v>56006.14</v>
      </c>
      <c r="AC122" s="66">
        <v>195</v>
      </c>
      <c r="AD122" s="43">
        <v>70707.360000000001</v>
      </c>
      <c r="AE122" s="69">
        <v>404</v>
      </c>
      <c r="AG122" s="43">
        <v>313.14</v>
      </c>
      <c r="AH122" s="43">
        <v>304.10000000000002</v>
      </c>
      <c r="AI122" s="43">
        <v>485.85</v>
      </c>
      <c r="AJ122" s="43">
        <v>1103.0899999999999</v>
      </c>
      <c r="AK122" s="43">
        <v>164.78</v>
      </c>
      <c r="AL122" s="43">
        <v>260.17</v>
      </c>
      <c r="AM122" s="43">
        <v>305.94</v>
      </c>
      <c r="AN122" s="43">
        <v>730.89</v>
      </c>
      <c r="AO122" s="43">
        <v>69.58</v>
      </c>
      <c r="AP122" s="43">
        <v>101.56</v>
      </c>
      <c r="AQ122" s="43">
        <v>434.13</v>
      </c>
      <c r="AR122" s="43">
        <v>605.27</v>
      </c>
      <c r="AT122" s="10"/>
      <c r="AU122" s="10"/>
      <c r="AV122" s="10"/>
      <c r="AW122" s="10"/>
      <c r="AY122" s="10"/>
      <c r="AZ122" s="10"/>
      <c r="BA122" s="10"/>
      <c r="BD122" s="10"/>
      <c r="BE122" s="10"/>
      <c r="BF122" s="10"/>
      <c r="BH122" s="10"/>
      <c r="BI122" s="10"/>
      <c r="BJ122" s="10"/>
      <c r="BL122" s="10"/>
      <c r="BM122" s="10"/>
      <c r="BN122" s="10"/>
      <c r="BO122" s="10"/>
    </row>
    <row r="123" spans="1:67" x14ac:dyDescent="0.2">
      <c r="A123" s="39" t="s">
        <v>69</v>
      </c>
      <c r="B123" s="39" t="s">
        <v>36</v>
      </c>
      <c r="D123" s="39">
        <v>120</v>
      </c>
      <c r="E123" s="39">
        <v>128</v>
      </c>
      <c r="F123" s="39">
        <v>82</v>
      </c>
      <c r="H123" s="44">
        <v>3627.1</v>
      </c>
      <c r="I123" s="67">
        <v>36</v>
      </c>
      <c r="J123" s="44">
        <v>4024.27</v>
      </c>
      <c r="K123" s="67">
        <v>31</v>
      </c>
      <c r="L123" s="44">
        <v>11194.8</v>
      </c>
      <c r="M123" s="67">
        <v>53</v>
      </c>
      <c r="N123" s="44">
        <v>18846.169999999998</v>
      </c>
      <c r="O123" s="67">
        <v>120</v>
      </c>
      <c r="P123" s="44">
        <v>2766.26</v>
      </c>
      <c r="Q123" s="67">
        <v>63</v>
      </c>
      <c r="R123" s="44">
        <v>1979.28</v>
      </c>
      <c r="S123" s="67">
        <v>20</v>
      </c>
      <c r="T123" s="44">
        <v>10159.9</v>
      </c>
      <c r="U123" s="67">
        <v>45</v>
      </c>
      <c r="V123" s="44">
        <v>14905.44</v>
      </c>
      <c r="W123" s="67">
        <v>128</v>
      </c>
      <c r="X123" s="44">
        <v>1237.53</v>
      </c>
      <c r="Y123" s="67">
        <v>33</v>
      </c>
      <c r="Z123" s="44">
        <v>839.54</v>
      </c>
      <c r="AA123" s="67">
        <v>16</v>
      </c>
      <c r="AB123" s="44">
        <v>9519.64</v>
      </c>
      <c r="AC123" s="67">
        <v>33</v>
      </c>
      <c r="AD123" s="44">
        <v>11596.71</v>
      </c>
      <c r="AE123" s="70">
        <v>82</v>
      </c>
      <c r="AG123" s="44">
        <v>32.11</v>
      </c>
      <c r="AH123" s="44">
        <v>0</v>
      </c>
      <c r="AI123" s="44">
        <v>0</v>
      </c>
      <c r="AJ123" s="44">
        <v>32.11</v>
      </c>
      <c r="AK123" s="44">
        <v>23.98</v>
      </c>
      <c r="AL123" s="44">
        <v>32.11</v>
      </c>
      <c r="AM123" s="44">
        <v>0</v>
      </c>
      <c r="AN123" s="44">
        <v>56.09</v>
      </c>
      <c r="AO123" s="44">
        <v>22.53</v>
      </c>
      <c r="AP123" s="44">
        <v>23.98</v>
      </c>
      <c r="AQ123" s="44">
        <v>32.11</v>
      </c>
      <c r="AR123" s="44">
        <v>78.62</v>
      </c>
      <c r="AT123" s="10"/>
      <c r="AU123" s="10"/>
      <c r="AV123" s="10"/>
      <c r="AW123" s="10"/>
      <c r="AY123" s="10"/>
      <c r="AZ123" s="10"/>
      <c r="BA123" s="10"/>
      <c r="BD123" s="10"/>
      <c r="BE123" s="10"/>
      <c r="BF123" s="10"/>
      <c r="BH123" s="10"/>
      <c r="BI123" s="10"/>
      <c r="BJ123" s="10"/>
      <c r="BL123" s="10"/>
      <c r="BM123" s="10"/>
      <c r="BN123" s="10"/>
      <c r="BO123" s="10"/>
    </row>
    <row r="124" spans="1:67" x14ac:dyDescent="0.2">
      <c r="A124" s="38" t="s">
        <v>70</v>
      </c>
      <c r="B124" s="38" t="s">
        <v>36</v>
      </c>
      <c r="D124" s="38">
        <v>0</v>
      </c>
      <c r="E124" s="38">
        <v>0</v>
      </c>
      <c r="F124" s="38">
        <v>0</v>
      </c>
      <c r="H124" s="43">
        <v>0</v>
      </c>
      <c r="I124" s="66">
        <v>0</v>
      </c>
      <c r="J124" s="43">
        <v>0</v>
      </c>
      <c r="K124" s="66">
        <v>0</v>
      </c>
      <c r="L124" s="43">
        <v>0</v>
      </c>
      <c r="M124" s="66">
        <v>0</v>
      </c>
      <c r="N124" s="43">
        <v>0</v>
      </c>
      <c r="O124" s="66">
        <v>0</v>
      </c>
      <c r="P124" s="43">
        <v>0</v>
      </c>
      <c r="Q124" s="66">
        <v>0</v>
      </c>
      <c r="R124" s="43">
        <v>0</v>
      </c>
      <c r="S124" s="66">
        <v>0</v>
      </c>
      <c r="T124" s="43">
        <v>0</v>
      </c>
      <c r="U124" s="66">
        <v>0</v>
      </c>
      <c r="V124" s="43">
        <v>0</v>
      </c>
      <c r="W124" s="66">
        <v>0</v>
      </c>
      <c r="X124" s="43">
        <v>0</v>
      </c>
      <c r="Y124" s="66">
        <v>0</v>
      </c>
      <c r="Z124" s="43">
        <v>0</v>
      </c>
      <c r="AA124" s="66">
        <v>0</v>
      </c>
      <c r="AB124" s="43">
        <v>0</v>
      </c>
      <c r="AC124" s="66">
        <v>0</v>
      </c>
      <c r="AD124" s="43">
        <v>0</v>
      </c>
      <c r="AE124" s="69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T124" s="10"/>
      <c r="AU124" s="10"/>
      <c r="AV124" s="10"/>
      <c r="AW124" s="10"/>
      <c r="AY124" s="10"/>
      <c r="AZ124" s="10"/>
      <c r="BA124" s="10"/>
      <c r="BD124" s="10"/>
      <c r="BE124" s="10"/>
      <c r="BF124" s="10"/>
      <c r="BH124" s="10"/>
      <c r="BI124" s="10"/>
      <c r="BJ124" s="10"/>
      <c r="BL124" s="10"/>
      <c r="BM124" s="10"/>
      <c r="BN124" s="10"/>
      <c r="BO124" s="10"/>
    </row>
    <row r="125" spans="1:67" x14ac:dyDescent="0.2">
      <c r="A125" s="39" t="s">
        <v>71</v>
      </c>
      <c r="B125" s="39" t="s">
        <v>36</v>
      </c>
      <c r="D125" s="39">
        <v>0</v>
      </c>
      <c r="E125" s="39">
        <v>0</v>
      </c>
      <c r="F125" s="39">
        <v>0</v>
      </c>
      <c r="H125" s="44">
        <v>0</v>
      </c>
      <c r="I125" s="67">
        <v>0</v>
      </c>
      <c r="J125" s="44">
        <v>0</v>
      </c>
      <c r="K125" s="67">
        <v>0</v>
      </c>
      <c r="L125" s="44">
        <v>0</v>
      </c>
      <c r="M125" s="67">
        <v>0</v>
      </c>
      <c r="N125" s="44">
        <v>0</v>
      </c>
      <c r="O125" s="67">
        <v>0</v>
      </c>
      <c r="P125" s="44">
        <v>0</v>
      </c>
      <c r="Q125" s="67">
        <v>0</v>
      </c>
      <c r="R125" s="44">
        <v>0</v>
      </c>
      <c r="S125" s="67">
        <v>0</v>
      </c>
      <c r="T125" s="44">
        <v>0</v>
      </c>
      <c r="U125" s="67">
        <v>0</v>
      </c>
      <c r="V125" s="44">
        <v>0</v>
      </c>
      <c r="W125" s="67">
        <v>0</v>
      </c>
      <c r="X125" s="44">
        <v>0</v>
      </c>
      <c r="Y125" s="67">
        <v>0</v>
      </c>
      <c r="Z125" s="44">
        <v>0</v>
      </c>
      <c r="AA125" s="67">
        <v>0</v>
      </c>
      <c r="AB125" s="44">
        <v>0</v>
      </c>
      <c r="AC125" s="67">
        <v>0</v>
      </c>
      <c r="AD125" s="44">
        <v>0</v>
      </c>
      <c r="AE125" s="70">
        <v>0</v>
      </c>
      <c r="AG125" s="44">
        <v>0</v>
      </c>
      <c r="AH125" s="44">
        <v>0</v>
      </c>
      <c r="AI125" s="44">
        <v>0</v>
      </c>
      <c r="AJ125" s="44">
        <v>0</v>
      </c>
      <c r="AK125" s="44">
        <v>0</v>
      </c>
      <c r="AL125" s="44">
        <v>0</v>
      </c>
      <c r="AM125" s="44">
        <v>0</v>
      </c>
      <c r="AN125" s="44">
        <v>0</v>
      </c>
      <c r="AO125" s="44">
        <v>0</v>
      </c>
      <c r="AP125" s="44">
        <v>0</v>
      </c>
      <c r="AQ125" s="44">
        <v>0</v>
      </c>
      <c r="AR125" s="44">
        <v>0</v>
      </c>
      <c r="AT125" s="10"/>
      <c r="AU125" s="10"/>
      <c r="AV125" s="10"/>
      <c r="AW125" s="10"/>
      <c r="AY125" s="10"/>
      <c r="AZ125" s="10"/>
      <c r="BA125" s="10"/>
      <c r="BD125" s="10"/>
      <c r="BE125" s="10"/>
      <c r="BF125" s="10"/>
      <c r="BH125" s="10"/>
      <c r="BI125" s="10"/>
      <c r="BJ125" s="10"/>
      <c r="BL125" s="10"/>
      <c r="BM125" s="10"/>
      <c r="BN125" s="10"/>
      <c r="BO125" s="10"/>
    </row>
    <row r="126" spans="1:67" x14ac:dyDescent="0.2">
      <c r="A126" s="38" t="s">
        <v>72</v>
      </c>
      <c r="B126" s="38" t="s">
        <v>36</v>
      </c>
      <c r="D126" s="38">
        <v>2231</v>
      </c>
      <c r="E126" s="38">
        <v>1879</v>
      </c>
      <c r="F126" s="38">
        <v>1601</v>
      </c>
      <c r="H126" s="43">
        <v>75770.929999999993</v>
      </c>
      <c r="I126" s="66">
        <v>827</v>
      </c>
      <c r="J126" s="43">
        <v>69591.92</v>
      </c>
      <c r="K126" s="66">
        <v>561</v>
      </c>
      <c r="L126" s="43">
        <v>212584.24</v>
      </c>
      <c r="M126" s="66">
        <v>843</v>
      </c>
      <c r="N126" s="43">
        <v>357947.09</v>
      </c>
      <c r="O126" s="66">
        <v>2231</v>
      </c>
      <c r="P126" s="43">
        <v>47105.4</v>
      </c>
      <c r="Q126" s="66">
        <v>703</v>
      </c>
      <c r="R126" s="43">
        <v>38772.18</v>
      </c>
      <c r="S126" s="66">
        <v>398</v>
      </c>
      <c r="T126" s="43">
        <v>203180.45</v>
      </c>
      <c r="U126" s="66">
        <v>778</v>
      </c>
      <c r="V126" s="43">
        <v>289058.03000000003</v>
      </c>
      <c r="W126" s="66">
        <v>1879</v>
      </c>
      <c r="X126" s="43">
        <v>35496.230000000003</v>
      </c>
      <c r="Y126" s="66">
        <v>647</v>
      </c>
      <c r="Z126" s="43">
        <v>24543.79</v>
      </c>
      <c r="AA126" s="66">
        <v>268</v>
      </c>
      <c r="AB126" s="43">
        <v>193509.29</v>
      </c>
      <c r="AC126" s="66">
        <v>686</v>
      </c>
      <c r="AD126" s="43">
        <v>253549.31</v>
      </c>
      <c r="AE126" s="69">
        <v>1601</v>
      </c>
      <c r="AG126" s="43">
        <v>832.74</v>
      </c>
      <c r="AH126" s="43">
        <v>783.95</v>
      </c>
      <c r="AI126" s="43">
        <v>4556.34</v>
      </c>
      <c r="AJ126" s="43">
        <v>6173.03</v>
      </c>
      <c r="AK126" s="43">
        <v>348.17</v>
      </c>
      <c r="AL126" s="43">
        <v>419.24</v>
      </c>
      <c r="AM126" s="43">
        <v>1287.93</v>
      </c>
      <c r="AN126" s="43">
        <v>2055.34</v>
      </c>
      <c r="AO126" s="43">
        <v>235.58</v>
      </c>
      <c r="AP126" s="43">
        <v>202.77</v>
      </c>
      <c r="AQ126" s="43">
        <v>621.79999999999995</v>
      </c>
      <c r="AR126" s="43">
        <v>1060.1500000000001</v>
      </c>
      <c r="AT126" s="10"/>
      <c r="AU126" s="10"/>
      <c r="AV126" s="10"/>
      <c r="AW126" s="10"/>
      <c r="AY126" s="10"/>
      <c r="AZ126" s="10"/>
      <c r="BA126" s="10"/>
      <c r="BD126" s="10"/>
      <c r="BE126" s="10"/>
      <c r="BF126" s="10"/>
      <c r="BH126" s="10"/>
      <c r="BI126" s="10"/>
      <c r="BJ126" s="10"/>
      <c r="BL126" s="10"/>
      <c r="BM126" s="10"/>
      <c r="BN126" s="10"/>
      <c r="BO126" s="10"/>
    </row>
    <row r="127" spans="1:67" x14ac:dyDescent="0.2">
      <c r="A127" s="39" t="s">
        <v>73</v>
      </c>
      <c r="B127" s="39" t="s">
        <v>36</v>
      </c>
      <c r="D127" s="39">
        <v>937</v>
      </c>
      <c r="E127" s="39">
        <v>754</v>
      </c>
      <c r="F127" s="39">
        <v>565</v>
      </c>
      <c r="H127" s="44">
        <v>38025.96</v>
      </c>
      <c r="I127" s="67">
        <v>308</v>
      </c>
      <c r="J127" s="44">
        <v>38767.14</v>
      </c>
      <c r="K127" s="67">
        <v>309</v>
      </c>
      <c r="L127" s="44">
        <v>62101.3</v>
      </c>
      <c r="M127" s="67">
        <v>320</v>
      </c>
      <c r="N127" s="44">
        <v>138894.39999999999</v>
      </c>
      <c r="O127" s="67">
        <v>937</v>
      </c>
      <c r="P127" s="44">
        <v>21777.32</v>
      </c>
      <c r="Q127" s="67">
        <v>255</v>
      </c>
      <c r="R127" s="44">
        <v>19577.68</v>
      </c>
      <c r="S127" s="67">
        <v>170</v>
      </c>
      <c r="T127" s="44">
        <v>64222.22</v>
      </c>
      <c r="U127" s="67">
        <v>329</v>
      </c>
      <c r="V127" s="44">
        <v>105577.22</v>
      </c>
      <c r="W127" s="67">
        <v>754</v>
      </c>
      <c r="X127" s="44">
        <v>13637.74</v>
      </c>
      <c r="Y127" s="67">
        <v>196</v>
      </c>
      <c r="Z127" s="44">
        <v>10350.69</v>
      </c>
      <c r="AA127" s="67">
        <v>126</v>
      </c>
      <c r="AB127" s="44">
        <v>57589.42</v>
      </c>
      <c r="AC127" s="67">
        <v>243</v>
      </c>
      <c r="AD127" s="44">
        <v>81577.850000000006</v>
      </c>
      <c r="AE127" s="70">
        <v>565</v>
      </c>
      <c r="AG127" s="44">
        <v>296.5</v>
      </c>
      <c r="AH127" s="44">
        <v>402.23</v>
      </c>
      <c r="AI127" s="44">
        <v>372.03</v>
      </c>
      <c r="AJ127" s="44">
        <v>1070.76</v>
      </c>
      <c r="AK127" s="44">
        <v>216.01</v>
      </c>
      <c r="AL127" s="44">
        <v>82.01</v>
      </c>
      <c r="AM127" s="44">
        <v>470.28</v>
      </c>
      <c r="AN127" s="44">
        <v>768.3</v>
      </c>
      <c r="AO127" s="44">
        <v>228.05</v>
      </c>
      <c r="AP127" s="44">
        <v>137.46</v>
      </c>
      <c r="AQ127" s="44">
        <v>195.96</v>
      </c>
      <c r="AR127" s="44">
        <v>561.47</v>
      </c>
      <c r="AT127" s="10"/>
      <c r="AU127" s="10"/>
      <c r="AV127" s="10"/>
      <c r="AW127" s="10"/>
      <c r="AY127" s="10"/>
      <c r="AZ127" s="10"/>
      <c r="BA127" s="10"/>
      <c r="BD127" s="10"/>
      <c r="BE127" s="10"/>
      <c r="BF127" s="10"/>
      <c r="BH127" s="10"/>
      <c r="BI127" s="10"/>
      <c r="BJ127" s="10"/>
      <c r="BL127" s="10"/>
      <c r="BM127" s="10"/>
      <c r="BN127" s="10"/>
      <c r="BO127" s="10"/>
    </row>
    <row r="128" spans="1:67" x14ac:dyDescent="0.2">
      <c r="A128" s="38" t="s">
        <v>74</v>
      </c>
      <c r="B128" s="38" t="s">
        <v>36</v>
      </c>
      <c r="D128" s="38">
        <v>1035</v>
      </c>
      <c r="E128" s="38">
        <v>856</v>
      </c>
      <c r="F128" s="38">
        <v>699</v>
      </c>
      <c r="H128" s="43">
        <v>36456.18</v>
      </c>
      <c r="I128" s="66">
        <v>351</v>
      </c>
      <c r="J128" s="43">
        <v>35322.67</v>
      </c>
      <c r="K128" s="66">
        <v>242</v>
      </c>
      <c r="L128" s="43">
        <v>99991.03</v>
      </c>
      <c r="M128" s="66">
        <v>442</v>
      </c>
      <c r="N128" s="43">
        <v>171769.88</v>
      </c>
      <c r="O128" s="66">
        <v>1035</v>
      </c>
      <c r="P128" s="43">
        <v>22003.41</v>
      </c>
      <c r="Q128" s="66">
        <v>262</v>
      </c>
      <c r="R128" s="43">
        <v>19795.400000000001</v>
      </c>
      <c r="S128" s="66">
        <v>175</v>
      </c>
      <c r="T128" s="43">
        <v>92847.96</v>
      </c>
      <c r="U128" s="66">
        <v>419</v>
      </c>
      <c r="V128" s="43">
        <v>134646.76999999999</v>
      </c>
      <c r="W128" s="66">
        <v>856</v>
      </c>
      <c r="X128" s="43">
        <v>15825.65</v>
      </c>
      <c r="Y128" s="66">
        <v>233</v>
      </c>
      <c r="Z128" s="43">
        <v>12553.38</v>
      </c>
      <c r="AA128" s="66">
        <v>126</v>
      </c>
      <c r="AB128" s="43">
        <v>84767.75</v>
      </c>
      <c r="AC128" s="66">
        <v>340</v>
      </c>
      <c r="AD128" s="43">
        <v>113146.78</v>
      </c>
      <c r="AE128" s="69">
        <v>699</v>
      </c>
      <c r="AG128" s="43">
        <v>506.79</v>
      </c>
      <c r="AH128" s="43">
        <v>589.94000000000005</v>
      </c>
      <c r="AI128" s="43">
        <v>1917.08</v>
      </c>
      <c r="AJ128" s="43">
        <v>3013.81</v>
      </c>
      <c r="AK128" s="43">
        <v>290.24</v>
      </c>
      <c r="AL128" s="43">
        <v>270.38</v>
      </c>
      <c r="AM128" s="43">
        <v>535.98</v>
      </c>
      <c r="AN128" s="43">
        <v>1096.5999999999999</v>
      </c>
      <c r="AO128" s="43">
        <v>182.87</v>
      </c>
      <c r="AP128" s="43">
        <v>199.91</v>
      </c>
      <c r="AQ128" s="43">
        <v>461.64</v>
      </c>
      <c r="AR128" s="43">
        <v>844.42</v>
      </c>
      <c r="AT128" s="10"/>
      <c r="AU128" s="10"/>
      <c r="AV128" s="10"/>
      <c r="AW128" s="10"/>
      <c r="AY128" s="10"/>
      <c r="AZ128" s="10"/>
      <c r="BA128" s="10"/>
      <c r="BD128" s="10"/>
      <c r="BE128" s="10"/>
      <c r="BF128" s="10"/>
      <c r="BH128" s="10"/>
      <c r="BI128" s="10"/>
      <c r="BJ128" s="10"/>
      <c r="BL128" s="10"/>
      <c r="BM128" s="10"/>
      <c r="BN128" s="10"/>
      <c r="BO128" s="10"/>
    </row>
    <row r="129" spans="1:67" x14ac:dyDescent="0.2">
      <c r="A129" s="39" t="s">
        <v>75</v>
      </c>
      <c r="B129" s="39" t="s">
        <v>36</v>
      </c>
      <c r="D129" s="39">
        <v>977</v>
      </c>
      <c r="E129" s="39">
        <v>503</v>
      </c>
      <c r="F129" s="39">
        <v>581</v>
      </c>
      <c r="H129" s="44">
        <v>58268.43</v>
      </c>
      <c r="I129" s="67">
        <v>583</v>
      </c>
      <c r="J129" s="44">
        <v>29157.83</v>
      </c>
      <c r="K129" s="67">
        <v>225</v>
      </c>
      <c r="L129" s="44">
        <v>62771.17</v>
      </c>
      <c r="M129" s="67">
        <v>169</v>
      </c>
      <c r="N129" s="44">
        <v>150197.43</v>
      </c>
      <c r="O129" s="67">
        <v>977</v>
      </c>
      <c r="P129" s="44">
        <v>4828.72</v>
      </c>
      <c r="Q129" s="67">
        <v>76</v>
      </c>
      <c r="R129" s="44">
        <v>14138.55</v>
      </c>
      <c r="S129" s="67">
        <v>158</v>
      </c>
      <c r="T129" s="44">
        <v>77050.09</v>
      </c>
      <c r="U129" s="67">
        <v>269</v>
      </c>
      <c r="V129" s="44">
        <v>96017.36</v>
      </c>
      <c r="W129" s="67">
        <v>503</v>
      </c>
      <c r="X129" s="44">
        <v>21588.61</v>
      </c>
      <c r="Y129" s="67">
        <v>316</v>
      </c>
      <c r="Z129" s="44">
        <v>2680.99</v>
      </c>
      <c r="AA129" s="67">
        <v>28</v>
      </c>
      <c r="AB129" s="44">
        <v>74410.929999999993</v>
      </c>
      <c r="AC129" s="67">
        <v>237</v>
      </c>
      <c r="AD129" s="44">
        <v>98680.53</v>
      </c>
      <c r="AE129" s="70">
        <v>581</v>
      </c>
      <c r="AG129" s="44">
        <v>395.37</v>
      </c>
      <c r="AH129" s="44">
        <v>251.85</v>
      </c>
      <c r="AI129" s="44">
        <v>721.32</v>
      </c>
      <c r="AJ129" s="44">
        <v>1368.54</v>
      </c>
      <c r="AK129" s="44">
        <v>86.98</v>
      </c>
      <c r="AL129" s="44">
        <v>124.88</v>
      </c>
      <c r="AM129" s="44">
        <v>369.42</v>
      </c>
      <c r="AN129" s="44">
        <v>581.28</v>
      </c>
      <c r="AO129" s="44">
        <v>243.09</v>
      </c>
      <c r="AP129" s="44">
        <v>86.98</v>
      </c>
      <c r="AQ129" s="44">
        <v>494.3</v>
      </c>
      <c r="AR129" s="44">
        <v>824.37</v>
      </c>
      <c r="AT129" s="10"/>
      <c r="AU129" s="10"/>
      <c r="AV129" s="10"/>
      <c r="AW129" s="10"/>
      <c r="AY129" s="10"/>
      <c r="AZ129" s="10"/>
      <c r="BA129" s="10"/>
      <c r="BD129" s="10"/>
      <c r="BE129" s="10"/>
      <c r="BF129" s="10"/>
      <c r="BH129" s="10"/>
      <c r="BI129" s="10"/>
      <c r="BJ129" s="10"/>
      <c r="BL129" s="10"/>
      <c r="BM129" s="10"/>
      <c r="BN129" s="10"/>
      <c r="BO129" s="10"/>
    </row>
    <row r="130" spans="1:67" x14ac:dyDescent="0.2">
      <c r="A130" s="38" t="s">
        <v>76</v>
      </c>
      <c r="B130" s="38" t="s">
        <v>36</v>
      </c>
      <c r="D130" s="38">
        <v>625</v>
      </c>
      <c r="E130" s="38">
        <v>480</v>
      </c>
      <c r="F130" s="38">
        <v>396</v>
      </c>
      <c r="H130" s="43">
        <v>23714.05</v>
      </c>
      <c r="I130" s="66">
        <v>197</v>
      </c>
      <c r="J130" s="43">
        <v>24568.82</v>
      </c>
      <c r="K130" s="66">
        <v>177</v>
      </c>
      <c r="L130" s="43">
        <v>53819.02</v>
      </c>
      <c r="M130" s="66">
        <v>251</v>
      </c>
      <c r="N130" s="43">
        <v>102101.89</v>
      </c>
      <c r="O130" s="66">
        <v>625</v>
      </c>
      <c r="P130" s="43">
        <v>13121</v>
      </c>
      <c r="Q130" s="66">
        <v>191</v>
      </c>
      <c r="R130" s="43">
        <v>10525.4</v>
      </c>
      <c r="S130" s="66">
        <v>88</v>
      </c>
      <c r="T130" s="43">
        <v>52666.28</v>
      </c>
      <c r="U130" s="66">
        <v>201</v>
      </c>
      <c r="V130" s="43">
        <v>76312.679999999993</v>
      </c>
      <c r="W130" s="66">
        <v>480</v>
      </c>
      <c r="X130" s="43">
        <v>9342.25</v>
      </c>
      <c r="Y130" s="66">
        <v>135</v>
      </c>
      <c r="Z130" s="43">
        <v>7523.1</v>
      </c>
      <c r="AA130" s="66">
        <v>77</v>
      </c>
      <c r="AB130" s="43">
        <v>50840.97</v>
      </c>
      <c r="AC130" s="66">
        <v>184</v>
      </c>
      <c r="AD130" s="43">
        <v>67706.320000000007</v>
      </c>
      <c r="AE130" s="69">
        <v>396</v>
      </c>
      <c r="AG130" s="43">
        <v>177.93</v>
      </c>
      <c r="AH130" s="43">
        <v>265.2</v>
      </c>
      <c r="AI130" s="43">
        <v>193.59</v>
      </c>
      <c r="AJ130" s="43">
        <v>636.72</v>
      </c>
      <c r="AK130" s="43">
        <v>157.93</v>
      </c>
      <c r="AL130" s="43">
        <v>177.93</v>
      </c>
      <c r="AM130" s="43">
        <v>458.79</v>
      </c>
      <c r="AN130" s="43">
        <v>794.65</v>
      </c>
      <c r="AO130" s="43">
        <v>100.98</v>
      </c>
      <c r="AP130" s="43">
        <v>116.18</v>
      </c>
      <c r="AQ130" s="43">
        <v>582.66999999999996</v>
      </c>
      <c r="AR130" s="43">
        <v>799.83</v>
      </c>
      <c r="AT130" s="10"/>
      <c r="AU130" s="10"/>
      <c r="AV130" s="10"/>
      <c r="AW130" s="10"/>
      <c r="AY130" s="10"/>
      <c r="AZ130" s="10"/>
      <c r="BA130" s="10"/>
      <c r="BD130" s="10"/>
      <c r="BE130" s="10"/>
      <c r="BF130" s="10"/>
      <c r="BH130" s="10"/>
      <c r="BI130" s="10"/>
      <c r="BJ130" s="10"/>
      <c r="BL130" s="10"/>
      <c r="BM130" s="10"/>
      <c r="BN130" s="10"/>
      <c r="BO130" s="10"/>
    </row>
    <row r="131" spans="1:67" x14ac:dyDescent="0.2">
      <c r="A131" s="39" t="s">
        <v>77</v>
      </c>
      <c r="B131" s="39" t="s">
        <v>36</v>
      </c>
      <c r="D131" s="39">
        <v>0</v>
      </c>
      <c r="E131" s="39">
        <v>0</v>
      </c>
      <c r="F131" s="39">
        <v>0</v>
      </c>
      <c r="H131" s="44">
        <v>0</v>
      </c>
      <c r="I131" s="67">
        <v>0</v>
      </c>
      <c r="J131" s="44">
        <v>0</v>
      </c>
      <c r="K131" s="67">
        <v>0</v>
      </c>
      <c r="L131" s="44">
        <v>0</v>
      </c>
      <c r="M131" s="67">
        <v>0</v>
      </c>
      <c r="N131" s="44">
        <v>0</v>
      </c>
      <c r="O131" s="67">
        <v>0</v>
      </c>
      <c r="P131" s="44">
        <v>0</v>
      </c>
      <c r="Q131" s="67">
        <v>0</v>
      </c>
      <c r="R131" s="44">
        <v>0</v>
      </c>
      <c r="S131" s="67">
        <v>0</v>
      </c>
      <c r="T131" s="44">
        <v>0</v>
      </c>
      <c r="U131" s="67">
        <v>0</v>
      </c>
      <c r="V131" s="44">
        <v>0</v>
      </c>
      <c r="W131" s="67">
        <v>0</v>
      </c>
      <c r="X131" s="44">
        <v>0</v>
      </c>
      <c r="Y131" s="67">
        <v>0</v>
      </c>
      <c r="Z131" s="44">
        <v>0</v>
      </c>
      <c r="AA131" s="67">
        <v>0</v>
      </c>
      <c r="AB131" s="44">
        <v>0</v>
      </c>
      <c r="AC131" s="67">
        <v>0</v>
      </c>
      <c r="AD131" s="44">
        <v>0</v>
      </c>
      <c r="AE131" s="70">
        <v>0</v>
      </c>
      <c r="AG131" s="44">
        <v>0</v>
      </c>
      <c r="AH131" s="44">
        <v>0</v>
      </c>
      <c r="AI131" s="44">
        <v>0</v>
      </c>
      <c r="AJ131" s="44">
        <v>0</v>
      </c>
      <c r="AK131" s="44">
        <v>0</v>
      </c>
      <c r="AL131" s="44">
        <v>0</v>
      </c>
      <c r="AM131" s="44">
        <v>0</v>
      </c>
      <c r="AN131" s="44">
        <v>0</v>
      </c>
      <c r="AO131" s="44">
        <v>0</v>
      </c>
      <c r="AP131" s="44">
        <v>0</v>
      </c>
      <c r="AQ131" s="44">
        <v>0</v>
      </c>
      <c r="AR131" s="44">
        <v>0</v>
      </c>
    </row>
    <row r="132" spans="1:67" ht="16" thickBot="1" x14ac:dyDescent="0.25">
      <c r="A132" s="80" t="s">
        <v>125</v>
      </c>
      <c r="B132" s="80" t="s">
        <v>36</v>
      </c>
      <c r="D132" s="80">
        <v>0</v>
      </c>
      <c r="E132" s="80">
        <v>0</v>
      </c>
      <c r="F132" s="80">
        <v>0</v>
      </c>
      <c r="H132" s="88">
        <v>0</v>
      </c>
      <c r="I132" s="89">
        <v>0</v>
      </c>
      <c r="J132" s="88">
        <v>0</v>
      </c>
      <c r="K132" s="89">
        <v>0</v>
      </c>
      <c r="L132" s="88">
        <v>0</v>
      </c>
      <c r="M132" s="89">
        <v>0</v>
      </c>
      <c r="N132" s="88">
        <v>0</v>
      </c>
      <c r="O132" s="89">
        <v>0</v>
      </c>
      <c r="P132" s="88">
        <v>0</v>
      </c>
      <c r="Q132" s="89">
        <v>0</v>
      </c>
      <c r="R132" s="88">
        <v>0</v>
      </c>
      <c r="S132" s="89">
        <v>0</v>
      </c>
      <c r="T132" s="88">
        <v>0</v>
      </c>
      <c r="U132" s="89">
        <v>0</v>
      </c>
      <c r="V132" s="88">
        <v>0</v>
      </c>
      <c r="W132" s="89">
        <v>0</v>
      </c>
      <c r="X132" s="88">
        <v>0</v>
      </c>
      <c r="Y132" s="89">
        <v>0</v>
      </c>
      <c r="Z132" s="88">
        <v>0</v>
      </c>
      <c r="AA132" s="89">
        <v>0</v>
      </c>
      <c r="AB132" s="88">
        <v>0</v>
      </c>
      <c r="AC132" s="89">
        <v>0</v>
      </c>
      <c r="AD132" s="88">
        <v>0</v>
      </c>
      <c r="AE132" s="69">
        <v>0</v>
      </c>
      <c r="AG132" s="88">
        <v>0</v>
      </c>
      <c r="AH132" s="88">
        <v>0</v>
      </c>
      <c r="AI132" s="88">
        <v>0</v>
      </c>
      <c r="AJ132" s="88">
        <v>0</v>
      </c>
      <c r="AK132" s="88">
        <v>0</v>
      </c>
      <c r="AL132" s="88">
        <v>0</v>
      </c>
      <c r="AM132" s="88">
        <v>0</v>
      </c>
      <c r="AN132" s="88">
        <v>0</v>
      </c>
      <c r="AO132" s="88">
        <v>0</v>
      </c>
      <c r="AP132" s="88">
        <v>0</v>
      </c>
      <c r="AQ132" s="88">
        <v>0</v>
      </c>
      <c r="AR132" s="88">
        <v>0</v>
      </c>
    </row>
    <row r="133" spans="1:67" s="82" customFormat="1" ht="16" thickBot="1" x14ac:dyDescent="0.25">
      <c r="A133" s="81"/>
      <c r="D133" s="82">
        <f>SUM(D90:D132)</f>
        <v>13926</v>
      </c>
      <c r="E133" s="82">
        <f t="shared" ref="E133:X133" si="6">SUM(E90:E132)</f>
        <v>11146</v>
      </c>
      <c r="F133" s="82">
        <f t="shared" si="6"/>
        <v>9466</v>
      </c>
      <c r="G133" s="82">
        <f t="shared" si="6"/>
        <v>0</v>
      </c>
      <c r="H133" s="82">
        <f t="shared" si="6"/>
        <v>519440.42</v>
      </c>
      <c r="I133" s="82">
        <f t="shared" si="6"/>
        <v>5208</v>
      </c>
      <c r="J133" s="82">
        <f t="shared" si="6"/>
        <v>469595.59</v>
      </c>
      <c r="K133" s="82">
        <f t="shared" si="6"/>
        <v>3677</v>
      </c>
      <c r="L133" s="82">
        <f t="shared" si="6"/>
        <v>1220924.01</v>
      </c>
      <c r="M133" s="82">
        <f t="shared" si="6"/>
        <v>5041</v>
      </c>
      <c r="N133" s="82">
        <f t="shared" si="6"/>
        <v>2209960.02</v>
      </c>
      <c r="O133" s="82">
        <f t="shared" si="6"/>
        <v>13926</v>
      </c>
      <c r="P133" s="82">
        <f t="shared" si="6"/>
        <v>283646.48</v>
      </c>
      <c r="Q133" s="82">
        <f t="shared" si="6"/>
        <v>3755</v>
      </c>
      <c r="R133" s="82">
        <f t="shared" si="6"/>
        <v>250783.97999999995</v>
      </c>
      <c r="S133" s="82">
        <f t="shared" si="6"/>
        <v>2398</v>
      </c>
      <c r="T133" s="82">
        <f t="shared" si="6"/>
        <v>1218536.96</v>
      </c>
      <c r="U133" s="82">
        <f t="shared" si="6"/>
        <v>4993</v>
      </c>
      <c r="V133" s="82">
        <f t="shared" si="6"/>
        <v>1752967.4200000002</v>
      </c>
      <c r="W133" s="82">
        <f t="shared" si="6"/>
        <v>11146</v>
      </c>
      <c r="X133" s="82">
        <f t="shared" si="6"/>
        <v>218036.24</v>
      </c>
      <c r="Y133" s="82">
        <f t="shared" ref="Y133" si="7">SUM(Y90:Y132)</f>
        <v>3512</v>
      </c>
      <c r="Z133" s="82">
        <f t="shared" ref="Z133" si="8">SUM(Z90:Z132)</f>
        <v>153396.41</v>
      </c>
      <c r="AA133" s="82">
        <f t="shared" ref="AA133" si="9">SUM(AA90:AA132)</f>
        <v>1525</v>
      </c>
      <c r="AB133" s="90">
        <f>SUM(AB90:AB132)</f>
        <v>1157374.8800000001</v>
      </c>
      <c r="AC133" s="82">
        <f t="shared" ref="AC133" si="10">SUM(AC90:AC132)</f>
        <v>4429</v>
      </c>
      <c r="AD133" s="82">
        <f t="shared" ref="AD133" si="11">SUM(AD90:AD132)</f>
        <v>1528807.53</v>
      </c>
      <c r="AE133" s="82">
        <f t="shared" ref="AE133" si="12">SUM(AE90:AE132)</f>
        <v>9466</v>
      </c>
      <c r="AF133" s="82">
        <f t="shared" ref="AF133" si="13">SUM(AF90:AF132)</f>
        <v>0</v>
      </c>
      <c r="AG133" s="82">
        <f t="shared" ref="AG133" si="14">SUM(AG90:AG132)</f>
        <v>4926.04</v>
      </c>
      <c r="AH133" s="82">
        <f t="shared" ref="AH133" si="15">SUM(AH90:AH132)</f>
        <v>5805.0700000000006</v>
      </c>
      <c r="AI133" s="82">
        <f t="shared" ref="AI133" si="16">SUM(AI90:AI132)</f>
        <v>18147.689999999999</v>
      </c>
      <c r="AJ133" s="82">
        <f t="shared" ref="AJ133" si="17">SUM(AJ90:AJ132)</f>
        <v>28878.799999999999</v>
      </c>
      <c r="AK133" s="82">
        <f t="shared" ref="AK133" si="18">SUM(AK90:AK132)</f>
        <v>2533.0500000000002</v>
      </c>
      <c r="AL133" s="82">
        <f t="shared" ref="AL133" si="19">SUM(AL90:AL132)</f>
        <v>2324.7399999999998</v>
      </c>
      <c r="AM133" s="82">
        <f t="shared" ref="AM133" si="20">SUM(AM90:AM132)</f>
        <v>6511.5700000000006</v>
      </c>
      <c r="AN133" s="82">
        <f t="shared" ref="AN133" si="21">SUM(AN90:AN132)</f>
        <v>11369.36</v>
      </c>
      <c r="AO133" s="82">
        <f t="shared" ref="AO133" si="22">SUM(AO90:AO132)</f>
        <v>2071.7599999999993</v>
      </c>
      <c r="AP133" s="82">
        <f t="shared" ref="AP133" si="23">SUM(AP90:AP132)</f>
        <v>1722.9600000000003</v>
      </c>
      <c r="AQ133" s="82">
        <f t="shared" ref="AQ133" si="24">SUM(AQ90:AQ132)</f>
        <v>4689.5199999999995</v>
      </c>
      <c r="AR133" s="90">
        <f>SUM(AR90:AR132)</f>
        <v>8484.24</v>
      </c>
    </row>
    <row r="134" spans="1:67" x14ac:dyDescent="0.2">
      <c r="A134" s="21"/>
      <c r="B134" s="21"/>
      <c r="D134" s="21"/>
      <c r="E134" s="21"/>
      <c r="F134" s="21"/>
      <c r="H134" s="20"/>
      <c r="I134" s="68"/>
      <c r="J134" s="20"/>
      <c r="K134" s="68"/>
      <c r="L134" s="20"/>
      <c r="M134" s="68"/>
      <c r="N134" s="20"/>
      <c r="O134" s="68"/>
      <c r="P134" s="20"/>
      <c r="Q134" s="68"/>
      <c r="R134" s="20"/>
      <c r="S134" s="68"/>
      <c r="T134" s="20"/>
      <c r="U134" s="68"/>
      <c r="V134" s="20"/>
      <c r="W134" s="68"/>
      <c r="X134" s="20"/>
      <c r="Y134" s="68"/>
      <c r="Z134" s="20"/>
      <c r="AA134" s="68"/>
      <c r="AB134" s="20"/>
      <c r="AC134" s="68"/>
      <c r="AD134" s="20"/>
      <c r="AE134" s="68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6" spans="1:67" x14ac:dyDescent="0.2">
      <c r="A136" s="21"/>
      <c r="B136" s="21"/>
      <c r="D136" s="21"/>
      <c r="E136" s="21"/>
      <c r="F136" s="21"/>
      <c r="H136" s="20"/>
      <c r="I136" s="68"/>
      <c r="J136" s="20"/>
      <c r="K136" s="68"/>
      <c r="L136" s="20"/>
      <c r="M136" s="68"/>
      <c r="N136" s="20"/>
      <c r="O136" s="68"/>
      <c r="P136" s="20"/>
      <c r="Q136" s="68"/>
      <c r="R136" s="20"/>
      <c r="S136" s="68"/>
      <c r="T136" s="20"/>
      <c r="U136" s="68"/>
      <c r="V136" s="20"/>
      <c r="W136" s="68"/>
      <c r="X136" s="20"/>
      <c r="Y136" s="68"/>
      <c r="Z136" s="20"/>
      <c r="AA136" s="68"/>
      <c r="AB136" s="20"/>
      <c r="AC136" s="68"/>
      <c r="AD136" s="20"/>
      <c r="AE136" s="68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67" x14ac:dyDescent="0.2">
      <c r="A137" s="21"/>
      <c r="B137" s="21"/>
      <c r="D137" s="21"/>
      <c r="E137" s="21"/>
      <c r="F137" s="21"/>
      <c r="H137" s="20"/>
      <c r="I137" s="68"/>
      <c r="J137" s="20"/>
      <c r="K137" s="68"/>
      <c r="L137" s="20"/>
      <c r="M137" s="68"/>
      <c r="N137" s="20"/>
      <c r="O137" s="68"/>
      <c r="P137" s="20"/>
      <c r="Q137" s="68"/>
      <c r="R137" s="20"/>
      <c r="S137" s="68"/>
      <c r="T137" s="20"/>
      <c r="U137" s="68"/>
      <c r="V137" s="20"/>
      <c r="W137" s="68"/>
      <c r="X137" s="20"/>
      <c r="Y137" s="68"/>
      <c r="Z137" s="20"/>
      <c r="AA137" s="68"/>
      <c r="AB137" s="20"/>
      <c r="AC137" s="68"/>
      <c r="AD137" s="20"/>
      <c r="AE137" s="68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9" spans="1:67" x14ac:dyDescent="0.2">
      <c r="H139" s="64"/>
      <c r="J139" s="64"/>
      <c r="L139" s="64"/>
      <c r="N139" s="64"/>
      <c r="P139" s="64"/>
      <c r="R139" s="64"/>
      <c r="T139" s="64"/>
      <c r="V139" s="64"/>
      <c r="X139" s="64"/>
      <c r="Z139" s="64"/>
      <c r="AB139" s="64"/>
      <c r="AD139" s="64"/>
    </row>
  </sheetData>
  <sortState xmlns:xlrd2="http://schemas.microsoft.com/office/spreadsheetml/2017/richdata2" ref="A4:BO132">
    <sortCondition ref="B4:B132"/>
  </sortState>
  <mergeCells count="5">
    <mergeCell ref="AO2:AR2"/>
    <mergeCell ref="AG1:AR1"/>
    <mergeCell ref="AG2:AJ2"/>
    <mergeCell ref="H1:AD1"/>
    <mergeCell ref="AK2:AN2"/>
  </mergeCells>
  <phoneticPr fontId="1" type="noConversion"/>
  <pageMargins left="0.5" right="0.5" top="0.5" bottom="0.5" header="0.25" footer="0.25"/>
  <pageSetup scale="48" orientation="portrait" r:id="rId1"/>
  <headerFooter>
    <oddHeader>&amp;RU-200281 NWN COVID Data Rpt 3Q and September 2022
&amp;P of  &amp;N</oddHeader>
  </headerFooter>
  <rowBreaks count="1" manualBreakCount="1">
    <brk id="90" max="110" man="1"/>
  </rowBreaks>
  <colBreaks count="7" manualBreakCount="7">
    <brk id="7" max="127" man="1"/>
    <brk id="23" max="127" man="1"/>
    <brk id="32" max="127" man="1"/>
    <brk id="40" max="127" man="1"/>
    <brk id="45" max="127" man="1"/>
    <brk id="54" max="127" man="1"/>
    <brk id="63" max="12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Report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2022-10-21T07:00:00+00:00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7C4DAF-E422-428E-B26E-43C8B73EF7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2F5129-F81C-487D-BBBC-E9B919345BB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E96BE0A-3FB0-4E45-9562-BBCCEFD3880D}">
  <ds:schemaRefs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a95189ed-a59d-41a1-91ce-b22fe42d8f40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dc463f71-b30c-4ab2-9473-d307f9d35888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2022</vt:lpstr>
      <vt:lpstr>2. Disconnections 2022</vt:lpstr>
      <vt:lpstr>3. Fees 2022</vt:lpstr>
      <vt:lpstr>4. Payment Arrangements 2022</vt:lpstr>
      <vt:lpstr>5. Medical Certificates 2022</vt:lpstr>
      <vt:lpstr>6. Deposits 2022</vt:lpstr>
      <vt:lpstr>7. Bill Assistance 2022</vt:lpstr>
      <vt:lpstr>8. Past Due Balances 2022</vt:lpstr>
      <vt:lpstr>'1. General 2022'!Print_Area</vt:lpstr>
      <vt:lpstr>'2. Disconnections 2022'!Print_Area</vt:lpstr>
      <vt:lpstr>'3. Fees 2022'!Print_Area</vt:lpstr>
      <vt:lpstr>'4. Payment Arrangements 2022'!Print_Area</vt:lpstr>
      <vt:lpstr>'5. Medical Certificates 2022'!Print_Area</vt:lpstr>
      <vt:lpstr>'6. Deposits 2022'!Print_Area</vt:lpstr>
      <vt:lpstr>'7. Bill Assistance 2022'!Print_Area</vt:lpstr>
      <vt:lpstr>'8. Past Due Balances 2022'!Print_Area</vt:lpstr>
      <vt:lpstr>'1. General 2022'!Print_Titles</vt:lpstr>
      <vt:lpstr>'2. Disconnections 2022'!Print_Titles</vt:lpstr>
      <vt:lpstr>'3. Fees 2022'!Print_Titles</vt:lpstr>
      <vt:lpstr>'4. Payment Arrangements 2022'!Print_Titles</vt:lpstr>
      <vt:lpstr>'5. Medical Certificates 2022'!Print_Titles</vt:lpstr>
      <vt:lpstr>'6. Deposits 2022'!Print_Titles</vt:lpstr>
      <vt:lpstr>'7. Bill Assistance 2022'!Print_Titles</vt:lpstr>
      <vt:lpstr>'8. Past Due Balances 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Microsoft Office User</cp:lastModifiedBy>
  <cp:lastPrinted>2022-07-22T19:52:04Z</cp:lastPrinted>
  <dcterms:created xsi:type="dcterms:W3CDTF">2020-11-12T18:23:50Z</dcterms:created>
  <dcterms:modified xsi:type="dcterms:W3CDTF">2023-06-10T01:06:29Z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555378d7-225b-49b4-a1ff-8cfec71bc1bb</vt:lpwstr>
  </property>
  <property fmtid="{D5CDD505-2E9C-101B-9397-08002B2CF9AE}" pid="4" name="_docset_NoMedatataSyncRequired">
    <vt:lpwstr>False</vt:lpwstr>
  </property>
  <property fmtid="{D5CDD505-2E9C-101B-9397-08002B2CF9AE}" pid="5" name="IsEFSEC">
    <vt:bool>false</vt:bool>
  </property>
</Properties>
</file>