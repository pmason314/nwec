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"/>
    </mc:Choice>
  </mc:AlternateContent>
  <xr:revisionPtr revIDLastSave="0" documentId="8_{708C285E-4342-7A4E-96F2-E0B78DED7B82}" xr6:coauthVersionLast="47" xr6:coauthVersionMax="47" xr10:uidLastSave="{00000000-0000-0000-0000-000000000000}"/>
  <bookViews>
    <workbookView xWindow="7280" yWindow="10180" windowWidth="19420" windowHeight="10420" tabRatio="832" activeTab="1" xr2:uid="{A749A0BD-B227-4539-99BF-5615F56DD861}"/>
  </bookViews>
  <sheets>
    <sheet name="1. General 2025" sheetId="2" r:id="rId1"/>
    <sheet name="2. Disconnections 2025" sheetId="3" r:id="rId2"/>
    <sheet name="3. Fees 2025" sheetId="4" r:id="rId3"/>
    <sheet name="4. Payment Arrangements 2025" sheetId="5" r:id="rId4"/>
    <sheet name="5. Medical Certificates 2025" sheetId="6" r:id="rId5"/>
    <sheet name="6. Deposits 2025" sheetId="7" r:id="rId6"/>
    <sheet name="7. Bill Assistance 2025" sheetId="8" r:id="rId7"/>
    <sheet name="8. Past Due Balances 2025" sheetId="9" r:id="rId8"/>
  </sheets>
  <definedNames>
    <definedName name="_xlnm.Print_Area" localSheetId="0">'1. General 2025'!$A$1:$L$131</definedName>
    <definedName name="_xlnm.Print_Area" localSheetId="1">'2. Disconnections 2025'!$A$1:$AA$133</definedName>
    <definedName name="_xlnm.Print_Area" localSheetId="2">'3. Fees 2025'!$A$1:$Z$136</definedName>
    <definedName name="_xlnm.Print_Area" localSheetId="3">'4. Payment Arrangements 2025'!$A$1:$R$131</definedName>
    <definedName name="_xlnm.Print_Area" localSheetId="4">'5. Medical Certificates 2025'!$A$1:$Q$22</definedName>
    <definedName name="_xlnm.Print_Area" localSheetId="5">'6. Deposits 2025'!$A$1:$R$135</definedName>
    <definedName name="_xlnm.Print_Area" localSheetId="6">'7. Bill Assistance 2025'!$A$1:$F$133</definedName>
    <definedName name="_xlnm.Print_Area" localSheetId="7">'8. Past Due Balances 2025'!$A$1:$BO$133</definedName>
    <definedName name="_xlnm.Print_Titles" localSheetId="0">'1. General 2025'!$A:$B,'1. General 2025'!$1:$2</definedName>
    <definedName name="_xlnm.Print_Titles" localSheetId="1">'2. Disconnections 2025'!$A:$B,'2. Disconnections 2025'!$1:$4</definedName>
    <definedName name="_xlnm.Print_Titles" localSheetId="2">'3. Fees 2025'!$A:$B,'3. Fees 2025'!$1:$2</definedName>
    <definedName name="_xlnm.Print_Titles" localSheetId="3">'4. Payment Arrangements 2025'!$A:$B,'4. Payment Arrangements 2025'!$1:$2</definedName>
    <definedName name="_xlnm.Print_Titles" localSheetId="4">'5. Medical Certificates 2025'!$A:$A,'5. Medical Certificates 2025'!$1:$2</definedName>
    <definedName name="_xlnm.Print_Titles" localSheetId="5">'6. Deposits 2025'!$A:$B,'6. Deposits 2025'!$1:$2</definedName>
    <definedName name="_xlnm.Print_Titles" localSheetId="6">'7. Bill Assistance 2025'!$A:$B,'7. Bill Assistance 2025'!$1:$2</definedName>
    <definedName name="_xlnm.Print_Titles" localSheetId="7">'8. Past Due Balances 2025'!$A:$B,'8. Past Due Balances 2025'!$1:$3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6" l="1"/>
  <c r="D9" i="6"/>
  <c r="C9" i="6"/>
  <c r="BM10" i="9"/>
  <c r="C2" i="6"/>
  <c r="P9" i="6"/>
  <c r="Q9" i="6"/>
  <c r="O9" i="6"/>
  <c r="L9" i="6"/>
  <c r="M9" i="6"/>
  <c r="K9" i="6"/>
  <c r="H133" i="4"/>
  <c r="I133" i="4"/>
  <c r="J133" i="4"/>
  <c r="AW3" i="9" l="1"/>
  <c r="AV3" i="9"/>
  <c r="AU3" i="9"/>
  <c r="R134" i="7"/>
  <c r="Q134" i="7"/>
  <c r="P134" i="7"/>
  <c r="F2" i="7"/>
  <c r="F2" i="8" s="1"/>
  <c r="E2" i="7"/>
  <c r="E2" i="8" s="1"/>
  <c r="D2" i="7"/>
  <c r="D2" i="8" s="1"/>
  <c r="E2" i="6"/>
  <c r="D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4" i="7"/>
  <c r="I134" i="7"/>
  <c r="H134" i="7"/>
  <c r="F134" i="7"/>
  <c r="E134" i="7"/>
  <c r="D134" i="7"/>
  <c r="AU10" i="9" l="1"/>
  <c r="V133" i="4" l="1"/>
  <c r="U133" i="4"/>
  <c r="T133" i="4"/>
  <c r="Z133" i="4"/>
  <c r="Y133" i="4"/>
  <c r="X133" i="4"/>
  <c r="F133" i="4"/>
  <c r="E133" i="4"/>
  <c r="D133" i="4"/>
  <c r="J2" i="7"/>
  <c r="I2" i="7"/>
  <c r="H2" i="7"/>
  <c r="I9" i="6" l="1"/>
  <c r="H9" i="6"/>
  <c r="G9" i="6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F10" i="9"/>
  <c r="BE10" i="9"/>
  <c r="B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tc={9391F0A7-F249-4D22-89E7-3A256FBD8F88}</author>
  </authors>
  <commentList>
    <comment ref="J85" authorId="0" shapeId="0" xr:uid="{9391F0A7-F249-4D22-89E7-3A256FBD8F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does this data come from</t>
        </r>
      </text>
    </comment>
  </commentList>
</comments>
</file>

<file path=xl/sharedStrings.xml><?xml version="1.0" encoding="utf-8"?>
<sst xmlns="http://schemas.openxmlformats.org/spreadsheetml/2006/main" count="2737" uniqueCount="144">
  <si>
    <t>General 2025</t>
  </si>
  <si>
    <t>Number of Customers by Customer Class</t>
  </si>
  <si>
    <t>Retail Load by Customer Class</t>
  </si>
  <si>
    <t>Zip</t>
  </si>
  <si>
    <t>Class</t>
  </si>
  <si>
    <t>Count - 1/2025</t>
  </si>
  <si>
    <t>Count -2/2025</t>
  </si>
  <si>
    <t>Count - 3/2025</t>
  </si>
  <si>
    <t>Load - 1/2025</t>
  </si>
  <si>
    <t>Load - 2/2025</t>
  </si>
  <si>
    <t>Load - 3/2025</t>
  </si>
  <si>
    <t>97031</t>
  </si>
  <si>
    <t>Commercial</t>
  </si>
  <si>
    <t>Industrial</t>
  </si>
  <si>
    <t>Residential</t>
  </si>
  <si>
    <t>97301</t>
  </si>
  <si>
    <t>97388</t>
  </si>
  <si>
    <t>98026</t>
  </si>
  <si>
    <t>98119</t>
  </si>
  <si>
    <t>98125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</si>
  <si>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</si>
  <si>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</si>
  <si>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</si>
  <si>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</si>
  <si>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</si>
  <si>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</si>
  <si>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</si>
  <si>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</si>
  <si>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</si>
  <si>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</si>
  <si>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</si>
  <si>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</si>
  <si>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</si>
  <si>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</si>
  <si>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</si>
  <si>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</si>
  <si>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</si>
  <si>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</si>
  <si>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</si>
  <si>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</si>
  <si>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</si>
  <si>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</si>
  <si>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</si>
  <si>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</si>
  <si>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</si>
  <si>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</si>
  <si>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</si>
  <si>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</si>
  <si>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</si>
  <si>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</si>
  <si>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</si>
  <si>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</si>
  <si>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</si>
  <si>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</si>
  <si>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</si>
  <si>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</si>
  <si>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</si>
  <si>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Disconnections 2025</t>
  </si>
  <si>
    <t>Item a) Number of Disconnections by Customer Class per Month</t>
  </si>
  <si>
    <t>Item b) Avg. Duration of Disconnection by Customer Class (excludes accounts never reconnected)</t>
  </si>
  <si>
    <t>Item c) Number of Customers by Customer Class Receiving Disconnection Notices</t>
  </si>
  <si>
    <t>Item d) Number of Customers by Customer Class Who Absent the Disconnection Moratorium Would Have Been Disconnected</t>
  </si>
  <si>
    <t>Reconnect</t>
  </si>
  <si>
    <t>Zip Code</t>
  </si>
  <si>
    <t>Customer Class</t>
  </si>
  <si>
    <t>COUNT_2501</t>
  </si>
  <si>
    <t>COUNT_2502</t>
  </si>
  <si>
    <t>COUNT_2503</t>
  </si>
  <si>
    <t>w/in 24 hrs</t>
  </si>
  <si>
    <t>w/in 48 hrs</t>
  </si>
  <si>
    <t>w/in 7 days</t>
  </si>
  <si>
    <t>over 7 days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</si>
  <si>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</si>
  <si>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</si>
  <si>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</si>
  <si>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>Fees 2025</t>
  </si>
  <si>
    <t>Item a) Number of Customers by Customer Class Assessed Late Payment Fees*</t>
  </si>
  <si>
    <t>Item b) Aggregate amount of Charged Late Payment Fees*</t>
  </si>
  <si>
    <t>Item c) Number of Customers by Customer Class Assessed Disconnection Fees</t>
  </si>
  <si>
    <t>Item d) Aggregate amount of Charged Disconnection Fees</t>
  </si>
  <si>
    <t>Item e) Number of Customers by Customer Class Assessed Reconnection Fees*</t>
  </si>
  <si>
    <t>Item f) Aggregate amount of Charged Reconnection Fees*</t>
  </si>
  <si>
    <t>Late Zip</t>
  </si>
  <si>
    <t>Late Class</t>
  </si>
  <si>
    <t>Jan</t>
  </si>
  <si>
    <t>Feb</t>
  </si>
  <si>
    <t>Mar</t>
  </si>
  <si>
    <t>N/A</t>
  </si>
  <si>
    <t>*Please note that NW Natural will/has credit/credited back these fees charged to Residential customers in error</t>
  </si>
  <si>
    <t>*Please note that NW Natural will credit/has credited back these fees charged to Residential customers in error</t>
  </si>
  <si>
    <t>Pmt Arrangements 2025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</si>
  <si>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</si>
  <si>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</si>
  <si>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</si>
  <si>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</si>
  <si>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Jan 2025</t>
  </si>
  <si>
    <t>Feb 2025</t>
  </si>
  <si>
    <t>Mar 2025</t>
  </si>
  <si>
    <t>Med Certs 2025</t>
  </si>
  <si>
    <t>Item a) Number of Customers Taking Service at the Beginning of Each Month Under Existing Medical Payment Arrangements</t>
  </si>
  <si>
    <t>Item b) Number of Customers Completing Medical Payment Arrangements Each Month</t>
  </si>
  <si>
    <t>Item c) Number of Customers Enrolling in New Medical Payment Arrangements Each Month</t>
  </si>
  <si>
    <t>Item d) Number of Customers Renegotiating Medical Payment Arrangements Each Month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</si>
  <si>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</si>
  <si>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</si>
  <si>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</si>
  <si>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</si>
  <si>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 xml:space="preserve">Response: </t>
  </si>
  <si>
    <t>all zips total</t>
  </si>
  <si>
    <t>No occurrences to report</t>
  </si>
  <si>
    <t>Deposits 2025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</si>
  <si>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</si>
  <si>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</si>
  <si>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Item c) Number of Customers by Customer Class Whose Deposits Were Reduced In Part or Foregone Each Month</t>
  </si>
  <si>
    <t>Item d) Number of Customers by Customer Class whose Deposits were Returned in Full Each Month</t>
  </si>
  <si>
    <t>This data is not available - NW Natural is unable to</t>
  </si>
  <si>
    <t>track this data.</t>
  </si>
  <si>
    <t>Please note that NW Natural will return any new deposits charged to Residential customers in error</t>
  </si>
  <si>
    <t>Please note that NW Natural will return these deposits charged to Residential customers in error</t>
  </si>
  <si>
    <t>Bill Assist 2025</t>
  </si>
  <si>
    <t>Item a) Number of Premises Receiving Bill Assistance or Enrolled in Any Other Assistance Program</t>
  </si>
  <si>
    <t>Past Due 2025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</si>
  <si>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</si>
  <si>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</si>
  <si>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</si>
  <si>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d) Amount of Past Due Balances Classified as Uncollectible</t>
  </si>
  <si>
    <t>Item e) The Amount of Past-due Balances Written-off and Classified as Bad Debt, if different than item d</t>
  </si>
  <si>
    <t>Item f) Number of Customer Accounts Referred to Collection Agencies</t>
  </si>
  <si>
    <t>Item f) Total Amount of Bad Debt Referred for Collection</t>
  </si>
  <si>
    <t>Item f) Total Revenue to the Company from the Collection Process</t>
  </si>
  <si>
    <t>30 Days Amt</t>
  </si>
  <si>
    <t>30 Day Count</t>
  </si>
  <si>
    <t>60 Days Amt</t>
  </si>
  <si>
    <t>60 Days Count</t>
  </si>
  <si>
    <t>90 Days + Amt</t>
  </si>
  <si>
    <t>90 Days + Count</t>
  </si>
  <si>
    <t>Total Arrearages</t>
  </si>
  <si>
    <t>Total Count</t>
  </si>
  <si>
    <t>30 Days</t>
  </si>
  <si>
    <t>60 Days</t>
  </si>
  <si>
    <t>90 Days +</t>
  </si>
  <si>
    <t>This data is not available by zip code</t>
  </si>
  <si>
    <t>see item 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</si>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</sst>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64"/>
      <name val="Tahoma"/>
      <family val="2"/>
    </font>
    <font>
      <sz val="11"/>
      <color theme="1"/>
      <name val="Tahoma"/>
      <family val="2"/>
    </font>
    <font>
      <sz val="10"/>
      <color indexed="64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8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39" fontId="0" fillId="0" borderId="0" xfId="0" applyNumberFormat="1"/>
    <xf numFmtId="0" fontId="0" fillId="3" borderId="22" xfId="0" applyFill="1" applyBorder="1"/>
    <xf numFmtId="37" fontId="19" fillId="12" borderId="18" xfId="0" applyNumberFormat="1" applyFont="1" applyFill="1" applyBorder="1"/>
    <xf numFmtId="37" fontId="19" fillId="0" borderId="18" xfId="0" applyNumberFormat="1" applyFont="1" applyBorder="1"/>
    <xf numFmtId="37" fontId="20" fillId="0" borderId="0" xfId="0" applyNumberFormat="1" applyFont="1"/>
    <xf numFmtId="0" fontId="21" fillId="12" borderId="18" xfId="0" applyFont="1" applyFill="1" applyBorder="1"/>
    <xf numFmtId="0" fontId="21" fillId="0" borderId="18" xfId="0" applyFont="1" applyBorder="1"/>
    <xf numFmtId="168" fontId="22" fillId="12" borderId="18" xfId="0" applyNumberFormat="1" applyFont="1" applyFill="1" applyBorder="1"/>
    <xf numFmtId="168" fontId="22" fillId="0" borderId="18" xfId="0" applyNumberFormat="1" applyFont="1" applyBorder="1"/>
    <xf numFmtId="0" fontId="0" fillId="0" borderId="1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lties, Amy" id="{9F4E0F8E-D837-4BBD-9657-3638FCCE0190}" userId="S::Amy.Schulties@nwnatural.com::5c4290df-8cb6-4161-b006-a3cc6668d3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5" dT="2023-10-11T22:54:36.31" personId="{9F4E0F8E-D837-4BBD-9657-3638FCCE0190}" id="{9391F0A7-F249-4D22-89E7-3A256FBD8F88}">
    <text>Where does this data come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56"/>
  <sheetViews>
    <sheetView view="pageLayout" zoomScaleNormal="100" zoomScaleSheetLayoutView="100" workbookViewId="0">
      <selection activeCell="C2" sqref="C2"/>
    </sheetView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0</v>
      </c>
      <c r="B1" s="5"/>
      <c r="C1" s="75"/>
      <c r="D1" s="76"/>
      <c r="F1" t="s">
        <v>1</v>
      </c>
      <c r="J1" t="s">
        <v>2</v>
      </c>
    </row>
    <row r="2" spans="1:12" ht="48" x14ac:dyDescent="0.2">
      <c r="A2" s="53" t="s">
        <v>3</v>
      </c>
      <c r="B2" s="53" t="s">
        <v>4</v>
      </c>
      <c r="C2" s="3" t="s">
        <v>1</v>
      </c>
      <c r="D2" s="3" t="s">
        <v>2</v>
      </c>
      <c r="F2" s="54" t="s">
        <v>5</v>
      </c>
      <c r="G2" s="54" t="s">
        <v>6</v>
      </c>
      <c r="H2" s="54" t="s">
        <v>7</v>
      </c>
      <c r="J2" s="54" t="s">
        <v>8</v>
      </c>
      <c r="K2" s="54" t="s">
        <v>9</v>
      </c>
      <c r="L2" s="54" t="s">
        <v>10</v>
      </c>
    </row>
    <row r="3" spans="1:12" x14ac:dyDescent="0.2">
      <c r="A3" s="51" t="s">
        <v>11</v>
      </c>
      <c r="B3" s="51" t="s">
        <v>12</v>
      </c>
      <c r="C3" s="7">
        <f t="shared" ref="C3:C34" si="0">SUM(F3:H3)</f>
        <v>0</v>
      </c>
      <c r="D3" s="7">
        <f t="shared" ref="D3:D34" si="1">SUM(J3:L3)</f>
        <v>0</v>
      </c>
      <c r="F3" s="80">
        <v>0</v>
      </c>
      <c r="G3" s="80">
        <v>0</v>
      </c>
      <c r="H3" s="80">
        <v>0</v>
      </c>
      <c r="J3" s="85">
        <v>0</v>
      </c>
      <c r="K3" s="85">
        <v>0</v>
      </c>
      <c r="L3" s="85">
        <v>0</v>
      </c>
    </row>
    <row r="4" spans="1:12" x14ac:dyDescent="0.2">
      <c r="A4" s="52" t="s">
        <v>11</v>
      </c>
      <c r="B4" s="52" t="s">
        <v>13</v>
      </c>
      <c r="C4" s="7">
        <f t="shared" si="0"/>
        <v>0</v>
      </c>
      <c r="D4" s="7">
        <f t="shared" si="1"/>
        <v>0</v>
      </c>
      <c r="F4" s="81">
        <v>0</v>
      </c>
      <c r="G4" s="81">
        <v>0</v>
      </c>
      <c r="H4" s="81">
        <v>0</v>
      </c>
      <c r="J4" s="86">
        <v>0</v>
      </c>
      <c r="K4" s="86">
        <v>0</v>
      </c>
      <c r="L4" s="86">
        <v>0</v>
      </c>
    </row>
    <row r="5" spans="1:12" x14ac:dyDescent="0.2">
      <c r="A5" s="51" t="s">
        <v>11</v>
      </c>
      <c r="B5" s="51" t="s">
        <v>14</v>
      </c>
      <c r="C5" s="7">
        <f t="shared" si="0"/>
        <v>0</v>
      </c>
      <c r="D5" s="7">
        <f t="shared" si="1"/>
        <v>0</v>
      </c>
      <c r="F5" s="80">
        <v>0</v>
      </c>
      <c r="G5" s="80">
        <v>0</v>
      </c>
      <c r="H5" s="80">
        <v>0</v>
      </c>
      <c r="J5" s="85">
        <v>0</v>
      </c>
      <c r="K5" s="85">
        <v>0</v>
      </c>
      <c r="L5" s="85">
        <v>0</v>
      </c>
    </row>
    <row r="6" spans="1:12" x14ac:dyDescent="0.2">
      <c r="A6" s="52" t="s">
        <v>15</v>
      </c>
      <c r="B6" s="52" t="s">
        <v>12</v>
      </c>
      <c r="C6" s="7">
        <f t="shared" si="0"/>
        <v>0</v>
      </c>
      <c r="D6" s="7">
        <f t="shared" si="1"/>
        <v>0</v>
      </c>
      <c r="F6" s="81">
        <v>0</v>
      </c>
      <c r="G6" s="81">
        <v>0</v>
      </c>
      <c r="H6" s="81">
        <v>0</v>
      </c>
      <c r="J6" s="86">
        <v>0</v>
      </c>
      <c r="K6" s="86">
        <v>0</v>
      </c>
      <c r="L6" s="86">
        <v>0</v>
      </c>
    </row>
    <row r="7" spans="1:12" x14ac:dyDescent="0.2">
      <c r="A7" s="51" t="s">
        <v>15</v>
      </c>
      <c r="B7" s="51" t="s">
        <v>13</v>
      </c>
      <c r="C7" s="7">
        <f t="shared" si="0"/>
        <v>0</v>
      </c>
      <c r="D7" s="7">
        <f t="shared" si="1"/>
        <v>0</v>
      </c>
      <c r="F7" s="80">
        <v>0</v>
      </c>
      <c r="G7" s="80">
        <v>0</v>
      </c>
      <c r="H7" s="80">
        <v>0</v>
      </c>
      <c r="J7" s="85">
        <v>0</v>
      </c>
      <c r="K7" s="85">
        <v>0</v>
      </c>
      <c r="L7" s="85">
        <v>0</v>
      </c>
    </row>
    <row r="8" spans="1:12" x14ac:dyDescent="0.2">
      <c r="A8" s="52" t="s">
        <v>15</v>
      </c>
      <c r="B8" s="52" t="s">
        <v>14</v>
      </c>
      <c r="C8" s="7">
        <f t="shared" si="0"/>
        <v>0</v>
      </c>
      <c r="D8" s="7">
        <f t="shared" si="1"/>
        <v>0</v>
      </c>
      <c r="F8" s="81">
        <v>0</v>
      </c>
      <c r="G8" s="81">
        <v>0</v>
      </c>
      <c r="H8" s="81">
        <v>0</v>
      </c>
      <c r="J8" s="86">
        <v>0</v>
      </c>
      <c r="K8" s="86">
        <v>0</v>
      </c>
      <c r="L8" s="86">
        <v>0</v>
      </c>
    </row>
    <row r="9" spans="1:12" x14ac:dyDescent="0.2">
      <c r="A9" s="51" t="s">
        <v>16</v>
      </c>
      <c r="B9" s="51" t="s">
        <v>12</v>
      </c>
      <c r="C9" s="7">
        <f t="shared" si="0"/>
        <v>0</v>
      </c>
      <c r="D9" s="7">
        <f t="shared" si="1"/>
        <v>0</v>
      </c>
      <c r="F9" s="80">
        <v>0</v>
      </c>
      <c r="G9" s="80">
        <v>0</v>
      </c>
      <c r="H9" s="80">
        <v>0</v>
      </c>
      <c r="J9" s="85">
        <v>0</v>
      </c>
      <c r="K9" s="85">
        <v>0</v>
      </c>
      <c r="L9" s="85">
        <v>0</v>
      </c>
    </row>
    <row r="10" spans="1:12" x14ac:dyDescent="0.2">
      <c r="A10" s="52" t="s">
        <v>16</v>
      </c>
      <c r="B10" s="52" t="s">
        <v>13</v>
      </c>
      <c r="C10" s="7">
        <f t="shared" si="0"/>
        <v>0</v>
      </c>
      <c r="D10" s="7">
        <f t="shared" si="1"/>
        <v>0</v>
      </c>
      <c r="F10" s="81">
        <v>0</v>
      </c>
      <c r="G10" s="81">
        <v>0</v>
      </c>
      <c r="H10" s="81">
        <v>0</v>
      </c>
      <c r="J10" s="86">
        <v>0</v>
      </c>
      <c r="K10" s="86">
        <v>0</v>
      </c>
      <c r="L10" s="86">
        <v>0</v>
      </c>
    </row>
    <row r="11" spans="1:12" x14ac:dyDescent="0.2">
      <c r="A11" s="51" t="s">
        <v>16</v>
      </c>
      <c r="B11" s="51" t="s">
        <v>14</v>
      </c>
      <c r="C11" s="7">
        <f t="shared" si="0"/>
        <v>0</v>
      </c>
      <c r="D11" s="7">
        <f t="shared" si="1"/>
        <v>0</v>
      </c>
      <c r="F11" s="80">
        <v>0</v>
      </c>
      <c r="G11" s="80">
        <v>0</v>
      </c>
      <c r="H11" s="80">
        <v>0</v>
      </c>
      <c r="J11" s="85">
        <v>0</v>
      </c>
      <c r="K11" s="85">
        <v>0</v>
      </c>
      <c r="L11" s="85">
        <v>0</v>
      </c>
    </row>
    <row r="12" spans="1:12" x14ac:dyDescent="0.2">
      <c r="A12" s="52" t="s">
        <v>17</v>
      </c>
      <c r="B12" s="52" t="s">
        <v>12</v>
      </c>
      <c r="C12" s="7">
        <f t="shared" si="0"/>
        <v>0</v>
      </c>
      <c r="D12" s="7">
        <f t="shared" si="1"/>
        <v>0</v>
      </c>
      <c r="F12" s="81">
        <v>0</v>
      </c>
      <c r="G12" s="81">
        <v>0</v>
      </c>
      <c r="H12" s="81">
        <v>0</v>
      </c>
      <c r="J12" s="86">
        <v>0</v>
      </c>
      <c r="K12" s="86">
        <v>0</v>
      </c>
      <c r="L12" s="86">
        <v>0</v>
      </c>
    </row>
    <row r="13" spans="1:12" x14ac:dyDescent="0.2">
      <c r="A13" s="51" t="s">
        <v>17</v>
      </c>
      <c r="B13" s="51" t="s">
        <v>13</v>
      </c>
      <c r="C13" s="7">
        <f t="shared" si="0"/>
        <v>0</v>
      </c>
      <c r="D13" s="7">
        <f t="shared" si="1"/>
        <v>0</v>
      </c>
      <c r="F13" s="80">
        <v>0</v>
      </c>
      <c r="G13" s="80">
        <v>0</v>
      </c>
      <c r="H13" s="80">
        <v>0</v>
      </c>
      <c r="J13" s="85">
        <v>0</v>
      </c>
      <c r="K13" s="85">
        <v>0</v>
      </c>
      <c r="L13" s="85">
        <v>0</v>
      </c>
    </row>
    <row r="14" spans="1:12" x14ac:dyDescent="0.2">
      <c r="A14" s="52" t="s">
        <v>17</v>
      </c>
      <c r="B14" s="52" t="s">
        <v>14</v>
      </c>
      <c r="C14" s="7">
        <f t="shared" si="0"/>
        <v>0</v>
      </c>
      <c r="D14" s="7">
        <f t="shared" si="1"/>
        <v>0</v>
      </c>
      <c r="F14" s="81">
        <v>0</v>
      </c>
      <c r="G14" s="81">
        <v>0</v>
      </c>
      <c r="H14" s="81">
        <v>0</v>
      </c>
      <c r="J14" s="86">
        <v>0</v>
      </c>
      <c r="K14" s="86">
        <v>0</v>
      </c>
      <c r="L14" s="86">
        <v>0</v>
      </c>
    </row>
    <row r="15" spans="1:12" x14ac:dyDescent="0.2">
      <c r="A15" s="51" t="s">
        <v>18</v>
      </c>
      <c r="B15" s="51" t="s">
        <v>12</v>
      </c>
      <c r="C15" s="7">
        <f t="shared" si="0"/>
        <v>0</v>
      </c>
      <c r="D15" s="7">
        <f t="shared" si="1"/>
        <v>0</v>
      </c>
      <c r="F15" s="80">
        <v>0</v>
      </c>
      <c r="G15" s="80">
        <v>0</v>
      </c>
      <c r="H15" s="80">
        <v>0</v>
      </c>
      <c r="J15" s="85">
        <v>0</v>
      </c>
      <c r="K15" s="85">
        <v>0</v>
      </c>
      <c r="L15" s="85">
        <v>0</v>
      </c>
    </row>
    <row r="16" spans="1:12" x14ac:dyDescent="0.2">
      <c r="A16" s="52" t="s">
        <v>18</v>
      </c>
      <c r="B16" s="52" t="s">
        <v>13</v>
      </c>
      <c r="C16" s="7">
        <f t="shared" si="0"/>
        <v>0</v>
      </c>
      <c r="D16" s="7">
        <f t="shared" si="1"/>
        <v>0</v>
      </c>
      <c r="F16" s="81">
        <v>0</v>
      </c>
      <c r="G16" s="81">
        <v>0</v>
      </c>
      <c r="H16" s="81">
        <v>0</v>
      </c>
      <c r="J16" s="86">
        <v>0</v>
      </c>
      <c r="K16" s="86">
        <v>0</v>
      </c>
      <c r="L16" s="86">
        <v>0</v>
      </c>
    </row>
    <row r="17" spans="1:12" x14ac:dyDescent="0.2">
      <c r="A17" s="51" t="s">
        <v>18</v>
      </c>
      <c r="B17" s="51" t="s">
        <v>14</v>
      </c>
      <c r="C17" s="7">
        <f t="shared" si="0"/>
        <v>0</v>
      </c>
      <c r="D17" s="7">
        <f t="shared" si="1"/>
        <v>0</v>
      </c>
      <c r="F17" s="80">
        <v>0</v>
      </c>
      <c r="G17" s="80">
        <v>0</v>
      </c>
      <c r="H17" s="80">
        <v>0</v>
      </c>
      <c r="J17" s="85">
        <v>0</v>
      </c>
      <c r="K17" s="85">
        <v>0</v>
      </c>
      <c r="L17" s="85">
        <v>0</v>
      </c>
    </row>
    <row r="18" spans="1:12" x14ac:dyDescent="0.2">
      <c r="A18" s="52" t="s">
        <v>19</v>
      </c>
      <c r="B18" s="52" t="s">
        <v>12</v>
      </c>
      <c r="C18" s="7">
        <f t="shared" si="0"/>
        <v>0</v>
      </c>
      <c r="D18" s="7">
        <f t="shared" si="1"/>
        <v>0</v>
      </c>
      <c r="F18" s="81">
        <v>0</v>
      </c>
      <c r="G18" s="81">
        <v>0</v>
      </c>
      <c r="H18" s="81">
        <v>0</v>
      </c>
      <c r="J18" s="86">
        <v>0</v>
      </c>
      <c r="K18" s="86">
        <v>0</v>
      </c>
      <c r="L18" s="86">
        <v>0</v>
      </c>
    </row>
    <row r="19" spans="1:12" x14ac:dyDescent="0.2">
      <c r="A19" s="51" t="s">
        <v>19</v>
      </c>
      <c r="B19" s="51" t="s">
        <v>13</v>
      </c>
      <c r="C19" s="7">
        <f t="shared" si="0"/>
        <v>0</v>
      </c>
      <c r="D19" s="7">
        <f t="shared" si="1"/>
        <v>0</v>
      </c>
      <c r="F19" s="80">
        <v>0</v>
      </c>
      <c r="G19" s="80">
        <v>0</v>
      </c>
      <c r="H19" s="80">
        <v>0</v>
      </c>
      <c r="J19" s="85">
        <v>0</v>
      </c>
      <c r="K19" s="85">
        <v>0</v>
      </c>
      <c r="L19" s="85">
        <v>0</v>
      </c>
    </row>
    <row r="20" spans="1:12" x14ac:dyDescent="0.2">
      <c r="A20" s="52" t="s">
        <v>19</v>
      </c>
      <c r="B20" s="52" t="s">
        <v>14</v>
      </c>
      <c r="C20" s="7">
        <f t="shared" si="0"/>
        <v>0</v>
      </c>
      <c r="D20" s="7">
        <f t="shared" si="1"/>
        <v>0</v>
      </c>
      <c r="F20" s="81">
        <v>0</v>
      </c>
      <c r="G20" s="81">
        <v>0</v>
      </c>
      <c r="H20" s="81">
        <v>0</v>
      </c>
      <c r="J20" s="86">
        <v>0</v>
      </c>
      <c r="K20" s="86">
        <v>0</v>
      </c>
      <c r="L20" s="86">
        <v>0</v>
      </c>
    </row>
    <row r="21" spans="1:12" x14ac:dyDescent="0.2">
      <c r="A21" s="51" t="s">
        <v>20</v>
      </c>
      <c r="B21" s="51" t="s">
        <v>12</v>
      </c>
      <c r="C21" s="7">
        <f t="shared" si="0"/>
        <v>0</v>
      </c>
      <c r="D21" s="7">
        <f t="shared" si="1"/>
        <v>0</v>
      </c>
      <c r="F21" s="80">
        <v>0</v>
      </c>
      <c r="G21" s="80">
        <v>0</v>
      </c>
      <c r="H21" s="80">
        <v>0</v>
      </c>
      <c r="J21" s="85">
        <v>0</v>
      </c>
      <c r="K21" s="85">
        <v>0</v>
      </c>
      <c r="L21" s="85">
        <v>0</v>
      </c>
    </row>
    <row r="22" spans="1:12" x14ac:dyDescent="0.2">
      <c r="A22" s="52" t="s">
        <v>20</v>
      </c>
      <c r="B22" s="52" t="s">
        <v>13</v>
      </c>
      <c r="C22" s="7">
        <f t="shared" si="0"/>
        <v>0</v>
      </c>
      <c r="D22" s="7">
        <f t="shared" si="1"/>
        <v>0</v>
      </c>
      <c r="F22" s="81">
        <v>0</v>
      </c>
      <c r="G22" s="81">
        <v>0</v>
      </c>
      <c r="H22" s="81">
        <v>0</v>
      </c>
      <c r="J22" s="86">
        <v>0</v>
      </c>
      <c r="K22" s="86">
        <v>0</v>
      </c>
      <c r="L22" s="86">
        <v>0</v>
      </c>
    </row>
    <row r="23" spans="1:12" x14ac:dyDescent="0.2">
      <c r="A23" s="51" t="s">
        <v>20</v>
      </c>
      <c r="B23" s="51" t="s">
        <v>14</v>
      </c>
      <c r="C23" s="7">
        <f t="shared" si="0"/>
        <v>0</v>
      </c>
      <c r="D23" s="7">
        <f t="shared" si="1"/>
        <v>0</v>
      </c>
      <c r="F23" s="80">
        <v>0</v>
      </c>
      <c r="G23" s="80">
        <v>0</v>
      </c>
      <c r="H23" s="80">
        <v>0</v>
      </c>
      <c r="J23" s="85">
        <v>0</v>
      </c>
      <c r="K23" s="85">
        <v>0</v>
      </c>
      <c r="L23" s="85">
        <v>0</v>
      </c>
    </row>
    <row r="24" spans="1:12" x14ac:dyDescent="0.2">
      <c r="A24" s="52" t="s">
        <v>21</v>
      </c>
      <c r="B24" s="52" t="s">
        <v>12</v>
      </c>
      <c r="C24" s="7">
        <f t="shared" si="0"/>
        <v>0</v>
      </c>
      <c r="D24" s="7">
        <f t="shared" si="1"/>
        <v>0</v>
      </c>
      <c r="F24" s="81">
        <v>0</v>
      </c>
      <c r="G24" s="81">
        <v>0</v>
      </c>
      <c r="H24" s="81">
        <v>0</v>
      </c>
      <c r="J24" s="86">
        <v>0</v>
      </c>
      <c r="K24" s="86">
        <v>0</v>
      </c>
      <c r="L24" s="86">
        <v>0</v>
      </c>
    </row>
    <row r="25" spans="1:12" x14ac:dyDescent="0.2">
      <c r="A25" s="51" t="s">
        <v>21</v>
      </c>
      <c r="B25" s="51" t="s">
        <v>13</v>
      </c>
      <c r="C25" s="7">
        <f t="shared" si="0"/>
        <v>0</v>
      </c>
      <c r="D25" s="7">
        <f t="shared" si="1"/>
        <v>0</v>
      </c>
      <c r="F25" s="80">
        <v>0</v>
      </c>
      <c r="G25" s="80">
        <v>0</v>
      </c>
      <c r="H25" s="80">
        <v>0</v>
      </c>
      <c r="J25" s="85">
        <v>0</v>
      </c>
      <c r="K25" s="85">
        <v>0</v>
      </c>
      <c r="L25" s="85">
        <v>0</v>
      </c>
    </row>
    <row r="26" spans="1:12" x14ac:dyDescent="0.2">
      <c r="A26" s="52" t="s">
        <v>21</v>
      </c>
      <c r="B26" s="52" t="s">
        <v>14</v>
      </c>
      <c r="C26" s="7">
        <f t="shared" si="0"/>
        <v>0</v>
      </c>
      <c r="D26" s="7">
        <f t="shared" si="1"/>
        <v>0</v>
      </c>
      <c r="F26" s="81">
        <v>0</v>
      </c>
      <c r="G26" s="81">
        <v>0</v>
      </c>
      <c r="H26" s="81">
        <v>0</v>
      </c>
      <c r="J26" s="86">
        <v>0</v>
      </c>
      <c r="K26" s="86">
        <v>0</v>
      </c>
      <c r="L26" s="86">
        <v>0</v>
      </c>
    </row>
    <row r="27" spans="1:12" x14ac:dyDescent="0.2">
      <c r="A27" s="51" t="s">
        <v>22</v>
      </c>
      <c r="B27" s="51" t="s">
        <v>12</v>
      </c>
      <c r="C27" s="7">
        <f t="shared" si="0"/>
        <v>0</v>
      </c>
      <c r="D27" s="7">
        <f t="shared" si="1"/>
        <v>0</v>
      </c>
      <c r="F27" s="80">
        <v>0</v>
      </c>
      <c r="G27" s="80">
        <v>0</v>
      </c>
      <c r="H27" s="80">
        <v>0</v>
      </c>
      <c r="J27" s="85">
        <v>0</v>
      </c>
      <c r="K27" s="85">
        <v>0</v>
      </c>
      <c r="L27" s="85">
        <v>0</v>
      </c>
    </row>
    <row r="28" spans="1:12" x14ac:dyDescent="0.2">
      <c r="A28" s="52" t="s">
        <v>22</v>
      </c>
      <c r="B28" s="52" t="s">
        <v>13</v>
      </c>
      <c r="C28" s="7">
        <f t="shared" si="0"/>
        <v>0</v>
      </c>
      <c r="D28" s="7">
        <f t="shared" si="1"/>
        <v>0</v>
      </c>
      <c r="F28" s="81">
        <v>0</v>
      </c>
      <c r="G28" s="81">
        <v>0</v>
      </c>
      <c r="H28" s="81">
        <v>0</v>
      </c>
      <c r="J28" s="86">
        <v>0</v>
      </c>
      <c r="K28" s="86">
        <v>0</v>
      </c>
      <c r="L28" s="86">
        <v>0</v>
      </c>
    </row>
    <row r="29" spans="1:12" x14ac:dyDescent="0.2">
      <c r="A29" s="51" t="s">
        <v>22</v>
      </c>
      <c r="B29" s="51" t="s">
        <v>14</v>
      </c>
      <c r="C29" s="7">
        <f t="shared" si="0"/>
        <v>0</v>
      </c>
      <c r="D29" s="7">
        <f t="shared" si="1"/>
        <v>0</v>
      </c>
      <c r="F29" s="80">
        <v>0</v>
      </c>
      <c r="G29" s="80">
        <v>0</v>
      </c>
      <c r="H29" s="80">
        <v>0</v>
      </c>
      <c r="J29" s="85">
        <v>0</v>
      </c>
      <c r="K29" s="85">
        <v>0</v>
      </c>
      <c r="L29" s="85">
        <v>0</v>
      </c>
    </row>
    <row r="30" spans="1:12" x14ac:dyDescent="0.2">
      <c r="A30" s="52" t="s">
        <v>23</v>
      </c>
      <c r="B30" s="52" t="s">
        <v>12</v>
      </c>
      <c r="C30" s="7">
        <f t="shared" si="0"/>
        <v>0</v>
      </c>
      <c r="D30" s="7">
        <f t="shared" si="1"/>
        <v>0</v>
      </c>
      <c r="F30" s="81">
        <v>0</v>
      </c>
      <c r="G30" s="81">
        <v>0</v>
      </c>
      <c r="H30" s="81">
        <v>0</v>
      </c>
      <c r="J30" s="86">
        <v>0</v>
      </c>
      <c r="K30" s="86">
        <v>0</v>
      </c>
      <c r="L30" s="86">
        <v>0</v>
      </c>
    </row>
    <row r="31" spans="1:12" x14ac:dyDescent="0.2">
      <c r="A31" s="51" t="s">
        <v>23</v>
      </c>
      <c r="B31" s="51" t="s">
        <v>13</v>
      </c>
      <c r="C31" s="7">
        <f t="shared" si="0"/>
        <v>0</v>
      </c>
      <c r="D31" s="7">
        <f t="shared" si="1"/>
        <v>0</v>
      </c>
      <c r="F31" s="80">
        <v>0</v>
      </c>
      <c r="G31" s="80">
        <v>0</v>
      </c>
      <c r="H31" s="80">
        <v>0</v>
      </c>
      <c r="J31" s="85">
        <v>0</v>
      </c>
      <c r="K31" s="85">
        <v>0</v>
      </c>
      <c r="L31" s="85">
        <v>0</v>
      </c>
    </row>
    <row r="32" spans="1:12" x14ac:dyDescent="0.2">
      <c r="A32" s="52" t="s">
        <v>23</v>
      </c>
      <c r="B32" s="52" t="s">
        <v>14</v>
      </c>
      <c r="C32" s="7">
        <f t="shared" si="0"/>
        <v>0</v>
      </c>
      <c r="D32" s="7">
        <f t="shared" si="1"/>
        <v>0</v>
      </c>
      <c r="F32" s="81">
        <v>0</v>
      </c>
      <c r="G32" s="81">
        <v>0</v>
      </c>
      <c r="H32" s="81">
        <v>0</v>
      </c>
      <c r="J32" s="86">
        <v>0</v>
      </c>
      <c r="K32" s="86">
        <v>0</v>
      </c>
      <c r="L32" s="86">
        <v>0</v>
      </c>
    </row>
    <row r="33" spans="1:12" x14ac:dyDescent="0.2">
      <c r="A33" s="51" t="s">
        <v>24</v>
      </c>
      <c r="B33" s="51" t="s">
        <v>12</v>
      </c>
      <c r="C33" s="7">
        <f t="shared" si="0"/>
        <v>1182</v>
      </c>
      <c r="D33" s="7">
        <f t="shared" si="1"/>
        <v>1236.4000000000001</v>
      </c>
      <c r="F33" s="80">
        <v>395</v>
      </c>
      <c r="G33" s="80">
        <v>396</v>
      </c>
      <c r="H33" s="80">
        <v>391</v>
      </c>
      <c r="J33" s="85">
        <v>495.9</v>
      </c>
      <c r="K33" s="85">
        <v>426.1</v>
      </c>
      <c r="L33" s="85">
        <v>314.39999999999998</v>
      </c>
    </row>
    <row r="34" spans="1:12" x14ac:dyDescent="0.2">
      <c r="A34" s="52" t="s">
        <v>24</v>
      </c>
      <c r="B34" s="52" t="s">
        <v>13</v>
      </c>
      <c r="C34" s="7">
        <f t="shared" si="0"/>
        <v>3</v>
      </c>
      <c r="D34" s="7">
        <f t="shared" si="1"/>
        <v>17277.7</v>
      </c>
      <c r="F34" s="81">
        <v>1</v>
      </c>
      <c r="G34" s="81">
        <v>1</v>
      </c>
      <c r="H34" s="81">
        <v>1</v>
      </c>
      <c r="J34" s="86">
        <v>5951.9</v>
      </c>
      <c r="K34" s="86">
        <v>5538.5</v>
      </c>
      <c r="L34" s="86">
        <v>5787.3</v>
      </c>
    </row>
    <row r="35" spans="1:12" x14ac:dyDescent="0.2">
      <c r="A35" s="51" t="s">
        <v>24</v>
      </c>
      <c r="B35" s="51" t="s">
        <v>14</v>
      </c>
      <c r="C35" s="7">
        <f t="shared" ref="C35:C66" si="2">SUM(F35:H35)</f>
        <v>16492</v>
      </c>
      <c r="D35" s="7">
        <f t="shared" ref="D35:D66" si="3">SUM(J35:L35)</f>
        <v>257</v>
      </c>
      <c r="F35" s="80">
        <v>5501</v>
      </c>
      <c r="G35" s="80">
        <v>5498</v>
      </c>
      <c r="H35" s="80">
        <v>5493</v>
      </c>
      <c r="J35" s="85">
        <v>104.3</v>
      </c>
      <c r="K35" s="85">
        <v>90.2</v>
      </c>
      <c r="L35" s="85">
        <v>62.5</v>
      </c>
    </row>
    <row r="36" spans="1:12" x14ac:dyDescent="0.2">
      <c r="A36" s="52" t="s">
        <v>25</v>
      </c>
      <c r="B36" s="52" t="s">
        <v>12</v>
      </c>
      <c r="C36" s="7">
        <f t="shared" si="2"/>
        <v>188</v>
      </c>
      <c r="D36" s="7">
        <f t="shared" si="3"/>
        <v>1102.8</v>
      </c>
      <c r="F36" s="81">
        <v>63</v>
      </c>
      <c r="G36" s="81">
        <v>62</v>
      </c>
      <c r="H36" s="81">
        <v>63</v>
      </c>
      <c r="J36" s="86">
        <v>426.2</v>
      </c>
      <c r="K36" s="86">
        <v>433.9</v>
      </c>
      <c r="L36" s="86">
        <v>242.7</v>
      </c>
    </row>
    <row r="37" spans="1:12" x14ac:dyDescent="0.2">
      <c r="A37" s="51" t="s">
        <v>25</v>
      </c>
      <c r="B37" s="51" t="s">
        <v>13</v>
      </c>
      <c r="C37" s="7">
        <f t="shared" si="2"/>
        <v>6</v>
      </c>
      <c r="D37" s="7">
        <f t="shared" si="3"/>
        <v>33626.5</v>
      </c>
      <c r="F37" s="80">
        <v>2</v>
      </c>
      <c r="G37" s="80">
        <v>2</v>
      </c>
      <c r="H37" s="80">
        <v>2</v>
      </c>
      <c r="J37" s="85">
        <v>13438.5</v>
      </c>
      <c r="K37" s="85">
        <v>11382.6</v>
      </c>
      <c r="L37" s="85">
        <v>8805.4</v>
      </c>
    </row>
    <row r="38" spans="1:12" x14ac:dyDescent="0.2">
      <c r="A38" s="52" t="s">
        <v>25</v>
      </c>
      <c r="B38" s="52" t="s">
        <v>14</v>
      </c>
      <c r="C38" s="7">
        <f t="shared" si="2"/>
        <v>417</v>
      </c>
      <c r="D38" s="7">
        <f t="shared" si="3"/>
        <v>187.00000000000003</v>
      </c>
      <c r="F38" s="81">
        <v>138</v>
      </c>
      <c r="G38" s="81">
        <v>139</v>
      </c>
      <c r="H38" s="81">
        <v>140</v>
      </c>
      <c r="J38" s="86">
        <v>76.900000000000006</v>
      </c>
      <c r="K38" s="86">
        <v>68.7</v>
      </c>
      <c r="L38" s="86">
        <v>41.4</v>
      </c>
    </row>
    <row r="39" spans="1:12" x14ac:dyDescent="0.2">
      <c r="A39" s="51" t="s">
        <v>26</v>
      </c>
      <c r="B39" s="51" t="s">
        <v>12</v>
      </c>
      <c r="C39" s="7">
        <f t="shared" si="2"/>
        <v>38</v>
      </c>
      <c r="D39" s="7">
        <f t="shared" si="3"/>
        <v>2113.1999999999998</v>
      </c>
      <c r="F39" s="80">
        <v>12</v>
      </c>
      <c r="G39" s="80">
        <v>13</v>
      </c>
      <c r="H39" s="80">
        <v>13</v>
      </c>
      <c r="J39" s="85">
        <v>808.3</v>
      </c>
      <c r="K39" s="85">
        <v>800</v>
      </c>
      <c r="L39" s="85">
        <v>504.9</v>
      </c>
    </row>
    <row r="40" spans="1:12" x14ac:dyDescent="0.2">
      <c r="A40" s="52" t="s">
        <v>26</v>
      </c>
      <c r="B40" s="52" t="s">
        <v>13</v>
      </c>
      <c r="C40" s="7">
        <f t="shared" si="2"/>
        <v>0</v>
      </c>
      <c r="D40" s="7">
        <f t="shared" si="3"/>
        <v>0</v>
      </c>
      <c r="F40" s="81">
        <v>0</v>
      </c>
      <c r="G40" s="81">
        <v>0</v>
      </c>
      <c r="H40" s="81">
        <v>0</v>
      </c>
      <c r="J40" s="86">
        <v>0</v>
      </c>
      <c r="K40" s="86">
        <v>0</v>
      </c>
      <c r="L40" s="86">
        <v>0</v>
      </c>
    </row>
    <row r="41" spans="1:12" x14ac:dyDescent="0.2">
      <c r="A41" s="51" t="s">
        <v>26</v>
      </c>
      <c r="B41" s="51" t="s">
        <v>14</v>
      </c>
      <c r="C41" s="7">
        <f t="shared" si="2"/>
        <v>1387</v>
      </c>
      <c r="D41" s="7">
        <f t="shared" si="3"/>
        <v>284.29999999999995</v>
      </c>
      <c r="F41" s="80">
        <v>462</v>
      </c>
      <c r="G41" s="80">
        <v>462</v>
      </c>
      <c r="H41" s="80">
        <v>463</v>
      </c>
      <c r="J41" s="85">
        <v>116.6</v>
      </c>
      <c r="K41" s="85">
        <v>101.6</v>
      </c>
      <c r="L41" s="85">
        <v>66.099999999999994</v>
      </c>
    </row>
    <row r="42" spans="1:12" x14ac:dyDescent="0.2">
      <c r="A42" s="52" t="s">
        <v>27</v>
      </c>
      <c r="B42" s="52" t="s">
        <v>12</v>
      </c>
      <c r="C42" s="7">
        <f t="shared" si="2"/>
        <v>1315</v>
      </c>
      <c r="D42" s="7">
        <f t="shared" si="3"/>
        <v>1696.8000000000002</v>
      </c>
      <c r="F42" s="81">
        <v>433</v>
      </c>
      <c r="G42" s="81">
        <v>438</v>
      </c>
      <c r="H42" s="81">
        <v>444</v>
      </c>
      <c r="J42" s="86">
        <v>617.1</v>
      </c>
      <c r="K42" s="86">
        <v>646.20000000000005</v>
      </c>
      <c r="L42" s="86">
        <v>433.5</v>
      </c>
    </row>
    <row r="43" spans="1:12" x14ac:dyDescent="0.2">
      <c r="A43" s="51" t="s">
        <v>27</v>
      </c>
      <c r="B43" s="51" t="s">
        <v>13</v>
      </c>
      <c r="C43" s="7">
        <f t="shared" si="2"/>
        <v>6</v>
      </c>
      <c r="D43" s="7">
        <f t="shared" si="3"/>
        <v>77692.3</v>
      </c>
      <c r="F43" s="80">
        <v>2</v>
      </c>
      <c r="G43" s="80">
        <v>2</v>
      </c>
      <c r="H43" s="80">
        <v>2</v>
      </c>
      <c r="J43" s="85">
        <v>25402.400000000001</v>
      </c>
      <c r="K43" s="85">
        <v>33836.400000000001</v>
      </c>
      <c r="L43" s="85">
        <v>18453.5</v>
      </c>
    </row>
    <row r="44" spans="1:12" x14ac:dyDescent="0.2">
      <c r="A44" s="52" t="s">
        <v>27</v>
      </c>
      <c r="B44" s="52" t="s">
        <v>14</v>
      </c>
      <c r="C44" s="7">
        <f t="shared" si="2"/>
        <v>27157</v>
      </c>
      <c r="D44" s="7">
        <f t="shared" si="3"/>
        <v>342.90000000000003</v>
      </c>
      <c r="F44" s="81">
        <v>9061</v>
      </c>
      <c r="G44" s="81">
        <v>9047</v>
      </c>
      <c r="H44" s="81">
        <v>9049</v>
      </c>
      <c r="J44" s="86">
        <v>125.7</v>
      </c>
      <c r="K44" s="86">
        <v>134.4</v>
      </c>
      <c r="L44" s="86">
        <v>82.8</v>
      </c>
    </row>
    <row r="45" spans="1:12" x14ac:dyDescent="0.2">
      <c r="A45" s="51" t="s">
        <v>28</v>
      </c>
      <c r="B45" s="51" t="s">
        <v>12</v>
      </c>
      <c r="C45" s="7">
        <f t="shared" si="2"/>
        <v>81</v>
      </c>
      <c r="D45" s="7">
        <f t="shared" si="3"/>
        <v>1644.3999999999999</v>
      </c>
      <c r="F45" s="80">
        <v>27</v>
      </c>
      <c r="G45" s="80">
        <v>27</v>
      </c>
      <c r="H45" s="80">
        <v>27</v>
      </c>
      <c r="J45" s="85">
        <v>644.9</v>
      </c>
      <c r="K45" s="85">
        <v>591.79999999999995</v>
      </c>
      <c r="L45" s="85">
        <v>407.7</v>
      </c>
    </row>
    <row r="46" spans="1:12" x14ac:dyDescent="0.2">
      <c r="A46" s="52" t="s">
        <v>28</v>
      </c>
      <c r="B46" s="52" t="s">
        <v>13</v>
      </c>
      <c r="C46" s="7">
        <f t="shared" si="2"/>
        <v>0</v>
      </c>
      <c r="D46" s="7">
        <f t="shared" si="3"/>
        <v>0</v>
      </c>
      <c r="F46" s="81">
        <v>0</v>
      </c>
      <c r="G46" s="81">
        <v>0</v>
      </c>
      <c r="H46" s="81">
        <v>0</v>
      </c>
      <c r="J46" s="86">
        <v>0</v>
      </c>
      <c r="K46" s="86">
        <v>0</v>
      </c>
      <c r="L46" s="86">
        <v>0</v>
      </c>
    </row>
    <row r="47" spans="1:12" x14ac:dyDescent="0.2">
      <c r="A47" s="51" t="s">
        <v>28</v>
      </c>
      <c r="B47" s="51" t="s">
        <v>14</v>
      </c>
      <c r="C47" s="7">
        <f t="shared" si="2"/>
        <v>896</v>
      </c>
      <c r="D47" s="7">
        <f t="shared" si="3"/>
        <v>272.39999999999998</v>
      </c>
      <c r="F47" s="80">
        <v>299</v>
      </c>
      <c r="G47" s="80">
        <v>299</v>
      </c>
      <c r="H47" s="80">
        <v>298</v>
      </c>
      <c r="J47" s="85">
        <v>110.9</v>
      </c>
      <c r="K47" s="85">
        <v>99</v>
      </c>
      <c r="L47" s="85">
        <v>62.5</v>
      </c>
    </row>
    <row r="48" spans="1:12" x14ac:dyDescent="0.2">
      <c r="A48" s="52" t="s">
        <v>29</v>
      </c>
      <c r="B48" s="52" t="s">
        <v>12</v>
      </c>
      <c r="C48" s="7">
        <f t="shared" si="2"/>
        <v>0</v>
      </c>
      <c r="D48" s="7">
        <f t="shared" si="3"/>
        <v>0</v>
      </c>
      <c r="F48" s="81">
        <v>0</v>
      </c>
      <c r="G48" s="81">
        <v>0</v>
      </c>
      <c r="H48" s="81">
        <v>0</v>
      </c>
      <c r="J48" s="86">
        <v>0</v>
      </c>
      <c r="K48" s="86">
        <v>0</v>
      </c>
      <c r="L48" s="86">
        <v>0</v>
      </c>
    </row>
    <row r="49" spans="1:12" x14ac:dyDescent="0.2">
      <c r="A49" s="51" t="s">
        <v>29</v>
      </c>
      <c r="B49" s="51" t="s">
        <v>13</v>
      </c>
      <c r="C49" s="7">
        <f t="shared" si="2"/>
        <v>0</v>
      </c>
      <c r="D49" s="7">
        <f t="shared" si="3"/>
        <v>0</v>
      </c>
      <c r="F49" s="80">
        <v>0</v>
      </c>
      <c r="G49" s="80">
        <v>0</v>
      </c>
      <c r="H49" s="80">
        <v>0</v>
      </c>
      <c r="J49" s="85">
        <v>0</v>
      </c>
      <c r="K49" s="85">
        <v>0</v>
      </c>
      <c r="L49" s="85">
        <v>0</v>
      </c>
    </row>
    <row r="50" spans="1:12" x14ac:dyDescent="0.2">
      <c r="A50" s="52" t="s">
        <v>29</v>
      </c>
      <c r="B50" s="52" t="s">
        <v>14</v>
      </c>
      <c r="C50" s="7">
        <f t="shared" si="2"/>
        <v>0</v>
      </c>
      <c r="D50" s="7">
        <f t="shared" si="3"/>
        <v>0</v>
      </c>
      <c r="F50" s="81">
        <v>0</v>
      </c>
      <c r="G50" s="81">
        <v>0</v>
      </c>
      <c r="H50" s="81">
        <v>0</v>
      </c>
      <c r="J50" s="86">
        <v>0</v>
      </c>
      <c r="K50" s="86">
        <v>0</v>
      </c>
      <c r="L50" s="86">
        <v>0</v>
      </c>
    </row>
    <row r="51" spans="1:12" x14ac:dyDescent="0.2">
      <c r="A51" s="51" t="s">
        <v>30</v>
      </c>
      <c r="B51" s="51" t="s">
        <v>12</v>
      </c>
      <c r="C51" s="7">
        <f t="shared" si="2"/>
        <v>14</v>
      </c>
      <c r="D51" s="7">
        <f t="shared" si="3"/>
        <v>5842.2</v>
      </c>
      <c r="F51" s="80">
        <v>5</v>
      </c>
      <c r="G51" s="80">
        <v>5</v>
      </c>
      <c r="H51" s="80">
        <v>4</v>
      </c>
      <c r="J51" s="85">
        <v>1930.7</v>
      </c>
      <c r="K51" s="85">
        <v>1868.7</v>
      </c>
      <c r="L51" s="85">
        <v>2042.8</v>
      </c>
    </row>
    <row r="52" spans="1:12" x14ac:dyDescent="0.2">
      <c r="A52" s="52" t="s">
        <v>30</v>
      </c>
      <c r="B52" s="52" t="s">
        <v>13</v>
      </c>
      <c r="C52" s="7">
        <f t="shared" si="2"/>
        <v>6</v>
      </c>
      <c r="D52" s="7">
        <f t="shared" si="3"/>
        <v>3717.3999999999996</v>
      </c>
      <c r="F52" s="81">
        <v>2</v>
      </c>
      <c r="G52" s="81">
        <v>2</v>
      </c>
      <c r="H52" s="81">
        <v>2</v>
      </c>
      <c r="J52" s="86">
        <v>1314.3</v>
      </c>
      <c r="K52" s="86">
        <v>1230.8</v>
      </c>
      <c r="L52" s="86">
        <v>1172.3</v>
      </c>
    </row>
    <row r="53" spans="1:12" x14ac:dyDescent="0.2">
      <c r="A53" s="51" t="s">
        <v>30</v>
      </c>
      <c r="B53" s="51" t="s">
        <v>14</v>
      </c>
      <c r="C53" s="7">
        <f t="shared" si="2"/>
        <v>0</v>
      </c>
      <c r="D53" s="7">
        <f t="shared" si="3"/>
        <v>0</v>
      </c>
      <c r="F53" s="80">
        <v>0</v>
      </c>
      <c r="G53" s="80">
        <v>0</v>
      </c>
      <c r="H53" s="80">
        <v>0</v>
      </c>
      <c r="J53" s="85">
        <v>0</v>
      </c>
      <c r="K53" s="85">
        <v>0</v>
      </c>
      <c r="L53" s="85">
        <v>0</v>
      </c>
    </row>
    <row r="54" spans="1:12" x14ac:dyDescent="0.2">
      <c r="A54" s="52" t="s">
        <v>31</v>
      </c>
      <c r="B54" s="52" t="s">
        <v>12</v>
      </c>
      <c r="C54" s="7">
        <f t="shared" si="2"/>
        <v>0</v>
      </c>
      <c r="D54" s="7">
        <f t="shared" si="3"/>
        <v>0</v>
      </c>
      <c r="F54" s="81">
        <v>0</v>
      </c>
      <c r="G54" s="81">
        <v>0</v>
      </c>
      <c r="H54" s="81">
        <v>0</v>
      </c>
      <c r="J54" s="86">
        <v>0</v>
      </c>
      <c r="K54" s="86">
        <v>0</v>
      </c>
      <c r="L54" s="86">
        <v>0</v>
      </c>
    </row>
    <row r="55" spans="1:12" x14ac:dyDescent="0.2">
      <c r="A55" s="51" t="s">
        <v>31</v>
      </c>
      <c r="B55" s="51" t="s">
        <v>13</v>
      </c>
      <c r="C55" s="7">
        <f t="shared" si="2"/>
        <v>0</v>
      </c>
      <c r="D55" s="7">
        <f t="shared" si="3"/>
        <v>0</v>
      </c>
      <c r="F55" s="80">
        <v>0</v>
      </c>
      <c r="G55" s="80">
        <v>0</v>
      </c>
      <c r="H55" s="80">
        <v>0</v>
      </c>
      <c r="J55" s="85">
        <v>0</v>
      </c>
      <c r="K55" s="85">
        <v>0</v>
      </c>
      <c r="L55" s="85">
        <v>0</v>
      </c>
    </row>
    <row r="56" spans="1:12" x14ac:dyDescent="0.2">
      <c r="A56" s="52" t="s">
        <v>31</v>
      </c>
      <c r="B56" s="52" t="s">
        <v>14</v>
      </c>
      <c r="C56" s="7">
        <f t="shared" si="2"/>
        <v>0</v>
      </c>
      <c r="D56" s="7">
        <f t="shared" si="3"/>
        <v>0</v>
      </c>
      <c r="F56" s="81">
        <v>0</v>
      </c>
      <c r="G56" s="81">
        <v>0</v>
      </c>
      <c r="H56" s="81">
        <v>0</v>
      </c>
      <c r="J56" s="86">
        <v>0</v>
      </c>
      <c r="K56" s="86">
        <v>0</v>
      </c>
      <c r="L56" s="86">
        <v>0</v>
      </c>
    </row>
    <row r="57" spans="1:12" x14ac:dyDescent="0.2">
      <c r="A57" s="51" t="s">
        <v>32</v>
      </c>
      <c r="B57" s="51" t="s">
        <v>12</v>
      </c>
      <c r="C57" s="7">
        <f t="shared" si="2"/>
        <v>0</v>
      </c>
      <c r="D57" s="7">
        <f t="shared" si="3"/>
        <v>0</v>
      </c>
      <c r="F57" s="80">
        <v>0</v>
      </c>
      <c r="G57" s="80">
        <v>0</v>
      </c>
      <c r="H57" s="80">
        <v>0</v>
      </c>
      <c r="J57" s="85">
        <v>0</v>
      </c>
      <c r="K57" s="85">
        <v>0</v>
      </c>
      <c r="L57" s="85">
        <v>0</v>
      </c>
    </row>
    <row r="58" spans="1:12" x14ac:dyDescent="0.2">
      <c r="A58" s="52" t="s">
        <v>32</v>
      </c>
      <c r="B58" s="52" t="s">
        <v>13</v>
      </c>
      <c r="C58" s="7">
        <f t="shared" si="2"/>
        <v>0</v>
      </c>
      <c r="D58" s="7">
        <f t="shared" si="3"/>
        <v>0</v>
      </c>
      <c r="F58" s="81">
        <v>0</v>
      </c>
      <c r="G58" s="81">
        <v>0</v>
      </c>
      <c r="H58" s="81">
        <v>0</v>
      </c>
      <c r="J58" s="86">
        <v>0</v>
      </c>
      <c r="K58" s="86">
        <v>0</v>
      </c>
      <c r="L58" s="86">
        <v>0</v>
      </c>
    </row>
    <row r="59" spans="1:12" x14ac:dyDescent="0.2">
      <c r="A59" s="51" t="s">
        <v>32</v>
      </c>
      <c r="B59" s="51" t="s">
        <v>14</v>
      </c>
      <c r="C59" s="7">
        <f t="shared" si="2"/>
        <v>0</v>
      </c>
      <c r="D59" s="7">
        <f t="shared" si="3"/>
        <v>0</v>
      </c>
      <c r="F59" s="80">
        <v>0</v>
      </c>
      <c r="G59" s="80">
        <v>0</v>
      </c>
      <c r="H59" s="80">
        <v>0</v>
      </c>
      <c r="J59" s="85">
        <v>0</v>
      </c>
      <c r="K59" s="85">
        <v>0</v>
      </c>
      <c r="L59" s="85">
        <v>0</v>
      </c>
    </row>
    <row r="60" spans="1:12" x14ac:dyDescent="0.2">
      <c r="A60" s="52" t="s">
        <v>33</v>
      </c>
      <c r="B60" s="52" t="s">
        <v>12</v>
      </c>
      <c r="C60" s="7">
        <f t="shared" si="2"/>
        <v>27</v>
      </c>
      <c r="D60" s="7">
        <f t="shared" si="3"/>
        <v>2128.3000000000002</v>
      </c>
      <c r="F60" s="81">
        <v>9</v>
      </c>
      <c r="G60" s="81">
        <v>9</v>
      </c>
      <c r="H60" s="81">
        <v>9</v>
      </c>
      <c r="J60" s="86">
        <v>918.3</v>
      </c>
      <c r="K60" s="86">
        <v>766.6</v>
      </c>
      <c r="L60" s="86">
        <v>443.4</v>
      </c>
    </row>
    <row r="61" spans="1:12" x14ac:dyDescent="0.2">
      <c r="A61" s="51" t="s">
        <v>33</v>
      </c>
      <c r="B61" s="51" t="s">
        <v>13</v>
      </c>
      <c r="C61" s="7">
        <f t="shared" si="2"/>
        <v>0</v>
      </c>
      <c r="D61" s="7">
        <f t="shared" si="3"/>
        <v>0</v>
      </c>
      <c r="F61" s="80">
        <v>0</v>
      </c>
      <c r="G61" s="80">
        <v>0</v>
      </c>
      <c r="H61" s="80">
        <v>0</v>
      </c>
      <c r="J61" s="85">
        <v>0</v>
      </c>
      <c r="K61" s="85">
        <v>0</v>
      </c>
      <c r="L61" s="85">
        <v>0</v>
      </c>
    </row>
    <row r="62" spans="1:12" x14ac:dyDescent="0.2">
      <c r="A62" s="52" t="s">
        <v>33</v>
      </c>
      <c r="B62" s="52" t="s">
        <v>14</v>
      </c>
      <c r="C62" s="7">
        <f t="shared" si="2"/>
        <v>318</v>
      </c>
      <c r="D62" s="7">
        <f t="shared" si="3"/>
        <v>200</v>
      </c>
      <c r="F62" s="81">
        <v>106</v>
      </c>
      <c r="G62" s="81">
        <v>106</v>
      </c>
      <c r="H62" s="81">
        <v>106</v>
      </c>
      <c r="J62" s="86">
        <v>84.2</v>
      </c>
      <c r="K62" s="86">
        <v>72.099999999999994</v>
      </c>
      <c r="L62" s="86">
        <v>43.7</v>
      </c>
    </row>
    <row r="63" spans="1:12" x14ac:dyDescent="0.2">
      <c r="A63" s="51" t="s">
        <v>34</v>
      </c>
      <c r="B63" s="51" t="s">
        <v>12</v>
      </c>
      <c r="C63" s="7">
        <f t="shared" si="2"/>
        <v>102</v>
      </c>
      <c r="D63" s="7">
        <f t="shared" si="3"/>
        <v>2787.7</v>
      </c>
      <c r="F63" s="80">
        <v>34</v>
      </c>
      <c r="G63" s="80">
        <v>34</v>
      </c>
      <c r="H63" s="80">
        <v>34</v>
      </c>
      <c r="J63" s="85">
        <v>924.1</v>
      </c>
      <c r="K63" s="85">
        <v>991.8</v>
      </c>
      <c r="L63" s="85">
        <v>871.8</v>
      </c>
    </row>
    <row r="64" spans="1:12" x14ac:dyDescent="0.2">
      <c r="A64" s="52" t="s">
        <v>34</v>
      </c>
      <c r="B64" s="52" t="s">
        <v>13</v>
      </c>
      <c r="C64" s="7">
        <f t="shared" si="2"/>
        <v>0</v>
      </c>
      <c r="D64" s="7">
        <f t="shared" si="3"/>
        <v>0</v>
      </c>
      <c r="F64" s="81">
        <v>0</v>
      </c>
      <c r="G64" s="81">
        <v>0</v>
      </c>
      <c r="H64" s="81">
        <v>0</v>
      </c>
      <c r="J64" s="86">
        <v>0</v>
      </c>
      <c r="K64" s="86">
        <v>0</v>
      </c>
      <c r="L64" s="86">
        <v>0</v>
      </c>
    </row>
    <row r="65" spans="1:12" x14ac:dyDescent="0.2">
      <c r="A65" s="51" t="s">
        <v>34</v>
      </c>
      <c r="B65" s="51" t="s">
        <v>14</v>
      </c>
      <c r="C65" s="7">
        <f t="shared" si="2"/>
        <v>3529</v>
      </c>
      <c r="D65" s="7">
        <f t="shared" si="3"/>
        <v>320.60000000000002</v>
      </c>
      <c r="F65" s="80">
        <v>1174</v>
      </c>
      <c r="G65" s="80">
        <v>1175</v>
      </c>
      <c r="H65" s="80">
        <v>1180</v>
      </c>
      <c r="J65" s="85">
        <v>107.8</v>
      </c>
      <c r="K65" s="85">
        <v>112.5</v>
      </c>
      <c r="L65" s="85">
        <v>100.3</v>
      </c>
    </row>
    <row r="66" spans="1:12" x14ac:dyDescent="0.2">
      <c r="A66" s="52" t="s">
        <v>35</v>
      </c>
      <c r="B66" s="52" t="s">
        <v>12</v>
      </c>
      <c r="C66" s="7">
        <f t="shared" si="2"/>
        <v>0</v>
      </c>
      <c r="D66" s="7">
        <f t="shared" si="3"/>
        <v>0</v>
      </c>
      <c r="F66" s="81">
        <v>0</v>
      </c>
      <c r="G66" s="81">
        <v>0</v>
      </c>
      <c r="H66" s="81">
        <v>0</v>
      </c>
      <c r="J66" s="86">
        <v>0</v>
      </c>
      <c r="K66" s="86">
        <v>0</v>
      </c>
      <c r="L66" s="86">
        <v>0</v>
      </c>
    </row>
    <row r="67" spans="1:12" x14ac:dyDescent="0.2">
      <c r="A67" s="51" t="s">
        <v>35</v>
      </c>
      <c r="B67" s="51" t="s">
        <v>13</v>
      </c>
      <c r="C67" s="7">
        <f t="shared" ref="C67:C98" si="4">SUM(F67:H67)</f>
        <v>0</v>
      </c>
      <c r="D67" s="7">
        <f t="shared" ref="D67:D98" si="5">SUM(J67:L67)</f>
        <v>0</v>
      </c>
      <c r="F67" s="80">
        <v>0</v>
      </c>
      <c r="G67" s="80">
        <v>0</v>
      </c>
      <c r="H67" s="80">
        <v>0</v>
      </c>
      <c r="J67" s="85">
        <v>0</v>
      </c>
      <c r="K67" s="85">
        <v>0</v>
      </c>
      <c r="L67" s="85">
        <v>0</v>
      </c>
    </row>
    <row r="68" spans="1:12" x14ac:dyDescent="0.2">
      <c r="A68" s="52" t="s">
        <v>35</v>
      </c>
      <c r="B68" s="52" t="s">
        <v>14</v>
      </c>
      <c r="C68" s="7">
        <f t="shared" si="4"/>
        <v>6</v>
      </c>
      <c r="D68" s="7">
        <f t="shared" si="5"/>
        <v>1158.0999999999999</v>
      </c>
      <c r="F68" s="81">
        <v>2</v>
      </c>
      <c r="G68" s="81">
        <v>2</v>
      </c>
      <c r="H68" s="81">
        <v>2</v>
      </c>
      <c r="J68" s="86">
        <v>513.70000000000005</v>
      </c>
      <c r="K68" s="86">
        <v>370.4</v>
      </c>
      <c r="L68" s="86">
        <v>274</v>
      </c>
    </row>
    <row r="69" spans="1:12" x14ac:dyDescent="0.2">
      <c r="A69" s="51" t="s">
        <v>36</v>
      </c>
      <c r="B69" s="51" t="s">
        <v>12</v>
      </c>
      <c r="C69" s="7">
        <f t="shared" si="4"/>
        <v>58</v>
      </c>
      <c r="D69" s="7">
        <f t="shared" si="5"/>
        <v>1433</v>
      </c>
      <c r="F69" s="80">
        <v>20</v>
      </c>
      <c r="G69" s="80">
        <v>19</v>
      </c>
      <c r="H69" s="80">
        <v>19</v>
      </c>
      <c r="J69" s="85">
        <v>523.6</v>
      </c>
      <c r="K69" s="85">
        <v>533.6</v>
      </c>
      <c r="L69" s="85">
        <v>375.8</v>
      </c>
    </row>
    <row r="70" spans="1:12" x14ac:dyDescent="0.2">
      <c r="A70" s="52" t="s">
        <v>36</v>
      </c>
      <c r="B70" s="52" t="s">
        <v>13</v>
      </c>
      <c r="C70" s="7">
        <f t="shared" si="4"/>
        <v>0</v>
      </c>
      <c r="D70" s="7">
        <f t="shared" si="5"/>
        <v>0</v>
      </c>
      <c r="F70" s="81">
        <v>0</v>
      </c>
      <c r="G70" s="81">
        <v>0</v>
      </c>
      <c r="H70" s="81">
        <v>0</v>
      </c>
      <c r="J70" s="86">
        <v>0</v>
      </c>
      <c r="K70" s="86">
        <v>0</v>
      </c>
      <c r="L70" s="86">
        <v>0</v>
      </c>
    </row>
    <row r="71" spans="1:12" x14ac:dyDescent="0.2">
      <c r="A71" s="51" t="s">
        <v>36</v>
      </c>
      <c r="B71" s="51" t="s">
        <v>14</v>
      </c>
      <c r="C71" s="7">
        <f t="shared" si="4"/>
        <v>677</v>
      </c>
      <c r="D71" s="7">
        <f t="shared" si="5"/>
        <v>251</v>
      </c>
      <c r="F71" s="80">
        <v>226</v>
      </c>
      <c r="G71" s="80">
        <v>224</v>
      </c>
      <c r="H71" s="80">
        <v>227</v>
      </c>
      <c r="J71" s="85">
        <v>98.3</v>
      </c>
      <c r="K71" s="85">
        <v>93.8</v>
      </c>
      <c r="L71" s="85">
        <v>58.9</v>
      </c>
    </row>
    <row r="72" spans="1:12" x14ac:dyDescent="0.2">
      <c r="A72" s="52" t="s">
        <v>37</v>
      </c>
      <c r="B72" s="52" t="s">
        <v>12</v>
      </c>
      <c r="C72" s="7">
        <f t="shared" si="4"/>
        <v>976</v>
      </c>
      <c r="D72" s="7">
        <f t="shared" si="5"/>
        <v>2249.1999999999998</v>
      </c>
      <c r="F72" s="81">
        <v>330</v>
      </c>
      <c r="G72" s="81">
        <v>328</v>
      </c>
      <c r="H72" s="81">
        <v>318</v>
      </c>
      <c r="J72" s="86">
        <v>755.5</v>
      </c>
      <c r="K72" s="86">
        <v>781.9</v>
      </c>
      <c r="L72" s="86">
        <v>711.8</v>
      </c>
    </row>
    <row r="73" spans="1:12" x14ac:dyDescent="0.2">
      <c r="A73" s="51" t="s">
        <v>37</v>
      </c>
      <c r="B73" s="51" t="s">
        <v>13</v>
      </c>
      <c r="C73" s="7">
        <f t="shared" si="4"/>
        <v>12</v>
      </c>
      <c r="D73" s="7">
        <f t="shared" si="5"/>
        <v>25821.5</v>
      </c>
      <c r="F73" s="80">
        <v>4</v>
      </c>
      <c r="G73" s="80">
        <v>4</v>
      </c>
      <c r="H73" s="80">
        <v>4</v>
      </c>
      <c r="J73" s="85">
        <v>7206.6</v>
      </c>
      <c r="K73" s="85">
        <v>9037.1</v>
      </c>
      <c r="L73" s="85">
        <v>9577.7999999999993</v>
      </c>
    </row>
    <row r="74" spans="1:12" x14ac:dyDescent="0.2">
      <c r="A74" s="52" t="s">
        <v>37</v>
      </c>
      <c r="B74" s="52" t="s">
        <v>14</v>
      </c>
      <c r="C74" s="7">
        <f t="shared" si="4"/>
        <v>18769</v>
      </c>
      <c r="D74" s="7">
        <f t="shared" si="5"/>
        <v>260.39999999999998</v>
      </c>
      <c r="F74" s="81">
        <v>6233</v>
      </c>
      <c r="G74" s="81">
        <v>6263</v>
      </c>
      <c r="H74" s="81">
        <v>6273</v>
      </c>
      <c r="J74" s="86">
        <v>90.2</v>
      </c>
      <c r="K74" s="86">
        <v>90.2</v>
      </c>
      <c r="L74" s="86">
        <v>80</v>
      </c>
    </row>
    <row r="75" spans="1:12" x14ac:dyDescent="0.2">
      <c r="A75" s="51" t="s">
        <v>38</v>
      </c>
      <c r="B75" s="51" t="s">
        <v>12</v>
      </c>
      <c r="C75" s="7">
        <f t="shared" si="4"/>
        <v>0</v>
      </c>
      <c r="D75" s="7">
        <f t="shared" si="5"/>
        <v>0</v>
      </c>
      <c r="F75" s="80">
        <v>0</v>
      </c>
      <c r="G75" s="80">
        <v>0</v>
      </c>
      <c r="H75" s="80">
        <v>0</v>
      </c>
      <c r="J75" s="85">
        <v>0</v>
      </c>
      <c r="K75" s="85">
        <v>0</v>
      </c>
      <c r="L75" s="85">
        <v>0</v>
      </c>
    </row>
    <row r="76" spans="1:12" x14ac:dyDescent="0.2">
      <c r="A76" s="52" t="s">
        <v>38</v>
      </c>
      <c r="B76" s="52" t="s">
        <v>13</v>
      </c>
      <c r="C76" s="7">
        <f t="shared" si="4"/>
        <v>0</v>
      </c>
      <c r="D76" s="7">
        <f t="shared" si="5"/>
        <v>0</v>
      </c>
      <c r="F76" s="81">
        <v>0</v>
      </c>
      <c r="G76" s="81">
        <v>0</v>
      </c>
      <c r="H76" s="81">
        <v>0</v>
      </c>
      <c r="J76" s="86">
        <v>0</v>
      </c>
      <c r="K76" s="86">
        <v>0</v>
      </c>
      <c r="L76" s="86">
        <v>0</v>
      </c>
    </row>
    <row r="77" spans="1:12" x14ac:dyDescent="0.2">
      <c r="A77" s="51" t="s">
        <v>38</v>
      </c>
      <c r="B77" s="51" t="s">
        <v>14</v>
      </c>
      <c r="C77" s="7">
        <f t="shared" si="4"/>
        <v>0</v>
      </c>
      <c r="D77" s="7">
        <f t="shared" si="5"/>
        <v>0</v>
      </c>
      <c r="F77" s="80">
        <v>0</v>
      </c>
      <c r="G77" s="80">
        <v>0</v>
      </c>
      <c r="H77" s="80">
        <v>0</v>
      </c>
      <c r="J77" s="85">
        <v>0</v>
      </c>
      <c r="K77" s="85">
        <v>0</v>
      </c>
      <c r="L77" s="85">
        <v>0</v>
      </c>
    </row>
    <row r="78" spans="1:12" x14ac:dyDescent="0.2">
      <c r="A78" s="52" t="s">
        <v>39</v>
      </c>
      <c r="B78" s="52" t="s">
        <v>12</v>
      </c>
      <c r="C78" s="7">
        <f t="shared" si="4"/>
        <v>1595</v>
      </c>
      <c r="D78" s="7">
        <f t="shared" si="5"/>
        <v>2313.8000000000002</v>
      </c>
      <c r="F78" s="81">
        <v>531</v>
      </c>
      <c r="G78" s="81">
        <v>535</v>
      </c>
      <c r="H78" s="81">
        <v>529</v>
      </c>
      <c r="J78" s="86">
        <v>783.2</v>
      </c>
      <c r="K78" s="86">
        <v>863.5</v>
      </c>
      <c r="L78" s="86">
        <v>667.1</v>
      </c>
    </row>
    <row r="79" spans="1:12" x14ac:dyDescent="0.2">
      <c r="A79" s="51" t="s">
        <v>39</v>
      </c>
      <c r="B79" s="51" t="s">
        <v>13</v>
      </c>
      <c r="C79" s="7">
        <f t="shared" si="4"/>
        <v>69</v>
      </c>
      <c r="D79" s="7">
        <f t="shared" si="5"/>
        <v>10676.7</v>
      </c>
      <c r="F79" s="80">
        <v>23</v>
      </c>
      <c r="G79" s="80">
        <v>23</v>
      </c>
      <c r="H79" s="80">
        <v>23</v>
      </c>
      <c r="J79" s="85">
        <v>3776.8</v>
      </c>
      <c r="K79" s="85">
        <v>4171.8</v>
      </c>
      <c r="L79" s="85">
        <v>2728.1</v>
      </c>
    </row>
    <row r="80" spans="1:12" x14ac:dyDescent="0.2">
      <c r="A80" s="52" t="s">
        <v>39</v>
      </c>
      <c r="B80" s="52" t="s">
        <v>14</v>
      </c>
      <c r="C80" s="7">
        <f t="shared" si="4"/>
        <v>8384</v>
      </c>
      <c r="D80" s="7">
        <f t="shared" si="5"/>
        <v>151.80000000000001</v>
      </c>
      <c r="F80" s="81">
        <v>2792</v>
      </c>
      <c r="G80" s="81">
        <v>2801</v>
      </c>
      <c r="H80" s="81">
        <v>2791</v>
      </c>
      <c r="J80" s="86">
        <v>50.7</v>
      </c>
      <c r="K80" s="86">
        <v>58.2</v>
      </c>
      <c r="L80" s="86">
        <v>42.9</v>
      </c>
    </row>
    <row r="81" spans="1:12" x14ac:dyDescent="0.2">
      <c r="A81" s="51" t="s">
        <v>40</v>
      </c>
      <c r="B81" s="51" t="s">
        <v>12</v>
      </c>
      <c r="C81" s="7">
        <f t="shared" si="4"/>
        <v>2925</v>
      </c>
      <c r="D81" s="7">
        <f t="shared" si="5"/>
        <v>1702.1999999999998</v>
      </c>
      <c r="F81" s="80">
        <v>972</v>
      </c>
      <c r="G81" s="80">
        <v>978</v>
      </c>
      <c r="H81" s="80">
        <v>975</v>
      </c>
      <c r="J81" s="85">
        <v>565.9</v>
      </c>
      <c r="K81" s="85">
        <v>649.4</v>
      </c>
      <c r="L81" s="85">
        <v>486.9</v>
      </c>
    </row>
    <row r="82" spans="1:12" x14ac:dyDescent="0.2">
      <c r="A82" s="52" t="s">
        <v>40</v>
      </c>
      <c r="B82" s="52" t="s">
        <v>13</v>
      </c>
      <c r="C82" s="7">
        <f t="shared" si="4"/>
        <v>39</v>
      </c>
      <c r="D82" s="7">
        <f t="shared" si="5"/>
        <v>15503.3</v>
      </c>
      <c r="F82" s="81">
        <v>13</v>
      </c>
      <c r="G82" s="81">
        <v>13</v>
      </c>
      <c r="H82" s="81">
        <v>13</v>
      </c>
      <c r="J82" s="86">
        <v>5261.1</v>
      </c>
      <c r="K82" s="86">
        <v>5527</v>
      </c>
      <c r="L82" s="86">
        <v>4715.2</v>
      </c>
    </row>
    <row r="83" spans="1:12" x14ac:dyDescent="0.2">
      <c r="A83" s="51" t="s">
        <v>40</v>
      </c>
      <c r="B83" s="51" t="s">
        <v>14</v>
      </c>
      <c r="C83" s="7">
        <f t="shared" si="4"/>
        <v>16416</v>
      </c>
      <c r="D83" s="7">
        <f t="shared" si="5"/>
        <v>264.89999999999998</v>
      </c>
      <c r="F83" s="80">
        <v>5481</v>
      </c>
      <c r="G83" s="80">
        <v>5475</v>
      </c>
      <c r="H83" s="80">
        <v>5460</v>
      </c>
      <c r="J83" s="85">
        <v>86.9</v>
      </c>
      <c r="K83" s="85">
        <v>102.8</v>
      </c>
      <c r="L83" s="85">
        <v>75.2</v>
      </c>
    </row>
    <row r="84" spans="1:12" x14ac:dyDescent="0.2">
      <c r="A84" s="52" t="s">
        <v>41</v>
      </c>
      <c r="B84" s="52" t="s">
        <v>12</v>
      </c>
      <c r="C84" s="7">
        <f t="shared" si="4"/>
        <v>1908</v>
      </c>
      <c r="D84" s="7">
        <f t="shared" si="5"/>
        <v>1467.9</v>
      </c>
      <c r="F84" s="81">
        <v>635</v>
      </c>
      <c r="G84" s="81">
        <v>637</v>
      </c>
      <c r="H84" s="81">
        <v>636</v>
      </c>
      <c r="J84" s="86">
        <v>516.20000000000005</v>
      </c>
      <c r="K84" s="86">
        <v>563.29999999999995</v>
      </c>
      <c r="L84" s="86">
        <v>388.4</v>
      </c>
    </row>
    <row r="85" spans="1:12" x14ac:dyDescent="0.2">
      <c r="A85" s="51" t="s">
        <v>41</v>
      </c>
      <c r="B85" s="51" t="s">
        <v>13</v>
      </c>
      <c r="C85" s="7">
        <f t="shared" si="4"/>
        <v>0</v>
      </c>
      <c r="D85" s="7">
        <f t="shared" si="5"/>
        <v>0</v>
      </c>
      <c r="F85" s="80">
        <v>0</v>
      </c>
      <c r="G85" s="80">
        <v>0</v>
      </c>
      <c r="H85" s="80">
        <v>0</v>
      </c>
      <c r="J85" s="85">
        <v>0</v>
      </c>
      <c r="K85" s="85">
        <v>0</v>
      </c>
      <c r="L85" s="85">
        <v>0</v>
      </c>
    </row>
    <row r="86" spans="1:12" x14ac:dyDescent="0.2">
      <c r="A86" s="52" t="s">
        <v>41</v>
      </c>
      <c r="B86" s="52" t="s">
        <v>14</v>
      </c>
      <c r="C86" s="7">
        <f t="shared" si="4"/>
        <v>19309</v>
      </c>
      <c r="D86" s="7">
        <f t="shared" si="5"/>
        <v>266.3</v>
      </c>
      <c r="F86" s="81">
        <v>6439</v>
      </c>
      <c r="G86" s="81">
        <v>6446</v>
      </c>
      <c r="H86" s="81">
        <v>6424</v>
      </c>
      <c r="J86" s="86">
        <v>89.3</v>
      </c>
      <c r="K86" s="86">
        <v>108.3</v>
      </c>
      <c r="L86" s="86">
        <v>68.7</v>
      </c>
    </row>
    <row r="87" spans="1:12" x14ac:dyDescent="0.2">
      <c r="A87" s="51" t="s">
        <v>42</v>
      </c>
      <c r="B87" s="51" t="s">
        <v>12</v>
      </c>
      <c r="C87" s="7">
        <f t="shared" si="4"/>
        <v>610</v>
      </c>
      <c r="D87" s="7">
        <f t="shared" si="5"/>
        <v>2213.6999999999998</v>
      </c>
      <c r="F87" s="80">
        <v>201</v>
      </c>
      <c r="G87" s="80">
        <v>205</v>
      </c>
      <c r="H87" s="80">
        <v>204</v>
      </c>
      <c r="J87" s="85">
        <v>736.3</v>
      </c>
      <c r="K87" s="85">
        <v>844.9</v>
      </c>
      <c r="L87" s="85">
        <v>632.5</v>
      </c>
    </row>
    <row r="88" spans="1:12" x14ac:dyDescent="0.2">
      <c r="A88" s="52" t="s">
        <v>42</v>
      </c>
      <c r="B88" s="52" t="s">
        <v>13</v>
      </c>
      <c r="C88" s="7">
        <f t="shared" si="4"/>
        <v>3</v>
      </c>
      <c r="D88" s="7">
        <f t="shared" si="5"/>
        <v>6229.6</v>
      </c>
      <c r="F88" s="81">
        <v>1</v>
      </c>
      <c r="G88" s="81">
        <v>1</v>
      </c>
      <c r="H88" s="81">
        <v>1</v>
      </c>
      <c r="J88" s="86">
        <v>1165.3</v>
      </c>
      <c r="K88" s="86">
        <v>2564.8000000000002</v>
      </c>
      <c r="L88" s="86">
        <v>2499.5</v>
      </c>
    </row>
    <row r="89" spans="1:12" x14ac:dyDescent="0.2">
      <c r="A89" s="51" t="s">
        <v>42</v>
      </c>
      <c r="B89" s="51" t="s">
        <v>14</v>
      </c>
      <c r="C89" s="7">
        <f t="shared" si="4"/>
        <v>7020</v>
      </c>
      <c r="D89" s="7">
        <f t="shared" si="5"/>
        <v>253.8</v>
      </c>
      <c r="F89" s="80">
        <v>2344</v>
      </c>
      <c r="G89" s="80">
        <v>2338</v>
      </c>
      <c r="H89" s="80">
        <v>2338</v>
      </c>
      <c r="J89" s="85">
        <v>84.2</v>
      </c>
      <c r="K89" s="85">
        <v>97.2</v>
      </c>
      <c r="L89" s="85">
        <v>72.400000000000006</v>
      </c>
    </row>
    <row r="90" spans="1:12" x14ac:dyDescent="0.2">
      <c r="A90" s="52" t="s">
        <v>43</v>
      </c>
      <c r="B90" s="52" t="s">
        <v>12</v>
      </c>
      <c r="C90" s="7">
        <f t="shared" si="4"/>
        <v>403</v>
      </c>
      <c r="D90" s="7">
        <f t="shared" si="5"/>
        <v>1457.1</v>
      </c>
      <c r="F90" s="81">
        <v>135</v>
      </c>
      <c r="G90" s="81">
        <v>133</v>
      </c>
      <c r="H90" s="81">
        <v>135</v>
      </c>
      <c r="J90" s="86">
        <v>482</v>
      </c>
      <c r="K90" s="86">
        <v>591.79999999999995</v>
      </c>
      <c r="L90" s="86">
        <v>383.3</v>
      </c>
    </row>
    <row r="91" spans="1:12" x14ac:dyDescent="0.2">
      <c r="A91" s="51" t="s">
        <v>43</v>
      </c>
      <c r="B91" s="51" t="s">
        <v>13</v>
      </c>
      <c r="C91" s="7">
        <f t="shared" si="4"/>
        <v>0</v>
      </c>
      <c r="D91" s="7">
        <f t="shared" si="5"/>
        <v>0</v>
      </c>
      <c r="F91" s="80">
        <v>0</v>
      </c>
      <c r="G91" s="80">
        <v>0</v>
      </c>
      <c r="H91" s="80">
        <v>0</v>
      </c>
      <c r="J91" s="85">
        <v>0</v>
      </c>
      <c r="K91" s="85">
        <v>0</v>
      </c>
      <c r="L91" s="85">
        <v>0</v>
      </c>
    </row>
    <row r="92" spans="1:12" x14ac:dyDescent="0.2">
      <c r="A92" s="52" t="s">
        <v>43</v>
      </c>
      <c r="B92" s="52" t="s">
        <v>14</v>
      </c>
      <c r="C92" s="7">
        <f t="shared" si="4"/>
        <v>11707</v>
      </c>
      <c r="D92" s="7">
        <f t="shared" si="5"/>
        <v>275</v>
      </c>
      <c r="F92" s="81">
        <v>3906</v>
      </c>
      <c r="G92" s="81">
        <v>3910</v>
      </c>
      <c r="H92" s="81">
        <v>3891</v>
      </c>
      <c r="J92" s="86">
        <v>90.6</v>
      </c>
      <c r="K92" s="86">
        <v>112.4</v>
      </c>
      <c r="L92" s="86">
        <v>72</v>
      </c>
    </row>
    <row r="93" spans="1:12" x14ac:dyDescent="0.2">
      <c r="A93" s="51" t="s">
        <v>44</v>
      </c>
      <c r="B93" s="51" t="s">
        <v>12</v>
      </c>
      <c r="C93" s="7">
        <f t="shared" si="4"/>
        <v>1930</v>
      </c>
      <c r="D93" s="7">
        <f t="shared" si="5"/>
        <v>1354.6</v>
      </c>
      <c r="F93" s="80">
        <v>647</v>
      </c>
      <c r="G93" s="80">
        <v>641</v>
      </c>
      <c r="H93" s="80">
        <v>642</v>
      </c>
      <c r="J93" s="85">
        <v>430.4</v>
      </c>
      <c r="K93" s="85">
        <v>533.9</v>
      </c>
      <c r="L93" s="85">
        <v>390.3</v>
      </c>
    </row>
    <row r="94" spans="1:12" x14ac:dyDescent="0.2">
      <c r="A94" s="52" t="s">
        <v>44</v>
      </c>
      <c r="B94" s="52" t="s">
        <v>13</v>
      </c>
      <c r="C94" s="7">
        <f t="shared" si="4"/>
        <v>6</v>
      </c>
      <c r="D94" s="7">
        <f t="shared" si="5"/>
        <v>15241.399999999998</v>
      </c>
      <c r="F94" s="81">
        <v>2</v>
      </c>
      <c r="G94" s="81">
        <v>2</v>
      </c>
      <c r="H94" s="81">
        <v>2</v>
      </c>
      <c r="J94" s="86">
        <v>21.9</v>
      </c>
      <c r="K94" s="86">
        <v>10056.299999999999</v>
      </c>
      <c r="L94" s="86">
        <v>5163.2</v>
      </c>
    </row>
    <row r="95" spans="1:12" x14ac:dyDescent="0.2">
      <c r="A95" s="51" t="s">
        <v>44</v>
      </c>
      <c r="B95" s="51" t="s">
        <v>14</v>
      </c>
      <c r="C95" s="7">
        <f t="shared" si="4"/>
        <v>15763</v>
      </c>
      <c r="D95" s="7">
        <f t="shared" si="5"/>
        <v>272.60000000000002</v>
      </c>
      <c r="F95" s="80">
        <v>5246</v>
      </c>
      <c r="G95" s="80">
        <v>5256</v>
      </c>
      <c r="H95" s="80">
        <v>5261</v>
      </c>
      <c r="J95" s="85">
        <v>87.3</v>
      </c>
      <c r="K95" s="85">
        <v>112.9</v>
      </c>
      <c r="L95" s="85">
        <v>72.400000000000006</v>
      </c>
    </row>
    <row r="96" spans="1:12" x14ac:dyDescent="0.2">
      <c r="A96" s="52" t="s">
        <v>45</v>
      </c>
      <c r="B96" s="52" t="s">
        <v>12</v>
      </c>
      <c r="C96" s="7">
        <f t="shared" si="4"/>
        <v>3</v>
      </c>
      <c r="D96" s="7">
        <f t="shared" si="5"/>
        <v>2630.4</v>
      </c>
      <c r="F96" s="81">
        <v>1</v>
      </c>
      <c r="G96" s="81">
        <v>1</v>
      </c>
      <c r="H96" s="81">
        <v>1</v>
      </c>
      <c r="J96" s="86">
        <v>868.2</v>
      </c>
      <c r="K96" s="86">
        <v>1103</v>
      </c>
      <c r="L96" s="86">
        <v>659.2</v>
      </c>
    </row>
    <row r="97" spans="1:12" x14ac:dyDescent="0.2">
      <c r="A97" s="51" t="s">
        <v>45</v>
      </c>
      <c r="B97" s="51" t="s">
        <v>13</v>
      </c>
      <c r="C97" s="7">
        <f t="shared" si="4"/>
        <v>0</v>
      </c>
      <c r="D97" s="7">
        <f t="shared" si="5"/>
        <v>0</v>
      </c>
      <c r="F97" s="80">
        <v>0</v>
      </c>
      <c r="G97" s="80">
        <v>0</v>
      </c>
      <c r="H97" s="80">
        <v>0</v>
      </c>
      <c r="J97" s="85">
        <v>0</v>
      </c>
      <c r="K97" s="85">
        <v>0</v>
      </c>
      <c r="L97" s="85">
        <v>0</v>
      </c>
    </row>
    <row r="98" spans="1:12" x14ac:dyDescent="0.2">
      <c r="A98" s="52" t="s">
        <v>45</v>
      </c>
      <c r="B98" s="52" t="s">
        <v>14</v>
      </c>
      <c r="C98" s="7">
        <f t="shared" si="4"/>
        <v>0</v>
      </c>
      <c r="D98" s="7">
        <f t="shared" si="5"/>
        <v>0</v>
      </c>
      <c r="F98" s="81">
        <v>0</v>
      </c>
      <c r="G98" s="81">
        <v>0</v>
      </c>
      <c r="H98" s="81">
        <v>0</v>
      </c>
      <c r="J98" s="86">
        <v>0</v>
      </c>
      <c r="K98" s="86">
        <v>0</v>
      </c>
      <c r="L98" s="86">
        <v>0</v>
      </c>
    </row>
    <row r="99" spans="1:12" x14ac:dyDescent="0.2">
      <c r="A99" s="51" t="s">
        <v>46</v>
      </c>
      <c r="B99" s="51" t="s">
        <v>12</v>
      </c>
      <c r="C99" s="7">
        <f t="shared" ref="C99:C128" si="6">SUM(F99:H99)</f>
        <v>0</v>
      </c>
      <c r="D99" s="7">
        <f t="shared" ref="D99:D128" si="7">SUM(J99:L99)</f>
        <v>0</v>
      </c>
      <c r="F99" s="80">
        <v>0</v>
      </c>
      <c r="G99" s="80">
        <v>0</v>
      </c>
      <c r="H99" s="80">
        <v>0</v>
      </c>
      <c r="J99" s="85">
        <v>0</v>
      </c>
      <c r="K99" s="85">
        <v>0</v>
      </c>
      <c r="L99" s="85">
        <v>0</v>
      </c>
    </row>
    <row r="100" spans="1:12" x14ac:dyDescent="0.2">
      <c r="A100" s="52" t="s">
        <v>46</v>
      </c>
      <c r="B100" s="52" t="s">
        <v>13</v>
      </c>
      <c r="C100" s="7">
        <f t="shared" si="6"/>
        <v>0</v>
      </c>
      <c r="D100" s="7">
        <f t="shared" si="7"/>
        <v>0</v>
      </c>
      <c r="F100" s="81">
        <v>0</v>
      </c>
      <c r="G100" s="81">
        <v>0</v>
      </c>
      <c r="H100" s="81">
        <v>0</v>
      </c>
      <c r="J100" s="86">
        <v>0</v>
      </c>
      <c r="K100" s="86">
        <v>0</v>
      </c>
      <c r="L100" s="86">
        <v>0</v>
      </c>
    </row>
    <row r="101" spans="1:12" x14ac:dyDescent="0.2">
      <c r="A101" s="51" t="s">
        <v>46</v>
      </c>
      <c r="B101" s="51" t="s">
        <v>14</v>
      </c>
      <c r="C101" s="7">
        <f t="shared" si="6"/>
        <v>0</v>
      </c>
      <c r="D101" s="7">
        <f t="shared" si="7"/>
        <v>0</v>
      </c>
      <c r="F101" s="80">
        <v>0</v>
      </c>
      <c r="G101" s="80">
        <v>0</v>
      </c>
      <c r="H101" s="80">
        <v>0</v>
      </c>
      <c r="J101" s="85">
        <v>0</v>
      </c>
      <c r="K101" s="85">
        <v>0</v>
      </c>
      <c r="L101" s="85">
        <v>0</v>
      </c>
    </row>
    <row r="102" spans="1:12" x14ac:dyDescent="0.2">
      <c r="A102" s="52" t="s">
        <v>47</v>
      </c>
      <c r="B102" s="52" t="s">
        <v>12</v>
      </c>
      <c r="C102" s="7">
        <f t="shared" si="6"/>
        <v>814</v>
      </c>
      <c r="D102" s="7">
        <f t="shared" si="7"/>
        <v>1122.4000000000001</v>
      </c>
      <c r="F102" s="81">
        <v>270</v>
      </c>
      <c r="G102" s="81">
        <v>270</v>
      </c>
      <c r="H102" s="81">
        <v>274</v>
      </c>
      <c r="J102" s="86">
        <v>409.7</v>
      </c>
      <c r="K102" s="86">
        <v>438.3</v>
      </c>
      <c r="L102" s="86">
        <v>274.39999999999998</v>
      </c>
    </row>
    <row r="103" spans="1:12" x14ac:dyDescent="0.2">
      <c r="A103" s="51" t="s">
        <v>47</v>
      </c>
      <c r="B103" s="51" t="s">
        <v>13</v>
      </c>
      <c r="C103" s="7">
        <f t="shared" si="6"/>
        <v>33</v>
      </c>
      <c r="D103" s="7">
        <f t="shared" si="7"/>
        <v>7866.5</v>
      </c>
      <c r="F103" s="80">
        <v>11</v>
      </c>
      <c r="G103" s="80">
        <v>11</v>
      </c>
      <c r="H103" s="80">
        <v>11</v>
      </c>
      <c r="J103" s="85">
        <v>2533.6999999999998</v>
      </c>
      <c r="K103" s="85">
        <v>2788.9</v>
      </c>
      <c r="L103" s="85">
        <v>2543.9</v>
      </c>
    </row>
    <row r="104" spans="1:12" x14ac:dyDescent="0.2">
      <c r="A104" s="52" t="s">
        <v>47</v>
      </c>
      <c r="B104" s="52" t="s">
        <v>14</v>
      </c>
      <c r="C104" s="7">
        <f t="shared" si="6"/>
        <v>11848</v>
      </c>
      <c r="D104" s="7">
        <f t="shared" si="7"/>
        <v>300.39999999999998</v>
      </c>
      <c r="F104" s="81">
        <v>3945</v>
      </c>
      <c r="G104" s="81">
        <v>3949</v>
      </c>
      <c r="H104" s="81">
        <v>3954</v>
      </c>
      <c r="J104" s="86">
        <v>111.8</v>
      </c>
      <c r="K104" s="86">
        <v>113.1</v>
      </c>
      <c r="L104" s="86">
        <v>75.5</v>
      </c>
    </row>
    <row r="105" spans="1:12" x14ac:dyDescent="0.2">
      <c r="A105" s="51" t="s">
        <v>48</v>
      </c>
      <c r="B105" s="51" t="s">
        <v>12</v>
      </c>
      <c r="C105" s="7">
        <f t="shared" si="6"/>
        <v>278</v>
      </c>
      <c r="D105" s="7">
        <f t="shared" si="7"/>
        <v>1500.6</v>
      </c>
      <c r="F105" s="80">
        <v>93</v>
      </c>
      <c r="G105" s="80">
        <v>93</v>
      </c>
      <c r="H105" s="80">
        <v>92</v>
      </c>
      <c r="J105" s="85">
        <v>614</v>
      </c>
      <c r="K105" s="85">
        <v>550</v>
      </c>
      <c r="L105" s="85">
        <v>336.6</v>
      </c>
    </row>
    <row r="106" spans="1:12" x14ac:dyDescent="0.2">
      <c r="A106" s="52" t="s">
        <v>48</v>
      </c>
      <c r="B106" s="52" t="s">
        <v>13</v>
      </c>
      <c r="C106" s="7">
        <f t="shared" si="6"/>
        <v>3</v>
      </c>
      <c r="D106" s="7">
        <f t="shared" si="7"/>
        <v>2104.9</v>
      </c>
      <c r="F106" s="81">
        <v>1</v>
      </c>
      <c r="G106" s="81">
        <v>1</v>
      </c>
      <c r="H106" s="81">
        <v>1</v>
      </c>
      <c r="J106" s="86">
        <v>922.6</v>
      </c>
      <c r="K106" s="86">
        <v>551.9</v>
      </c>
      <c r="L106" s="86">
        <v>630.4</v>
      </c>
    </row>
    <row r="107" spans="1:12" x14ac:dyDescent="0.2">
      <c r="A107" s="51" t="s">
        <v>48</v>
      </c>
      <c r="B107" s="51" t="s">
        <v>14</v>
      </c>
      <c r="C107" s="7">
        <f t="shared" si="6"/>
        <v>3667</v>
      </c>
      <c r="D107" s="7">
        <f t="shared" si="7"/>
        <v>242.8</v>
      </c>
      <c r="F107" s="80">
        <v>1223</v>
      </c>
      <c r="G107" s="80">
        <v>1221</v>
      </c>
      <c r="H107" s="80">
        <v>1223</v>
      </c>
      <c r="J107" s="85">
        <v>101.9</v>
      </c>
      <c r="K107" s="85">
        <v>89.4</v>
      </c>
      <c r="L107" s="85">
        <v>51.5</v>
      </c>
    </row>
    <row r="108" spans="1:12" x14ac:dyDescent="0.2">
      <c r="A108" s="52" t="s">
        <v>49</v>
      </c>
      <c r="B108" s="52" t="s">
        <v>12</v>
      </c>
      <c r="C108" s="7">
        <f t="shared" si="6"/>
        <v>6</v>
      </c>
      <c r="D108" s="7">
        <f t="shared" si="7"/>
        <v>11873.5</v>
      </c>
      <c r="F108" s="81">
        <v>2</v>
      </c>
      <c r="G108" s="81">
        <v>2</v>
      </c>
      <c r="H108" s="81">
        <v>2</v>
      </c>
      <c r="J108" s="86">
        <v>3174.8</v>
      </c>
      <c r="K108" s="86">
        <v>4450.1000000000004</v>
      </c>
      <c r="L108" s="86">
        <v>4248.6000000000004</v>
      </c>
    </row>
    <row r="109" spans="1:12" x14ac:dyDescent="0.2">
      <c r="A109" s="51" t="s">
        <v>49</v>
      </c>
      <c r="B109" s="51" t="s">
        <v>13</v>
      </c>
      <c r="C109" s="7">
        <f t="shared" si="6"/>
        <v>0</v>
      </c>
      <c r="D109" s="7">
        <f t="shared" si="7"/>
        <v>0</v>
      </c>
      <c r="F109" s="80">
        <v>0</v>
      </c>
      <c r="G109" s="80">
        <v>0</v>
      </c>
      <c r="H109" s="80">
        <v>0</v>
      </c>
      <c r="J109" s="85">
        <v>0</v>
      </c>
      <c r="K109" s="85">
        <v>0</v>
      </c>
      <c r="L109" s="85">
        <v>0</v>
      </c>
    </row>
    <row r="110" spans="1:12" x14ac:dyDescent="0.2">
      <c r="A110" s="52" t="s">
        <v>49</v>
      </c>
      <c r="B110" s="52" t="s">
        <v>14</v>
      </c>
      <c r="C110" s="7">
        <f t="shared" si="6"/>
        <v>0</v>
      </c>
      <c r="D110" s="7">
        <f t="shared" si="7"/>
        <v>0</v>
      </c>
      <c r="F110" s="81">
        <v>0</v>
      </c>
      <c r="G110" s="81">
        <v>0</v>
      </c>
      <c r="H110" s="81">
        <v>0</v>
      </c>
      <c r="J110" s="86">
        <v>0</v>
      </c>
      <c r="K110" s="86">
        <v>0</v>
      </c>
      <c r="L110" s="86">
        <v>0</v>
      </c>
    </row>
    <row r="111" spans="1:12" x14ac:dyDescent="0.2">
      <c r="A111" s="51" t="s">
        <v>50</v>
      </c>
      <c r="B111" s="51" t="s">
        <v>12</v>
      </c>
      <c r="C111" s="7">
        <f t="shared" si="6"/>
        <v>0</v>
      </c>
      <c r="D111" s="7">
        <f t="shared" si="7"/>
        <v>0</v>
      </c>
      <c r="F111" s="80">
        <v>0</v>
      </c>
      <c r="G111" s="80">
        <v>0</v>
      </c>
      <c r="H111" s="80">
        <v>0</v>
      </c>
      <c r="J111" s="85">
        <v>0</v>
      </c>
      <c r="K111" s="85">
        <v>0</v>
      </c>
      <c r="L111" s="85">
        <v>0</v>
      </c>
    </row>
    <row r="112" spans="1:12" x14ac:dyDescent="0.2">
      <c r="A112" s="52" t="s">
        <v>50</v>
      </c>
      <c r="B112" s="52" t="s">
        <v>13</v>
      </c>
      <c r="C112" s="7">
        <f t="shared" si="6"/>
        <v>0</v>
      </c>
      <c r="D112" s="7">
        <f t="shared" si="7"/>
        <v>0</v>
      </c>
      <c r="F112" s="81">
        <v>0</v>
      </c>
      <c r="G112" s="81">
        <v>0</v>
      </c>
      <c r="H112" s="81">
        <v>0</v>
      </c>
      <c r="J112" s="86">
        <v>0</v>
      </c>
      <c r="K112" s="86">
        <v>0</v>
      </c>
      <c r="L112" s="86">
        <v>0</v>
      </c>
    </row>
    <row r="113" spans="1:12" x14ac:dyDescent="0.2">
      <c r="A113" s="51" t="s">
        <v>50</v>
      </c>
      <c r="B113" s="51" t="s">
        <v>14</v>
      </c>
      <c r="C113" s="7">
        <f t="shared" si="6"/>
        <v>0</v>
      </c>
      <c r="D113" s="7">
        <f t="shared" si="7"/>
        <v>0</v>
      </c>
      <c r="F113" s="80">
        <v>0</v>
      </c>
      <c r="G113" s="80">
        <v>0</v>
      </c>
      <c r="H113" s="80">
        <v>0</v>
      </c>
      <c r="J113" s="85">
        <v>0</v>
      </c>
      <c r="K113" s="85">
        <v>0</v>
      </c>
      <c r="L113" s="85">
        <v>0</v>
      </c>
    </row>
    <row r="114" spans="1:12" x14ac:dyDescent="0.2">
      <c r="A114" s="52" t="s">
        <v>51</v>
      </c>
      <c r="B114" s="52" t="s">
        <v>12</v>
      </c>
      <c r="C114" s="7">
        <f t="shared" si="6"/>
        <v>2903</v>
      </c>
      <c r="D114" s="7">
        <f t="shared" si="7"/>
        <v>874.59999999999991</v>
      </c>
      <c r="F114" s="81">
        <v>968</v>
      </c>
      <c r="G114" s="81">
        <v>970</v>
      </c>
      <c r="H114" s="81">
        <v>965</v>
      </c>
      <c r="J114" s="86">
        <v>340.8</v>
      </c>
      <c r="K114" s="86">
        <v>329</v>
      </c>
      <c r="L114" s="86">
        <v>204.8</v>
      </c>
    </row>
    <row r="115" spans="1:12" x14ac:dyDescent="0.2">
      <c r="A115" s="51" t="s">
        <v>51</v>
      </c>
      <c r="B115" s="51" t="s">
        <v>13</v>
      </c>
      <c r="C115" s="7">
        <f t="shared" si="6"/>
        <v>15</v>
      </c>
      <c r="D115" s="7">
        <f t="shared" si="7"/>
        <v>24322.400000000001</v>
      </c>
      <c r="F115" s="80">
        <v>5</v>
      </c>
      <c r="G115" s="80">
        <v>5</v>
      </c>
      <c r="H115" s="80">
        <v>5</v>
      </c>
      <c r="J115" s="85">
        <v>9008.4</v>
      </c>
      <c r="K115" s="85">
        <v>8473.4</v>
      </c>
      <c r="L115" s="85">
        <v>6840.6</v>
      </c>
    </row>
    <row r="116" spans="1:12" x14ac:dyDescent="0.2">
      <c r="A116" s="52" t="s">
        <v>51</v>
      </c>
      <c r="B116" s="52" t="s">
        <v>14</v>
      </c>
      <c r="C116" s="7">
        <f t="shared" si="6"/>
        <v>36801</v>
      </c>
      <c r="D116" s="7">
        <f t="shared" si="7"/>
        <v>255.2</v>
      </c>
      <c r="F116" s="81">
        <v>12271</v>
      </c>
      <c r="G116" s="81">
        <v>12276</v>
      </c>
      <c r="H116" s="81">
        <v>12254</v>
      </c>
      <c r="J116" s="86">
        <v>100.8</v>
      </c>
      <c r="K116" s="86">
        <v>94.6</v>
      </c>
      <c r="L116" s="86">
        <v>59.8</v>
      </c>
    </row>
    <row r="117" spans="1:12" x14ac:dyDescent="0.2">
      <c r="A117" s="51" t="s">
        <v>52</v>
      </c>
      <c r="B117" s="51" t="s">
        <v>12</v>
      </c>
      <c r="C117" s="7">
        <f t="shared" si="6"/>
        <v>1550</v>
      </c>
      <c r="D117" s="7">
        <f t="shared" si="7"/>
        <v>1880.1</v>
      </c>
      <c r="F117" s="80">
        <v>515</v>
      </c>
      <c r="G117" s="80">
        <v>516</v>
      </c>
      <c r="H117" s="80">
        <v>519</v>
      </c>
      <c r="J117" s="85">
        <v>614.9</v>
      </c>
      <c r="K117" s="85">
        <v>742.2</v>
      </c>
      <c r="L117" s="85">
        <v>523</v>
      </c>
    </row>
    <row r="118" spans="1:12" x14ac:dyDescent="0.2">
      <c r="A118" s="52" t="s">
        <v>52</v>
      </c>
      <c r="B118" s="52" t="s">
        <v>13</v>
      </c>
      <c r="C118" s="7">
        <f t="shared" si="6"/>
        <v>0</v>
      </c>
      <c r="D118" s="7">
        <f t="shared" si="7"/>
        <v>0</v>
      </c>
      <c r="F118" s="81">
        <v>0</v>
      </c>
      <c r="G118" s="81">
        <v>0</v>
      </c>
      <c r="H118" s="81">
        <v>0</v>
      </c>
      <c r="J118" s="86">
        <v>0</v>
      </c>
      <c r="K118" s="86">
        <v>0</v>
      </c>
      <c r="L118" s="86">
        <v>0</v>
      </c>
    </row>
    <row r="119" spans="1:12" x14ac:dyDescent="0.2">
      <c r="A119" s="51" t="s">
        <v>52</v>
      </c>
      <c r="B119" s="51" t="s">
        <v>14</v>
      </c>
      <c r="C119" s="7">
        <f t="shared" si="6"/>
        <v>19984</v>
      </c>
      <c r="D119" s="7">
        <f t="shared" si="7"/>
        <v>321.7</v>
      </c>
      <c r="F119" s="80">
        <v>6670</v>
      </c>
      <c r="G119" s="80">
        <v>6663</v>
      </c>
      <c r="H119" s="80">
        <v>6651</v>
      </c>
      <c r="J119" s="85">
        <v>103.2</v>
      </c>
      <c r="K119" s="85">
        <v>136.80000000000001</v>
      </c>
      <c r="L119" s="85">
        <v>81.7</v>
      </c>
    </row>
    <row r="120" spans="1:12" x14ac:dyDescent="0.2">
      <c r="A120" s="52" t="s">
        <v>53</v>
      </c>
      <c r="B120" s="52" t="s">
        <v>12</v>
      </c>
      <c r="C120" s="7">
        <f t="shared" si="6"/>
        <v>1600</v>
      </c>
      <c r="D120" s="7">
        <f t="shared" si="7"/>
        <v>1636.9</v>
      </c>
      <c r="F120" s="81">
        <v>533</v>
      </c>
      <c r="G120" s="81">
        <v>534</v>
      </c>
      <c r="H120" s="81">
        <v>533</v>
      </c>
      <c r="J120" s="86">
        <v>516.1</v>
      </c>
      <c r="K120" s="86">
        <v>653.20000000000005</v>
      </c>
      <c r="L120" s="86">
        <v>467.6</v>
      </c>
    </row>
    <row r="121" spans="1:12" x14ac:dyDescent="0.2">
      <c r="A121" s="51" t="s">
        <v>53</v>
      </c>
      <c r="B121" s="51" t="s">
        <v>13</v>
      </c>
      <c r="C121" s="7">
        <f t="shared" si="6"/>
        <v>6</v>
      </c>
      <c r="D121" s="7">
        <f t="shared" si="7"/>
        <v>416.8</v>
      </c>
      <c r="F121" s="80">
        <v>2</v>
      </c>
      <c r="G121" s="80">
        <v>2</v>
      </c>
      <c r="H121" s="80">
        <v>2</v>
      </c>
      <c r="J121" s="85">
        <v>126.9</v>
      </c>
      <c r="K121" s="85">
        <v>85</v>
      </c>
      <c r="L121" s="85">
        <v>204.9</v>
      </c>
    </row>
    <row r="122" spans="1:12" x14ac:dyDescent="0.2">
      <c r="A122" s="52" t="s">
        <v>53</v>
      </c>
      <c r="B122" s="52" t="s">
        <v>14</v>
      </c>
      <c r="C122" s="7">
        <f t="shared" si="6"/>
        <v>16294</v>
      </c>
      <c r="D122" s="7">
        <f t="shared" si="7"/>
        <v>273</v>
      </c>
      <c r="F122" s="81">
        <v>5437</v>
      </c>
      <c r="G122" s="81">
        <v>5429</v>
      </c>
      <c r="H122" s="81">
        <v>5428</v>
      </c>
      <c r="J122" s="86">
        <v>100.3</v>
      </c>
      <c r="K122" s="86">
        <v>103.6</v>
      </c>
      <c r="L122" s="86">
        <v>69.099999999999994</v>
      </c>
    </row>
    <row r="123" spans="1:12" x14ac:dyDescent="0.2">
      <c r="A123" s="51" t="s">
        <v>54</v>
      </c>
      <c r="B123" s="51" t="s">
        <v>12</v>
      </c>
      <c r="C123" s="7">
        <f t="shared" si="6"/>
        <v>733</v>
      </c>
      <c r="D123" s="7">
        <f t="shared" si="7"/>
        <v>1205.5999999999999</v>
      </c>
      <c r="F123" s="80">
        <v>245</v>
      </c>
      <c r="G123" s="80">
        <v>245</v>
      </c>
      <c r="H123" s="80">
        <v>243</v>
      </c>
      <c r="J123" s="85">
        <v>370.6</v>
      </c>
      <c r="K123" s="85">
        <v>477.5</v>
      </c>
      <c r="L123" s="85">
        <v>357.5</v>
      </c>
    </row>
    <row r="124" spans="1:12" x14ac:dyDescent="0.2">
      <c r="A124" s="52" t="s">
        <v>54</v>
      </c>
      <c r="B124" s="52" t="s">
        <v>13</v>
      </c>
      <c r="C124" s="7">
        <f t="shared" si="6"/>
        <v>3</v>
      </c>
      <c r="D124" s="7">
        <f t="shared" si="7"/>
        <v>30202.7</v>
      </c>
      <c r="F124" s="81">
        <v>1</v>
      </c>
      <c r="G124" s="81">
        <v>1</v>
      </c>
      <c r="H124" s="81">
        <v>1</v>
      </c>
      <c r="J124" s="86">
        <v>9936.9</v>
      </c>
      <c r="K124" s="86">
        <v>12230.6</v>
      </c>
      <c r="L124" s="86">
        <v>8035.2</v>
      </c>
    </row>
    <row r="125" spans="1:12" x14ac:dyDescent="0.2">
      <c r="A125" s="51" t="s">
        <v>54</v>
      </c>
      <c r="B125" s="51" t="s">
        <v>14</v>
      </c>
      <c r="C125" s="7">
        <f t="shared" si="6"/>
        <v>20360</v>
      </c>
      <c r="D125" s="7">
        <f t="shared" si="7"/>
        <v>360.3</v>
      </c>
      <c r="F125" s="80">
        <v>6787</v>
      </c>
      <c r="G125" s="80">
        <v>6784</v>
      </c>
      <c r="H125" s="80">
        <v>6789</v>
      </c>
      <c r="J125" s="85">
        <v>117.7</v>
      </c>
      <c r="K125" s="85">
        <v>139.1</v>
      </c>
      <c r="L125" s="85">
        <v>103.5</v>
      </c>
    </row>
    <row r="126" spans="1:12" x14ac:dyDescent="0.2">
      <c r="A126" s="52" t="s">
        <v>55</v>
      </c>
      <c r="B126" s="52" t="s">
        <v>12</v>
      </c>
      <c r="C126" s="7">
        <f t="shared" si="6"/>
        <v>705</v>
      </c>
      <c r="D126" s="7">
        <f t="shared" si="7"/>
        <v>2917.6000000000004</v>
      </c>
      <c r="F126" s="81">
        <v>227</v>
      </c>
      <c r="G126" s="81">
        <v>237</v>
      </c>
      <c r="H126" s="81">
        <v>241</v>
      </c>
      <c r="J126" s="86">
        <v>1038.0999999999999</v>
      </c>
      <c r="K126" s="86">
        <v>1080.7</v>
      </c>
      <c r="L126" s="86">
        <v>798.8</v>
      </c>
    </row>
    <row r="127" spans="1:12" x14ac:dyDescent="0.2">
      <c r="A127" s="51" t="s">
        <v>55</v>
      </c>
      <c r="B127" s="51" t="s">
        <v>13</v>
      </c>
      <c r="C127" s="7">
        <f t="shared" si="6"/>
        <v>0</v>
      </c>
      <c r="D127" s="7">
        <f t="shared" si="7"/>
        <v>0</v>
      </c>
      <c r="E127" s="7"/>
      <c r="F127" s="80">
        <v>0</v>
      </c>
      <c r="G127" s="80">
        <v>0</v>
      </c>
      <c r="H127" s="80">
        <v>0</v>
      </c>
      <c r="I127" s="7"/>
      <c r="J127" s="85">
        <v>0</v>
      </c>
      <c r="K127" s="85">
        <v>0</v>
      </c>
      <c r="L127" s="85">
        <v>0</v>
      </c>
    </row>
    <row r="128" spans="1:12" x14ac:dyDescent="0.2">
      <c r="A128" s="52" t="s">
        <v>55</v>
      </c>
      <c r="B128" s="52" t="s">
        <v>14</v>
      </c>
      <c r="C128" s="7">
        <f t="shared" si="6"/>
        <v>14968</v>
      </c>
      <c r="D128" s="7">
        <f t="shared" si="7"/>
        <v>298.3</v>
      </c>
      <c r="F128" s="81">
        <v>4982</v>
      </c>
      <c r="G128" s="81">
        <v>4986</v>
      </c>
      <c r="H128" s="81">
        <v>5000</v>
      </c>
      <c r="J128" s="86">
        <v>96.4</v>
      </c>
      <c r="K128" s="86">
        <v>123.6</v>
      </c>
      <c r="L128" s="86">
        <v>78.3</v>
      </c>
    </row>
    <row r="129" spans="1:12" x14ac:dyDescent="0.2">
      <c r="A129" s="51" t="s">
        <v>56</v>
      </c>
      <c r="B129" s="51" t="s">
        <v>12</v>
      </c>
      <c r="C129" s="7">
        <f t="shared" ref="C129:C131" si="8">SUM(F129:H129)</f>
        <v>0</v>
      </c>
      <c r="D129" s="7">
        <f t="shared" ref="D129:D131" si="9">SUM(J129:L129)</f>
        <v>0</v>
      </c>
      <c r="F129" s="80">
        <v>0</v>
      </c>
      <c r="G129" s="80">
        <v>0</v>
      </c>
      <c r="H129" s="80">
        <v>0</v>
      </c>
      <c r="J129" s="85">
        <v>0</v>
      </c>
      <c r="K129" s="85">
        <v>0</v>
      </c>
      <c r="L129" s="85">
        <v>0</v>
      </c>
    </row>
    <row r="130" spans="1:12" x14ac:dyDescent="0.2">
      <c r="A130" s="52" t="s">
        <v>56</v>
      </c>
      <c r="B130" s="52" t="s">
        <v>13</v>
      </c>
      <c r="C130" s="7">
        <f t="shared" si="8"/>
        <v>0</v>
      </c>
      <c r="D130" s="7">
        <f t="shared" si="9"/>
        <v>0</v>
      </c>
      <c r="F130" s="81">
        <v>0</v>
      </c>
      <c r="G130" s="81">
        <v>0</v>
      </c>
      <c r="H130" s="81">
        <v>0</v>
      </c>
      <c r="J130" s="86">
        <v>0</v>
      </c>
      <c r="K130" s="86">
        <v>0</v>
      </c>
      <c r="L130" s="86">
        <v>0</v>
      </c>
    </row>
    <row r="131" spans="1:12" x14ac:dyDescent="0.2">
      <c r="A131" s="51" t="s">
        <v>56</v>
      </c>
      <c r="B131" s="51" t="s">
        <v>14</v>
      </c>
      <c r="C131" s="7">
        <f t="shared" si="8"/>
        <v>0</v>
      </c>
      <c r="D131" s="7">
        <f t="shared" si="9"/>
        <v>0</v>
      </c>
      <c r="F131" s="80">
        <v>0</v>
      </c>
      <c r="G131" s="80">
        <v>0</v>
      </c>
      <c r="H131" s="80">
        <v>0</v>
      </c>
      <c r="J131" s="85">
        <v>0</v>
      </c>
      <c r="K131" s="85">
        <v>0</v>
      </c>
      <c r="L131" s="85">
        <v>0</v>
      </c>
    </row>
    <row r="132" spans="1:12" x14ac:dyDescent="0.2">
      <c r="F132" s="82"/>
      <c r="G132" s="82"/>
      <c r="H132" s="82"/>
    </row>
    <row r="133" spans="1:12" x14ac:dyDescent="0.2">
      <c r="F133" s="82"/>
      <c r="G133" s="82"/>
      <c r="H133" s="82"/>
    </row>
    <row r="134" spans="1:12" x14ac:dyDescent="0.2">
      <c r="F134" s="82"/>
      <c r="G134" s="82"/>
      <c r="H134" s="82"/>
    </row>
    <row r="135" spans="1:12" x14ac:dyDescent="0.2">
      <c r="F135" s="82"/>
      <c r="G135" s="82"/>
      <c r="H135" s="82"/>
    </row>
    <row r="136" spans="1:12" x14ac:dyDescent="0.2">
      <c r="F136" s="82"/>
      <c r="G136" s="82"/>
      <c r="H136" s="82"/>
    </row>
    <row r="137" spans="1:12" x14ac:dyDescent="0.2">
      <c r="F137" s="82"/>
      <c r="G137" s="82"/>
      <c r="H137" s="82"/>
    </row>
    <row r="138" spans="1:12" x14ac:dyDescent="0.2">
      <c r="F138" s="82"/>
      <c r="G138" s="82"/>
      <c r="H138" s="82"/>
    </row>
    <row r="139" spans="1:12" x14ac:dyDescent="0.2">
      <c r="F139" s="82"/>
      <c r="G139" s="82"/>
      <c r="H139" s="82"/>
    </row>
    <row r="140" spans="1:12" x14ac:dyDescent="0.2">
      <c r="F140" s="82"/>
      <c r="G140" s="82"/>
      <c r="H140" s="82"/>
    </row>
    <row r="141" spans="1:12" x14ac:dyDescent="0.2">
      <c r="F141" s="82"/>
      <c r="G141" s="82"/>
      <c r="H141" s="82"/>
    </row>
    <row r="142" spans="1:12" x14ac:dyDescent="0.2">
      <c r="F142" s="82"/>
      <c r="G142" s="82"/>
      <c r="H142" s="82"/>
    </row>
    <row r="143" spans="1:12" x14ac:dyDescent="0.2">
      <c r="F143" s="82"/>
      <c r="G143" s="82"/>
      <c r="H143" s="82"/>
    </row>
    <row r="144" spans="1:12" x14ac:dyDescent="0.2">
      <c r="F144" s="82"/>
      <c r="G144" s="82"/>
      <c r="H144" s="82"/>
    </row>
    <row r="145" spans="6:8" x14ac:dyDescent="0.2">
      <c r="F145" s="82"/>
      <c r="G145" s="82"/>
      <c r="H145" s="82"/>
    </row>
    <row r="146" spans="6:8" x14ac:dyDescent="0.2">
      <c r="F146" s="82"/>
      <c r="G146" s="82"/>
      <c r="H146" s="82"/>
    </row>
    <row r="147" spans="6:8" x14ac:dyDescent="0.2">
      <c r="F147" s="82"/>
      <c r="G147" s="82"/>
      <c r="H147" s="82"/>
    </row>
    <row r="148" spans="6:8" x14ac:dyDescent="0.2">
      <c r="F148" s="82"/>
      <c r="G148" s="82"/>
      <c r="H148" s="82"/>
    </row>
    <row r="149" spans="6:8" x14ac:dyDescent="0.2">
      <c r="F149" s="82"/>
      <c r="G149" s="82"/>
      <c r="H149" s="82"/>
    </row>
    <row r="150" spans="6:8" x14ac:dyDescent="0.2">
      <c r="F150" s="82"/>
      <c r="G150" s="82"/>
      <c r="H150" s="82"/>
    </row>
    <row r="151" spans="6:8" x14ac:dyDescent="0.2">
      <c r="F151" s="82"/>
      <c r="G151" s="82"/>
      <c r="H151" s="82"/>
    </row>
    <row r="152" spans="6:8" x14ac:dyDescent="0.2">
      <c r="F152" s="82"/>
      <c r="G152" s="82"/>
      <c r="H152" s="82"/>
    </row>
    <row r="153" spans="6:8" x14ac:dyDescent="0.2">
      <c r="F153" s="82"/>
      <c r="G153" s="82"/>
      <c r="H153" s="82"/>
    </row>
    <row r="154" spans="6:8" x14ac:dyDescent="0.2">
      <c r="F154" s="82"/>
      <c r="G154" s="82"/>
      <c r="H154" s="82"/>
    </row>
    <row r="155" spans="6:8" x14ac:dyDescent="0.2">
      <c r="F155" s="82"/>
      <c r="G155" s="82"/>
      <c r="H155" s="82"/>
    </row>
    <row r="156" spans="6:8" x14ac:dyDescent="0.2">
      <c r="F156" s="82"/>
      <c r="G156" s="82"/>
      <c r="H156" s="82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1Q and March 2025 COVID Data Rpt 
&amp;P of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3"/>
  <sheetViews>
    <sheetView tabSelected="1" view="pageLayout" zoomScale="106" zoomScaleNormal="100" zoomScalePageLayoutView="106" workbookViewId="0">
      <selection activeCell="D12" sqref="D12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57</v>
      </c>
      <c r="B1" s="2"/>
      <c r="D1" s="8" t="s">
        <v>58</v>
      </c>
      <c r="E1" s="27"/>
      <c r="F1" s="27"/>
      <c r="H1" s="8" t="s">
        <v>59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60</v>
      </c>
      <c r="V1" s="8"/>
      <c r="W1" s="8"/>
      <c r="Y1" s="8" t="s">
        <v>61</v>
      </c>
      <c r="Z1" s="8"/>
      <c r="AA1" s="8"/>
    </row>
    <row r="2" spans="1:27" ht="14" customHeight="1" x14ac:dyDescent="0.2">
      <c r="D2" s="19"/>
      <c r="E2" s="29"/>
      <c r="F2" s="29"/>
      <c r="H2" s="46" t="str">
        <f>+D4</f>
        <v>COUNT_2501</v>
      </c>
      <c r="I2" s="30"/>
      <c r="J2" s="30"/>
      <c r="K2" s="30"/>
      <c r="L2" s="46" t="str">
        <f>+E4</f>
        <v>COUNT_2502</v>
      </c>
      <c r="M2" s="30"/>
      <c r="N2" s="30"/>
      <c r="O2" s="30"/>
      <c r="P2" s="46" t="str">
        <f>+F4</f>
        <v>COUNT_2503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4" customHeight="1" x14ac:dyDescent="0.2">
      <c r="A3" s="33"/>
      <c r="B3" s="33"/>
      <c r="D3" s="34"/>
      <c r="E3" s="35"/>
      <c r="F3" s="35"/>
      <c r="H3" s="31" t="s">
        <v>62</v>
      </c>
      <c r="I3" s="32" t="s">
        <v>62</v>
      </c>
      <c r="J3" s="32" t="s">
        <v>62</v>
      </c>
      <c r="K3" s="32" t="s">
        <v>62</v>
      </c>
      <c r="L3" s="31" t="s">
        <v>62</v>
      </c>
      <c r="M3" s="32" t="s">
        <v>62</v>
      </c>
      <c r="N3" s="32" t="s">
        <v>62</v>
      </c>
      <c r="O3" s="32" t="s">
        <v>62</v>
      </c>
      <c r="P3" s="31" t="s">
        <v>62</v>
      </c>
      <c r="Q3" s="32" t="s">
        <v>62</v>
      </c>
      <c r="R3" s="32" t="s">
        <v>62</v>
      </c>
      <c r="S3" s="32" t="s">
        <v>62</v>
      </c>
      <c r="U3" s="19"/>
      <c r="V3" s="19"/>
      <c r="W3" s="19"/>
      <c r="Y3" s="19"/>
      <c r="Z3" s="19"/>
      <c r="AA3" s="19"/>
    </row>
    <row r="4" spans="1:27" x14ac:dyDescent="0.2">
      <c r="A4" s="28" t="s">
        <v>63</v>
      </c>
      <c r="B4" s="28" t="s">
        <v>64</v>
      </c>
      <c r="D4" s="73" t="s">
        <v>65</v>
      </c>
      <c r="E4" s="73" t="s">
        <v>66</v>
      </c>
      <c r="F4" s="73" t="s">
        <v>67</v>
      </c>
      <c r="H4" s="31" t="s">
        <v>68</v>
      </c>
      <c r="I4" s="32" t="s">
        <v>69</v>
      </c>
      <c r="J4" s="32" t="s">
        <v>70</v>
      </c>
      <c r="K4" s="32" t="s">
        <v>71</v>
      </c>
      <c r="L4" s="31" t="s">
        <v>68</v>
      </c>
      <c r="M4" s="32" t="s">
        <v>69</v>
      </c>
      <c r="N4" s="32" t="s">
        <v>70</v>
      </c>
      <c r="O4" s="32" t="s">
        <v>71</v>
      </c>
      <c r="P4" s="31" t="s">
        <v>68</v>
      </c>
      <c r="Q4" s="32" t="s">
        <v>69</v>
      </c>
      <c r="R4" s="32" t="s">
        <v>70</v>
      </c>
      <c r="S4" s="32" t="s">
        <v>71</v>
      </c>
      <c r="U4" s="56" t="str">
        <f>+D4</f>
        <v>COUNT_2501</v>
      </c>
      <c r="V4" s="56" t="str">
        <f t="shared" ref="V4:W4" si="0">+E4</f>
        <v>COUNT_2502</v>
      </c>
      <c r="W4" s="56" t="str">
        <f t="shared" si="0"/>
        <v>COUNT_2503</v>
      </c>
      <c r="Y4" s="4" t="str">
        <f>+D4</f>
        <v>COUNT_2501</v>
      </c>
      <c r="Z4" s="4" t="str">
        <f t="shared" ref="Z4:AA4" si="1">+E4</f>
        <v>COUNT_2502</v>
      </c>
      <c r="AA4" s="4" t="str">
        <f t="shared" si="1"/>
        <v>COUNT_2503</v>
      </c>
    </row>
    <row r="5" spans="1:27" x14ac:dyDescent="0.2">
      <c r="A5" s="39" t="s">
        <v>11</v>
      </c>
      <c r="B5" s="39" t="s">
        <v>12</v>
      </c>
      <c r="D5" s="51">
        <v>0</v>
      </c>
      <c r="E5" s="51">
        <v>0</v>
      </c>
      <c r="F5" s="51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U5" s="39">
        <v>0</v>
      </c>
      <c r="V5" s="39">
        <v>0</v>
      </c>
      <c r="W5" s="39">
        <v>0</v>
      </c>
      <c r="Y5" t="s">
        <v>72</v>
      </c>
    </row>
    <row r="6" spans="1:27" x14ac:dyDescent="0.2">
      <c r="A6" s="40" t="s">
        <v>11</v>
      </c>
      <c r="B6" s="40" t="s">
        <v>13</v>
      </c>
      <c r="D6" s="52">
        <v>0</v>
      </c>
      <c r="E6" s="52">
        <v>0</v>
      </c>
      <c r="F6" s="52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U6" s="40">
        <v>0</v>
      </c>
      <c r="V6" s="40">
        <v>0</v>
      </c>
      <c r="W6" s="40">
        <v>0</v>
      </c>
      <c r="Y6" t="s">
        <v>73</v>
      </c>
    </row>
    <row r="7" spans="1:27" x14ac:dyDescent="0.2">
      <c r="A7" s="39" t="s">
        <v>11</v>
      </c>
      <c r="B7" s="39" t="s">
        <v>14</v>
      </c>
      <c r="D7" s="51">
        <v>0</v>
      </c>
      <c r="E7" s="51">
        <v>0</v>
      </c>
      <c r="F7" s="51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U7" s="39">
        <v>0</v>
      </c>
      <c r="V7" s="39">
        <v>0</v>
      </c>
      <c r="W7" s="39">
        <v>0</v>
      </c>
      <c r="Y7" t="s">
        <v>74</v>
      </c>
    </row>
    <row r="8" spans="1:27" x14ac:dyDescent="0.2">
      <c r="A8" s="40" t="s">
        <v>15</v>
      </c>
      <c r="B8" s="40" t="s">
        <v>12</v>
      </c>
      <c r="D8" s="52">
        <v>0</v>
      </c>
      <c r="E8" s="52">
        <v>0</v>
      </c>
      <c r="F8" s="52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U8" s="40">
        <v>0</v>
      </c>
      <c r="V8" s="40">
        <v>0</v>
      </c>
      <c r="W8" s="40">
        <v>0</v>
      </c>
    </row>
    <row r="9" spans="1:27" x14ac:dyDescent="0.2">
      <c r="A9" s="39" t="s">
        <v>15</v>
      </c>
      <c r="B9" s="39" t="s">
        <v>13</v>
      </c>
      <c r="D9" s="51">
        <v>0</v>
      </c>
      <c r="E9" s="51">
        <v>0</v>
      </c>
      <c r="F9" s="51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U9" s="39">
        <v>0</v>
      </c>
      <c r="V9" s="39">
        <v>0</v>
      </c>
      <c r="W9" s="39">
        <v>0</v>
      </c>
    </row>
    <row r="10" spans="1:27" x14ac:dyDescent="0.2">
      <c r="A10" s="40" t="s">
        <v>15</v>
      </c>
      <c r="B10" s="40" t="s">
        <v>14</v>
      </c>
      <c r="D10" s="52">
        <v>0</v>
      </c>
      <c r="E10" s="52">
        <v>0</v>
      </c>
      <c r="F10" s="52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U10" s="40">
        <v>0</v>
      </c>
      <c r="V10" s="40">
        <v>0</v>
      </c>
      <c r="W10" s="40">
        <v>0</v>
      </c>
    </row>
    <row r="11" spans="1:27" x14ac:dyDescent="0.2">
      <c r="A11" s="39" t="s">
        <v>16</v>
      </c>
      <c r="B11" s="39" t="s">
        <v>12</v>
      </c>
      <c r="D11" s="51">
        <v>0</v>
      </c>
      <c r="E11" s="51">
        <v>0</v>
      </c>
      <c r="F11" s="51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U11" s="39">
        <v>0</v>
      </c>
      <c r="V11" s="39">
        <v>0</v>
      </c>
      <c r="W11" s="39">
        <v>0</v>
      </c>
    </row>
    <row r="12" spans="1:27" x14ac:dyDescent="0.2">
      <c r="A12" s="40" t="s">
        <v>16</v>
      </c>
      <c r="B12" s="40" t="s">
        <v>13</v>
      </c>
      <c r="D12" s="52">
        <v>0</v>
      </c>
      <c r="E12" s="52">
        <v>0</v>
      </c>
      <c r="F12" s="52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U12" s="40">
        <v>0</v>
      </c>
      <c r="V12" s="40">
        <v>0</v>
      </c>
      <c r="W12" s="40">
        <v>0</v>
      </c>
    </row>
    <row r="13" spans="1:27" x14ac:dyDescent="0.2">
      <c r="A13" s="39" t="s">
        <v>16</v>
      </c>
      <c r="B13" s="39" t="s">
        <v>14</v>
      </c>
      <c r="D13" s="51">
        <v>0</v>
      </c>
      <c r="E13" s="51">
        <v>0</v>
      </c>
      <c r="F13" s="51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U13" s="39">
        <v>0</v>
      </c>
      <c r="V13" s="39">
        <v>0</v>
      </c>
      <c r="W13" s="39">
        <v>0</v>
      </c>
    </row>
    <row r="14" spans="1:27" x14ac:dyDescent="0.2">
      <c r="A14" s="40" t="s">
        <v>17</v>
      </c>
      <c r="B14" s="40" t="s">
        <v>12</v>
      </c>
      <c r="D14" s="52">
        <v>0</v>
      </c>
      <c r="E14" s="52">
        <v>0</v>
      </c>
      <c r="F14" s="52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U14" s="40">
        <v>0</v>
      </c>
      <c r="V14" s="40">
        <v>0</v>
      </c>
      <c r="W14" s="40">
        <v>0</v>
      </c>
    </row>
    <row r="15" spans="1:27" x14ac:dyDescent="0.2">
      <c r="A15" s="39" t="s">
        <v>17</v>
      </c>
      <c r="B15" s="39" t="s">
        <v>13</v>
      </c>
      <c r="D15" s="51">
        <v>0</v>
      </c>
      <c r="E15" s="51">
        <v>0</v>
      </c>
      <c r="F15" s="51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U15" s="39">
        <v>0</v>
      </c>
      <c r="V15" s="39">
        <v>0</v>
      </c>
      <c r="W15" s="39">
        <v>0</v>
      </c>
    </row>
    <row r="16" spans="1:27" x14ac:dyDescent="0.2">
      <c r="A16" s="40" t="s">
        <v>17</v>
      </c>
      <c r="B16" s="40" t="s">
        <v>14</v>
      </c>
      <c r="D16" s="52">
        <v>0</v>
      </c>
      <c r="E16" s="52">
        <v>0</v>
      </c>
      <c r="F16" s="52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U16" s="40">
        <v>0</v>
      </c>
      <c r="V16" s="40">
        <v>0</v>
      </c>
      <c r="W16" s="40">
        <v>0</v>
      </c>
    </row>
    <row r="17" spans="1:23" x14ac:dyDescent="0.2">
      <c r="A17" s="39" t="s">
        <v>18</v>
      </c>
      <c r="B17" s="39" t="s">
        <v>12</v>
      </c>
      <c r="D17" s="51">
        <v>0</v>
      </c>
      <c r="E17" s="51">
        <v>0</v>
      </c>
      <c r="F17" s="51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U17" s="39">
        <v>0</v>
      </c>
      <c r="V17" s="39">
        <v>0</v>
      </c>
      <c r="W17" s="39">
        <v>0</v>
      </c>
    </row>
    <row r="18" spans="1:23" x14ac:dyDescent="0.2">
      <c r="A18" s="40" t="s">
        <v>18</v>
      </c>
      <c r="B18" s="40" t="s">
        <v>13</v>
      </c>
      <c r="D18" s="52">
        <v>0</v>
      </c>
      <c r="E18" s="52">
        <v>0</v>
      </c>
      <c r="F18" s="52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U18" s="40">
        <v>0</v>
      </c>
      <c r="V18" s="40">
        <v>0</v>
      </c>
      <c r="W18" s="40">
        <v>0</v>
      </c>
    </row>
    <row r="19" spans="1:23" x14ac:dyDescent="0.2">
      <c r="A19" s="39" t="s">
        <v>18</v>
      </c>
      <c r="B19" s="39" t="s">
        <v>14</v>
      </c>
      <c r="D19" s="51">
        <v>0</v>
      </c>
      <c r="E19" s="51">
        <v>0</v>
      </c>
      <c r="F19" s="51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U19" s="39">
        <v>0</v>
      </c>
      <c r="V19" s="39">
        <v>0</v>
      </c>
      <c r="W19" s="39">
        <v>0</v>
      </c>
    </row>
    <row r="20" spans="1:23" x14ac:dyDescent="0.2">
      <c r="A20" s="40" t="s">
        <v>19</v>
      </c>
      <c r="B20" s="40" t="s">
        <v>12</v>
      </c>
      <c r="D20" s="52">
        <v>0</v>
      </c>
      <c r="E20" s="52">
        <v>0</v>
      </c>
      <c r="F20" s="52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U20" s="40">
        <v>0</v>
      </c>
      <c r="V20" s="40">
        <v>0</v>
      </c>
      <c r="W20" s="40">
        <v>0</v>
      </c>
    </row>
    <row r="21" spans="1:23" x14ac:dyDescent="0.2">
      <c r="A21" s="39" t="s">
        <v>19</v>
      </c>
      <c r="B21" s="39" t="s">
        <v>13</v>
      </c>
      <c r="D21" s="51">
        <v>0</v>
      </c>
      <c r="E21" s="51">
        <v>0</v>
      </c>
      <c r="F21" s="51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U21" s="39">
        <v>0</v>
      </c>
      <c r="V21" s="39">
        <v>0</v>
      </c>
      <c r="W21" s="39">
        <v>0</v>
      </c>
    </row>
    <row r="22" spans="1:23" x14ac:dyDescent="0.2">
      <c r="A22" s="40" t="s">
        <v>19</v>
      </c>
      <c r="B22" s="40" t="s">
        <v>14</v>
      </c>
      <c r="D22" s="52">
        <v>0</v>
      </c>
      <c r="E22" s="52">
        <v>0</v>
      </c>
      <c r="F22" s="52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U22" s="40">
        <v>0</v>
      </c>
      <c r="V22" s="40">
        <v>0</v>
      </c>
      <c r="W22" s="40">
        <v>0</v>
      </c>
    </row>
    <row r="23" spans="1:23" x14ac:dyDescent="0.2">
      <c r="A23" s="39" t="s">
        <v>20</v>
      </c>
      <c r="B23" s="39" t="s">
        <v>12</v>
      </c>
      <c r="D23" s="51">
        <v>0</v>
      </c>
      <c r="E23" s="51">
        <v>0</v>
      </c>
      <c r="F23" s="51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U23" s="39">
        <v>0</v>
      </c>
      <c r="V23" s="39">
        <v>0</v>
      </c>
      <c r="W23" s="39">
        <v>0</v>
      </c>
    </row>
    <row r="24" spans="1:23" x14ac:dyDescent="0.2">
      <c r="A24" s="40" t="s">
        <v>20</v>
      </c>
      <c r="B24" s="40" t="s">
        <v>13</v>
      </c>
      <c r="D24" s="52">
        <v>0</v>
      </c>
      <c r="E24" s="52">
        <v>0</v>
      </c>
      <c r="F24" s="52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U24" s="40">
        <v>0</v>
      </c>
      <c r="V24" s="40">
        <v>0</v>
      </c>
      <c r="W24" s="40">
        <v>0</v>
      </c>
    </row>
    <row r="25" spans="1:23" x14ac:dyDescent="0.2">
      <c r="A25" s="39" t="s">
        <v>20</v>
      </c>
      <c r="B25" s="39" t="s">
        <v>14</v>
      </c>
      <c r="D25" s="51">
        <v>0</v>
      </c>
      <c r="E25" s="51">
        <v>0</v>
      </c>
      <c r="F25" s="51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U25" s="39">
        <v>0</v>
      </c>
      <c r="V25" s="39">
        <v>0</v>
      </c>
      <c r="W25" s="39">
        <v>0</v>
      </c>
    </row>
    <row r="26" spans="1:23" x14ac:dyDescent="0.2">
      <c r="A26" s="40" t="s">
        <v>21</v>
      </c>
      <c r="B26" s="40" t="s">
        <v>12</v>
      </c>
      <c r="D26" s="52">
        <v>0</v>
      </c>
      <c r="E26" s="52">
        <v>0</v>
      </c>
      <c r="F26" s="52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U26" s="40">
        <v>0</v>
      </c>
      <c r="V26" s="40">
        <v>0</v>
      </c>
      <c r="W26" s="40">
        <v>0</v>
      </c>
    </row>
    <row r="27" spans="1:23" x14ac:dyDescent="0.2">
      <c r="A27" s="39" t="s">
        <v>21</v>
      </c>
      <c r="B27" s="39" t="s">
        <v>13</v>
      </c>
      <c r="D27" s="51">
        <v>0</v>
      </c>
      <c r="E27" s="51">
        <v>0</v>
      </c>
      <c r="F27" s="51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U27" s="39">
        <v>0</v>
      </c>
      <c r="V27" s="39">
        <v>0</v>
      </c>
      <c r="W27" s="39">
        <v>0</v>
      </c>
    </row>
    <row r="28" spans="1:23" x14ac:dyDescent="0.2">
      <c r="A28" s="40" t="s">
        <v>21</v>
      </c>
      <c r="B28" s="40" t="s">
        <v>14</v>
      </c>
      <c r="D28" s="52">
        <v>0</v>
      </c>
      <c r="E28" s="52">
        <v>0</v>
      </c>
      <c r="F28" s="52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U28" s="40">
        <v>0</v>
      </c>
      <c r="V28" s="40">
        <v>0</v>
      </c>
      <c r="W28" s="40">
        <v>0</v>
      </c>
    </row>
    <row r="29" spans="1:23" x14ac:dyDescent="0.2">
      <c r="A29" s="39" t="s">
        <v>22</v>
      </c>
      <c r="B29" s="39" t="s">
        <v>12</v>
      </c>
      <c r="D29" s="51">
        <v>0</v>
      </c>
      <c r="E29" s="51">
        <v>0</v>
      </c>
      <c r="F29" s="51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U29" s="39">
        <v>0</v>
      </c>
      <c r="V29" s="39">
        <v>0</v>
      </c>
      <c r="W29" s="39">
        <v>0</v>
      </c>
    </row>
    <row r="30" spans="1:23" x14ac:dyDescent="0.2">
      <c r="A30" s="40" t="s">
        <v>22</v>
      </c>
      <c r="B30" s="40" t="s">
        <v>13</v>
      </c>
      <c r="D30" s="52">
        <v>0</v>
      </c>
      <c r="E30" s="52">
        <v>0</v>
      </c>
      <c r="F30" s="52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U30" s="40">
        <v>0</v>
      </c>
      <c r="V30" s="40">
        <v>0</v>
      </c>
      <c r="W30" s="40">
        <v>0</v>
      </c>
    </row>
    <row r="31" spans="1:23" x14ac:dyDescent="0.2">
      <c r="A31" s="39" t="s">
        <v>22</v>
      </c>
      <c r="B31" s="39" t="s">
        <v>14</v>
      </c>
      <c r="D31" s="51">
        <v>0</v>
      </c>
      <c r="E31" s="51">
        <v>0</v>
      </c>
      <c r="F31" s="51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U31" s="39">
        <v>0</v>
      </c>
      <c r="V31" s="39">
        <v>0</v>
      </c>
      <c r="W31" s="39">
        <v>0</v>
      </c>
    </row>
    <row r="32" spans="1:23" x14ac:dyDescent="0.2">
      <c r="A32" s="40" t="s">
        <v>23</v>
      </c>
      <c r="B32" s="40" t="s">
        <v>12</v>
      </c>
      <c r="D32" s="52">
        <v>0</v>
      </c>
      <c r="E32" s="52">
        <v>0</v>
      </c>
      <c r="F32" s="52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U32" s="40">
        <v>0</v>
      </c>
      <c r="V32" s="40">
        <v>0</v>
      </c>
      <c r="W32" s="40">
        <v>0</v>
      </c>
    </row>
    <row r="33" spans="1:23" x14ac:dyDescent="0.2">
      <c r="A33" s="39" t="s">
        <v>23</v>
      </c>
      <c r="B33" s="39" t="s">
        <v>13</v>
      </c>
      <c r="D33" s="51">
        <v>0</v>
      </c>
      <c r="E33" s="51">
        <v>0</v>
      </c>
      <c r="F33" s="51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U33" s="39">
        <v>0</v>
      </c>
      <c r="V33" s="39">
        <v>0</v>
      </c>
      <c r="W33" s="39">
        <v>0</v>
      </c>
    </row>
    <row r="34" spans="1:23" x14ac:dyDescent="0.2">
      <c r="A34" s="40" t="s">
        <v>23</v>
      </c>
      <c r="B34" s="40" t="s">
        <v>14</v>
      </c>
      <c r="D34" s="52">
        <v>0</v>
      </c>
      <c r="E34" s="52">
        <v>0</v>
      </c>
      <c r="F34" s="52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U34" s="40">
        <v>0</v>
      </c>
      <c r="V34" s="40">
        <v>0</v>
      </c>
      <c r="W34" s="40">
        <v>0</v>
      </c>
    </row>
    <row r="35" spans="1:23" x14ac:dyDescent="0.2">
      <c r="A35" s="39" t="s">
        <v>24</v>
      </c>
      <c r="B35" s="39" t="s">
        <v>12</v>
      </c>
      <c r="D35" s="51">
        <v>0</v>
      </c>
      <c r="E35" s="51">
        <v>2</v>
      </c>
      <c r="F35" s="51">
        <v>1</v>
      </c>
      <c r="H35" s="39">
        <v>0</v>
      </c>
      <c r="I35" s="39">
        <v>0</v>
      </c>
      <c r="J35" s="39">
        <v>0</v>
      </c>
      <c r="K35" s="39">
        <v>0</v>
      </c>
      <c r="L35" s="39">
        <v>1</v>
      </c>
      <c r="M35" s="39">
        <v>1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U35" s="39">
        <v>34</v>
      </c>
      <c r="V35" s="39">
        <v>38</v>
      </c>
      <c r="W35" s="39">
        <v>31</v>
      </c>
    </row>
    <row r="36" spans="1:23" x14ac:dyDescent="0.2">
      <c r="A36" s="40" t="s">
        <v>24</v>
      </c>
      <c r="B36" s="40" t="s">
        <v>13</v>
      </c>
      <c r="D36" s="52">
        <v>0</v>
      </c>
      <c r="E36" s="52">
        <v>0</v>
      </c>
      <c r="F36" s="52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U36" s="40">
        <v>0</v>
      </c>
      <c r="V36" s="40">
        <v>0</v>
      </c>
      <c r="W36" s="40">
        <v>0</v>
      </c>
    </row>
    <row r="37" spans="1:23" x14ac:dyDescent="0.2">
      <c r="A37" s="39" t="s">
        <v>24</v>
      </c>
      <c r="B37" s="39" t="s">
        <v>14</v>
      </c>
      <c r="D37" s="51">
        <v>0</v>
      </c>
      <c r="E37" s="51">
        <v>11</v>
      </c>
      <c r="F37" s="51">
        <v>5</v>
      </c>
      <c r="H37" s="39">
        <v>0</v>
      </c>
      <c r="I37" s="39">
        <v>0</v>
      </c>
      <c r="J37" s="39">
        <v>0</v>
      </c>
      <c r="K37" s="39">
        <v>0</v>
      </c>
      <c r="L37" s="39">
        <v>1</v>
      </c>
      <c r="M37" s="39">
        <v>2</v>
      </c>
      <c r="N37" s="39">
        <v>1</v>
      </c>
      <c r="O37" s="39">
        <v>1</v>
      </c>
      <c r="P37" s="39">
        <v>2</v>
      </c>
      <c r="Q37" s="39">
        <v>0</v>
      </c>
      <c r="R37" s="39">
        <v>1</v>
      </c>
      <c r="S37" s="39">
        <v>0</v>
      </c>
      <c r="U37" s="39">
        <v>348</v>
      </c>
      <c r="V37" s="39">
        <v>457</v>
      </c>
      <c r="W37" s="39">
        <v>396</v>
      </c>
    </row>
    <row r="38" spans="1:23" x14ac:dyDescent="0.2">
      <c r="A38" s="40" t="s">
        <v>25</v>
      </c>
      <c r="B38" s="40" t="s">
        <v>12</v>
      </c>
      <c r="D38" s="52">
        <v>0</v>
      </c>
      <c r="E38" s="52">
        <v>0</v>
      </c>
      <c r="F38" s="52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U38" s="40">
        <v>2</v>
      </c>
      <c r="V38" s="40">
        <v>1</v>
      </c>
      <c r="W38" s="40">
        <v>7</v>
      </c>
    </row>
    <row r="39" spans="1:23" x14ac:dyDescent="0.2">
      <c r="A39" s="39" t="s">
        <v>25</v>
      </c>
      <c r="B39" s="39" t="s">
        <v>13</v>
      </c>
      <c r="D39" s="51">
        <v>0</v>
      </c>
      <c r="E39" s="51">
        <v>0</v>
      </c>
      <c r="F39" s="51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U39" s="39">
        <v>0</v>
      </c>
      <c r="V39" s="39">
        <v>0</v>
      </c>
      <c r="W39" s="39">
        <v>1</v>
      </c>
    </row>
    <row r="40" spans="1:23" x14ac:dyDescent="0.2">
      <c r="A40" s="40" t="s">
        <v>25</v>
      </c>
      <c r="B40" s="40" t="s">
        <v>14</v>
      </c>
      <c r="D40" s="52">
        <v>0</v>
      </c>
      <c r="E40" s="52">
        <v>0</v>
      </c>
      <c r="F40" s="52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U40" s="40">
        <v>2</v>
      </c>
      <c r="V40" s="40">
        <v>3</v>
      </c>
      <c r="W40" s="40">
        <v>13</v>
      </c>
    </row>
    <row r="41" spans="1:23" x14ac:dyDescent="0.2">
      <c r="A41" s="39" t="s">
        <v>26</v>
      </c>
      <c r="B41" s="39" t="s">
        <v>12</v>
      </c>
      <c r="D41" s="51">
        <v>0</v>
      </c>
      <c r="E41" s="51">
        <v>0</v>
      </c>
      <c r="F41" s="51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U41" s="39">
        <v>1</v>
      </c>
      <c r="V41" s="39">
        <v>1</v>
      </c>
      <c r="W41" s="39">
        <v>1</v>
      </c>
    </row>
    <row r="42" spans="1:23" x14ac:dyDescent="0.2">
      <c r="A42" s="40" t="s">
        <v>26</v>
      </c>
      <c r="B42" s="40" t="s">
        <v>13</v>
      </c>
      <c r="D42" s="52">
        <v>0</v>
      </c>
      <c r="E42" s="52">
        <v>0</v>
      </c>
      <c r="F42" s="52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U42" s="40">
        <v>0</v>
      </c>
      <c r="V42" s="40">
        <v>0</v>
      </c>
      <c r="W42" s="40">
        <v>0</v>
      </c>
    </row>
    <row r="43" spans="1:23" x14ac:dyDescent="0.2">
      <c r="A43" s="39" t="s">
        <v>26</v>
      </c>
      <c r="B43" s="39" t="s">
        <v>14</v>
      </c>
      <c r="D43" s="51">
        <v>0</v>
      </c>
      <c r="E43" s="51">
        <v>0</v>
      </c>
      <c r="F43" s="51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U43" s="39">
        <v>13</v>
      </c>
      <c r="V43" s="39">
        <v>22</v>
      </c>
      <c r="W43" s="39">
        <v>24</v>
      </c>
    </row>
    <row r="44" spans="1:23" x14ac:dyDescent="0.2">
      <c r="A44" s="40" t="s">
        <v>27</v>
      </c>
      <c r="B44" s="40" t="s">
        <v>12</v>
      </c>
      <c r="D44" s="52">
        <v>2</v>
      </c>
      <c r="E44" s="52">
        <v>0</v>
      </c>
      <c r="F44" s="52">
        <v>0</v>
      </c>
      <c r="H44" s="40">
        <v>2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U44" s="40">
        <v>45</v>
      </c>
      <c r="V44" s="40">
        <v>29</v>
      </c>
      <c r="W44" s="40">
        <v>38</v>
      </c>
    </row>
    <row r="45" spans="1:23" x14ac:dyDescent="0.2">
      <c r="A45" s="39" t="s">
        <v>27</v>
      </c>
      <c r="B45" s="39" t="s">
        <v>13</v>
      </c>
      <c r="D45" s="51">
        <v>0</v>
      </c>
      <c r="E45" s="51">
        <v>0</v>
      </c>
      <c r="F45" s="51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U45" s="39">
        <v>1</v>
      </c>
      <c r="V45" s="39">
        <v>0</v>
      </c>
      <c r="W45" s="39">
        <v>0</v>
      </c>
    </row>
    <row r="46" spans="1:23" x14ac:dyDescent="0.2">
      <c r="A46" s="40" t="s">
        <v>27</v>
      </c>
      <c r="B46" s="40" t="s">
        <v>14</v>
      </c>
      <c r="D46" s="52">
        <v>6</v>
      </c>
      <c r="E46" s="52">
        <v>2</v>
      </c>
      <c r="F46" s="52">
        <v>11</v>
      </c>
      <c r="H46" s="40">
        <v>2</v>
      </c>
      <c r="I46" s="40">
        <v>2</v>
      </c>
      <c r="J46" s="40">
        <v>0</v>
      </c>
      <c r="K46" s="40">
        <v>1</v>
      </c>
      <c r="L46" s="40">
        <v>0</v>
      </c>
      <c r="M46" s="40">
        <v>1</v>
      </c>
      <c r="N46" s="40">
        <v>0</v>
      </c>
      <c r="O46" s="40">
        <v>0</v>
      </c>
      <c r="P46" s="40">
        <v>0</v>
      </c>
      <c r="Q46" s="40">
        <v>1</v>
      </c>
      <c r="R46" s="40">
        <v>1</v>
      </c>
      <c r="S46" s="40">
        <v>2</v>
      </c>
      <c r="U46" s="40">
        <v>461</v>
      </c>
      <c r="V46" s="40">
        <v>448</v>
      </c>
      <c r="W46" s="40">
        <v>547</v>
      </c>
    </row>
    <row r="47" spans="1:23" x14ac:dyDescent="0.2">
      <c r="A47" s="39" t="s">
        <v>28</v>
      </c>
      <c r="B47" s="39" t="s">
        <v>12</v>
      </c>
      <c r="D47" s="51">
        <v>0</v>
      </c>
      <c r="E47" s="51">
        <v>0</v>
      </c>
      <c r="F47" s="51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U47" s="39">
        <v>3</v>
      </c>
      <c r="V47" s="39">
        <v>1</v>
      </c>
      <c r="W47" s="39">
        <v>5</v>
      </c>
    </row>
    <row r="48" spans="1:23" x14ac:dyDescent="0.2">
      <c r="A48" s="40" t="s">
        <v>28</v>
      </c>
      <c r="B48" s="40" t="s">
        <v>13</v>
      </c>
      <c r="D48" s="52">
        <v>0</v>
      </c>
      <c r="E48" s="52">
        <v>0</v>
      </c>
      <c r="F48" s="52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U48" s="40">
        <v>0</v>
      </c>
      <c r="V48" s="40">
        <v>0</v>
      </c>
      <c r="W48" s="40">
        <v>0</v>
      </c>
    </row>
    <row r="49" spans="1:23" x14ac:dyDescent="0.2">
      <c r="A49" s="39" t="s">
        <v>28</v>
      </c>
      <c r="B49" s="39" t="s">
        <v>14</v>
      </c>
      <c r="D49" s="51">
        <v>0</v>
      </c>
      <c r="E49" s="51">
        <v>0</v>
      </c>
      <c r="F49" s="51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U49" s="39">
        <v>11</v>
      </c>
      <c r="V49" s="39">
        <v>10</v>
      </c>
      <c r="W49" s="39">
        <v>22</v>
      </c>
    </row>
    <row r="50" spans="1:23" x14ac:dyDescent="0.2">
      <c r="A50" s="40" t="s">
        <v>29</v>
      </c>
      <c r="B50" s="40" t="s">
        <v>12</v>
      </c>
      <c r="D50" s="52">
        <v>0</v>
      </c>
      <c r="E50" s="52">
        <v>0</v>
      </c>
      <c r="F50" s="52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U50" s="40">
        <v>0</v>
      </c>
      <c r="V50" s="40">
        <v>0</v>
      </c>
      <c r="W50" s="40">
        <v>0</v>
      </c>
    </row>
    <row r="51" spans="1:23" x14ac:dyDescent="0.2">
      <c r="A51" s="39" t="s">
        <v>29</v>
      </c>
      <c r="B51" s="39" t="s">
        <v>13</v>
      </c>
      <c r="D51" s="51">
        <v>0</v>
      </c>
      <c r="E51" s="51">
        <v>0</v>
      </c>
      <c r="F51" s="51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U51" s="39">
        <v>0</v>
      </c>
      <c r="V51" s="39">
        <v>0</v>
      </c>
      <c r="W51" s="39">
        <v>0</v>
      </c>
    </row>
    <row r="52" spans="1:23" x14ac:dyDescent="0.2">
      <c r="A52" s="40" t="s">
        <v>29</v>
      </c>
      <c r="B52" s="40" t="s">
        <v>14</v>
      </c>
      <c r="D52" s="52">
        <v>0</v>
      </c>
      <c r="E52" s="52">
        <v>0</v>
      </c>
      <c r="F52" s="52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U52" s="40">
        <v>0</v>
      </c>
      <c r="V52" s="40">
        <v>0</v>
      </c>
      <c r="W52" s="40">
        <v>0</v>
      </c>
    </row>
    <row r="53" spans="1:23" x14ac:dyDescent="0.2">
      <c r="A53" s="39" t="s">
        <v>30</v>
      </c>
      <c r="B53" s="39" t="s">
        <v>12</v>
      </c>
      <c r="D53" s="51">
        <v>0</v>
      </c>
      <c r="E53" s="51">
        <v>0</v>
      </c>
      <c r="F53" s="51">
        <v>1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U53" s="39">
        <v>1</v>
      </c>
      <c r="V53" s="39">
        <v>1</v>
      </c>
      <c r="W53" s="39">
        <v>1</v>
      </c>
    </row>
    <row r="54" spans="1:23" x14ac:dyDescent="0.2">
      <c r="A54" s="40" t="s">
        <v>30</v>
      </c>
      <c r="B54" s="40" t="s">
        <v>13</v>
      </c>
      <c r="D54" s="52">
        <v>0</v>
      </c>
      <c r="E54" s="52">
        <v>0</v>
      </c>
      <c r="F54" s="52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U54" s="40">
        <v>0</v>
      </c>
      <c r="V54" s="40">
        <v>0</v>
      </c>
      <c r="W54" s="40">
        <v>0</v>
      </c>
    </row>
    <row r="55" spans="1:23" x14ac:dyDescent="0.2">
      <c r="A55" s="39" t="s">
        <v>30</v>
      </c>
      <c r="B55" s="39" t="s">
        <v>14</v>
      </c>
      <c r="D55" s="51">
        <v>0</v>
      </c>
      <c r="E55" s="51">
        <v>0</v>
      </c>
      <c r="F55" s="51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U55" s="39">
        <v>0</v>
      </c>
      <c r="V55" s="39">
        <v>0</v>
      </c>
      <c r="W55" s="39">
        <v>0</v>
      </c>
    </row>
    <row r="56" spans="1:23" x14ac:dyDescent="0.2">
      <c r="A56" s="40" t="s">
        <v>31</v>
      </c>
      <c r="B56" s="40" t="s">
        <v>12</v>
      </c>
      <c r="D56" s="52">
        <v>0</v>
      </c>
      <c r="E56" s="52">
        <v>0</v>
      </c>
      <c r="F56" s="52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U56" s="40">
        <v>0</v>
      </c>
      <c r="V56" s="40">
        <v>0</v>
      </c>
      <c r="W56" s="40">
        <v>0</v>
      </c>
    </row>
    <row r="57" spans="1:23" x14ac:dyDescent="0.2">
      <c r="A57" s="39" t="s">
        <v>31</v>
      </c>
      <c r="B57" s="39" t="s">
        <v>13</v>
      </c>
      <c r="D57" s="51">
        <v>0</v>
      </c>
      <c r="E57" s="51">
        <v>0</v>
      </c>
      <c r="F57" s="51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U57" s="39">
        <v>0</v>
      </c>
      <c r="V57" s="39">
        <v>0</v>
      </c>
      <c r="W57" s="39">
        <v>0</v>
      </c>
    </row>
    <row r="58" spans="1:23" x14ac:dyDescent="0.2">
      <c r="A58" s="40" t="s">
        <v>31</v>
      </c>
      <c r="B58" s="40" t="s">
        <v>14</v>
      </c>
      <c r="D58" s="52">
        <v>0</v>
      </c>
      <c r="E58" s="52">
        <v>0</v>
      </c>
      <c r="F58" s="52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U58" s="40">
        <v>0</v>
      </c>
      <c r="V58" s="40">
        <v>0</v>
      </c>
      <c r="W58" s="40">
        <v>0</v>
      </c>
    </row>
    <row r="59" spans="1:23" x14ac:dyDescent="0.2">
      <c r="A59" s="39" t="s">
        <v>32</v>
      </c>
      <c r="B59" s="39" t="s">
        <v>12</v>
      </c>
      <c r="D59" s="51">
        <v>0</v>
      </c>
      <c r="E59" s="51">
        <v>0</v>
      </c>
      <c r="F59" s="51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U59" s="39">
        <v>0</v>
      </c>
      <c r="V59" s="39">
        <v>0</v>
      </c>
      <c r="W59" s="39">
        <v>0</v>
      </c>
    </row>
    <row r="60" spans="1:23" x14ac:dyDescent="0.2">
      <c r="A60" s="40" t="s">
        <v>32</v>
      </c>
      <c r="B60" s="40" t="s">
        <v>13</v>
      </c>
      <c r="D60" s="52">
        <v>0</v>
      </c>
      <c r="E60" s="52">
        <v>0</v>
      </c>
      <c r="F60" s="52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U60" s="40">
        <v>0</v>
      </c>
      <c r="V60" s="40">
        <v>0</v>
      </c>
      <c r="W60" s="40">
        <v>0</v>
      </c>
    </row>
    <row r="61" spans="1:23" x14ac:dyDescent="0.2">
      <c r="A61" s="39" t="s">
        <v>32</v>
      </c>
      <c r="B61" s="39" t="s">
        <v>14</v>
      </c>
      <c r="D61" s="51">
        <v>0</v>
      </c>
      <c r="E61" s="51">
        <v>0</v>
      </c>
      <c r="F61" s="51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U61" s="39">
        <v>0</v>
      </c>
      <c r="V61" s="39">
        <v>0</v>
      </c>
      <c r="W61" s="39">
        <v>0</v>
      </c>
    </row>
    <row r="62" spans="1:23" x14ac:dyDescent="0.2">
      <c r="A62" s="40" t="s">
        <v>33</v>
      </c>
      <c r="B62" s="40" t="s">
        <v>12</v>
      </c>
      <c r="D62" s="52">
        <v>0</v>
      </c>
      <c r="E62" s="52">
        <v>0</v>
      </c>
      <c r="F62" s="52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U62" s="40">
        <v>2</v>
      </c>
      <c r="V62" s="40">
        <v>0</v>
      </c>
      <c r="W62" s="40">
        <v>2</v>
      </c>
    </row>
    <row r="63" spans="1:23" x14ac:dyDescent="0.2">
      <c r="A63" s="39" t="s">
        <v>33</v>
      </c>
      <c r="B63" s="39" t="s">
        <v>13</v>
      </c>
      <c r="D63" s="51">
        <v>0</v>
      </c>
      <c r="E63" s="51">
        <v>0</v>
      </c>
      <c r="F63" s="51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U63" s="39">
        <v>0</v>
      </c>
      <c r="V63" s="39">
        <v>0</v>
      </c>
      <c r="W63" s="39">
        <v>0</v>
      </c>
    </row>
    <row r="64" spans="1:23" x14ac:dyDescent="0.2">
      <c r="A64" s="40" t="s">
        <v>33</v>
      </c>
      <c r="B64" s="40" t="s">
        <v>14</v>
      </c>
      <c r="D64" s="52">
        <v>0</v>
      </c>
      <c r="E64" s="52">
        <v>0</v>
      </c>
      <c r="F64" s="52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U64" s="40">
        <v>3</v>
      </c>
      <c r="V64" s="40">
        <v>2</v>
      </c>
      <c r="W64" s="40">
        <v>9</v>
      </c>
    </row>
    <row r="65" spans="1:23" x14ac:dyDescent="0.2">
      <c r="A65" s="39" t="s">
        <v>34</v>
      </c>
      <c r="B65" s="39" t="s">
        <v>12</v>
      </c>
      <c r="D65" s="51">
        <v>0</v>
      </c>
      <c r="E65" s="51">
        <v>0</v>
      </c>
      <c r="F65" s="51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U65" s="39">
        <v>3</v>
      </c>
      <c r="V65" s="39">
        <v>4</v>
      </c>
      <c r="W65" s="39">
        <v>5</v>
      </c>
    </row>
    <row r="66" spans="1:23" x14ac:dyDescent="0.2">
      <c r="A66" s="40" t="s">
        <v>34</v>
      </c>
      <c r="B66" s="40" t="s">
        <v>13</v>
      </c>
      <c r="D66" s="52">
        <v>0</v>
      </c>
      <c r="E66" s="52">
        <v>0</v>
      </c>
      <c r="F66" s="52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U66" s="40">
        <v>0</v>
      </c>
      <c r="V66" s="40">
        <v>0</v>
      </c>
      <c r="W66" s="40">
        <v>0</v>
      </c>
    </row>
    <row r="67" spans="1:23" x14ac:dyDescent="0.2">
      <c r="A67" s="39" t="s">
        <v>34</v>
      </c>
      <c r="B67" s="39" t="s">
        <v>14</v>
      </c>
      <c r="D67" s="51">
        <v>0</v>
      </c>
      <c r="E67" s="51">
        <v>2</v>
      </c>
      <c r="F67" s="51">
        <v>2</v>
      </c>
      <c r="H67" s="39">
        <v>0</v>
      </c>
      <c r="I67" s="39">
        <v>0</v>
      </c>
      <c r="J67" s="39">
        <v>0</v>
      </c>
      <c r="K67" s="39">
        <v>0</v>
      </c>
      <c r="L67" s="39">
        <v>1</v>
      </c>
      <c r="M67" s="39">
        <v>0</v>
      </c>
      <c r="N67" s="39">
        <v>1</v>
      </c>
      <c r="O67" s="39">
        <v>0</v>
      </c>
      <c r="P67" s="39">
        <v>1</v>
      </c>
      <c r="Q67" s="39">
        <v>0</v>
      </c>
      <c r="R67" s="39">
        <v>0</v>
      </c>
      <c r="S67" s="39">
        <v>0</v>
      </c>
      <c r="U67" s="39">
        <v>96</v>
      </c>
      <c r="V67" s="39">
        <v>96</v>
      </c>
      <c r="W67" s="39">
        <v>98</v>
      </c>
    </row>
    <row r="68" spans="1:23" x14ac:dyDescent="0.2">
      <c r="A68" s="40" t="s">
        <v>35</v>
      </c>
      <c r="B68" s="40" t="s">
        <v>12</v>
      </c>
      <c r="D68" s="52">
        <v>0</v>
      </c>
      <c r="E68" s="52">
        <v>0</v>
      </c>
      <c r="F68" s="52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U68" s="40">
        <v>0</v>
      </c>
      <c r="V68" s="40">
        <v>0</v>
      </c>
      <c r="W68" s="40">
        <v>0</v>
      </c>
    </row>
    <row r="69" spans="1:23" x14ac:dyDescent="0.2">
      <c r="A69" s="39" t="s">
        <v>35</v>
      </c>
      <c r="B69" s="39" t="s">
        <v>13</v>
      </c>
      <c r="D69" s="51">
        <v>0</v>
      </c>
      <c r="E69" s="51">
        <v>0</v>
      </c>
      <c r="F69" s="51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U69" s="39">
        <v>0</v>
      </c>
      <c r="V69" s="39">
        <v>0</v>
      </c>
      <c r="W69" s="39">
        <v>0</v>
      </c>
    </row>
    <row r="70" spans="1:23" x14ac:dyDescent="0.2">
      <c r="A70" s="40" t="s">
        <v>35</v>
      </c>
      <c r="B70" s="40" t="s">
        <v>14</v>
      </c>
      <c r="D70" s="52">
        <v>0</v>
      </c>
      <c r="E70" s="52">
        <v>0</v>
      </c>
      <c r="F70" s="52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U70" s="40">
        <v>0</v>
      </c>
      <c r="V70" s="40">
        <v>0</v>
      </c>
      <c r="W70" s="40">
        <v>0</v>
      </c>
    </row>
    <row r="71" spans="1:23" x14ac:dyDescent="0.2">
      <c r="A71" s="39" t="s">
        <v>36</v>
      </c>
      <c r="B71" s="39" t="s">
        <v>12</v>
      </c>
      <c r="D71" s="51">
        <v>0</v>
      </c>
      <c r="E71" s="51">
        <v>0</v>
      </c>
      <c r="F71" s="51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U71" s="39">
        <v>0</v>
      </c>
      <c r="V71" s="39">
        <v>0</v>
      </c>
      <c r="W71" s="39">
        <v>4</v>
      </c>
    </row>
    <row r="72" spans="1:23" x14ac:dyDescent="0.2">
      <c r="A72" s="40" t="s">
        <v>36</v>
      </c>
      <c r="B72" s="40" t="s">
        <v>13</v>
      </c>
      <c r="D72" s="52">
        <v>0</v>
      </c>
      <c r="E72" s="52">
        <v>0</v>
      </c>
      <c r="F72" s="52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U72" s="40">
        <v>0</v>
      </c>
      <c r="V72" s="40">
        <v>0</v>
      </c>
      <c r="W72" s="40">
        <v>0</v>
      </c>
    </row>
    <row r="73" spans="1:23" x14ac:dyDescent="0.2">
      <c r="A73" s="39" t="s">
        <v>36</v>
      </c>
      <c r="B73" s="39" t="s">
        <v>14</v>
      </c>
      <c r="D73" s="51">
        <v>0</v>
      </c>
      <c r="E73" s="51">
        <v>0</v>
      </c>
      <c r="F73" s="51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U73" s="39">
        <v>11</v>
      </c>
      <c r="V73" s="39">
        <v>4</v>
      </c>
      <c r="W73" s="39">
        <v>19</v>
      </c>
    </row>
    <row r="74" spans="1:23" x14ac:dyDescent="0.2">
      <c r="A74" s="40" t="s">
        <v>37</v>
      </c>
      <c r="B74" s="40" t="s">
        <v>12</v>
      </c>
      <c r="D74" s="52">
        <v>0</v>
      </c>
      <c r="E74" s="52">
        <v>0</v>
      </c>
      <c r="F74" s="52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U74" s="40">
        <v>11</v>
      </c>
      <c r="V74" s="40">
        <v>9</v>
      </c>
      <c r="W74" s="40">
        <v>11</v>
      </c>
    </row>
    <row r="75" spans="1:23" x14ac:dyDescent="0.2">
      <c r="A75" s="39" t="s">
        <v>37</v>
      </c>
      <c r="B75" s="39" t="s">
        <v>13</v>
      </c>
      <c r="D75" s="51">
        <v>0</v>
      </c>
      <c r="E75" s="51">
        <v>0</v>
      </c>
      <c r="F75" s="51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U75" s="39">
        <v>0</v>
      </c>
      <c r="V75" s="39">
        <v>0</v>
      </c>
      <c r="W75" s="39">
        <v>0</v>
      </c>
    </row>
    <row r="76" spans="1:23" x14ac:dyDescent="0.2">
      <c r="A76" s="40" t="s">
        <v>37</v>
      </c>
      <c r="B76" s="40" t="s">
        <v>14</v>
      </c>
      <c r="D76" s="52">
        <v>0</v>
      </c>
      <c r="E76" s="52">
        <v>10</v>
      </c>
      <c r="F76" s="52">
        <v>5</v>
      </c>
      <c r="H76" s="40">
        <v>0</v>
      </c>
      <c r="I76" s="40">
        <v>0</v>
      </c>
      <c r="J76" s="40">
        <v>0</v>
      </c>
      <c r="K76" s="40">
        <v>0</v>
      </c>
      <c r="L76" s="40">
        <v>4</v>
      </c>
      <c r="M76" s="40">
        <v>2</v>
      </c>
      <c r="N76" s="40">
        <v>0</v>
      </c>
      <c r="O76" s="40">
        <v>1</v>
      </c>
      <c r="P76" s="40">
        <v>2</v>
      </c>
      <c r="Q76" s="40">
        <v>1</v>
      </c>
      <c r="R76" s="40">
        <v>1</v>
      </c>
      <c r="S76" s="40">
        <v>0</v>
      </c>
      <c r="U76" s="40">
        <v>319</v>
      </c>
      <c r="V76" s="40">
        <v>306</v>
      </c>
      <c r="W76" s="40">
        <v>206</v>
      </c>
    </row>
    <row r="77" spans="1:23" x14ac:dyDescent="0.2">
      <c r="A77" s="39" t="s">
        <v>38</v>
      </c>
      <c r="B77" s="39" t="s">
        <v>12</v>
      </c>
      <c r="D77" s="51">
        <v>0</v>
      </c>
      <c r="E77" s="51">
        <v>0</v>
      </c>
      <c r="F77" s="51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U77" s="39">
        <v>0</v>
      </c>
      <c r="V77" s="39">
        <v>0</v>
      </c>
      <c r="W77" s="39">
        <v>0</v>
      </c>
    </row>
    <row r="78" spans="1:23" x14ac:dyDescent="0.2">
      <c r="A78" s="40" t="s">
        <v>38</v>
      </c>
      <c r="B78" s="40" t="s">
        <v>13</v>
      </c>
      <c r="D78" s="52">
        <v>0</v>
      </c>
      <c r="E78" s="52">
        <v>0</v>
      </c>
      <c r="F78" s="52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U78" s="40">
        <v>0</v>
      </c>
      <c r="V78" s="40">
        <v>0</v>
      </c>
      <c r="W78" s="40">
        <v>0</v>
      </c>
    </row>
    <row r="79" spans="1:23" x14ac:dyDescent="0.2">
      <c r="A79" s="39" t="s">
        <v>38</v>
      </c>
      <c r="B79" s="39" t="s">
        <v>14</v>
      </c>
      <c r="D79" s="51">
        <v>0</v>
      </c>
      <c r="E79" s="51">
        <v>0</v>
      </c>
      <c r="F79" s="51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U79" s="39">
        <v>0</v>
      </c>
      <c r="V79" s="39">
        <v>0</v>
      </c>
      <c r="W79" s="39">
        <v>0</v>
      </c>
    </row>
    <row r="80" spans="1:23" x14ac:dyDescent="0.2">
      <c r="A80" s="40" t="s">
        <v>39</v>
      </c>
      <c r="B80" s="40" t="s">
        <v>12</v>
      </c>
      <c r="D80" s="52">
        <v>0</v>
      </c>
      <c r="E80" s="52">
        <v>0</v>
      </c>
      <c r="F80" s="52">
        <v>2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U80" s="40">
        <v>41</v>
      </c>
      <c r="V80" s="40">
        <v>45</v>
      </c>
      <c r="W80" s="40">
        <v>48</v>
      </c>
    </row>
    <row r="81" spans="1:23" x14ac:dyDescent="0.2">
      <c r="A81" s="39" t="s">
        <v>39</v>
      </c>
      <c r="B81" s="39" t="s">
        <v>13</v>
      </c>
      <c r="D81" s="51">
        <v>0</v>
      </c>
      <c r="E81" s="51">
        <v>0</v>
      </c>
      <c r="F81" s="51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U81" s="39">
        <v>0</v>
      </c>
      <c r="V81" s="39">
        <v>0</v>
      </c>
      <c r="W81" s="39">
        <v>2</v>
      </c>
    </row>
    <row r="82" spans="1:23" x14ac:dyDescent="0.2">
      <c r="A82" s="40" t="s">
        <v>39</v>
      </c>
      <c r="B82" s="40" t="s">
        <v>14</v>
      </c>
      <c r="D82" s="52">
        <v>0</v>
      </c>
      <c r="E82" s="52">
        <v>0</v>
      </c>
      <c r="F82" s="52">
        <v>7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1</v>
      </c>
      <c r="Q82" s="40">
        <v>1</v>
      </c>
      <c r="R82" s="40">
        <v>0</v>
      </c>
      <c r="S82" s="40">
        <v>0</v>
      </c>
      <c r="U82" s="40">
        <v>81</v>
      </c>
      <c r="V82" s="40">
        <v>89</v>
      </c>
      <c r="W82" s="40">
        <v>91</v>
      </c>
    </row>
    <row r="83" spans="1:23" x14ac:dyDescent="0.2">
      <c r="A83" s="39" t="s">
        <v>40</v>
      </c>
      <c r="B83" s="39" t="s">
        <v>12</v>
      </c>
      <c r="D83" s="51">
        <v>1</v>
      </c>
      <c r="E83" s="51">
        <v>0</v>
      </c>
      <c r="F83" s="51">
        <v>5</v>
      </c>
      <c r="H83" s="39">
        <v>1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1</v>
      </c>
      <c r="Q83" s="39">
        <v>0</v>
      </c>
      <c r="R83" s="39">
        <v>0</v>
      </c>
      <c r="S83" s="39">
        <v>0</v>
      </c>
      <c r="U83" s="39">
        <v>107</v>
      </c>
      <c r="V83" s="39">
        <v>83</v>
      </c>
      <c r="W83" s="39">
        <v>103</v>
      </c>
    </row>
    <row r="84" spans="1:23" x14ac:dyDescent="0.2">
      <c r="A84" s="40" t="s">
        <v>40</v>
      </c>
      <c r="B84" s="40" t="s">
        <v>13</v>
      </c>
      <c r="D84" s="52">
        <v>0</v>
      </c>
      <c r="E84" s="52">
        <v>0</v>
      </c>
      <c r="F84" s="52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U84" s="40">
        <v>3</v>
      </c>
      <c r="V84" s="40">
        <v>0</v>
      </c>
      <c r="W84" s="40">
        <v>2</v>
      </c>
    </row>
    <row r="85" spans="1:23" x14ac:dyDescent="0.2">
      <c r="A85" s="39" t="s">
        <v>40</v>
      </c>
      <c r="B85" s="39" t="s">
        <v>14</v>
      </c>
      <c r="D85" s="51">
        <v>2</v>
      </c>
      <c r="E85" s="51">
        <v>0</v>
      </c>
      <c r="F85" s="51">
        <v>28</v>
      </c>
      <c r="H85" s="39">
        <v>0</v>
      </c>
      <c r="I85" s="39">
        <v>1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9</v>
      </c>
      <c r="Q85" s="39">
        <v>4</v>
      </c>
      <c r="R85" s="39">
        <v>2</v>
      </c>
      <c r="S85" s="39">
        <v>0</v>
      </c>
      <c r="U85" s="39">
        <v>356</v>
      </c>
      <c r="V85" s="39">
        <v>362</v>
      </c>
      <c r="W85" s="39">
        <v>398</v>
      </c>
    </row>
    <row r="86" spans="1:23" x14ac:dyDescent="0.2">
      <c r="A86" s="40" t="s">
        <v>41</v>
      </c>
      <c r="B86" s="40" t="s">
        <v>12</v>
      </c>
      <c r="D86" s="52">
        <v>0</v>
      </c>
      <c r="E86" s="52">
        <v>1</v>
      </c>
      <c r="F86" s="52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U86" s="40">
        <v>29</v>
      </c>
      <c r="V86" s="40">
        <v>25</v>
      </c>
      <c r="W86" s="40">
        <v>51</v>
      </c>
    </row>
    <row r="87" spans="1:23" x14ac:dyDescent="0.2">
      <c r="A87" s="39" t="s">
        <v>41</v>
      </c>
      <c r="B87" s="39" t="s">
        <v>13</v>
      </c>
      <c r="D87" s="51">
        <v>0</v>
      </c>
      <c r="E87" s="51">
        <v>0</v>
      </c>
      <c r="F87" s="51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U87" s="39">
        <v>0</v>
      </c>
      <c r="V87" s="39">
        <v>0</v>
      </c>
      <c r="W87" s="39">
        <v>0</v>
      </c>
    </row>
    <row r="88" spans="1:23" x14ac:dyDescent="0.2">
      <c r="A88" s="40" t="s">
        <v>41</v>
      </c>
      <c r="B88" s="40" t="s">
        <v>14</v>
      </c>
      <c r="D88" s="52">
        <v>5</v>
      </c>
      <c r="E88" s="52">
        <v>6</v>
      </c>
      <c r="F88" s="52">
        <v>22</v>
      </c>
      <c r="H88" s="40">
        <v>1</v>
      </c>
      <c r="I88" s="40">
        <v>1</v>
      </c>
      <c r="J88" s="40">
        <v>0</v>
      </c>
      <c r="K88" s="40">
        <v>0</v>
      </c>
      <c r="L88" s="40">
        <v>3</v>
      </c>
      <c r="M88" s="40">
        <v>0</v>
      </c>
      <c r="N88" s="40">
        <v>0</v>
      </c>
      <c r="O88" s="40">
        <v>0</v>
      </c>
      <c r="P88" s="40">
        <v>7</v>
      </c>
      <c r="Q88" s="40">
        <v>1</v>
      </c>
      <c r="R88" s="40">
        <v>0</v>
      </c>
      <c r="S88" s="40">
        <v>1</v>
      </c>
      <c r="U88" s="40">
        <v>411</v>
      </c>
      <c r="V88" s="40">
        <v>360</v>
      </c>
      <c r="W88" s="40">
        <v>573</v>
      </c>
    </row>
    <row r="89" spans="1:23" x14ac:dyDescent="0.2">
      <c r="A89" s="39" t="s">
        <v>42</v>
      </c>
      <c r="B89" s="39" t="s">
        <v>12</v>
      </c>
      <c r="D89" s="51">
        <v>0</v>
      </c>
      <c r="E89" s="51">
        <v>0</v>
      </c>
      <c r="F89" s="51">
        <v>1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1</v>
      </c>
      <c r="U89" s="39">
        <v>18</v>
      </c>
      <c r="V89" s="39">
        <v>9</v>
      </c>
      <c r="W89" s="39">
        <v>22</v>
      </c>
    </row>
    <row r="90" spans="1:23" x14ac:dyDescent="0.2">
      <c r="A90" s="40" t="s">
        <v>42</v>
      </c>
      <c r="B90" s="40" t="s">
        <v>13</v>
      </c>
      <c r="D90" s="52">
        <v>0</v>
      </c>
      <c r="E90" s="52">
        <v>0</v>
      </c>
      <c r="F90" s="52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U90" s="40">
        <v>0</v>
      </c>
      <c r="V90" s="40">
        <v>1</v>
      </c>
      <c r="W90" s="40">
        <v>0</v>
      </c>
    </row>
    <row r="91" spans="1:23" x14ac:dyDescent="0.2">
      <c r="A91" s="39" t="s">
        <v>42</v>
      </c>
      <c r="B91" s="39" t="s">
        <v>14</v>
      </c>
      <c r="D91" s="51">
        <v>0</v>
      </c>
      <c r="E91" s="51">
        <v>0</v>
      </c>
      <c r="F91" s="51">
        <v>6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3</v>
      </c>
      <c r="Q91" s="39">
        <v>0</v>
      </c>
      <c r="R91" s="39">
        <v>0</v>
      </c>
      <c r="S91" s="39">
        <v>0</v>
      </c>
      <c r="U91" s="39">
        <v>111</v>
      </c>
      <c r="V91" s="39">
        <v>134</v>
      </c>
      <c r="W91" s="39">
        <v>123</v>
      </c>
    </row>
    <row r="92" spans="1:23" x14ac:dyDescent="0.2">
      <c r="A92" s="40" t="s">
        <v>43</v>
      </c>
      <c r="B92" s="40" t="s">
        <v>12</v>
      </c>
      <c r="D92" s="52">
        <v>1</v>
      </c>
      <c r="E92" s="52">
        <v>0</v>
      </c>
      <c r="F92" s="52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U92" s="40">
        <v>9</v>
      </c>
      <c r="V92" s="40">
        <v>14</v>
      </c>
      <c r="W92" s="40">
        <v>10</v>
      </c>
    </row>
    <row r="93" spans="1:23" x14ac:dyDescent="0.2">
      <c r="A93" s="39" t="s">
        <v>43</v>
      </c>
      <c r="B93" s="39" t="s">
        <v>13</v>
      </c>
      <c r="D93" s="51">
        <v>0</v>
      </c>
      <c r="E93" s="51">
        <v>0</v>
      </c>
      <c r="F93" s="51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U93" s="39">
        <v>0</v>
      </c>
      <c r="V93" s="39">
        <v>0</v>
      </c>
      <c r="W93" s="39">
        <v>0</v>
      </c>
    </row>
    <row r="94" spans="1:23" x14ac:dyDescent="0.2">
      <c r="A94" s="40" t="s">
        <v>43</v>
      </c>
      <c r="B94" s="40" t="s">
        <v>14</v>
      </c>
      <c r="D94" s="52">
        <v>1</v>
      </c>
      <c r="E94" s="52">
        <v>0</v>
      </c>
      <c r="F94" s="52">
        <v>25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 s="40">
        <v>6</v>
      </c>
      <c r="Q94" s="40">
        <v>1</v>
      </c>
      <c r="R94" s="40">
        <v>4</v>
      </c>
      <c r="S94" s="40">
        <v>1</v>
      </c>
      <c r="U94" s="40">
        <v>227</v>
      </c>
      <c r="V94" s="40">
        <v>243</v>
      </c>
      <c r="W94" s="40">
        <v>240</v>
      </c>
    </row>
    <row r="95" spans="1:23" x14ac:dyDescent="0.2">
      <c r="A95" s="39" t="s">
        <v>44</v>
      </c>
      <c r="B95" s="39" t="s">
        <v>12</v>
      </c>
      <c r="D95" s="51">
        <v>0</v>
      </c>
      <c r="E95" s="51">
        <v>0</v>
      </c>
      <c r="F95" s="51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U95" s="39">
        <v>43</v>
      </c>
      <c r="V95" s="39">
        <v>46</v>
      </c>
      <c r="W95" s="39">
        <v>54</v>
      </c>
    </row>
    <row r="96" spans="1:23" x14ac:dyDescent="0.2">
      <c r="A96" s="40" t="s">
        <v>44</v>
      </c>
      <c r="B96" s="40" t="s">
        <v>13</v>
      </c>
      <c r="D96" s="52">
        <v>0</v>
      </c>
      <c r="E96" s="52">
        <v>0</v>
      </c>
      <c r="F96" s="52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U96" s="40">
        <v>0</v>
      </c>
      <c r="V96" s="40">
        <v>0</v>
      </c>
      <c r="W96" s="40">
        <v>0</v>
      </c>
    </row>
    <row r="97" spans="1:23" x14ac:dyDescent="0.2">
      <c r="A97" s="39" t="s">
        <v>44</v>
      </c>
      <c r="B97" s="39" t="s">
        <v>14</v>
      </c>
      <c r="D97" s="51">
        <v>9</v>
      </c>
      <c r="E97" s="51">
        <v>0</v>
      </c>
      <c r="F97" s="51">
        <v>23</v>
      </c>
      <c r="H97" s="39">
        <v>4</v>
      </c>
      <c r="I97" s="39">
        <v>1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7</v>
      </c>
      <c r="Q97" s="39">
        <v>3</v>
      </c>
      <c r="R97" s="39">
        <v>1</v>
      </c>
      <c r="S97" s="39">
        <v>3</v>
      </c>
      <c r="U97" s="39">
        <v>258</v>
      </c>
      <c r="V97" s="39">
        <v>313</v>
      </c>
      <c r="W97" s="39">
        <v>365</v>
      </c>
    </row>
    <row r="98" spans="1:23" x14ac:dyDescent="0.2">
      <c r="A98" s="40" t="s">
        <v>45</v>
      </c>
      <c r="B98" s="40" t="s">
        <v>12</v>
      </c>
      <c r="D98" s="52">
        <v>0</v>
      </c>
      <c r="E98" s="52">
        <v>0</v>
      </c>
      <c r="F98" s="52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U98" s="40">
        <v>0</v>
      </c>
      <c r="V98" s="40">
        <v>0</v>
      </c>
      <c r="W98" s="40">
        <v>0</v>
      </c>
    </row>
    <row r="99" spans="1:23" x14ac:dyDescent="0.2">
      <c r="A99" s="39" t="s">
        <v>45</v>
      </c>
      <c r="B99" s="39" t="s">
        <v>13</v>
      </c>
      <c r="D99" s="51">
        <v>0</v>
      </c>
      <c r="E99" s="51">
        <v>0</v>
      </c>
      <c r="F99" s="51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U99" s="39">
        <v>0</v>
      </c>
      <c r="V99" s="39">
        <v>0</v>
      </c>
      <c r="W99" s="39">
        <v>0</v>
      </c>
    </row>
    <row r="100" spans="1:23" x14ac:dyDescent="0.2">
      <c r="A100" s="40" t="s">
        <v>45</v>
      </c>
      <c r="B100" s="40" t="s">
        <v>14</v>
      </c>
      <c r="D100" s="52">
        <v>0</v>
      </c>
      <c r="E100" s="52">
        <v>0</v>
      </c>
      <c r="F100" s="52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U100" s="40">
        <v>0</v>
      </c>
      <c r="V100" s="40">
        <v>0</v>
      </c>
      <c r="W100" s="40">
        <v>0</v>
      </c>
    </row>
    <row r="101" spans="1:23" x14ac:dyDescent="0.2">
      <c r="A101" s="39" t="s">
        <v>46</v>
      </c>
      <c r="B101" s="39" t="s">
        <v>12</v>
      </c>
      <c r="D101" s="51">
        <v>0</v>
      </c>
      <c r="E101" s="51">
        <v>0</v>
      </c>
      <c r="F101" s="51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U101" s="39">
        <v>0</v>
      </c>
      <c r="V101" s="39">
        <v>0</v>
      </c>
      <c r="W101" s="39">
        <v>0</v>
      </c>
    </row>
    <row r="102" spans="1:23" x14ac:dyDescent="0.2">
      <c r="A102" s="40" t="s">
        <v>46</v>
      </c>
      <c r="B102" s="40" t="s">
        <v>13</v>
      </c>
      <c r="D102" s="52">
        <v>0</v>
      </c>
      <c r="E102" s="52">
        <v>0</v>
      </c>
      <c r="F102" s="52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U102" s="40">
        <v>0</v>
      </c>
      <c r="V102" s="40">
        <v>0</v>
      </c>
      <c r="W102" s="40">
        <v>0</v>
      </c>
    </row>
    <row r="103" spans="1:23" x14ac:dyDescent="0.2">
      <c r="A103" s="39" t="s">
        <v>46</v>
      </c>
      <c r="B103" s="39" t="s">
        <v>14</v>
      </c>
      <c r="D103" s="51">
        <v>0</v>
      </c>
      <c r="E103" s="51">
        <v>0</v>
      </c>
      <c r="F103" s="51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U103" s="39">
        <v>0</v>
      </c>
      <c r="V103" s="39">
        <v>0</v>
      </c>
      <c r="W103" s="39">
        <v>0</v>
      </c>
    </row>
    <row r="104" spans="1:23" x14ac:dyDescent="0.2">
      <c r="A104" s="40" t="s">
        <v>47</v>
      </c>
      <c r="B104" s="40" t="s">
        <v>12</v>
      </c>
      <c r="D104" s="52">
        <v>0</v>
      </c>
      <c r="E104" s="52">
        <v>0</v>
      </c>
      <c r="F104" s="52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U104" s="40">
        <v>20</v>
      </c>
      <c r="V104" s="40">
        <v>19</v>
      </c>
      <c r="W104" s="40">
        <v>26</v>
      </c>
    </row>
    <row r="105" spans="1:23" x14ac:dyDescent="0.2">
      <c r="A105" s="39" t="s">
        <v>47</v>
      </c>
      <c r="B105" s="39" t="s">
        <v>13</v>
      </c>
      <c r="D105" s="51">
        <v>0</v>
      </c>
      <c r="E105" s="51">
        <v>0</v>
      </c>
      <c r="F105" s="51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U105" s="39">
        <v>1</v>
      </c>
      <c r="V105" s="39">
        <v>0</v>
      </c>
      <c r="W105" s="39">
        <v>1</v>
      </c>
    </row>
    <row r="106" spans="1:23" x14ac:dyDescent="0.2">
      <c r="A106" s="40" t="s">
        <v>47</v>
      </c>
      <c r="B106" s="40" t="s">
        <v>14</v>
      </c>
      <c r="D106" s="52">
        <v>3</v>
      </c>
      <c r="E106" s="52">
        <v>18</v>
      </c>
      <c r="F106" s="52">
        <v>5</v>
      </c>
      <c r="H106" s="40">
        <v>1</v>
      </c>
      <c r="I106" s="40">
        <v>0</v>
      </c>
      <c r="J106" s="40">
        <v>0</v>
      </c>
      <c r="K106" s="40">
        <v>0</v>
      </c>
      <c r="L106" s="40">
        <v>7</v>
      </c>
      <c r="M106" s="40">
        <v>0</v>
      </c>
      <c r="N106" s="40">
        <v>3</v>
      </c>
      <c r="O106" s="40">
        <v>1</v>
      </c>
      <c r="P106" s="40">
        <v>2</v>
      </c>
      <c r="Q106" s="40">
        <v>0</v>
      </c>
      <c r="R106" s="40">
        <v>0</v>
      </c>
      <c r="S106" s="40">
        <v>3</v>
      </c>
      <c r="U106" s="40">
        <v>272</v>
      </c>
      <c r="V106" s="40">
        <v>246</v>
      </c>
      <c r="W106" s="40">
        <v>326</v>
      </c>
    </row>
    <row r="107" spans="1:23" x14ac:dyDescent="0.2">
      <c r="A107" s="39" t="s">
        <v>48</v>
      </c>
      <c r="B107" s="39" t="s">
        <v>12</v>
      </c>
      <c r="D107" s="51">
        <v>0</v>
      </c>
      <c r="E107" s="51">
        <v>0</v>
      </c>
      <c r="F107" s="51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U107" s="39">
        <v>8</v>
      </c>
      <c r="V107" s="39">
        <v>8</v>
      </c>
      <c r="W107" s="39">
        <v>10</v>
      </c>
    </row>
    <row r="108" spans="1:23" x14ac:dyDescent="0.2">
      <c r="A108" s="40" t="s">
        <v>48</v>
      </c>
      <c r="B108" s="40" t="s">
        <v>13</v>
      </c>
      <c r="D108" s="52">
        <v>0</v>
      </c>
      <c r="E108" s="52">
        <v>0</v>
      </c>
      <c r="F108" s="52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U108" s="40">
        <v>0</v>
      </c>
      <c r="V108" s="40">
        <v>0</v>
      </c>
      <c r="W108" s="40">
        <v>0</v>
      </c>
    </row>
    <row r="109" spans="1:23" x14ac:dyDescent="0.2">
      <c r="A109" s="39" t="s">
        <v>48</v>
      </c>
      <c r="B109" s="39" t="s">
        <v>14</v>
      </c>
      <c r="D109" s="51">
        <v>0</v>
      </c>
      <c r="E109" s="51">
        <v>0</v>
      </c>
      <c r="F109" s="51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U109" s="39">
        <v>10</v>
      </c>
      <c r="V109" s="39">
        <v>14</v>
      </c>
      <c r="W109" s="39">
        <v>34</v>
      </c>
    </row>
    <row r="110" spans="1:23" x14ac:dyDescent="0.2">
      <c r="A110" s="40" t="s">
        <v>49</v>
      </c>
      <c r="B110" s="40" t="s">
        <v>12</v>
      </c>
      <c r="D110" s="52">
        <v>0</v>
      </c>
      <c r="E110" s="52">
        <v>0</v>
      </c>
      <c r="F110" s="52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U110" s="40">
        <v>0</v>
      </c>
      <c r="V110" s="40">
        <v>0</v>
      </c>
      <c r="W110" s="40">
        <v>1</v>
      </c>
    </row>
    <row r="111" spans="1:23" x14ac:dyDescent="0.2">
      <c r="A111" s="39" t="s">
        <v>49</v>
      </c>
      <c r="B111" s="39" t="s">
        <v>13</v>
      </c>
      <c r="D111" s="51">
        <v>0</v>
      </c>
      <c r="E111" s="51">
        <v>0</v>
      </c>
      <c r="F111" s="51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U111" s="39">
        <v>0</v>
      </c>
      <c r="V111" s="39">
        <v>0</v>
      </c>
      <c r="W111" s="39">
        <v>0</v>
      </c>
    </row>
    <row r="112" spans="1:23" x14ac:dyDescent="0.2">
      <c r="A112" s="40" t="s">
        <v>49</v>
      </c>
      <c r="B112" s="40" t="s">
        <v>14</v>
      </c>
      <c r="D112" s="52">
        <v>0</v>
      </c>
      <c r="E112" s="52">
        <v>0</v>
      </c>
      <c r="F112" s="52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U112" s="40">
        <v>0</v>
      </c>
      <c r="V112" s="40">
        <v>0</v>
      </c>
      <c r="W112" s="40">
        <v>0</v>
      </c>
    </row>
    <row r="113" spans="1:23" x14ac:dyDescent="0.2">
      <c r="A113" s="39" t="s">
        <v>50</v>
      </c>
      <c r="B113" s="39" t="s">
        <v>12</v>
      </c>
      <c r="D113" s="51">
        <v>0</v>
      </c>
      <c r="E113" s="51">
        <v>0</v>
      </c>
      <c r="F113" s="51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U113" s="39">
        <v>0</v>
      </c>
      <c r="V113" s="39">
        <v>0</v>
      </c>
      <c r="W113" s="39">
        <v>0</v>
      </c>
    </row>
    <row r="114" spans="1:23" x14ac:dyDescent="0.2">
      <c r="A114" s="40" t="s">
        <v>50</v>
      </c>
      <c r="B114" s="40" t="s">
        <v>13</v>
      </c>
      <c r="D114" s="52">
        <v>0</v>
      </c>
      <c r="E114" s="52">
        <v>0</v>
      </c>
      <c r="F114" s="52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U114" s="40">
        <v>0</v>
      </c>
      <c r="V114" s="40">
        <v>0</v>
      </c>
      <c r="W114" s="40">
        <v>0</v>
      </c>
    </row>
    <row r="115" spans="1:23" x14ac:dyDescent="0.2">
      <c r="A115" s="39" t="s">
        <v>50</v>
      </c>
      <c r="B115" s="39" t="s">
        <v>14</v>
      </c>
      <c r="D115" s="51">
        <v>0</v>
      </c>
      <c r="E115" s="51">
        <v>0</v>
      </c>
      <c r="F115" s="51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U115" s="39">
        <v>0</v>
      </c>
      <c r="V115" s="39">
        <v>0</v>
      </c>
      <c r="W115" s="39">
        <v>0</v>
      </c>
    </row>
    <row r="116" spans="1:23" x14ac:dyDescent="0.2">
      <c r="A116" s="40" t="s">
        <v>51</v>
      </c>
      <c r="B116" s="40" t="s">
        <v>12</v>
      </c>
      <c r="D116" s="52">
        <v>0</v>
      </c>
      <c r="E116" s="52">
        <v>1</v>
      </c>
      <c r="F116" s="52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U116" s="40">
        <v>55</v>
      </c>
      <c r="V116" s="40">
        <v>42</v>
      </c>
      <c r="W116" s="40">
        <v>71</v>
      </c>
    </row>
    <row r="117" spans="1:23" x14ac:dyDescent="0.2">
      <c r="A117" s="39" t="s">
        <v>51</v>
      </c>
      <c r="B117" s="39" t="s">
        <v>13</v>
      </c>
      <c r="D117" s="51">
        <v>0</v>
      </c>
      <c r="E117" s="51">
        <v>0</v>
      </c>
      <c r="F117" s="51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U117" s="39">
        <v>1</v>
      </c>
      <c r="V117" s="39">
        <v>2</v>
      </c>
      <c r="W117" s="39">
        <v>2</v>
      </c>
    </row>
    <row r="118" spans="1:23" x14ac:dyDescent="0.2">
      <c r="A118" s="40" t="s">
        <v>51</v>
      </c>
      <c r="B118" s="40" t="s">
        <v>14</v>
      </c>
      <c r="D118" s="52">
        <v>5</v>
      </c>
      <c r="E118" s="52">
        <v>19</v>
      </c>
      <c r="F118" s="52">
        <v>16</v>
      </c>
      <c r="H118" s="40">
        <v>1</v>
      </c>
      <c r="I118" s="40">
        <v>2</v>
      </c>
      <c r="J118" s="40">
        <v>0</v>
      </c>
      <c r="K118" s="40">
        <v>0</v>
      </c>
      <c r="L118" s="40">
        <v>11</v>
      </c>
      <c r="M118" s="40">
        <v>2</v>
      </c>
      <c r="N118" s="40">
        <v>2</v>
      </c>
      <c r="O118" s="40">
        <v>0</v>
      </c>
      <c r="P118" s="40">
        <v>6</v>
      </c>
      <c r="Q118" s="40">
        <v>2</v>
      </c>
      <c r="R118" s="40">
        <v>1</v>
      </c>
      <c r="S118" s="40">
        <v>0</v>
      </c>
      <c r="U118" s="40">
        <v>582</v>
      </c>
      <c r="V118" s="40">
        <v>693</v>
      </c>
      <c r="W118" s="40">
        <v>999</v>
      </c>
    </row>
    <row r="119" spans="1:23" x14ac:dyDescent="0.2">
      <c r="A119" s="39" t="s">
        <v>52</v>
      </c>
      <c r="B119" s="39" t="s">
        <v>12</v>
      </c>
      <c r="D119" s="51">
        <v>1</v>
      </c>
      <c r="E119" s="51">
        <v>0</v>
      </c>
      <c r="F119" s="51">
        <v>1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1</v>
      </c>
      <c r="Q119" s="39">
        <v>0</v>
      </c>
      <c r="R119" s="39">
        <v>0</v>
      </c>
      <c r="S119" s="39">
        <v>0</v>
      </c>
      <c r="U119" s="39">
        <v>40</v>
      </c>
      <c r="V119" s="39">
        <v>34</v>
      </c>
      <c r="W119" s="39">
        <v>32</v>
      </c>
    </row>
    <row r="120" spans="1:23" x14ac:dyDescent="0.2">
      <c r="A120" s="40" t="s">
        <v>52</v>
      </c>
      <c r="B120" s="40" t="s">
        <v>13</v>
      </c>
      <c r="D120" s="52">
        <v>0</v>
      </c>
      <c r="E120" s="52">
        <v>0</v>
      </c>
      <c r="F120" s="52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U120" s="40">
        <v>0</v>
      </c>
      <c r="V120" s="40">
        <v>0</v>
      </c>
      <c r="W120" s="40">
        <v>0</v>
      </c>
    </row>
    <row r="121" spans="1:23" x14ac:dyDescent="0.2">
      <c r="A121" s="39" t="s">
        <v>52</v>
      </c>
      <c r="B121" s="39" t="s">
        <v>14</v>
      </c>
      <c r="D121" s="51">
        <v>5</v>
      </c>
      <c r="E121" s="51">
        <v>0</v>
      </c>
      <c r="F121" s="51">
        <v>14</v>
      </c>
      <c r="H121" s="39">
        <v>1</v>
      </c>
      <c r="I121" s="39">
        <v>1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3</v>
      </c>
      <c r="Q121" s="39">
        <v>0</v>
      </c>
      <c r="R121" s="39">
        <v>2</v>
      </c>
      <c r="S121" s="39">
        <v>1</v>
      </c>
      <c r="U121" s="39">
        <v>404</v>
      </c>
      <c r="V121" s="39">
        <v>338</v>
      </c>
      <c r="W121" s="39">
        <v>414</v>
      </c>
    </row>
    <row r="122" spans="1:23" x14ac:dyDescent="0.2">
      <c r="A122" s="40" t="s">
        <v>53</v>
      </c>
      <c r="B122" s="40" t="s">
        <v>12</v>
      </c>
      <c r="D122" s="52">
        <v>0</v>
      </c>
      <c r="E122" s="52">
        <v>0</v>
      </c>
      <c r="F122" s="52">
        <v>1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1</v>
      </c>
      <c r="Q122" s="40">
        <v>0</v>
      </c>
      <c r="R122" s="40">
        <v>0</v>
      </c>
      <c r="S122" s="40">
        <v>0</v>
      </c>
      <c r="U122" s="40">
        <v>41</v>
      </c>
      <c r="V122" s="40">
        <v>34</v>
      </c>
      <c r="W122" s="40">
        <v>28</v>
      </c>
    </row>
    <row r="123" spans="1:23" x14ac:dyDescent="0.2">
      <c r="A123" s="39" t="s">
        <v>53</v>
      </c>
      <c r="B123" s="39" t="s">
        <v>13</v>
      </c>
      <c r="D123" s="51">
        <v>0</v>
      </c>
      <c r="E123" s="51">
        <v>0</v>
      </c>
      <c r="F123" s="51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U123" s="39">
        <v>0</v>
      </c>
      <c r="V123" s="39">
        <v>0</v>
      </c>
      <c r="W123" s="39">
        <v>0</v>
      </c>
    </row>
    <row r="124" spans="1:23" x14ac:dyDescent="0.2">
      <c r="A124" s="40" t="s">
        <v>53</v>
      </c>
      <c r="B124" s="40" t="s">
        <v>14</v>
      </c>
      <c r="D124" s="52">
        <v>7</v>
      </c>
      <c r="E124" s="52">
        <v>17</v>
      </c>
      <c r="F124" s="52">
        <v>8</v>
      </c>
      <c r="H124" s="40">
        <v>1</v>
      </c>
      <c r="I124" s="40">
        <v>1</v>
      </c>
      <c r="J124" s="40">
        <v>3</v>
      </c>
      <c r="K124" s="40">
        <v>0</v>
      </c>
      <c r="L124" s="40">
        <v>6</v>
      </c>
      <c r="M124" s="40">
        <v>2</v>
      </c>
      <c r="N124" s="40">
        <v>1</v>
      </c>
      <c r="O124" s="40">
        <v>0</v>
      </c>
      <c r="P124" s="40">
        <v>2</v>
      </c>
      <c r="Q124" s="40">
        <v>0</v>
      </c>
      <c r="R124" s="40">
        <v>0</v>
      </c>
      <c r="S124" s="40">
        <v>0</v>
      </c>
      <c r="U124" s="40">
        <v>352</v>
      </c>
      <c r="V124" s="40">
        <v>358</v>
      </c>
      <c r="W124" s="40">
        <v>400</v>
      </c>
    </row>
    <row r="125" spans="1:23" x14ac:dyDescent="0.2">
      <c r="A125" s="39" t="s">
        <v>54</v>
      </c>
      <c r="B125" s="39" t="s">
        <v>12</v>
      </c>
      <c r="D125" s="51">
        <v>0</v>
      </c>
      <c r="E125" s="51">
        <v>0</v>
      </c>
      <c r="F125" s="51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U125" s="39">
        <v>5</v>
      </c>
      <c r="V125" s="39">
        <v>3</v>
      </c>
      <c r="W125" s="39">
        <v>31</v>
      </c>
    </row>
    <row r="126" spans="1:23" x14ac:dyDescent="0.2">
      <c r="A126" s="40" t="s">
        <v>54</v>
      </c>
      <c r="B126" s="40" t="s">
        <v>13</v>
      </c>
      <c r="D126" s="52">
        <v>0</v>
      </c>
      <c r="E126" s="52">
        <v>0</v>
      </c>
      <c r="F126" s="52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U126" s="40">
        <v>0</v>
      </c>
      <c r="V126" s="40">
        <v>0</v>
      </c>
      <c r="W126" s="40">
        <v>0</v>
      </c>
    </row>
    <row r="127" spans="1:23" x14ac:dyDescent="0.2">
      <c r="A127" s="39" t="s">
        <v>54</v>
      </c>
      <c r="B127" s="39" t="s">
        <v>14</v>
      </c>
      <c r="D127" s="51">
        <v>0</v>
      </c>
      <c r="E127" s="51">
        <v>0</v>
      </c>
      <c r="F127" s="51">
        <v>5</v>
      </c>
      <c r="H127" s="39">
        <v>0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1</v>
      </c>
      <c r="Q127" s="39">
        <v>1</v>
      </c>
      <c r="R127" s="39">
        <v>0</v>
      </c>
      <c r="S127" s="39">
        <v>2</v>
      </c>
      <c r="U127" s="39">
        <v>153</v>
      </c>
      <c r="V127" s="39">
        <v>181</v>
      </c>
      <c r="W127" s="39">
        <v>419</v>
      </c>
    </row>
    <row r="128" spans="1:23" x14ac:dyDescent="0.2">
      <c r="A128" s="40" t="s">
        <v>55</v>
      </c>
      <c r="B128" s="40" t="s">
        <v>12</v>
      </c>
      <c r="D128" s="52">
        <v>0</v>
      </c>
      <c r="E128" s="52">
        <v>0</v>
      </c>
      <c r="F128" s="52">
        <v>2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1</v>
      </c>
      <c r="Q128" s="40">
        <v>0</v>
      </c>
      <c r="R128" s="40">
        <v>0</v>
      </c>
      <c r="S128" s="40">
        <v>0</v>
      </c>
      <c r="U128" s="40">
        <v>12</v>
      </c>
      <c r="V128" s="40">
        <v>14</v>
      </c>
      <c r="W128" s="40">
        <v>12</v>
      </c>
    </row>
    <row r="129" spans="1:23" x14ac:dyDescent="0.2">
      <c r="A129" s="39" t="s">
        <v>55</v>
      </c>
      <c r="B129" s="39" t="s">
        <v>13</v>
      </c>
      <c r="D129" s="51">
        <v>0</v>
      </c>
      <c r="E129" s="51">
        <v>0</v>
      </c>
      <c r="F129" s="51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U129" s="39">
        <v>0</v>
      </c>
      <c r="V129" s="39">
        <v>0</v>
      </c>
      <c r="W129" s="39">
        <v>0</v>
      </c>
    </row>
    <row r="130" spans="1:23" x14ac:dyDescent="0.2">
      <c r="A130" s="40" t="s">
        <v>55</v>
      </c>
      <c r="B130" s="40" t="s">
        <v>14</v>
      </c>
      <c r="D130" s="52">
        <v>1</v>
      </c>
      <c r="E130" s="52">
        <v>7</v>
      </c>
      <c r="F130" s="52">
        <v>7</v>
      </c>
      <c r="H130" s="40">
        <v>0</v>
      </c>
      <c r="I130" s="40">
        <v>0</v>
      </c>
      <c r="J130" s="40">
        <v>1</v>
      </c>
      <c r="K130" s="40">
        <v>0</v>
      </c>
      <c r="L130" s="40">
        <v>3</v>
      </c>
      <c r="M130" s="40">
        <v>1</v>
      </c>
      <c r="N130" s="40">
        <v>0</v>
      </c>
      <c r="O130" s="40">
        <v>0</v>
      </c>
      <c r="P130" s="40">
        <v>2</v>
      </c>
      <c r="Q130" s="40">
        <v>0</v>
      </c>
      <c r="R130" s="40">
        <v>0</v>
      </c>
      <c r="S130" s="40">
        <v>1</v>
      </c>
      <c r="U130" s="40">
        <v>260</v>
      </c>
      <c r="V130" s="40">
        <v>216</v>
      </c>
      <c r="W130" s="40">
        <v>340</v>
      </c>
    </row>
    <row r="131" spans="1:23" x14ac:dyDescent="0.2">
      <c r="A131" s="39" t="s">
        <v>56</v>
      </c>
      <c r="B131" s="39" t="s">
        <v>12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">
      <c r="A132" s="40" t="s">
        <v>56</v>
      </c>
      <c r="B132" s="40" t="s">
        <v>13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">
      <c r="A133" s="39" t="s">
        <v>56</v>
      </c>
      <c r="B133" s="39" t="s">
        <v>14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</sheetData>
  <pageMargins left="0.5" right="0.5" top="0.5" bottom="0.5" header="0.25" footer="0.25"/>
  <pageSetup scale="60" orientation="portrait" r:id="rId1"/>
  <headerFooter>
    <oddHeader>&amp;RU-200281 NWN 1Q and March 2025 COVID Data Rpt 
&amp;P of &amp;N</oddHeader>
  </headerFooter>
  <colBreaks count="1" manualBreakCount="1">
    <brk id="20" max="13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view="pageLayout" zoomScaleNormal="85" workbookViewId="0">
      <selection activeCell="X3" sqref="X3:Z12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75</v>
      </c>
      <c r="B1" s="2"/>
      <c r="D1" s="8" t="s">
        <v>76</v>
      </c>
      <c r="E1" s="8"/>
      <c r="F1" s="8"/>
      <c r="H1" s="8" t="s">
        <v>77</v>
      </c>
      <c r="I1" s="8"/>
      <c r="J1" s="8"/>
      <c r="L1" s="8" t="s">
        <v>78</v>
      </c>
      <c r="M1" s="8"/>
      <c r="N1" s="8"/>
      <c r="P1" s="8" t="s">
        <v>79</v>
      </c>
      <c r="Q1" s="8"/>
      <c r="R1" s="8"/>
      <c r="T1" s="8" t="s">
        <v>80</v>
      </c>
      <c r="U1" s="8"/>
      <c r="V1" s="8"/>
      <c r="X1" s="8" t="s">
        <v>81</v>
      </c>
      <c r="Y1" s="8"/>
      <c r="Z1" s="8"/>
    </row>
    <row r="2" spans="1:29" x14ac:dyDescent="0.2">
      <c r="A2" s="2" t="s">
        <v>82</v>
      </c>
      <c r="B2" s="2" t="s">
        <v>83</v>
      </c>
      <c r="D2" s="55" t="s">
        <v>84</v>
      </c>
      <c r="E2" s="55" t="s">
        <v>85</v>
      </c>
      <c r="F2" s="55" t="s">
        <v>86</v>
      </c>
      <c r="H2" s="56" t="str">
        <f>+D2</f>
        <v>Jan</v>
      </c>
      <c r="I2" s="56" t="str">
        <f t="shared" ref="I2:J2" si="0">+E2</f>
        <v>Feb</v>
      </c>
      <c r="J2" s="56" t="str">
        <f t="shared" si="0"/>
        <v>Mar</v>
      </c>
      <c r="K2" s="57"/>
      <c r="L2" s="56" t="str">
        <f>+H2</f>
        <v>Jan</v>
      </c>
      <c r="M2" s="56" t="str">
        <f>+I2</f>
        <v>Feb</v>
      </c>
      <c r="N2" s="56" t="str">
        <f>+J2</f>
        <v>Mar</v>
      </c>
      <c r="O2" s="57"/>
      <c r="P2" s="56" t="str">
        <f>+L2</f>
        <v>Jan</v>
      </c>
      <c r="Q2" s="56" t="str">
        <f>+M2</f>
        <v>Feb</v>
      </c>
      <c r="R2" s="56" t="str">
        <f>+N2</f>
        <v>Mar</v>
      </c>
      <c r="S2" s="57"/>
      <c r="T2" s="56" t="str">
        <f>+P2</f>
        <v>Jan</v>
      </c>
      <c r="U2" s="56" t="str">
        <f>+Q2</f>
        <v>Feb</v>
      </c>
      <c r="V2" s="56" t="str">
        <f>+R2</f>
        <v>Mar</v>
      </c>
      <c r="W2" s="57"/>
      <c r="X2" s="56" t="str">
        <f>+T2</f>
        <v>Jan</v>
      </c>
      <c r="Y2" s="56" t="str">
        <f t="shared" ref="Y2" si="1">+U2</f>
        <v>Feb</v>
      </c>
      <c r="Z2" s="56" t="str">
        <f t="shared" ref="Z2" si="2">+V2</f>
        <v>Mar</v>
      </c>
      <c r="AA2" s="58"/>
      <c r="AB2" s="58"/>
      <c r="AC2" s="58"/>
    </row>
    <row r="3" spans="1:29" x14ac:dyDescent="0.2">
      <c r="A3" s="51" t="s">
        <v>11</v>
      </c>
      <c r="B3" s="51" t="s">
        <v>12</v>
      </c>
      <c r="D3" s="39">
        <v>0</v>
      </c>
      <c r="E3" s="39">
        <v>0</v>
      </c>
      <c r="F3" s="39">
        <v>0</v>
      </c>
      <c r="H3" s="44">
        <v>0</v>
      </c>
      <c r="I3" s="44">
        <v>0</v>
      </c>
      <c r="J3" s="44">
        <v>0</v>
      </c>
      <c r="L3" s="23" t="s">
        <v>87</v>
      </c>
      <c r="M3" s="23" t="s">
        <v>87</v>
      </c>
      <c r="N3" s="23" t="s">
        <v>87</v>
      </c>
      <c r="P3" s="23" t="s">
        <v>87</v>
      </c>
      <c r="Q3" s="23" t="s">
        <v>87</v>
      </c>
      <c r="R3" s="23" t="s">
        <v>87</v>
      </c>
      <c r="T3" s="39">
        <v>0</v>
      </c>
      <c r="U3" s="39">
        <v>0</v>
      </c>
      <c r="V3" s="39">
        <v>0</v>
      </c>
      <c r="X3" s="44">
        <v>0</v>
      </c>
      <c r="Y3" s="44">
        <v>0</v>
      </c>
      <c r="Z3" s="44">
        <v>0</v>
      </c>
    </row>
    <row r="4" spans="1:29" x14ac:dyDescent="0.2">
      <c r="A4" s="52" t="s">
        <v>11</v>
      </c>
      <c r="B4" s="52" t="s">
        <v>13</v>
      </c>
      <c r="D4" s="40">
        <v>0</v>
      </c>
      <c r="E4" s="40">
        <v>0</v>
      </c>
      <c r="F4" s="40">
        <v>0</v>
      </c>
      <c r="H4" s="45">
        <v>0</v>
      </c>
      <c r="I4" s="45">
        <v>0</v>
      </c>
      <c r="J4" s="45">
        <v>0</v>
      </c>
      <c r="L4" s="23" t="s">
        <v>87</v>
      </c>
      <c r="M4" s="23" t="s">
        <v>87</v>
      </c>
      <c r="N4" s="23" t="s">
        <v>87</v>
      </c>
      <c r="P4" s="23" t="s">
        <v>87</v>
      </c>
      <c r="Q4" s="23" t="s">
        <v>87</v>
      </c>
      <c r="R4" s="23" t="s">
        <v>87</v>
      </c>
      <c r="T4" s="40">
        <v>0</v>
      </c>
      <c r="U4" s="40">
        <v>0</v>
      </c>
      <c r="V4" s="40">
        <v>0</v>
      </c>
      <c r="X4" s="45">
        <v>0</v>
      </c>
      <c r="Y4" s="45">
        <v>0</v>
      </c>
      <c r="Z4" s="45">
        <v>0</v>
      </c>
    </row>
    <row r="5" spans="1:29" x14ac:dyDescent="0.2">
      <c r="A5" s="51" t="s">
        <v>11</v>
      </c>
      <c r="B5" s="51" t="s">
        <v>14</v>
      </c>
      <c r="D5" s="39">
        <v>0</v>
      </c>
      <c r="E5" s="39">
        <v>0</v>
      </c>
      <c r="F5" s="39">
        <v>0</v>
      </c>
      <c r="H5" s="44">
        <v>0</v>
      </c>
      <c r="I5" s="44">
        <v>0</v>
      </c>
      <c r="J5" s="44">
        <v>0</v>
      </c>
      <c r="L5" s="23" t="s">
        <v>87</v>
      </c>
      <c r="M5" s="23" t="s">
        <v>87</v>
      </c>
      <c r="N5" s="23" t="s">
        <v>87</v>
      </c>
      <c r="P5" s="23" t="s">
        <v>87</v>
      </c>
      <c r="Q5" s="23" t="s">
        <v>87</v>
      </c>
      <c r="R5" s="23" t="s">
        <v>87</v>
      </c>
      <c r="T5" s="39">
        <v>0</v>
      </c>
      <c r="U5" s="39">
        <v>0</v>
      </c>
      <c r="V5" s="39">
        <v>0</v>
      </c>
      <c r="X5" s="44">
        <v>0</v>
      </c>
      <c r="Y5" s="44">
        <v>0</v>
      </c>
      <c r="Z5" s="44">
        <v>0</v>
      </c>
    </row>
    <row r="6" spans="1:29" x14ac:dyDescent="0.2">
      <c r="A6" s="52" t="s">
        <v>15</v>
      </c>
      <c r="B6" s="52" t="s">
        <v>12</v>
      </c>
      <c r="D6" s="40">
        <v>0</v>
      </c>
      <c r="E6" s="40">
        <v>0</v>
      </c>
      <c r="F6" s="40">
        <v>0</v>
      </c>
      <c r="H6" s="45">
        <v>0</v>
      </c>
      <c r="I6" s="45">
        <v>0</v>
      </c>
      <c r="J6" s="45">
        <v>0</v>
      </c>
      <c r="L6" s="23" t="s">
        <v>87</v>
      </c>
      <c r="M6" s="23" t="s">
        <v>87</v>
      </c>
      <c r="N6" s="23" t="s">
        <v>87</v>
      </c>
      <c r="P6" s="23" t="s">
        <v>87</v>
      </c>
      <c r="Q6" s="23" t="s">
        <v>87</v>
      </c>
      <c r="R6" s="23" t="s">
        <v>87</v>
      </c>
      <c r="T6" s="40">
        <v>0</v>
      </c>
      <c r="U6" s="40">
        <v>0</v>
      </c>
      <c r="V6" s="40">
        <v>0</v>
      </c>
      <c r="X6" s="45">
        <v>0</v>
      </c>
      <c r="Y6" s="45">
        <v>0</v>
      </c>
      <c r="Z6" s="45">
        <v>0</v>
      </c>
    </row>
    <row r="7" spans="1:29" x14ac:dyDescent="0.2">
      <c r="A7" s="51" t="s">
        <v>15</v>
      </c>
      <c r="B7" s="51" t="s">
        <v>13</v>
      </c>
      <c r="D7" s="39">
        <v>0</v>
      </c>
      <c r="E7" s="39">
        <v>0</v>
      </c>
      <c r="F7" s="39">
        <v>0</v>
      </c>
      <c r="H7" s="44">
        <v>0</v>
      </c>
      <c r="I7" s="44">
        <v>0</v>
      </c>
      <c r="J7" s="44">
        <v>0</v>
      </c>
      <c r="L7" s="23" t="s">
        <v>87</v>
      </c>
      <c r="M7" s="23" t="s">
        <v>87</v>
      </c>
      <c r="N7" s="23" t="s">
        <v>87</v>
      </c>
      <c r="P7" s="23" t="s">
        <v>87</v>
      </c>
      <c r="Q7" s="23" t="s">
        <v>87</v>
      </c>
      <c r="R7" s="23" t="s">
        <v>87</v>
      </c>
      <c r="T7" s="39">
        <v>0</v>
      </c>
      <c r="U7" s="39">
        <v>0</v>
      </c>
      <c r="V7" s="39">
        <v>0</v>
      </c>
      <c r="X7" s="44">
        <v>0</v>
      </c>
      <c r="Y7" s="44">
        <v>0</v>
      </c>
      <c r="Z7" s="44">
        <v>0</v>
      </c>
    </row>
    <row r="8" spans="1:29" x14ac:dyDescent="0.2">
      <c r="A8" s="52" t="s">
        <v>15</v>
      </c>
      <c r="B8" s="52" t="s">
        <v>14</v>
      </c>
      <c r="D8" s="40">
        <v>0</v>
      </c>
      <c r="E8" s="40">
        <v>0</v>
      </c>
      <c r="F8" s="40">
        <v>0</v>
      </c>
      <c r="H8" s="45">
        <v>0</v>
      </c>
      <c r="I8" s="45">
        <v>0</v>
      </c>
      <c r="J8" s="45">
        <v>0</v>
      </c>
      <c r="L8" s="23" t="s">
        <v>87</v>
      </c>
      <c r="M8" s="23" t="s">
        <v>87</v>
      </c>
      <c r="N8" s="23" t="s">
        <v>87</v>
      </c>
      <c r="P8" s="23" t="s">
        <v>87</v>
      </c>
      <c r="Q8" s="23" t="s">
        <v>87</v>
      </c>
      <c r="R8" s="23" t="s">
        <v>87</v>
      </c>
      <c r="T8" s="40">
        <v>0</v>
      </c>
      <c r="U8" s="40">
        <v>0</v>
      </c>
      <c r="V8" s="40">
        <v>0</v>
      </c>
      <c r="X8" s="45">
        <v>0</v>
      </c>
      <c r="Y8" s="45">
        <v>0</v>
      </c>
      <c r="Z8" s="45">
        <v>0</v>
      </c>
    </row>
    <row r="9" spans="1:29" x14ac:dyDescent="0.2">
      <c r="A9" s="51" t="s">
        <v>16</v>
      </c>
      <c r="B9" s="51" t="s">
        <v>12</v>
      </c>
      <c r="D9" s="39">
        <v>0</v>
      </c>
      <c r="E9" s="39">
        <v>0</v>
      </c>
      <c r="F9" s="39">
        <v>0</v>
      </c>
      <c r="H9" s="44">
        <v>0</v>
      </c>
      <c r="I9" s="44">
        <v>0</v>
      </c>
      <c r="J9" s="44">
        <v>0</v>
      </c>
      <c r="L9" s="23" t="s">
        <v>87</v>
      </c>
      <c r="M9" s="23" t="s">
        <v>87</v>
      </c>
      <c r="N9" s="23" t="s">
        <v>87</v>
      </c>
      <c r="P9" s="23" t="s">
        <v>87</v>
      </c>
      <c r="Q9" s="23" t="s">
        <v>87</v>
      </c>
      <c r="R9" s="23" t="s">
        <v>87</v>
      </c>
      <c r="T9" s="39">
        <v>0</v>
      </c>
      <c r="U9" s="39">
        <v>0</v>
      </c>
      <c r="V9" s="39">
        <v>0</v>
      </c>
      <c r="X9" s="44">
        <v>0</v>
      </c>
      <c r="Y9" s="44">
        <v>0</v>
      </c>
      <c r="Z9" s="44">
        <v>0</v>
      </c>
    </row>
    <row r="10" spans="1:29" x14ac:dyDescent="0.2">
      <c r="A10" s="52" t="s">
        <v>16</v>
      </c>
      <c r="B10" s="52" t="s">
        <v>13</v>
      </c>
      <c r="D10" s="40">
        <v>0</v>
      </c>
      <c r="E10" s="40">
        <v>0</v>
      </c>
      <c r="F10" s="40">
        <v>0</v>
      </c>
      <c r="H10" s="45">
        <v>0</v>
      </c>
      <c r="I10" s="45">
        <v>0</v>
      </c>
      <c r="J10" s="45">
        <v>0</v>
      </c>
      <c r="L10" s="23" t="s">
        <v>87</v>
      </c>
      <c r="M10" s="23" t="s">
        <v>87</v>
      </c>
      <c r="N10" s="23" t="s">
        <v>87</v>
      </c>
      <c r="P10" s="23" t="s">
        <v>87</v>
      </c>
      <c r="Q10" s="23" t="s">
        <v>87</v>
      </c>
      <c r="R10" s="23" t="s">
        <v>87</v>
      </c>
      <c r="T10" s="40">
        <v>0</v>
      </c>
      <c r="U10" s="40">
        <v>0</v>
      </c>
      <c r="V10" s="40">
        <v>0</v>
      </c>
      <c r="X10" s="45">
        <v>0</v>
      </c>
      <c r="Y10" s="45">
        <v>0</v>
      </c>
      <c r="Z10" s="45">
        <v>0</v>
      </c>
    </row>
    <row r="11" spans="1:29" x14ac:dyDescent="0.2">
      <c r="A11" s="51" t="s">
        <v>16</v>
      </c>
      <c r="B11" s="51" t="s">
        <v>14</v>
      </c>
      <c r="D11" s="39">
        <v>0</v>
      </c>
      <c r="E11" s="39">
        <v>0</v>
      </c>
      <c r="F11" s="39">
        <v>0</v>
      </c>
      <c r="H11" s="44">
        <v>0</v>
      </c>
      <c r="I11" s="44">
        <v>0</v>
      </c>
      <c r="J11" s="44">
        <v>0</v>
      </c>
      <c r="L11" s="23" t="s">
        <v>87</v>
      </c>
      <c r="M11" s="23" t="s">
        <v>87</v>
      </c>
      <c r="N11" s="23" t="s">
        <v>87</v>
      </c>
      <c r="P11" s="23" t="s">
        <v>87</v>
      </c>
      <c r="Q11" s="23" t="s">
        <v>87</v>
      </c>
      <c r="R11" s="23" t="s">
        <v>87</v>
      </c>
      <c r="T11" s="39">
        <v>0</v>
      </c>
      <c r="U11" s="39">
        <v>0</v>
      </c>
      <c r="V11" s="39">
        <v>0</v>
      </c>
      <c r="X11" s="44">
        <v>0</v>
      </c>
      <c r="Y11" s="44">
        <v>0</v>
      </c>
      <c r="Z11" s="44">
        <v>0</v>
      </c>
    </row>
    <row r="12" spans="1:29" x14ac:dyDescent="0.2">
      <c r="A12" s="52" t="s">
        <v>17</v>
      </c>
      <c r="B12" s="52" t="s">
        <v>12</v>
      </c>
      <c r="D12" s="40">
        <v>0</v>
      </c>
      <c r="E12" s="40">
        <v>0</v>
      </c>
      <c r="F12" s="40">
        <v>0</v>
      </c>
      <c r="H12" s="45">
        <v>0</v>
      </c>
      <c r="I12" s="45">
        <v>0</v>
      </c>
      <c r="J12" s="45">
        <v>0</v>
      </c>
      <c r="L12" s="23" t="s">
        <v>87</v>
      </c>
      <c r="M12" s="23" t="s">
        <v>87</v>
      </c>
      <c r="N12" s="23" t="s">
        <v>87</v>
      </c>
      <c r="P12" s="23" t="s">
        <v>87</v>
      </c>
      <c r="Q12" s="23" t="s">
        <v>87</v>
      </c>
      <c r="R12" s="23" t="s">
        <v>87</v>
      </c>
      <c r="T12" s="40">
        <v>0</v>
      </c>
      <c r="U12" s="40">
        <v>0</v>
      </c>
      <c r="V12" s="40">
        <v>0</v>
      </c>
      <c r="X12" s="45">
        <v>0</v>
      </c>
      <c r="Y12" s="45">
        <v>0</v>
      </c>
      <c r="Z12" s="45">
        <v>0</v>
      </c>
    </row>
    <row r="13" spans="1:29" x14ac:dyDescent="0.2">
      <c r="A13" s="51" t="s">
        <v>17</v>
      </c>
      <c r="B13" s="51" t="s">
        <v>13</v>
      </c>
      <c r="D13" s="39">
        <v>0</v>
      </c>
      <c r="E13" s="39">
        <v>0</v>
      </c>
      <c r="F13" s="39">
        <v>0</v>
      </c>
      <c r="H13" s="44">
        <v>0</v>
      </c>
      <c r="I13" s="44">
        <v>0</v>
      </c>
      <c r="J13" s="44">
        <v>0</v>
      </c>
      <c r="L13" s="23" t="s">
        <v>87</v>
      </c>
      <c r="M13" s="23" t="s">
        <v>87</v>
      </c>
      <c r="N13" s="23" t="s">
        <v>87</v>
      </c>
      <c r="P13" s="23" t="s">
        <v>87</v>
      </c>
      <c r="Q13" s="23" t="s">
        <v>87</v>
      </c>
      <c r="R13" s="23" t="s">
        <v>87</v>
      </c>
      <c r="T13" s="39">
        <v>0</v>
      </c>
      <c r="U13" s="39">
        <v>0</v>
      </c>
      <c r="V13" s="39">
        <v>0</v>
      </c>
      <c r="X13" s="44">
        <v>0</v>
      </c>
      <c r="Y13" s="44">
        <v>0</v>
      </c>
      <c r="Z13" s="44">
        <v>0</v>
      </c>
    </row>
    <row r="14" spans="1:29" x14ac:dyDescent="0.2">
      <c r="A14" s="52" t="s">
        <v>17</v>
      </c>
      <c r="B14" s="52" t="s">
        <v>14</v>
      </c>
      <c r="D14" s="40">
        <v>0</v>
      </c>
      <c r="E14" s="40">
        <v>0</v>
      </c>
      <c r="F14" s="40">
        <v>0</v>
      </c>
      <c r="H14" s="45">
        <v>0</v>
      </c>
      <c r="I14" s="45">
        <v>0</v>
      </c>
      <c r="J14" s="45">
        <v>0</v>
      </c>
      <c r="L14" s="23" t="s">
        <v>87</v>
      </c>
      <c r="M14" s="23" t="s">
        <v>87</v>
      </c>
      <c r="N14" s="23" t="s">
        <v>87</v>
      </c>
      <c r="P14" s="23" t="s">
        <v>87</v>
      </c>
      <c r="Q14" s="23" t="s">
        <v>87</v>
      </c>
      <c r="R14" s="23" t="s">
        <v>87</v>
      </c>
      <c r="T14" s="40">
        <v>0</v>
      </c>
      <c r="U14" s="40">
        <v>0</v>
      </c>
      <c r="V14" s="40">
        <v>0</v>
      </c>
      <c r="X14" s="45">
        <v>0</v>
      </c>
      <c r="Y14" s="45">
        <v>0</v>
      </c>
      <c r="Z14" s="45">
        <v>0</v>
      </c>
    </row>
    <row r="15" spans="1:29" x14ac:dyDescent="0.2">
      <c r="A15" s="51" t="s">
        <v>18</v>
      </c>
      <c r="B15" s="51" t="s">
        <v>12</v>
      </c>
      <c r="D15" s="39">
        <v>0</v>
      </c>
      <c r="E15" s="39">
        <v>0</v>
      </c>
      <c r="F15" s="39">
        <v>0</v>
      </c>
      <c r="H15" s="44">
        <v>0</v>
      </c>
      <c r="I15" s="44">
        <v>0</v>
      </c>
      <c r="J15" s="44">
        <v>0</v>
      </c>
      <c r="L15" s="23" t="s">
        <v>87</v>
      </c>
      <c r="M15" s="23" t="s">
        <v>87</v>
      </c>
      <c r="N15" s="23" t="s">
        <v>87</v>
      </c>
      <c r="P15" s="23" t="s">
        <v>87</v>
      </c>
      <c r="Q15" s="23" t="s">
        <v>87</v>
      </c>
      <c r="R15" s="23" t="s">
        <v>87</v>
      </c>
      <c r="T15" s="39">
        <v>0</v>
      </c>
      <c r="U15" s="39">
        <v>0</v>
      </c>
      <c r="V15" s="39">
        <v>0</v>
      </c>
      <c r="X15" s="44">
        <v>0</v>
      </c>
      <c r="Y15" s="44">
        <v>0</v>
      </c>
      <c r="Z15" s="44">
        <v>0</v>
      </c>
    </row>
    <row r="16" spans="1:29" x14ac:dyDescent="0.2">
      <c r="A16" s="52" t="s">
        <v>18</v>
      </c>
      <c r="B16" s="52" t="s">
        <v>13</v>
      </c>
      <c r="D16" s="40">
        <v>0</v>
      </c>
      <c r="E16" s="40">
        <v>0</v>
      </c>
      <c r="F16" s="40">
        <v>0</v>
      </c>
      <c r="H16" s="45">
        <v>0</v>
      </c>
      <c r="I16" s="45">
        <v>0</v>
      </c>
      <c r="J16" s="45">
        <v>0</v>
      </c>
      <c r="L16" s="23" t="s">
        <v>87</v>
      </c>
      <c r="M16" s="23" t="s">
        <v>87</v>
      </c>
      <c r="N16" s="23" t="s">
        <v>87</v>
      </c>
      <c r="P16" s="23" t="s">
        <v>87</v>
      </c>
      <c r="Q16" s="23" t="s">
        <v>87</v>
      </c>
      <c r="R16" s="23" t="s">
        <v>87</v>
      </c>
      <c r="T16" s="40">
        <v>0</v>
      </c>
      <c r="U16" s="40">
        <v>0</v>
      </c>
      <c r="V16" s="40">
        <v>0</v>
      </c>
      <c r="X16" s="45">
        <v>0</v>
      </c>
      <c r="Y16" s="45">
        <v>0</v>
      </c>
      <c r="Z16" s="45">
        <v>0</v>
      </c>
    </row>
    <row r="17" spans="1:26" x14ac:dyDescent="0.2">
      <c r="A17" s="51" t="s">
        <v>18</v>
      </c>
      <c r="B17" s="51" t="s">
        <v>14</v>
      </c>
      <c r="D17" s="39">
        <v>0</v>
      </c>
      <c r="E17" s="39">
        <v>0</v>
      </c>
      <c r="F17" s="39">
        <v>0</v>
      </c>
      <c r="H17" s="44">
        <v>0</v>
      </c>
      <c r="I17" s="44">
        <v>0</v>
      </c>
      <c r="J17" s="44">
        <v>0</v>
      </c>
      <c r="L17" s="23" t="s">
        <v>87</v>
      </c>
      <c r="M17" s="23" t="s">
        <v>87</v>
      </c>
      <c r="N17" s="23" t="s">
        <v>87</v>
      </c>
      <c r="P17" s="23" t="s">
        <v>87</v>
      </c>
      <c r="Q17" s="23" t="s">
        <v>87</v>
      </c>
      <c r="R17" s="23" t="s">
        <v>87</v>
      </c>
      <c r="T17" s="39">
        <v>0</v>
      </c>
      <c r="U17" s="39">
        <v>0</v>
      </c>
      <c r="V17" s="39">
        <v>0</v>
      </c>
      <c r="X17" s="44">
        <v>0</v>
      </c>
      <c r="Y17" s="44">
        <v>0</v>
      </c>
      <c r="Z17" s="44">
        <v>0</v>
      </c>
    </row>
    <row r="18" spans="1:26" x14ac:dyDescent="0.2">
      <c r="A18" s="52" t="s">
        <v>19</v>
      </c>
      <c r="B18" s="52" t="s">
        <v>12</v>
      </c>
      <c r="D18" s="40">
        <v>0</v>
      </c>
      <c r="E18" s="40">
        <v>0</v>
      </c>
      <c r="F18" s="40">
        <v>0</v>
      </c>
      <c r="H18" s="45">
        <v>0</v>
      </c>
      <c r="I18" s="45">
        <v>0</v>
      </c>
      <c r="J18" s="45">
        <v>0</v>
      </c>
      <c r="L18" s="23" t="s">
        <v>87</v>
      </c>
      <c r="M18" s="23" t="s">
        <v>87</v>
      </c>
      <c r="N18" s="23" t="s">
        <v>87</v>
      </c>
      <c r="P18" s="23" t="s">
        <v>87</v>
      </c>
      <c r="Q18" s="23" t="s">
        <v>87</v>
      </c>
      <c r="R18" s="23" t="s">
        <v>87</v>
      </c>
      <c r="T18" s="40">
        <v>0</v>
      </c>
      <c r="U18" s="40">
        <v>0</v>
      </c>
      <c r="V18" s="40">
        <v>0</v>
      </c>
      <c r="X18" s="45">
        <v>0</v>
      </c>
      <c r="Y18" s="45">
        <v>0</v>
      </c>
      <c r="Z18" s="45">
        <v>0</v>
      </c>
    </row>
    <row r="19" spans="1:26" x14ac:dyDescent="0.2">
      <c r="A19" s="51" t="s">
        <v>19</v>
      </c>
      <c r="B19" s="51" t="s">
        <v>13</v>
      </c>
      <c r="D19" s="39">
        <v>0</v>
      </c>
      <c r="E19" s="39">
        <v>0</v>
      </c>
      <c r="F19" s="39">
        <v>0</v>
      </c>
      <c r="H19" s="44">
        <v>0</v>
      </c>
      <c r="I19" s="44">
        <v>0</v>
      </c>
      <c r="J19" s="44">
        <v>0</v>
      </c>
      <c r="L19" s="23" t="s">
        <v>87</v>
      </c>
      <c r="M19" s="23" t="s">
        <v>87</v>
      </c>
      <c r="N19" s="23" t="s">
        <v>87</v>
      </c>
      <c r="P19" s="23" t="s">
        <v>87</v>
      </c>
      <c r="Q19" s="23" t="s">
        <v>87</v>
      </c>
      <c r="R19" s="23" t="s">
        <v>87</v>
      </c>
      <c r="T19" s="39">
        <v>0</v>
      </c>
      <c r="U19" s="39">
        <v>0</v>
      </c>
      <c r="V19" s="39">
        <v>0</v>
      </c>
      <c r="X19" s="44">
        <v>0</v>
      </c>
      <c r="Y19" s="44">
        <v>0</v>
      </c>
      <c r="Z19" s="44">
        <v>0</v>
      </c>
    </row>
    <row r="20" spans="1:26" x14ac:dyDescent="0.2">
      <c r="A20" s="52" t="s">
        <v>19</v>
      </c>
      <c r="B20" s="52" t="s">
        <v>14</v>
      </c>
      <c r="D20" s="40">
        <v>0</v>
      </c>
      <c r="E20" s="40">
        <v>0</v>
      </c>
      <c r="F20" s="40">
        <v>0</v>
      </c>
      <c r="H20" s="45">
        <v>0</v>
      </c>
      <c r="I20" s="45">
        <v>0</v>
      </c>
      <c r="J20" s="45">
        <v>0</v>
      </c>
      <c r="L20" s="23" t="s">
        <v>87</v>
      </c>
      <c r="M20" s="23" t="s">
        <v>87</v>
      </c>
      <c r="N20" s="23" t="s">
        <v>87</v>
      </c>
      <c r="P20" s="23" t="s">
        <v>87</v>
      </c>
      <c r="Q20" s="23" t="s">
        <v>87</v>
      </c>
      <c r="R20" s="23" t="s">
        <v>87</v>
      </c>
      <c r="T20" s="40">
        <v>0</v>
      </c>
      <c r="U20" s="40">
        <v>0</v>
      </c>
      <c r="V20" s="40">
        <v>0</v>
      </c>
      <c r="X20" s="45">
        <v>0</v>
      </c>
      <c r="Y20" s="45">
        <v>0</v>
      </c>
      <c r="Z20" s="45">
        <v>0</v>
      </c>
    </row>
    <row r="21" spans="1:26" x14ac:dyDescent="0.2">
      <c r="A21" s="51" t="s">
        <v>20</v>
      </c>
      <c r="B21" s="51" t="s">
        <v>12</v>
      </c>
      <c r="D21" s="39">
        <v>0</v>
      </c>
      <c r="E21" s="39">
        <v>0</v>
      </c>
      <c r="F21" s="39">
        <v>0</v>
      </c>
      <c r="H21" s="44">
        <v>0</v>
      </c>
      <c r="I21" s="44">
        <v>0</v>
      </c>
      <c r="J21" s="44">
        <v>0</v>
      </c>
      <c r="L21" s="23" t="s">
        <v>87</v>
      </c>
      <c r="M21" s="23" t="s">
        <v>87</v>
      </c>
      <c r="N21" s="23" t="s">
        <v>87</v>
      </c>
      <c r="P21" s="23" t="s">
        <v>87</v>
      </c>
      <c r="Q21" s="23" t="s">
        <v>87</v>
      </c>
      <c r="R21" s="23" t="s">
        <v>87</v>
      </c>
      <c r="T21" s="39">
        <v>0</v>
      </c>
      <c r="U21" s="39">
        <v>0</v>
      </c>
      <c r="V21" s="39">
        <v>0</v>
      </c>
      <c r="X21" s="44">
        <v>0</v>
      </c>
      <c r="Y21" s="44">
        <v>0</v>
      </c>
      <c r="Z21" s="44">
        <v>0</v>
      </c>
    </row>
    <row r="22" spans="1:26" x14ac:dyDescent="0.2">
      <c r="A22" s="52" t="s">
        <v>20</v>
      </c>
      <c r="B22" s="52" t="s">
        <v>13</v>
      </c>
      <c r="D22" s="40">
        <v>0</v>
      </c>
      <c r="E22" s="40">
        <v>0</v>
      </c>
      <c r="F22" s="40">
        <v>0</v>
      </c>
      <c r="H22" s="45">
        <v>0</v>
      </c>
      <c r="I22" s="45">
        <v>0</v>
      </c>
      <c r="J22" s="45">
        <v>0</v>
      </c>
      <c r="L22" s="23" t="s">
        <v>87</v>
      </c>
      <c r="M22" s="23" t="s">
        <v>87</v>
      </c>
      <c r="N22" s="23" t="s">
        <v>87</v>
      </c>
      <c r="P22" s="23" t="s">
        <v>87</v>
      </c>
      <c r="Q22" s="23" t="s">
        <v>87</v>
      </c>
      <c r="R22" s="23" t="s">
        <v>87</v>
      </c>
      <c r="T22" s="40">
        <v>0</v>
      </c>
      <c r="U22" s="40">
        <v>0</v>
      </c>
      <c r="V22" s="40">
        <v>0</v>
      </c>
      <c r="X22" s="45">
        <v>0</v>
      </c>
      <c r="Y22" s="45">
        <v>0</v>
      </c>
      <c r="Z22" s="45">
        <v>0</v>
      </c>
    </row>
    <row r="23" spans="1:26" x14ac:dyDescent="0.2">
      <c r="A23" s="51" t="s">
        <v>20</v>
      </c>
      <c r="B23" s="51" t="s">
        <v>14</v>
      </c>
      <c r="D23" s="39">
        <v>0</v>
      </c>
      <c r="E23" s="39">
        <v>0</v>
      </c>
      <c r="F23" s="39">
        <v>0</v>
      </c>
      <c r="H23" s="44">
        <v>0</v>
      </c>
      <c r="I23" s="44">
        <v>0</v>
      </c>
      <c r="J23" s="44">
        <v>0</v>
      </c>
      <c r="L23" s="23" t="s">
        <v>87</v>
      </c>
      <c r="M23" s="23" t="s">
        <v>87</v>
      </c>
      <c r="N23" s="23" t="s">
        <v>87</v>
      </c>
      <c r="P23" s="23" t="s">
        <v>87</v>
      </c>
      <c r="Q23" s="23" t="s">
        <v>87</v>
      </c>
      <c r="R23" s="23" t="s">
        <v>87</v>
      </c>
      <c r="T23" s="39">
        <v>0</v>
      </c>
      <c r="U23" s="39">
        <v>0</v>
      </c>
      <c r="V23" s="39">
        <v>0</v>
      </c>
      <c r="X23" s="44">
        <v>0</v>
      </c>
      <c r="Y23" s="44">
        <v>0</v>
      </c>
      <c r="Z23" s="44">
        <v>0</v>
      </c>
    </row>
    <row r="24" spans="1:26" x14ac:dyDescent="0.2">
      <c r="A24" s="52" t="s">
        <v>21</v>
      </c>
      <c r="B24" s="52" t="s">
        <v>12</v>
      </c>
      <c r="D24" s="40">
        <v>0</v>
      </c>
      <c r="E24" s="40">
        <v>0</v>
      </c>
      <c r="F24" s="40">
        <v>0</v>
      </c>
      <c r="H24" s="45">
        <v>0</v>
      </c>
      <c r="I24" s="45">
        <v>0</v>
      </c>
      <c r="J24" s="45">
        <v>0</v>
      </c>
      <c r="L24" s="23" t="s">
        <v>87</v>
      </c>
      <c r="M24" s="23" t="s">
        <v>87</v>
      </c>
      <c r="N24" s="23" t="s">
        <v>87</v>
      </c>
      <c r="P24" s="23" t="s">
        <v>87</v>
      </c>
      <c r="Q24" s="23" t="s">
        <v>87</v>
      </c>
      <c r="R24" s="23" t="s">
        <v>87</v>
      </c>
      <c r="T24" s="40">
        <v>0</v>
      </c>
      <c r="U24" s="40">
        <v>0</v>
      </c>
      <c r="V24" s="40">
        <v>0</v>
      </c>
      <c r="X24" s="45">
        <v>0</v>
      </c>
      <c r="Y24" s="45">
        <v>0</v>
      </c>
      <c r="Z24" s="45">
        <v>0</v>
      </c>
    </row>
    <row r="25" spans="1:26" x14ac:dyDescent="0.2">
      <c r="A25" s="51" t="s">
        <v>21</v>
      </c>
      <c r="B25" s="51" t="s">
        <v>13</v>
      </c>
      <c r="D25" s="39">
        <v>0</v>
      </c>
      <c r="E25" s="39">
        <v>0</v>
      </c>
      <c r="F25" s="39">
        <v>0</v>
      </c>
      <c r="H25" s="44">
        <v>0</v>
      </c>
      <c r="I25" s="44">
        <v>0</v>
      </c>
      <c r="J25" s="44">
        <v>0</v>
      </c>
      <c r="L25" s="23" t="s">
        <v>87</v>
      </c>
      <c r="M25" s="23" t="s">
        <v>87</v>
      </c>
      <c r="N25" s="23" t="s">
        <v>87</v>
      </c>
      <c r="P25" s="23" t="s">
        <v>87</v>
      </c>
      <c r="Q25" s="23" t="s">
        <v>87</v>
      </c>
      <c r="R25" s="23" t="s">
        <v>87</v>
      </c>
      <c r="T25" s="39">
        <v>0</v>
      </c>
      <c r="U25" s="39">
        <v>0</v>
      </c>
      <c r="V25" s="39">
        <v>0</v>
      </c>
      <c r="X25" s="44">
        <v>0</v>
      </c>
      <c r="Y25" s="44">
        <v>0</v>
      </c>
      <c r="Z25" s="44">
        <v>0</v>
      </c>
    </row>
    <row r="26" spans="1:26" x14ac:dyDescent="0.2">
      <c r="A26" s="52" t="s">
        <v>21</v>
      </c>
      <c r="B26" s="52" t="s">
        <v>14</v>
      </c>
      <c r="D26" s="40">
        <v>0</v>
      </c>
      <c r="E26" s="40">
        <v>0</v>
      </c>
      <c r="F26" s="40">
        <v>0</v>
      </c>
      <c r="H26" s="45">
        <v>0</v>
      </c>
      <c r="I26" s="45">
        <v>0</v>
      </c>
      <c r="J26" s="45">
        <v>0</v>
      </c>
      <c r="L26" s="23" t="s">
        <v>87</v>
      </c>
      <c r="M26" s="23" t="s">
        <v>87</v>
      </c>
      <c r="N26" s="23" t="s">
        <v>87</v>
      </c>
      <c r="P26" s="23" t="s">
        <v>87</v>
      </c>
      <c r="Q26" s="23" t="s">
        <v>87</v>
      </c>
      <c r="R26" s="23" t="s">
        <v>87</v>
      </c>
      <c r="T26" s="40">
        <v>0</v>
      </c>
      <c r="U26" s="40">
        <v>0</v>
      </c>
      <c r="V26" s="40">
        <v>0</v>
      </c>
      <c r="X26" s="45">
        <v>0</v>
      </c>
      <c r="Y26" s="45">
        <v>0</v>
      </c>
      <c r="Z26" s="45">
        <v>0</v>
      </c>
    </row>
    <row r="27" spans="1:26" x14ac:dyDescent="0.2">
      <c r="A27" s="51" t="s">
        <v>22</v>
      </c>
      <c r="B27" s="51" t="s">
        <v>12</v>
      </c>
      <c r="D27" s="39">
        <v>0</v>
      </c>
      <c r="E27" s="39">
        <v>0</v>
      </c>
      <c r="F27" s="39">
        <v>0</v>
      </c>
      <c r="H27" s="44">
        <v>0</v>
      </c>
      <c r="I27" s="44">
        <v>0</v>
      </c>
      <c r="J27" s="44">
        <v>0</v>
      </c>
      <c r="L27" s="23" t="s">
        <v>87</v>
      </c>
      <c r="M27" s="23" t="s">
        <v>87</v>
      </c>
      <c r="N27" s="23" t="s">
        <v>87</v>
      </c>
      <c r="P27" s="23" t="s">
        <v>87</v>
      </c>
      <c r="Q27" s="23" t="s">
        <v>87</v>
      </c>
      <c r="R27" s="23" t="s">
        <v>87</v>
      </c>
      <c r="T27" s="39">
        <v>0</v>
      </c>
      <c r="U27" s="39">
        <v>0</v>
      </c>
      <c r="V27" s="39">
        <v>0</v>
      </c>
      <c r="X27" s="44">
        <v>0</v>
      </c>
      <c r="Y27" s="44">
        <v>0</v>
      </c>
      <c r="Z27" s="44">
        <v>0</v>
      </c>
    </row>
    <row r="28" spans="1:26" x14ac:dyDescent="0.2">
      <c r="A28" s="52" t="s">
        <v>22</v>
      </c>
      <c r="B28" s="52" t="s">
        <v>13</v>
      </c>
      <c r="D28" s="40">
        <v>0</v>
      </c>
      <c r="E28" s="40">
        <v>0</v>
      </c>
      <c r="F28" s="40">
        <v>0</v>
      </c>
      <c r="H28" s="45">
        <v>0</v>
      </c>
      <c r="I28" s="45">
        <v>0</v>
      </c>
      <c r="J28" s="45">
        <v>0</v>
      </c>
      <c r="L28" s="23" t="s">
        <v>87</v>
      </c>
      <c r="M28" s="23" t="s">
        <v>87</v>
      </c>
      <c r="N28" s="23" t="s">
        <v>87</v>
      </c>
      <c r="P28" s="23" t="s">
        <v>87</v>
      </c>
      <c r="Q28" s="23" t="s">
        <v>87</v>
      </c>
      <c r="R28" s="23" t="s">
        <v>87</v>
      </c>
      <c r="T28" s="40">
        <v>0</v>
      </c>
      <c r="U28" s="40">
        <v>0</v>
      </c>
      <c r="V28" s="40">
        <v>0</v>
      </c>
      <c r="X28" s="45">
        <v>0</v>
      </c>
      <c r="Y28" s="45">
        <v>0</v>
      </c>
      <c r="Z28" s="45">
        <v>0</v>
      </c>
    </row>
    <row r="29" spans="1:26" x14ac:dyDescent="0.2">
      <c r="A29" s="51" t="s">
        <v>22</v>
      </c>
      <c r="B29" s="51" t="s">
        <v>14</v>
      </c>
      <c r="D29" s="39">
        <v>0</v>
      </c>
      <c r="E29" s="39">
        <v>0</v>
      </c>
      <c r="F29" s="39">
        <v>0</v>
      </c>
      <c r="H29" s="44">
        <v>0</v>
      </c>
      <c r="I29" s="44">
        <v>0</v>
      </c>
      <c r="J29" s="44">
        <v>0</v>
      </c>
      <c r="L29" s="23" t="s">
        <v>87</v>
      </c>
      <c r="M29" s="23" t="s">
        <v>87</v>
      </c>
      <c r="N29" s="23" t="s">
        <v>87</v>
      </c>
      <c r="P29" s="23" t="s">
        <v>87</v>
      </c>
      <c r="Q29" s="23" t="s">
        <v>87</v>
      </c>
      <c r="R29" s="23" t="s">
        <v>87</v>
      </c>
      <c r="T29" s="39">
        <v>0</v>
      </c>
      <c r="U29" s="39">
        <v>0</v>
      </c>
      <c r="V29" s="39">
        <v>0</v>
      </c>
      <c r="X29" s="44">
        <v>0</v>
      </c>
      <c r="Y29" s="44">
        <v>0</v>
      </c>
      <c r="Z29" s="44">
        <v>0</v>
      </c>
    </row>
    <row r="30" spans="1:26" x14ac:dyDescent="0.2">
      <c r="A30" s="52" t="s">
        <v>23</v>
      </c>
      <c r="B30" s="52" t="s">
        <v>12</v>
      </c>
      <c r="D30" s="40">
        <v>0</v>
      </c>
      <c r="E30" s="40">
        <v>0</v>
      </c>
      <c r="F30" s="40">
        <v>0</v>
      </c>
      <c r="H30" s="45">
        <v>0</v>
      </c>
      <c r="I30" s="45">
        <v>0</v>
      </c>
      <c r="J30" s="45">
        <v>0</v>
      </c>
      <c r="L30" s="23" t="s">
        <v>87</v>
      </c>
      <c r="M30" s="23" t="s">
        <v>87</v>
      </c>
      <c r="N30" s="23" t="s">
        <v>87</v>
      </c>
      <c r="P30" s="23" t="s">
        <v>87</v>
      </c>
      <c r="Q30" s="23" t="s">
        <v>87</v>
      </c>
      <c r="R30" s="23" t="s">
        <v>87</v>
      </c>
      <c r="T30" s="40">
        <v>0</v>
      </c>
      <c r="U30" s="40">
        <v>0</v>
      </c>
      <c r="V30" s="40">
        <v>0</v>
      </c>
      <c r="X30" s="45">
        <v>0</v>
      </c>
      <c r="Y30" s="45">
        <v>0</v>
      </c>
      <c r="Z30" s="45">
        <v>0</v>
      </c>
    </row>
    <row r="31" spans="1:26" x14ac:dyDescent="0.2">
      <c r="A31" s="51" t="s">
        <v>23</v>
      </c>
      <c r="B31" s="51" t="s">
        <v>13</v>
      </c>
      <c r="D31" s="39">
        <v>0</v>
      </c>
      <c r="E31" s="39">
        <v>0</v>
      </c>
      <c r="F31" s="39">
        <v>0</v>
      </c>
      <c r="H31" s="44">
        <v>0</v>
      </c>
      <c r="I31" s="44">
        <v>0</v>
      </c>
      <c r="J31" s="44">
        <v>0</v>
      </c>
      <c r="L31" s="23" t="s">
        <v>87</v>
      </c>
      <c r="M31" s="23" t="s">
        <v>87</v>
      </c>
      <c r="N31" s="23" t="s">
        <v>87</v>
      </c>
      <c r="P31" s="23" t="s">
        <v>87</v>
      </c>
      <c r="Q31" s="23" t="s">
        <v>87</v>
      </c>
      <c r="R31" s="23" t="s">
        <v>87</v>
      </c>
      <c r="T31" s="39">
        <v>0</v>
      </c>
      <c r="U31" s="39">
        <v>0</v>
      </c>
      <c r="V31" s="39">
        <v>0</v>
      </c>
      <c r="X31" s="44">
        <v>0</v>
      </c>
      <c r="Y31" s="44">
        <v>0</v>
      </c>
      <c r="Z31" s="44">
        <v>0</v>
      </c>
    </row>
    <row r="32" spans="1:26" x14ac:dyDescent="0.2">
      <c r="A32" s="52" t="s">
        <v>23</v>
      </c>
      <c r="B32" s="52" t="s">
        <v>14</v>
      </c>
      <c r="D32" s="40">
        <v>0</v>
      </c>
      <c r="E32" s="40">
        <v>0</v>
      </c>
      <c r="F32" s="40">
        <v>0</v>
      </c>
      <c r="H32" s="45">
        <v>0</v>
      </c>
      <c r="I32" s="45">
        <v>0</v>
      </c>
      <c r="J32" s="45">
        <v>0</v>
      </c>
      <c r="L32" s="23" t="s">
        <v>87</v>
      </c>
      <c r="M32" s="23" t="s">
        <v>87</v>
      </c>
      <c r="N32" s="23" t="s">
        <v>87</v>
      </c>
      <c r="P32" s="23" t="s">
        <v>87</v>
      </c>
      <c r="Q32" s="23" t="s">
        <v>87</v>
      </c>
      <c r="R32" s="23" t="s">
        <v>87</v>
      </c>
      <c r="T32" s="40">
        <v>0</v>
      </c>
      <c r="U32" s="40">
        <v>0</v>
      </c>
      <c r="V32" s="40">
        <v>0</v>
      </c>
      <c r="X32" s="45">
        <v>0</v>
      </c>
      <c r="Y32" s="45">
        <v>0</v>
      </c>
      <c r="Z32" s="45">
        <v>0</v>
      </c>
    </row>
    <row r="33" spans="1:26" x14ac:dyDescent="0.2">
      <c r="A33" s="51" t="s">
        <v>24</v>
      </c>
      <c r="B33" s="51" t="s">
        <v>12</v>
      </c>
      <c r="D33" s="39">
        <v>9</v>
      </c>
      <c r="E33" s="39">
        <v>8</v>
      </c>
      <c r="F33" s="39">
        <v>36</v>
      </c>
      <c r="H33" s="44">
        <v>79.400000000000006</v>
      </c>
      <c r="I33" s="44">
        <v>54.26</v>
      </c>
      <c r="J33" s="44">
        <v>208.46</v>
      </c>
      <c r="L33" s="23" t="s">
        <v>87</v>
      </c>
      <c r="M33" s="23" t="s">
        <v>87</v>
      </c>
      <c r="N33" s="23" t="s">
        <v>87</v>
      </c>
      <c r="P33" s="23" t="s">
        <v>87</v>
      </c>
      <c r="Q33" s="23" t="s">
        <v>87</v>
      </c>
      <c r="R33" s="23" t="s">
        <v>87</v>
      </c>
      <c r="T33" s="39">
        <v>0</v>
      </c>
      <c r="U33" s="39">
        <v>2</v>
      </c>
      <c r="V33" s="39">
        <v>0</v>
      </c>
      <c r="X33" s="44">
        <v>0</v>
      </c>
      <c r="Y33" s="44">
        <v>50</v>
      </c>
      <c r="Z33" s="44">
        <v>0</v>
      </c>
    </row>
    <row r="34" spans="1:26" x14ac:dyDescent="0.2">
      <c r="A34" s="52" t="s">
        <v>24</v>
      </c>
      <c r="B34" s="52" t="s">
        <v>13</v>
      </c>
      <c r="D34" s="40">
        <v>0</v>
      </c>
      <c r="E34" s="40">
        <v>0</v>
      </c>
      <c r="F34" s="40">
        <v>0</v>
      </c>
      <c r="H34" s="45">
        <v>0</v>
      </c>
      <c r="I34" s="45">
        <v>0</v>
      </c>
      <c r="J34" s="45">
        <v>0</v>
      </c>
      <c r="L34" s="23" t="s">
        <v>87</v>
      </c>
      <c r="M34" s="23" t="s">
        <v>87</v>
      </c>
      <c r="N34" s="23" t="s">
        <v>87</v>
      </c>
      <c r="P34" s="23" t="s">
        <v>87</v>
      </c>
      <c r="Q34" s="23" t="s">
        <v>87</v>
      </c>
      <c r="R34" s="23" t="s">
        <v>87</v>
      </c>
      <c r="T34" s="40">
        <v>0</v>
      </c>
      <c r="U34" s="40">
        <v>0</v>
      </c>
      <c r="V34" s="40">
        <v>0</v>
      </c>
      <c r="X34" s="45">
        <v>0</v>
      </c>
      <c r="Y34" s="45">
        <v>0</v>
      </c>
      <c r="Z34" s="45">
        <v>0</v>
      </c>
    </row>
    <row r="35" spans="1:26" x14ac:dyDescent="0.2">
      <c r="A35" s="51" t="s">
        <v>24</v>
      </c>
      <c r="B35" s="51" t="s">
        <v>14</v>
      </c>
      <c r="D35" s="39">
        <v>0</v>
      </c>
      <c r="E35" s="39">
        <v>0</v>
      </c>
      <c r="F35" s="39">
        <v>0</v>
      </c>
      <c r="H35" s="44">
        <v>0</v>
      </c>
      <c r="I35" s="44">
        <v>0</v>
      </c>
      <c r="J35" s="44">
        <v>0</v>
      </c>
      <c r="L35" s="23" t="s">
        <v>87</v>
      </c>
      <c r="M35" s="23" t="s">
        <v>87</v>
      </c>
      <c r="N35" s="23" t="s">
        <v>87</v>
      </c>
      <c r="P35" s="23" t="s">
        <v>87</v>
      </c>
      <c r="Q35" s="23" t="s">
        <v>87</v>
      </c>
      <c r="R35" s="23" t="s">
        <v>87</v>
      </c>
      <c r="T35" s="39">
        <v>0</v>
      </c>
      <c r="U35" s="39">
        <v>0</v>
      </c>
      <c r="V35" s="39">
        <v>0</v>
      </c>
      <c r="X35" s="44">
        <v>0</v>
      </c>
      <c r="Y35" s="44">
        <v>0</v>
      </c>
      <c r="Z35" s="44">
        <v>0</v>
      </c>
    </row>
    <row r="36" spans="1:26" x14ac:dyDescent="0.2">
      <c r="A36" s="52" t="s">
        <v>25</v>
      </c>
      <c r="B36" s="52" t="s">
        <v>12</v>
      </c>
      <c r="D36" s="40">
        <v>1</v>
      </c>
      <c r="E36" s="40">
        <v>0</v>
      </c>
      <c r="F36" s="40">
        <v>2</v>
      </c>
      <c r="H36" s="45">
        <v>3.69</v>
      </c>
      <c r="I36" s="45">
        <v>0</v>
      </c>
      <c r="J36" s="45">
        <v>11.83</v>
      </c>
      <c r="L36" s="23" t="s">
        <v>87</v>
      </c>
      <c r="M36" s="23" t="s">
        <v>87</v>
      </c>
      <c r="N36" s="23" t="s">
        <v>87</v>
      </c>
      <c r="P36" s="23" t="s">
        <v>87</v>
      </c>
      <c r="Q36" s="23" t="s">
        <v>87</v>
      </c>
      <c r="R36" s="23" t="s">
        <v>87</v>
      </c>
      <c r="T36" s="40">
        <v>0</v>
      </c>
      <c r="U36" s="40">
        <v>0</v>
      </c>
      <c r="V36" s="40">
        <v>0</v>
      </c>
      <c r="X36" s="45">
        <v>0</v>
      </c>
      <c r="Y36" s="45">
        <v>0</v>
      </c>
      <c r="Z36" s="45">
        <v>0</v>
      </c>
    </row>
    <row r="37" spans="1:26" x14ac:dyDescent="0.2">
      <c r="A37" s="51" t="s">
        <v>25</v>
      </c>
      <c r="B37" s="51" t="s">
        <v>13</v>
      </c>
      <c r="D37" s="39">
        <v>0</v>
      </c>
      <c r="E37" s="39">
        <v>1</v>
      </c>
      <c r="F37" s="39">
        <v>0</v>
      </c>
      <c r="H37" s="44">
        <v>0</v>
      </c>
      <c r="I37" s="44">
        <v>94.29</v>
      </c>
      <c r="J37" s="44">
        <v>0</v>
      </c>
      <c r="L37" s="23" t="s">
        <v>87</v>
      </c>
      <c r="M37" s="23" t="s">
        <v>87</v>
      </c>
      <c r="N37" s="23" t="s">
        <v>87</v>
      </c>
      <c r="P37" s="23" t="s">
        <v>87</v>
      </c>
      <c r="Q37" s="23" t="s">
        <v>87</v>
      </c>
      <c r="R37" s="23" t="s">
        <v>87</v>
      </c>
      <c r="T37" s="39">
        <v>0</v>
      </c>
      <c r="U37" s="39">
        <v>0</v>
      </c>
      <c r="V37" s="39">
        <v>0</v>
      </c>
      <c r="X37" s="44">
        <v>0</v>
      </c>
      <c r="Y37" s="44">
        <v>0</v>
      </c>
      <c r="Z37" s="44">
        <v>0</v>
      </c>
    </row>
    <row r="38" spans="1:26" x14ac:dyDescent="0.2">
      <c r="A38" s="52" t="s">
        <v>25</v>
      </c>
      <c r="B38" s="52" t="s">
        <v>14</v>
      </c>
      <c r="D38" s="40">
        <v>0</v>
      </c>
      <c r="E38" s="40">
        <v>0</v>
      </c>
      <c r="F38" s="40">
        <v>0</v>
      </c>
      <c r="H38" s="45">
        <v>0</v>
      </c>
      <c r="I38" s="45">
        <v>0</v>
      </c>
      <c r="J38" s="45">
        <v>0</v>
      </c>
      <c r="L38" s="23" t="s">
        <v>87</v>
      </c>
      <c r="M38" s="23" t="s">
        <v>87</v>
      </c>
      <c r="N38" s="23" t="s">
        <v>87</v>
      </c>
      <c r="P38" s="23" t="s">
        <v>87</v>
      </c>
      <c r="Q38" s="23" t="s">
        <v>87</v>
      </c>
      <c r="R38" s="23" t="s">
        <v>87</v>
      </c>
      <c r="T38" s="40">
        <v>0</v>
      </c>
      <c r="U38" s="40">
        <v>0</v>
      </c>
      <c r="V38" s="40">
        <v>0</v>
      </c>
      <c r="X38" s="45">
        <v>0</v>
      </c>
      <c r="Y38" s="45">
        <v>0</v>
      </c>
      <c r="Z38" s="45">
        <v>0</v>
      </c>
    </row>
    <row r="39" spans="1:26" x14ac:dyDescent="0.2">
      <c r="A39" s="51" t="s">
        <v>26</v>
      </c>
      <c r="B39" s="51" t="s">
        <v>12</v>
      </c>
      <c r="D39" s="39">
        <v>0</v>
      </c>
      <c r="E39" s="39">
        <v>0</v>
      </c>
      <c r="F39" s="39">
        <v>0</v>
      </c>
      <c r="H39" s="44">
        <v>0</v>
      </c>
      <c r="I39" s="44">
        <v>0</v>
      </c>
      <c r="J39" s="44">
        <v>0</v>
      </c>
      <c r="L39" s="23" t="s">
        <v>87</v>
      </c>
      <c r="M39" s="23" t="s">
        <v>87</v>
      </c>
      <c r="N39" s="23" t="s">
        <v>87</v>
      </c>
      <c r="P39" s="23" t="s">
        <v>87</v>
      </c>
      <c r="Q39" s="23" t="s">
        <v>87</v>
      </c>
      <c r="R39" s="23" t="s">
        <v>87</v>
      </c>
      <c r="T39" s="39">
        <v>0</v>
      </c>
      <c r="U39" s="39">
        <v>0</v>
      </c>
      <c r="V39" s="39">
        <v>0</v>
      </c>
      <c r="X39" s="44">
        <v>0</v>
      </c>
      <c r="Y39" s="44">
        <v>0</v>
      </c>
      <c r="Z39" s="44">
        <v>0</v>
      </c>
    </row>
    <row r="40" spans="1:26" x14ac:dyDescent="0.2">
      <c r="A40" s="52" t="s">
        <v>26</v>
      </c>
      <c r="B40" s="52" t="s">
        <v>13</v>
      </c>
      <c r="D40" s="40">
        <v>0</v>
      </c>
      <c r="E40" s="40">
        <v>0</v>
      </c>
      <c r="F40" s="40">
        <v>0</v>
      </c>
      <c r="H40" s="45">
        <v>0</v>
      </c>
      <c r="I40" s="45">
        <v>0</v>
      </c>
      <c r="J40" s="45">
        <v>0</v>
      </c>
      <c r="L40" s="23" t="s">
        <v>87</v>
      </c>
      <c r="M40" s="23" t="s">
        <v>87</v>
      </c>
      <c r="N40" s="23" t="s">
        <v>87</v>
      </c>
      <c r="P40" s="23" t="s">
        <v>87</v>
      </c>
      <c r="Q40" s="23" t="s">
        <v>87</v>
      </c>
      <c r="R40" s="23" t="s">
        <v>87</v>
      </c>
      <c r="T40" s="40">
        <v>0</v>
      </c>
      <c r="U40" s="40">
        <v>0</v>
      </c>
      <c r="V40" s="40">
        <v>0</v>
      </c>
      <c r="X40" s="45">
        <v>0</v>
      </c>
      <c r="Y40" s="45">
        <v>0</v>
      </c>
      <c r="Z40" s="45">
        <v>0</v>
      </c>
    </row>
    <row r="41" spans="1:26" x14ac:dyDescent="0.2">
      <c r="A41" s="51" t="s">
        <v>26</v>
      </c>
      <c r="B41" s="51" t="s">
        <v>14</v>
      </c>
      <c r="D41" s="39">
        <v>0</v>
      </c>
      <c r="E41" s="39">
        <v>0</v>
      </c>
      <c r="F41" s="39">
        <v>0</v>
      </c>
      <c r="H41" s="44">
        <v>0</v>
      </c>
      <c r="I41" s="44">
        <v>0</v>
      </c>
      <c r="J41" s="44">
        <v>0</v>
      </c>
      <c r="L41" s="23" t="s">
        <v>87</v>
      </c>
      <c r="M41" s="23" t="s">
        <v>87</v>
      </c>
      <c r="N41" s="23" t="s">
        <v>87</v>
      </c>
      <c r="P41" s="23" t="s">
        <v>87</v>
      </c>
      <c r="Q41" s="23" t="s">
        <v>87</v>
      </c>
      <c r="R41" s="23" t="s">
        <v>87</v>
      </c>
      <c r="T41" s="39">
        <v>0</v>
      </c>
      <c r="U41" s="39">
        <v>0</v>
      </c>
      <c r="V41" s="39">
        <v>0</v>
      </c>
      <c r="X41" s="44">
        <v>0</v>
      </c>
      <c r="Y41" s="44">
        <v>0</v>
      </c>
      <c r="Z41" s="44">
        <v>0</v>
      </c>
    </row>
    <row r="42" spans="1:26" x14ac:dyDescent="0.2">
      <c r="A42" s="52" t="s">
        <v>27</v>
      </c>
      <c r="B42" s="52" t="s">
        <v>12</v>
      </c>
      <c r="D42" s="40">
        <v>49</v>
      </c>
      <c r="E42" s="40">
        <v>54</v>
      </c>
      <c r="F42" s="40">
        <v>47</v>
      </c>
      <c r="H42" s="45">
        <v>207.32</v>
      </c>
      <c r="I42" s="45">
        <v>238.34</v>
      </c>
      <c r="J42" s="45">
        <v>186.12</v>
      </c>
      <c r="L42" s="23" t="s">
        <v>87</v>
      </c>
      <c r="M42" s="23" t="s">
        <v>87</v>
      </c>
      <c r="N42" s="23" t="s">
        <v>87</v>
      </c>
      <c r="P42" s="23" t="s">
        <v>87</v>
      </c>
      <c r="Q42" s="23" t="s">
        <v>87</v>
      </c>
      <c r="R42" s="23" t="s">
        <v>87</v>
      </c>
      <c r="T42" s="40">
        <v>2</v>
      </c>
      <c r="U42" s="40">
        <v>0</v>
      </c>
      <c r="V42" s="40">
        <v>0</v>
      </c>
      <c r="X42" s="45">
        <v>100</v>
      </c>
      <c r="Y42" s="45">
        <v>0</v>
      </c>
      <c r="Z42" s="45">
        <v>0</v>
      </c>
    </row>
    <row r="43" spans="1:26" x14ac:dyDescent="0.2">
      <c r="A43" s="51" t="s">
        <v>27</v>
      </c>
      <c r="B43" s="51" t="s">
        <v>13</v>
      </c>
      <c r="D43" s="39">
        <v>1</v>
      </c>
      <c r="E43" s="39">
        <v>0</v>
      </c>
      <c r="F43" s="39">
        <v>0</v>
      </c>
      <c r="H43" s="44">
        <v>326.45999999999998</v>
      </c>
      <c r="I43" s="44">
        <v>0</v>
      </c>
      <c r="J43" s="44">
        <v>0</v>
      </c>
      <c r="L43" s="23" t="s">
        <v>87</v>
      </c>
      <c r="M43" s="23" t="s">
        <v>87</v>
      </c>
      <c r="N43" s="23" t="s">
        <v>87</v>
      </c>
      <c r="P43" s="23" t="s">
        <v>87</v>
      </c>
      <c r="Q43" s="23" t="s">
        <v>87</v>
      </c>
      <c r="R43" s="23" t="s">
        <v>87</v>
      </c>
      <c r="T43" s="39">
        <v>0</v>
      </c>
      <c r="U43" s="39">
        <v>0</v>
      </c>
      <c r="V43" s="39">
        <v>0</v>
      </c>
      <c r="X43" s="44">
        <v>0</v>
      </c>
      <c r="Y43" s="44">
        <v>0</v>
      </c>
      <c r="Z43" s="44">
        <v>0</v>
      </c>
    </row>
    <row r="44" spans="1:26" x14ac:dyDescent="0.2">
      <c r="A44" s="52" t="s">
        <v>27</v>
      </c>
      <c r="B44" s="52" t="s">
        <v>14</v>
      </c>
      <c r="D44" s="40">
        <v>0</v>
      </c>
      <c r="E44" s="40">
        <v>0</v>
      </c>
      <c r="F44" s="40">
        <v>0</v>
      </c>
      <c r="H44" s="45">
        <v>0</v>
      </c>
      <c r="I44" s="45">
        <v>0</v>
      </c>
      <c r="J44" s="45">
        <v>0</v>
      </c>
      <c r="L44" s="23" t="s">
        <v>87</v>
      </c>
      <c r="M44" s="23" t="s">
        <v>87</v>
      </c>
      <c r="N44" s="23" t="s">
        <v>87</v>
      </c>
      <c r="P44" s="23" t="s">
        <v>87</v>
      </c>
      <c r="Q44" s="23" t="s">
        <v>87</v>
      </c>
      <c r="R44" s="23" t="s">
        <v>87</v>
      </c>
      <c r="T44" s="40">
        <v>14</v>
      </c>
      <c r="U44" s="40">
        <v>0</v>
      </c>
      <c r="V44" s="40">
        <v>0</v>
      </c>
      <c r="X44" s="45">
        <v>-400</v>
      </c>
      <c r="Y44" s="45">
        <v>0</v>
      </c>
      <c r="Z44" s="45">
        <v>0</v>
      </c>
    </row>
    <row r="45" spans="1:26" x14ac:dyDescent="0.2">
      <c r="A45" s="51" t="s">
        <v>28</v>
      </c>
      <c r="B45" s="51" t="s">
        <v>12</v>
      </c>
      <c r="D45" s="39">
        <v>0</v>
      </c>
      <c r="E45" s="39">
        <v>0</v>
      </c>
      <c r="F45" s="39">
        <v>1</v>
      </c>
      <c r="H45" s="44">
        <v>0</v>
      </c>
      <c r="I45" s="44">
        <v>0</v>
      </c>
      <c r="J45" s="44">
        <v>123.18</v>
      </c>
      <c r="L45" s="23" t="s">
        <v>87</v>
      </c>
      <c r="M45" s="23" t="s">
        <v>87</v>
      </c>
      <c r="N45" s="23" t="s">
        <v>87</v>
      </c>
      <c r="P45" s="23" t="s">
        <v>87</v>
      </c>
      <c r="Q45" s="23" t="s">
        <v>87</v>
      </c>
      <c r="R45" s="23" t="s">
        <v>87</v>
      </c>
      <c r="T45" s="39">
        <v>0</v>
      </c>
      <c r="U45" s="39">
        <v>0</v>
      </c>
      <c r="V45" s="39">
        <v>0</v>
      </c>
      <c r="X45" s="44">
        <v>0</v>
      </c>
      <c r="Y45" s="44">
        <v>0</v>
      </c>
      <c r="Z45" s="44">
        <v>0</v>
      </c>
    </row>
    <row r="46" spans="1:26" x14ac:dyDescent="0.2">
      <c r="A46" s="52" t="s">
        <v>28</v>
      </c>
      <c r="B46" s="52" t="s">
        <v>13</v>
      </c>
      <c r="D46" s="40">
        <v>0</v>
      </c>
      <c r="E46" s="40">
        <v>0</v>
      </c>
      <c r="F46" s="40">
        <v>0</v>
      </c>
      <c r="H46" s="45">
        <v>0</v>
      </c>
      <c r="I46" s="45">
        <v>0</v>
      </c>
      <c r="J46" s="45">
        <v>0</v>
      </c>
      <c r="L46" s="23" t="s">
        <v>87</v>
      </c>
      <c r="M46" s="23" t="s">
        <v>87</v>
      </c>
      <c r="N46" s="23" t="s">
        <v>87</v>
      </c>
      <c r="P46" s="23" t="s">
        <v>87</v>
      </c>
      <c r="Q46" s="23" t="s">
        <v>87</v>
      </c>
      <c r="R46" s="23" t="s">
        <v>87</v>
      </c>
      <c r="T46" s="40">
        <v>0</v>
      </c>
      <c r="U46" s="40">
        <v>0</v>
      </c>
      <c r="V46" s="40">
        <v>0</v>
      </c>
      <c r="X46" s="45">
        <v>0</v>
      </c>
      <c r="Y46" s="45">
        <v>0</v>
      </c>
      <c r="Z46" s="45">
        <v>0</v>
      </c>
    </row>
    <row r="47" spans="1:26" x14ac:dyDescent="0.2">
      <c r="A47" s="51" t="s">
        <v>28</v>
      </c>
      <c r="B47" s="51" t="s">
        <v>14</v>
      </c>
      <c r="D47" s="39">
        <v>0</v>
      </c>
      <c r="E47" s="39">
        <v>0</v>
      </c>
      <c r="F47" s="39">
        <v>0</v>
      </c>
      <c r="H47" s="44">
        <v>0</v>
      </c>
      <c r="I47" s="44">
        <v>0</v>
      </c>
      <c r="J47" s="44">
        <v>0</v>
      </c>
      <c r="L47" s="23" t="s">
        <v>87</v>
      </c>
      <c r="M47" s="23" t="s">
        <v>87</v>
      </c>
      <c r="N47" s="23" t="s">
        <v>87</v>
      </c>
      <c r="P47" s="23" t="s">
        <v>87</v>
      </c>
      <c r="Q47" s="23" t="s">
        <v>87</v>
      </c>
      <c r="R47" s="23" t="s">
        <v>87</v>
      </c>
      <c r="T47" s="39">
        <v>0</v>
      </c>
      <c r="U47" s="39">
        <v>0</v>
      </c>
      <c r="V47" s="39">
        <v>0</v>
      </c>
      <c r="X47" s="44">
        <v>0</v>
      </c>
      <c r="Y47" s="44">
        <v>0</v>
      </c>
      <c r="Z47" s="44">
        <v>0</v>
      </c>
    </row>
    <row r="48" spans="1:26" x14ac:dyDescent="0.2">
      <c r="A48" s="52" t="s">
        <v>29</v>
      </c>
      <c r="B48" s="52" t="s">
        <v>12</v>
      </c>
      <c r="D48" s="40">
        <v>0</v>
      </c>
      <c r="E48" s="40">
        <v>0</v>
      </c>
      <c r="F48" s="40">
        <v>0</v>
      </c>
      <c r="H48" s="45">
        <v>0</v>
      </c>
      <c r="I48" s="45">
        <v>0</v>
      </c>
      <c r="J48" s="45">
        <v>0</v>
      </c>
      <c r="L48" s="23" t="s">
        <v>87</v>
      </c>
      <c r="M48" s="23" t="s">
        <v>87</v>
      </c>
      <c r="N48" s="23" t="s">
        <v>87</v>
      </c>
      <c r="P48" s="23" t="s">
        <v>87</v>
      </c>
      <c r="Q48" s="23" t="s">
        <v>87</v>
      </c>
      <c r="R48" s="23" t="s">
        <v>87</v>
      </c>
      <c r="T48" s="40">
        <v>0</v>
      </c>
      <c r="U48" s="40">
        <v>0</v>
      </c>
      <c r="V48" s="40">
        <v>0</v>
      </c>
      <c r="X48" s="45">
        <v>0</v>
      </c>
      <c r="Y48" s="45">
        <v>0</v>
      </c>
      <c r="Z48" s="45">
        <v>0</v>
      </c>
    </row>
    <row r="49" spans="1:26" x14ac:dyDescent="0.2">
      <c r="A49" s="51" t="s">
        <v>29</v>
      </c>
      <c r="B49" s="51" t="s">
        <v>13</v>
      </c>
      <c r="D49" s="39">
        <v>0</v>
      </c>
      <c r="E49" s="39">
        <v>0</v>
      </c>
      <c r="F49" s="39">
        <v>0</v>
      </c>
      <c r="H49" s="44">
        <v>0</v>
      </c>
      <c r="I49" s="44">
        <v>0</v>
      </c>
      <c r="J49" s="44">
        <v>0</v>
      </c>
      <c r="L49" s="23" t="s">
        <v>87</v>
      </c>
      <c r="M49" s="23" t="s">
        <v>87</v>
      </c>
      <c r="N49" s="23" t="s">
        <v>87</v>
      </c>
      <c r="P49" s="23" t="s">
        <v>87</v>
      </c>
      <c r="Q49" s="23" t="s">
        <v>87</v>
      </c>
      <c r="R49" s="23" t="s">
        <v>87</v>
      </c>
      <c r="T49" s="39">
        <v>0</v>
      </c>
      <c r="U49" s="39">
        <v>0</v>
      </c>
      <c r="V49" s="39">
        <v>0</v>
      </c>
      <c r="X49" s="44">
        <v>0</v>
      </c>
      <c r="Y49" s="44">
        <v>0</v>
      </c>
      <c r="Z49" s="44">
        <v>0</v>
      </c>
    </row>
    <row r="50" spans="1:26" x14ac:dyDescent="0.2">
      <c r="A50" s="52" t="s">
        <v>29</v>
      </c>
      <c r="B50" s="52" t="s">
        <v>14</v>
      </c>
      <c r="D50" s="40">
        <v>0</v>
      </c>
      <c r="E50" s="40">
        <v>0</v>
      </c>
      <c r="F50" s="40">
        <v>0</v>
      </c>
      <c r="H50" s="45">
        <v>0</v>
      </c>
      <c r="I50" s="45">
        <v>0</v>
      </c>
      <c r="J50" s="45">
        <v>0</v>
      </c>
      <c r="L50" s="23" t="s">
        <v>87</v>
      </c>
      <c r="M50" s="23" t="s">
        <v>87</v>
      </c>
      <c r="N50" s="23" t="s">
        <v>87</v>
      </c>
      <c r="P50" s="23" t="s">
        <v>87</v>
      </c>
      <c r="Q50" s="23" t="s">
        <v>87</v>
      </c>
      <c r="R50" s="23" t="s">
        <v>87</v>
      </c>
      <c r="T50" s="40">
        <v>0</v>
      </c>
      <c r="U50" s="40">
        <v>0</v>
      </c>
      <c r="V50" s="40">
        <v>0</v>
      </c>
      <c r="X50" s="45">
        <v>0</v>
      </c>
      <c r="Y50" s="45">
        <v>0</v>
      </c>
      <c r="Z50" s="45">
        <v>0</v>
      </c>
    </row>
    <row r="51" spans="1:26" x14ac:dyDescent="0.2">
      <c r="A51" s="51" t="s">
        <v>30</v>
      </c>
      <c r="B51" s="51" t="s">
        <v>12</v>
      </c>
      <c r="D51" s="39">
        <v>1</v>
      </c>
      <c r="E51" s="39">
        <v>1</v>
      </c>
      <c r="F51" s="39">
        <v>2</v>
      </c>
      <c r="H51" s="44">
        <v>4.57</v>
      </c>
      <c r="I51" s="44">
        <v>7.86</v>
      </c>
      <c r="J51" s="44">
        <v>68.19</v>
      </c>
      <c r="L51" s="23" t="s">
        <v>87</v>
      </c>
      <c r="M51" s="23" t="s">
        <v>87</v>
      </c>
      <c r="N51" s="23" t="s">
        <v>87</v>
      </c>
      <c r="P51" s="23" t="s">
        <v>87</v>
      </c>
      <c r="Q51" s="23" t="s">
        <v>87</v>
      </c>
      <c r="R51" s="23" t="s">
        <v>87</v>
      </c>
      <c r="T51" s="39">
        <v>0</v>
      </c>
      <c r="U51" s="39">
        <v>0</v>
      </c>
      <c r="V51" s="39">
        <v>0</v>
      </c>
      <c r="X51" s="44">
        <v>0</v>
      </c>
      <c r="Y51" s="44">
        <v>0</v>
      </c>
      <c r="Z51" s="44">
        <v>0</v>
      </c>
    </row>
    <row r="52" spans="1:26" x14ac:dyDescent="0.2">
      <c r="A52" s="52" t="s">
        <v>30</v>
      </c>
      <c r="B52" s="52" t="s">
        <v>13</v>
      </c>
      <c r="D52" s="40">
        <v>0</v>
      </c>
      <c r="E52" s="40">
        <v>0</v>
      </c>
      <c r="F52" s="40">
        <v>0</v>
      </c>
      <c r="H52" s="45">
        <v>0</v>
      </c>
      <c r="I52" s="45">
        <v>0</v>
      </c>
      <c r="J52" s="45">
        <v>0</v>
      </c>
      <c r="L52" s="23" t="s">
        <v>87</v>
      </c>
      <c r="M52" s="23" t="s">
        <v>87</v>
      </c>
      <c r="N52" s="23" t="s">
        <v>87</v>
      </c>
      <c r="P52" s="23" t="s">
        <v>87</v>
      </c>
      <c r="Q52" s="23" t="s">
        <v>87</v>
      </c>
      <c r="R52" s="23" t="s">
        <v>87</v>
      </c>
      <c r="T52" s="40">
        <v>0</v>
      </c>
      <c r="U52" s="40">
        <v>0</v>
      </c>
      <c r="V52" s="40">
        <v>0</v>
      </c>
      <c r="X52" s="45">
        <v>0</v>
      </c>
      <c r="Y52" s="45">
        <v>0</v>
      </c>
      <c r="Z52" s="45">
        <v>0</v>
      </c>
    </row>
    <row r="53" spans="1:26" x14ac:dyDescent="0.2">
      <c r="A53" s="51" t="s">
        <v>30</v>
      </c>
      <c r="B53" s="51" t="s">
        <v>14</v>
      </c>
      <c r="D53" s="39">
        <v>0</v>
      </c>
      <c r="E53" s="39">
        <v>0</v>
      </c>
      <c r="F53" s="39">
        <v>0</v>
      </c>
      <c r="H53" s="44">
        <v>0</v>
      </c>
      <c r="I53" s="44">
        <v>0</v>
      </c>
      <c r="J53" s="44">
        <v>0</v>
      </c>
      <c r="L53" s="23" t="s">
        <v>87</v>
      </c>
      <c r="M53" s="23" t="s">
        <v>87</v>
      </c>
      <c r="N53" s="23" t="s">
        <v>87</v>
      </c>
      <c r="P53" s="23" t="s">
        <v>87</v>
      </c>
      <c r="Q53" s="23" t="s">
        <v>87</v>
      </c>
      <c r="R53" s="23" t="s">
        <v>87</v>
      </c>
      <c r="T53" s="39">
        <v>0</v>
      </c>
      <c r="U53" s="39">
        <v>0</v>
      </c>
      <c r="V53" s="39">
        <v>0</v>
      </c>
      <c r="X53" s="44">
        <v>0</v>
      </c>
      <c r="Y53" s="44">
        <v>0</v>
      </c>
      <c r="Z53" s="44">
        <v>0</v>
      </c>
    </row>
    <row r="54" spans="1:26" x14ac:dyDescent="0.2">
      <c r="A54" s="52" t="s">
        <v>31</v>
      </c>
      <c r="B54" s="52" t="s">
        <v>12</v>
      </c>
      <c r="D54" s="40">
        <v>0</v>
      </c>
      <c r="E54" s="40">
        <v>0</v>
      </c>
      <c r="F54" s="40">
        <v>0</v>
      </c>
      <c r="H54" s="45">
        <v>0</v>
      </c>
      <c r="I54" s="45">
        <v>0</v>
      </c>
      <c r="J54" s="45">
        <v>0</v>
      </c>
      <c r="L54" s="23" t="s">
        <v>87</v>
      </c>
      <c r="M54" s="23" t="s">
        <v>87</v>
      </c>
      <c r="N54" s="23" t="s">
        <v>87</v>
      </c>
      <c r="P54" s="23" t="s">
        <v>87</v>
      </c>
      <c r="Q54" s="23" t="s">
        <v>87</v>
      </c>
      <c r="R54" s="23" t="s">
        <v>87</v>
      </c>
      <c r="T54" s="40">
        <v>0</v>
      </c>
      <c r="U54" s="40">
        <v>0</v>
      </c>
      <c r="V54" s="40">
        <v>0</v>
      </c>
      <c r="X54" s="45">
        <v>0</v>
      </c>
      <c r="Y54" s="45">
        <v>0</v>
      </c>
      <c r="Z54" s="45">
        <v>0</v>
      </c>
    </row>
    <row r="55" spans="1:26" x14ac:dyDescent="0.2">
      <c r="A55" s="51" t="s">
        <v>31</v>
      </c>
      <c r="B55" s="51" t="s">
        <v>13</v>
      </c>
      <c r="D55" s="39">
        <v>0</v>
      </c>
      <c r="E55" s="39">
        <v>0</v>
      </c>
      <c r="F55" s="39">
        <v>0</v>
      </c>
      <c r="H55" s="44">
        <v>0</v>
      </c>
      <c r="I55" s="44">
        <v>0</v>
      </c>
      <c r="J55" s="44">
        <v>0</v>
      </c>
      <c r="L55" s="23" t="s">
        <v>87</v>
      </c>
      <c r="M55" s="23" t="s">
        <v>87</v>
      </c>
      <c r="N55" s="23" t="s">
        <v>87</v>
      </c>
      <c r="P55" s="23" t="s">
        <v>87</v>
      </c>
      <c r="Q55" s="23" t="s">
        <v>87</v>
      </c>
      <c r="R55" s="23" t="s">
        <v>87</v>
      </c>
      <c r="T55" s="39">
        <v>0</v>
      </c>
      <c r="U55" s="39">
        <v>0</v>
      </c>
      <c r="V55" s="39">
        <v>0</v>
      </c>
      <c r="X55" s="44">
        <v>0</v>
      </c>
      <c r="Y55" s="44">
        <v>0</v>
      </c>
      <c r="Z55" s="44">
        <v>0</v>
      </c>
    </row>
    <row r="56" spans="1:26" x14ac:dyDescent="0.2">
      <c r="A56" s="52" t="s">
        <v>31</v>
      </c>
      <c r="B56" s="52" t="s">
        <v>14</v>
      </c>
      <c r="D56" s="40">
        <v>0</v>
      </c>
      <c r="E56" s="40">
        <v>0</v>
      </c>
      <c r="F56" s="40">
        <v>0</v>
      </c>
      <c r="H56" s="45">
        <v>0</v>
      </c>
      <c r="I56" s="45">
        <v>0</v>
      </c>
      <c r="J56" s="45">
        <v>0</v>
      </c>
      <c r="L56" s="23" t="s">
        <v>87</v>
      </c>
      <c r="M56" s="23" t="s">
        <v>87</v>
      </c>
      <c r="N56" s="23" t="s">
        <v>87</v>
      </c>
      <c r="P56" s="23" t="s">
        <v>87</v>
      </c>
      <c r="Q56" s="23" t="s">
        <v>87</v>
      </c>
      <c r="R56" s="23" t="s">
        <v>87</v>
      </c>
      <c r="T56" s="40">
        <v>0</v>
      </c>
      <c r="U56" s="40">
        <v>0</v>
      </c>
      <c r="V56" s="40">
        <v>0</v>
      </c>
      <c r="X56" s="45">
        <v>0</v>
      </c>
      <c r="Y56" s="45">
        <v>0</v>
      </c>
      <c r="Z56" s="45">
        <v>0</v>
      </c>
    </row>
    <row r="57" spans="1:26" x14ac:dyDescent="0.2">
      <c r="A57" s="51" t="s">
        <v>32</v>
      </c>
      <c r="B57" s="51" t="s">
        <v>12</v>
      </c>
      <c r="D57" s="39">
        <v>0</v>
      </c>
      <c r="E57" s="39">
        <v>0</v>
      </c>
      <c r="F57" s="39">
        <v>0</v>
      </c>
      <c r="H57" s="44">
        <v>0</v>
      </c>
      <c r="I57" s="44">
        <v>0</v>
      </c>
      <c r="J57" s="44">
        <v>0</v>
      </c>
      <c r="L57" s="23" t="s">
        <v>87</v>
      </c>
      <c r="M57" s="23" t="s">
        <v>87</v>
      </c>
      <c r="N57" s="23" t="s">
        <v>87</v>
      </c>
      <c r="P57" s="23" t="s">
        <v>87</v>
      </c>
      <c r="Q57" s="23" t="s">
        <v>87</v>
      </c>
      <c r="R57" s="23" t="s">
        <v>87</v>
      </c>
      <c r="T57" s="39">
        <v>0</v>
      </c>
      <c r="U57" s="39">
        <v>0</v>
      </c>
      <c r="V57" s="39">
        <v>0</v>
      </c>
      <c r="X57" s="44">
        <v>0</v>
      </c>
      <c r="Y57" s="44">
        <v>0</v>
      </c>
      <c r="Z57" s="44">
        <v>0</v>
      </c>
    </row>
    <row r="58" spans="1:26" x14ac:dyDescent="0.2">
      <c r="A58" s="52" t="s">
        <v>32</v>
      </c>
      <c r="B58" s="52" t="s">
        <v>13</v>
      </c>
      <c r="D58" s="40">
        <v>0</v>
      </c>
      <c r="E58" s="40">
        <v>0</v>
      </c>
      <c r="F58" s="40">
        <v>0</v>
      </c>
      <c r="H58" s="45">
        <v>0</v>
      </c>
      <c r="I58" s="45">
        <v>0</v>
      </c>
      <c r="J58" s="45">
        <v>0</v>
      </c>
      <c r="L58" s="23" t="s">
        <v>87</v>
      </c>
      <c r="M58" s="23" t="s">
        <v>87</v>
      </c>
      <c r="N58" s="23" t="s">
        <v>87</v>
      </c>
      <c r="P58" s="23" t="s">
        <v>87</v>
      </c>
      <c r="Q58" s="23" t="s">
        <v>87</v>
      </c>
      <c r="R58" s="23" t="s">
        <v>87</v>
      </c>
      <c r="T58" s="40">
        <v>0</v>
      </c>
      <c r="U58" s="40">
        <v>0</v>
      </c>
      <c r="V58" s="40">
        <v>0</v>
      </c>
      <c r="X58" s="45">
        <v>0</v>
      </c>
      <c r="Y58" s="45">
        <v>0</v>
      </c>
      <c r="Z58" s="45">
        <v>0</v>
      </c>
    </row>
    <row r="59" spans="1:26" x14ac:dyDescent="0.2">
      <c r="A59" s="51" t="s">
        <v>32</v>
      </c>
      <c r="B59" s="51" t="s">
        <v>14</v>
      </c>
      <c r="D59" s="39">
        <v>0</v>
      </c>
      <c r="E59" s="39">
        <v>0</v>
      </c>
      <c r="F59" s="39">
        <v>0</v>
      </c>
      <c r="H59" s="44">
        <v>0</v>
      </c>
      <c r="I59" s="44">
        <v>0</v>
      </c>
      <c r="J59" s="44">
        <v>0</v>
      </c>
      <c r="L59" s="23" t="s">
        <v>87</v>
      </c>
      <c r="M59" s="23" t="s">
        <v>87</v>
      </c>
      <c r="N59" s="23" t="s">
        <v>87</v>
      </c>
      <c r="P59" s="23" t="s">
        <v>87</v>
      </c>
      <c r="Q59" s="23" t="s">
        <v>87</v>
      </c>
      <c r="R59" s="23" t="s">
        <v>87</v>
      </c>
      <c r="T59" s="39">
        <v>0</v>
      </c>
      <c r="U59" s="39">
        <v>0</v>
      </c>
      <c r="V59" s="39">
        <v>0</v>
      </c>
      <c r="X59" s="44">
        <v>0</v>
      </c>
      <c r="Y59" s="44">
        <v>0</v>
      </c>
      <c r="Z59" s="44">
        <v>0</v>
      </c>
    </row>
    <row r="60" spans="1:26" x14ac:dyDescent="0.2">
      <c r="A60" s="52" t="s">
        <v>33</v>
      </c>
      <c r="B60" s="52" t="s">
        <v>12</v>
      </c>
      <c r="D60" s="40">
        <v>0</v>
      </c>
      <c r="E60" s="40">
        <v>0</v>
      </c>
      <c r="F60" s="40">
        <v>1</v>
      </c>
      <c r="H60" s="45">
        <v>0</v>
      </c>
      <c r="I60" s="45">
        <v>0</v>
      </c>
      <c r="J60" s="45">
        <v>2.0299999999999998</v>
      </c>
      <c r="L60" s="23" t="s">
        <v>87</v>
      </c>
      <c r="M60" s="23" t="s">
        <v>87</v>
      </c>
      <c r="N60" s="23" t="s">
        <v>87</v>
      </c>
      <c r="P60" s="23" t="s">
        <v>87</v>
      </c>
      <c r="Q60" s="23" t="s">
        <v>87</v>
      </c>
      <c r="R60" s="23" t="s">
        <v>87</v>
      </c>
      <c r="T60" s="40">
        <v>0</v>
      </c>
      <c r="U60" s="40">
        <v>0</v>
      </c>
      <c r="V60" s="40">
        <v>0</v>
      </c>
      <c r="X60" s="45">
        <v>0</v>
      </c>
      <c r="Y60" s="45">
        <v>0</v>
      </c>
      <c r="Z60" s="45">
        <v>0</v>
      </c>
    </row>
    <row r="61" spans="1:26" x14ac:dyDescent="0.2">
      <c r="A61" s="51" t="s">
        <v>33</v>
      </c>
      <c r="B61" s="51" t="s">
        <v>13</v>
      </c>
      <c r="D61" s="39">
        <v>0</v>
      </c>
      <c r="E61" s="39">
        <v>0</v>
      </c>
      <c r="F61" s="39">
        <v>0</v>
      </c>
      <c r="H61" s="44">
        <v>0</v>
      </c>
      <c r="I61" s="44">
        <v>0</v>
      </c>
      <c r="J61" s="44">
        <v>0</v>
      </c>
      <c r="L61" s="23" t="s">
        <v>87</v>
      </c>
      <c r="M61" s="23" t="s">
        <v>87</v>
      </c>
      <c r="N61" s="23" t="s">
        <v>87</v>
      </c>
      <c r="P61" s="23" t="s">
        <v>87</v>
      </c>
      <c r="Q61" s="23" t="s">
        <v>87</v>
      </c>
      <c r="R61" s="23" t="s">
        <v>87</v>
      </c>
      <c r="T61" s="39">
        <v>0</v>
      </c>
      <c r="U61" s="39">
        <v>0</v>
      </c>
      <c r="V61" s="39">
        <v>0</v>
      </c>
      <c r="X61" s="44">
        <v>0</v>
      </c>
      <c r="Y61" s="44">
        <v>0</v>
      </c>
      <c r="Z61" s="44">
        <v>0</v>
      </c>
    </row>
    <row r="62" spans="1:26" x14ac:dyDescent="0.2">
      <c r="A62" s="52" t="s">
        <v>33</v>
      </c>
      <c r="B62" s="52" t="s">
        <v>14</v>
      </c>
      <c r="D62" s="40">
        <v>0</v>
      </c>
      <c r="E62" s="40">
        <v>0</v>
      </c>
      <c r="F62" s="40">
        <v>0</v>
      </c>
      <c r="H62" s="45">
        <v>0</v>
      </c>
      <c r="I62" s="45">
        <v>0</v>
      </c>
      <c r="J62" s="45">
        <v>0</v>
      </c>
      <c r="L62" s="23" t="s">
        <v>87</v>
      </c>
      <c r="M62" s="23" t="s">
        <v>87</v>
      </c>
      <c r="N62" s="23" t="s">
        <v>87</v>
      </c>
      <c r="P62" s="23" t="s">
        <v>87</v>
      </c>
      <c r="Q62" s="23" t="s">
        <v>87</v>
      </c>
      <c r="R62" s="23" t="s">
        <v>87</v>
      </c>
      <c r="T62" s="40">
        <v>0</v>
      </c>
      <c r="U62" s="40">
        <v>0</v>
      </c>
      <c r="V62" s="40">
        <v>0</v>
      </c>
      <c r="X62" s="45">
        <v>0</v>
      </c>
      <c r="Y62" s="45">
        <v>0</v>
      </c>
      <c r="Z62" s="45">
        <v>0</v>
      </c>
    </row>
    <row r="63" spans="1:26" x14ac:dyDescent="0.2">
      <c r="A63" s="51" t="s">
        <v>34</v>
      </c>
      <c r="B63" s="51" t="s">
        <v>12</v>
      </c>
      <c r="D63" s="39">
        <v>5</v>
      </c>
      <c r="E63" s="39">
        <v>0</v>
      </c>
      <c r="F63" s="39">
        <v>0</v>
      </c>
      <c r="H63" s="44">
        <v>10.48</v>
      </c>
      <c r="I63" s="44">
        <v>0</v>
      </c>
      <c r="J63" s="44">
        <v>0</v>
      </c>
      <c r="L63" s="23" t="s">
        <v>87</v>
      </c>
      <c r="M63" s="23" t="s">
        <v>87</v>
      </c>
      <c r="N63" s="23" t="s">
        <v>87</v>
      </c>
      <c r="P63" s="23" t="s">
        <v>87</v>
      </c>
      <c r="Q63" s="23" t="s">
        <v>87</v>
      </c>
      <c r="R63" s="23" t="s">
        <v>87</v>
      </c>
      <c r="T63" s="39">
        <v>0</v>
      </c>
      <c r="U63" s="39">
        <v>0</v>
      </c>
      <c r="V63" s="39">
        <v>0</v>
      </c>
      <c r="X63" s="44">
        <v>0</v>
      </c>
      <c r="Y63" s="44">
        <v>0</v>
      </c>
      <c r="Z63" s="44">
        <v>0</v>
      </c>
    </row>
    <row r="64" spans="1:26" x14ac:dyDescent="0.2">
      <c r="A64" s="52" t="s">
        <v>34</v>
      </c>
      <c r="B64" s="52" t="s">
        <v>13</v>
      </c>
      <c r="D64" s="40">
        <v>0</v>
      </c>
      <c r="E64" s="40">
        <v>0</v>
      </c>
      <c r="F64" s="40">
        <v>0</v>
      </c>
      <c r="H64" s="45">
        <v>0</v>
      </c>
      <c r="I64" s="45">
        <v>0</v>
      </c>
      <c r="J64" s="45">
        <v>0</v>
      </c>
      <c r="L64" s="23" t="s">
        <v>87</v>
      </c>
      <c r="M64" s="23" t="s">
        <v>87</v>
      </c>
      <c r="N64" s="23" t="s">
        <v>87</v>
      </c>
      <c r="P64" s="23" t="s">
        <v>87</v>
      </c>
      <c r="Q64" s="23" t="s">
        <v>87</v>
      </c>
      <c r="R64" s="23" t="s">
        <v>87</v>
      </c>
      <c r="T64" s="40">
        <v>0</v>
      </c>
      <c r="U64" s="40">
        <v>0</v>
      </c>
      <c r="V64" s="40">
        <v>0</v>
      </c>
      <c r="X64" s="45">
        <v>0</v>
      </c>
      <c r="Y64" s="45">
        <v>0</v>
      </c>
      <c r="Z64" s="45">
        <v>0</v>
      </c>
    </row>
    <row r="65" spans="1:26" x14ac:dyDescent="0.2">
      <c r="A65" s="51" t="s">
        <v>34</v>
      </c>
      <c r="B65" s="51" t="s">
        <v>14</v>
      </c>
      <c r="D65" s="39">
        <v>0</v>
      </c>
      <c r="E65" s="39">
        <v>0</v>
      </c>
      <c r="F65" s="39">
        <v>0</v>
      </c>
      <c r="H65" s="44">
        <v>0</v>
      </c>
      <c r="I65" s="44">
        <v>0</v>
      </c>
      <c r="J65" s="44">
        <v>0</v>
      </c>
      <c r="L65" s="23" t="s">
        <v>87</v>
      </c>
      <c r="M65" s="23" t="s">
        <v>87</v>
      </c>
      <c r="N65" s="23" t="s">
        <v>87</v>
      </c>
      <c r="P65" s="23" t="s">
        <v>87</v>
      </c>
      <c r="Q65" s="23" t="s">
        <v>87</v>
      </c>
      <c r="R65" s="23" t="s">
        <v>87</v>
      </c>
      <c r="T65" s="39">
        <v>3</v>
      </c>
      <c r="U65" s="39">
        <v>0</v>
      </c>
      <c r="V65" s="39">
        <v>0</v>
      </c>
      <c r="X65" s="44">
        <v>-75</v>
      </c>
      <c r="Y65" s="44">
        <v>0</v>
      </c>
      <c r="Z65" s="44">
        <v>0</v>
      </c>
    </row>
    <row r="66" spans="1:26" x14ac:dyDescent="0.2">
      <c r="A66" s="52" t="s">
        <v>35</v>
      </c>
      <c r="B66" s="52" t="s">
        <v>12</v>
      </c>
      <c r="D66" s="40">
        <v>0</v>
      </c>
      <c r="E66" s="40">
        <v>0</v>
      </c>
      <c r="F66" s="40">
        <v>0</v>
      </c>
      <c r="H66" s="45">
        <v>0</v>
      </c>
      <c r="I66" s="45">
        <v>0</v>
      </c>
      <c r="J66" s="45">
        <v>0</v>
      </c>
      <c r="L66" s="23" t="s">
        <v>87</v>
      </c>
      <c r="M66" s="23" t="s">
        <v>87</v>
      </c>
      <c r="N66" s="23" t="s">
        <v>87</v>
      </c>
      <c r="P66" s="23" t="s">
        <v>87</v>
      </c>
      <c r="Q66" s="23" t="s">
        <v>87</v>
      </c>
      <c r="R66" s="23" t="s">
        <v>87</v>
      </c>
      <c r="T66" s="40">
        <v>0</v>
      </c>
      <c r="U66" s="40">
        <v>0</v>
      </c>
      <c r="V66" s="40">
        <v>0</v>
      </c>
      <c r="X66" s="45">
        <v>0</v>
      </c>
      <c r="Y66" s="45">
        <v>0</v>
      </c>
      <c r="Z66" s="45">
        <v>0</v>
      </c>
    </row>
    <row r="67" spans="1:26" x14ac:dyDescent="0.2">
      <c r="A67" s="51" t="s">
        <v>35</v>
      </c>
      <c r="B67" s="51" t="s">
        <v>13</v>
      </c>
      <c r="D67" s="39">
        <v>0</v>
      </c>
      <c r="E67" s="39">
        <v>0</v>
      </c>
      <c r="F67" s="39">
        <v>0</v>
      </c>
      <c r="H67" s="44">
        <v>0</v>
      </c>
      <c r="I67" s="44">
        <v>0</v>
      </c>
      <c r="J67" s="44">
        <v>0</v>
      </c>
      <c r="L67" s="23" t="s">
        <v>87</v>
      </c>
      <c r="M67" s="23" t="s">
        <v>87</v>
      </c>
      <c r="N67" s="23" t="s">
        <v>87</v>
      </c>
      <c r="P67" s="23" t="s">
        <v>87</v>
      </c>
      <c r="Q67" s="23" t="s">
        <v>87</v>
      </c>
      <c r="R67" s="23" t="s">
        <v>87</v>
      </c>
      <c r="T67" s="39">
        <v>0</v>
      </c>
      <c r="U67" s="39">
        <v>0</v>
      </c>
      <c r="V67" s="39">
        <v>0</v>
      </c>
      <c r="X67" s="44">
        <v>0</v>
      </c>
      <c r="Y67" s="44">
        <v>0</v>
      </c>
      <c r="Z67" s="44">
        <v>0</v>
      </c>
    </row>
    <row r="68" spans="1:26" x14ac:dyDescent="0.2">
      <c r="A68" s="52" t="s">
        <v>35</v>
      </c>
      <c r="B68" s="52" t="s">
        <v>14</v>
      </c>
      <c r="D68" s="40">
        <v>0</v>
      </c>
      <c r="E68" s="40">
        <v>0</v>
      </c>
      <c r="F68" s="40">
        <v>0</v>
      </c>
      <c r="H68" s="45">
        <v>0</v>
      </c>
      <c r="I68" s="45">
        <v>0</v>
      </c>
      <c r="J68" s="45">
        <v>0</v>
      </c>
      <c r="L68" s="23" t="s">
        <v>87</v>
      </c>
      <c r="M68" s="23" t="s">
        <v>87</v>
      </c>
      <c r="N68" s="23" t="s">
        <v>87</v>
      </c>
      <c r="P68" s="23" t="s">
        <v>87</v>
      </c>
      <c r="Q68" s="23" t="s">
        <v>87</v>
      </c>
      <c r="R68" s="23" t="s">
        <v>87</v>
      </c>
      <c r="T68" s="40">
        <v>0</v>
      </c>
      <c r="U68" s="40">
        <v>0</v>
      </c>
      <c r="V68" s="40">
        <v>0</v>
      </c>
      <c r="X68" s="45">
        <v>0</v>
      </c>
      <c r="Y68" s="45">
        <v>0</v>
      </c>
      <c r="Z68" s="45">
        <v>0</v>
      </c>
    </row>
    <row r="69" spans="1:26" x14ac:dyDescent="0.2">
      <c r="A69" s="51" t="s">
        <v>36</v>
      </c>
      <c r="B69" s="51" t="s">
        <v>12</v>
      </c>
      <c r="D69" s="39">
        <v>0</v>
      </c>
      <c r="E69" s="39">
        <v>0</v>
      </c>
      <c r="F69" s="39">
        <v>0</v>
      </c>
      <c r="H69" s="44">
        <v>0</v>
      </c>
      <c r="I69" s="44">
        <v>0</v>
      </c>
      <c r="J69" s="44">
        <v>0</v>
      </c>
      <c r="L69" s="23" t="s">
        <v>87</v>
      </c>
      <c r="M69" s="23" t="s">
        <v>87</v>
      </c>
      <c r="N69" s="23" t="s">
        <v>87</v>
      </c>
      <c r="P69" s="23" t="s">
        <v>87</v>
      </c>
      <c r="Q69" s="23" t="s">
        <v>87</v>
      </c>
      <c r="R69" s="23" t="s">
        <v>87</v>
      </c>
      <c r="T69" s="39">
        <v>0</v>
      </c>
      <c r="U69" s="39">
        <v>0</v>
      </c>
      <c r="V69" s="39">
        <v>0</v>
      </c>
      <c r="X69" s="44">
        <v>0</v>
      </c>
      <c r="Y69" s="44">
        <v>0</v>
      </c>
      <c r="Z69" s="44">
        <v>0</v>
      </c>
    </row>
    <row r="70" spans="1:26" x14ac:dyDescent="0.2">
      <c r="A70" s="52" t="s">
        <v>36</v>
      </c>
      <c r="B70" s="52" t="s">
        <v>13</v>
      </c>
      <c r="D70" s="40">
        <v>0</v>
      </c>
      <c r="E70" s="40">
        <v>0</v>
      </c>
      <c r="F70" s="40">
        <v>0</v>
      </c>
      <c r="H70" s="45">
        <v>0</v>
      </c>
      <c r="I70" s="45">
        <v>0</v>
      </c>
      <c r="J70" s="45">
        <v>0</v>
      </c>
      <c r="L70" s="23" t="s">
        <v>87</v>
      </c>
      <c r="M70" s="23" t="s">
        <v>87</v>
      </c>
      <c r="N70" s="23" t="s">
        <v>87</v>
      </c>
      <c r="P70" s="23" t="s">
        <v>87</v>
      </c>
      <c r="Q70" s="23" t="s">
        <v>87</v>
      </c>
      <c r="R70" s="23" t="s">
        <v>87</v>
      </c>
      <c r="T70" s="40">
        <v>0</v>
      </c>
      <c r="U70" s="40">
        <v>0</v>
      </c>
      <c r="V70" s="40">
        <v>0</v>
      </c>
      <c r="X70" s="45">
        <v>0</v>
      </c>
      <c r="Y70" s="45">
        <v>0</v>
      </c>
      <c r="Z70" s="45">
        <v>0</v>
      </c>
    </row>
    <row r="71" spans="1:26" x14ac:dyDescent="0.2">
      <c r="A71" s="51" t="s">
        <v>36</v>
      </c>
      <c r="B71" s="51" t="s">
        <v>14</v>
      </c>
      <c r="D71" s="39">
        <v>0</v>
      </c>
      <c r="E71" s="39">
        <v>0</v>
      </c>
      <c r="F71" s="39">
        <v>0</v>
      </c>
      <c r="H71" s="44">
        <v>0</v>
      </c>
      <c r="I71" s="44">
        <v>0</v>
      </c>
      <c r="J71" s="44">
        <v>0</v>
      </c>
      <c r="L71" s="23" t="s">
        <v>87</v>
      </c>
      <c r="M71" s="23" t="s">
        <v>87</v>
      </c>
      <c r="N71" s="23" t="s">
        <v>87</v>
      </c>
      <c r="P71" s="23" t="s">
        <v>87</v>
      </c>
      <c r="Q71" s="23" t="s">
        <v>87</v>
      </c>
      <c r="R71" s="23" t="s">
        <v>87</v>
      </c>
      <c r="T71" s="39">
        <v>0</v>
      </c>
      <c r="U71" s="39">
        <v>0</v>
      </c>
      <c r="V71" s="39">
        <v>0</v>
      </c>
      <c r="X71" s="44">
        <v>0</v>
      </c>
      <c r="Y71" s="44">
        <v>0</v>
      </c>
      <c r="Z71" s="44">
        <v>0</v>
      </c>
    </row>
    <row r="72" spans="1:26" x14ac:dyDescent="0.2">
      <c r="A72" s="52" t="s">
        <v>37</v>
      </c>
      <c r="B72" s="52" t="s">
        <v>12</v>
      </c>
      <c r="D72" s="40">
        <v>15</v>
      </c>
      <c r="E72" s="40">
        <v>9</v>
      </c>
      <c r="F72" s="40">
        <v>12</v>
      </c>
      <c r="H72" s="45">
        <v>48</v>
      </c>
      <c r="I72" s="45">
        <v>267.2</v>
      </c>
      <c r="J72" s="45">
        <v>61.39</v>
      </c>
      <c r="L72" s="23" t="s">
        <v>87</v>
      </c>
      <c r="M72" s="23" t="s">
        <v>87</v>
      </c>
      <c r="N72" s="23" t="s">
        <v>87</v>
      </c>
      <c r="P72" s="23" t="s">
        <v>87</v>
      </c>
      <c r="Q72" s="23" t="s">
        <v>87</v>
      </c>
      <c r="R72" s="23" t="s">
        <v>87</v>
      </c>
      <c r="T72" s="40">
        <v>0</v>
      </c>
      <c r="U72" s="40">
        <v>0</v>
      </c>
      <c r="V72" s="40">
        <v>0</v>
      </c>
      <c r="X72" s="45">
        <v>0</v>
      </c>
      <c r="Y72" s="45">
        <v>0</v>
      </c>
      <c r="Z72" s="45">
        <v>0</v>
      </c>
    </row>
    <row r="73" spans="1:26" x14ac:dyDescent="0.2">
      <c r="A73" s="51" t="s">
        <v>37</v>
      </c>
      <c r="B73" s="51" t="s">
        <v>13</v>
      </c>
      <c r="D73" s="39">
        <v>0</v>
      </c>
      <c r="E73" s="39">
        <v>0</v>
      </c>
      <c r="F73" s="39">
        <v>0</v>
      </c>
      <c r="H73" s="44">
        <v>0</v>
      </c>
      <c r="I73" s="44">
        <v>0</v>
      </c>
      <c r="J73" s="44">
        <v>0</v>
      </c>
      <c r="L73" s="23" t="s">
        <v>87</v>
      </c>
      <c r="M73" s="23" t="s">
        <v>87</v>
      </c>
      <c r="N73" s="23" t="s">
        <v>87</v>
      </c>
      <c r="P73" s="23" t="s">
        <v>87</v>
      </c>
      <c r="Q73" s="23" t="s">
        <v>87</v>
      </c>
      <c r="R73" s="23" t="s">
        <v>87</v>
      </c>
      <c r="T73" s="39">
        <v>0</v>
      </c>
      <c r="U73" s="39">
        <v>0</v>
      </c>
      <c r="V73" s="39">
        <v>0</v>
      </c>
      <c r="X73" s="44">
        <v>0</v>
      </c>
      <c r="Y73" s="44">
        <v>0</v>
      </c>
      <c r="Z73" s="44">
        <v>0</v>
      </c>
    </row>
    <row r="74" spans="1:26" x14ac:dyDescent="0.2">
      <c r="A74" s="52" t="s">
        <v>37</v>
      </c>
      <c r="B74" s="52" t="s">
        <v>14</v>
      </c>
      <c r="D74" s="40">
        <v>0</v>
      </c>
      <c r="E74" s="40">
        <v>0</v>
      </c>
      <c r="F74" s="40">
        <v>0</v>
      </c>
      <c r="H74" s="45">
        <v>0</v>
      </c>
      <c r="I74" s="45">
        <v>0</v>
      </c>
      <c r="J74" s="45">
        <v>0</v>
      </c>
      <c r="L74" s="23" t="s">
        <v>87</v>
      </c>
      <c r="M74" s="23" t="s">
        <v>87</v>
      </c>
      <c r="N74" s="23" t="s">
        <v>87</v>
      </c>
      <c r="P74" s="23" t="s">
        <v>87</v>
      </c>
      <c r="Q74" s="23" t="s">
        <v>87</v>
      </c>
      <c r="R74" s="23" t="s">
        <v>87</v>
      </c>
      <c r="T74" s="40">
        <v>3</v>
      </c>
      <c r="U74" s="40">
        <v>0</v>
      </c>
      <c r="V74" s="40">
        <v>0</v>
      </c>
      <c r="X74" s="45">
        <v>-75</v>
      </c>
      <c r="Y74" s="45">
        <v>0</v>
      </c>
      <c r="Z74" s="45">
        <v>0</v>
      </c>
    </row>
    <row r="75" spans="1:26" x14ac:dyDescent="0.2">
      <c r="A75" s="51" t="s">
        <v>38</v>
      </c>
      <c r="B75" s="51" t="s">
        <v>12</v>
      </c>
      <c r="D75" s="39">
        <v>0</v>
      </c>
      <c r="E75" s="39">
        <v>0</v>
      </c>
      <c r="F75" s="39">
        <v>0</v>
      </c>
      <c r="H75" s="44">
        <v>0</v>
      </c>
      <c r="I75" s="44">
        <v>0</v>
      </c>
      <c r="J75" s="44">
        <v>0</v>
      </c>
      <c r="L75" s="23" t="s">
        <v>87</v>
      </c>
      <c r="M75" s="23" t="s">
        <v>87</v>
      </c>
      <c r="N75" s="23" t="s">
        <v>87</v>
      </c>
      <c r="P75" s="23" t="s">
        <v>87</v>
      </c>
      <c r="Q75" s="23" t="s">
        <v>87</v>
      </c>
      <c r="R75" s="23" t="s">
        <v>87</v>
      </c>
      <c r="T75" s="39">
        <v>0</v>
      </c>
      <c r="U75" s="39">
        <v>0</v>
      </c>
      <c r="V75" s="39">
        <v>0</v>
      </c>
      <c r="X75" s="44">
        <v>0</v>
      </c>
      <c r="Y75" s="44">
        <v>0</v>
      </c>
      <c r="Z75" s="44">
        <v>0</v>
      </c>
    </row>
    <row r="76" spans="1:26" x14ac:dyDescent="0.2">
      <c r="A76" s="52" t="s">
        <v>38</v>
      </c>
      <c r="B76" s="52" t="s">
        <v>13</v>
      </c>
      <c r="D76" s="40">
        <v>0</v>
      </c>
      <c r="E76" s="40">
        <v>0</v>
      </c>
      <c r="F76" s="40">
        <v>0</v>
      </c>
      <c r="H76" s="45">
        <v>0</v>
      </c>
      <c r="I76" s="45">
        <v>0</v>
      </c>
      <c r="J76" s="45">
        <v>0</v>
      </c>
      <c r="L76" s="23" t="s">
        <v>87</v>
      </c>
      <c r="M76" s="23" t="s">
        <v>87</v>
      </c>
      <c r="N76" s="23" t="s">
        <v>87</v>
      </c>
      <c r="P76" s="23" t="s">
        <v>87</v>
      </c>
      <c r="Q76" s="23" t="s">
        <v>87</v>
      </c>
      <c r="R76" s="23" t="s">
        <v>87</v>
      </c>
      <c r="T76" s="40">
        <v>0</v>
      </c>
      <c r="U76" s="40">
        <v>0</v>
      </c>
      <c r="V76" s="40">
        <v>0</v>
      </c>
      <c r="X76" s="45">
        <v>0</v>
      </c>
      <c r="Y76" s="45">
        <v>0</v>
      </c>
      <c r="Z76" s="45">
        <v>0</v>
      </c>
    </row>
    <row r="77" spans="1:26" x14ac:dyDescent="0.2">
      <c r="A77" s="51" t="s">
        <v>38</v>
      </c>
      <c r="B77" s="51" t="s">
        <v>14</v>
      </c>
      <c r="D77" s="39">
        <v>0</v>
      </c>
      <c r="E77" s="39">
        <v>0</v>
      </c>
      <c r="F77" s="39">
        <v>0</v>
      </c>
      <c r="H77" s="44">
        <v>0</v>
      </c>
      <c r="I77" s="44">
        <v>0</v>
      </c>
      <c r="J77" s="44">
        <v>0</v>
      </c>
      <c r="L77" s="23" t="s">
        <v>87</v>
      </c>
      <c r="M77" s="23" t="s">
        <v>87</v>
      </c>
      <c r="N77" s="23" t="s">
        <v>87</v>
      </c>
      <c r="P77" s="23" t="s">
        <v>87</v>
      </c>
      <c r="Q77" s="23" t="s">
        <v>87</v>
      </c>
      <c r="R77" s="23" t="s">
        <v>87</v>
      </c>
      <c r="T77" s="39">
        <v>0</v>
      </c>
      <c r="U77" s="39">
        <v>0</v>
      </c>
      <c r="V77" s="39">
        <v>0</v>
      </c>
      <c r="X77" s="44">
        <v>0</v>
      </c>
      <c r="Y77" s="44">
        <v>0</v>
      </c>
      <c r="Z77" s="44">
        <v>0</v>
      </c>
    </row>
    <row r="78" spans="1:26" x14ac:dyDescent="0.2">
      <c r="A78" s="52" t="s">
        <v>39</v>
      </c>
      <c r="B78" s="52" t="s">
        <v>12</v>
      </c>
      <c r="D78" s="40">
        <v>50</v>
      </c>
      <c r="E78" s="40">
        <v>56</v>
      </c>
      <c r="F78" s="40">
        <v>62</v>
      </c>
      <c r="H78" s="45">
        <v>424.87</v>
      </c>
      <c r="I78" s="45">
        <v>814.58</v>
      </c>
      <c r="J78" s="45">
        <v>603.69000000000005</v>
      </c>
      <c r="L78" s="23" t="s">
        <v>87</v>
      </c>
      <c r="M78" s="23" t="s">
        <v>87</v>
      </c>
      <c r="N78" s="23" t="s">
        <v>87</v>
      </c>
      <c r="P78" s="23" t="s">
        <v>87</v>
      </c>
      <c r="Q78" s="23" t="s">
        <v>87</v>
      </c>
      <c r="R78" s="23" t="s">
        <v>87</v>
      </c>
      <c r="T78" s="40">
        <v>0</v>
      </c>
      <c r="U78" s="40">
        <v>0</v>
      </c>
      <c r="V78" s="40">
        <v>0</v>
      </c>
      <c r="X78" s="45">
        <v>0</v>
      </c>
      <c r="Y78" s="45">
        <v>0</v>
      </c>
      <c r="Z78" s="45">
        <v>0</v>
      </c>
    </row>
    <row r="79" spans="1:26" x14ac:dyDescent="0.2">
      <c r="A79" s="51" t="s">
        <v>39</v>
      </c>
      <c r="B79" s="51" t="s">
        <v>13</v>
      </c>
      <c r="D79" s="39">
        <v>0</v>
      </c>
      <c r="E79" s="39">
        <v>0</v>
      </c>
      <c r="F79" s="39">
        <v>3</v>
      </c>
      <c r="H79" s="44">
        <v>0</v>
      </c>
      <c r="I79" s="44">
        <v>0</v>
      </c>
      <c r="J79" s="44">
        <v>62.84</v>
      </c>
      <c r="L79" s="23" t="s">
        <v>87</v>
      </c>
      <c r="M79" s="23" t="s">
        <v>87</v>
      </c>
      <c r="N79" s="23" t="s">
        <v>87</v>
      </c>
      <c r="P79" s="23" t="s">
        <v>87</v>
      </c>
      <c r="Q79" s="23" t="s">
        <v>87</v>
      </c>
      <c r="R79" s="23" t="s">
        <v>87</v>
      </c>
      <c r="T79" s="39">
        <v>0</v>
      </c>
      <c r="U79" s="39">
        <v>0</v>
      </c>
      <c r="V79" s="39">
        <v>0</v>
      </c>
      <c r="X79" s="44">
        <v>0</v>
      </c>
      <c r="Y79" s="44">
        <v>0</v>
      </c>
      <c r="Z79" s="44">
        <v>0</v>
      </c>
    </row>
    <row r="80" spans="1:26" x14ac:dyDescent="0.2">
      <c r="A80" s="52" t="s">
        <v>39</v>
      </c>
      <c r="B80" s="52" t="s">
        <v>14</v>
      </c>
      <c r="D80" s="40">
        <v>0</v>
      </c>
      <c r="E80" s="40">
        <v>0</v>
      </c>
      <c r="F80" s="40">
        <v>0</v>
      </c>
      <c r="H80" s="45">
        <v>0</v>
      </c>
      <c r="I80" s="45">
        <v>0</v>
      </c>
      <c r="J80" s="45">
        <v>0</v>
      </c>
      <c r="L80" s="23" t="s">
        <v>87</v>
      </c>
      <c r="M80" s="23" t="s">
        <v>87</v>
      </c>
      <c r="N80" s="23" t="s">
        <v>87</v>
      </c>
      <c r="P80" s="23" t="s">
        <v>87</v>
      </c>
      <c r="Q80" s="23" t="s">
        <v>87</v>
      </c>
      <c r="R80" s="23" t="s">
        <v>87</v>
      </c>
      <c r="T80" s="40">
        <v>2</v>
      </c>
      <c r="U80" s="40">
        <v>0</v>
      </c>
      <c r="V80" s="40">
        <v>0</v>
      </c>
      <c r="X80" s="45">
        <v>-50</v>
      </c>
      <c r="Y80" s="45">
        <v>0</v>
      </c>
      <c r="Z80" s="45">
        <v>0</v>
      </c>
    </row>
    <row r="81" spans="1:26" x14ac:dyDescent="0.2">
      <c r="A81" s="51" t="s">
        <v>40</v>
      </c>
      <c r="B81" s="51" t="s">
        <v>12</v>
      </c>
      <c r="D81" s="39">
        <v>151</v>
      </c>
      <c r="E81" s="39">
        <v>125</v>
      </c>
      <c r="F81" s="39">
        <v>127</v>
      </c>
      <c r="H81" s="44">
        <v>752.21</v>
      </c>
      <c r="I81" s="44">
        <v>807.11</v>
      </c>
      <c r="J81" s="44">
        <v>830.53</v>
      </c>
      <c r="L81" s="23" t="s">
        <v>87</v>
      </c>
      <c r="M81" s="23" t="s">
        <v>87</v>
      </c>
      <c r="N81" s="23" t="s">
        <v>87</v>
      </c>
      <c r="P81" s="23" t="s">
        <v>87</v>
      </c>
      <c r="Q81" s="23" t="s">
        <v>87</v>
      </c>
      <c r="R81" s="23" t="s">
        <v>87</v>
      </c>
      <c r="T81" s="39">
        <v>4</v>
      </c>
      <c r="U81" s="39">
        <v>0</v>
      </c>
      <c r="V81" s="39">
        <v>1</v>
      </c>
      <c r="X81" s="44">
        <v>200</v>
      </c>
      <c r="Y81" s="44">
        <v>0</v>
      </c>
      <c r="Z81" s="44">
        <v>50</v>
      </c>
    </row>
    <row r="82" spans="1:26" x14ac:dyDescent="0.2">
      <c r="A82" s="52" t="s">
        <v>40</v>
      </c>
      <c r="B82" s="52" t="s">
        <v>13</v>
      </c>
      <c r="D82" s="40">
        <v>3</v>
      </c>
      <c r="E82" s="40">
        <v>0</v>
      </c>
      <c r="F82" s="40">
        <v>2</v>
      </c>
      <c r="H82" s="45">
        <v>114.02</v>
      </c>
      <c r="I82" s="45">
        <v>0</v>
      </c>
      <c r="J82" s="45">
        <v>37.840000000000003</v>
      </c>
      <c r="L82" s="23" t="s">
        <v>87</v>
      </c>
      <c r="M82" s="23" t="s">
        <v>87</v>
      </c>
      <c r="N82" s="23" t="s">
        <v>87</v>
      </c>
      <c r="P82" s="23" t="s">
        <v>87</v>
      </c>
      <c r="Q82" s="23" t="s">
        <v>87</v>
      </c>
      <c r="R82" s="23" t="s">
        <v>87</v>
      </c>
      <c r="T82" s="40">
        <v>0</v>
      </c>
      <c r="U82" s="40">
        <v>0</v>
      </c>
      <c r="V82" s="40">
        <v>0</v>
      </c>
      <c r="X82" s="45">
        <v>0</v>
      </c>
      <c r="Y82" s="45">
        <v>0</v>
      </c>
      <c r="Z82" s="45">
        <v>0</v>
      </c>
    </row>
    <row r="83" spans="1:26" x14ac:dyDescent="0.2">
      <c r="A83" s="51" t="s">
        <v>40</v>
      </c>
      <c r="B83" s="51" t="s">
        <v>14</v>
      </c>
      <c r="D83" s="39">
        <v>0</v>
      </c>
      <c r="E83" s="39">
        <v>0</v>
      </c>
      <c r="F83" s="39">
        <v>0</v>
      </c>
      <c r="H83" s="44">
        <v>0</v>
      </c>
      <c r="I83" s="44">
        <v>0</v>
      </c>
      <c r="J83" s="44">
        <v>0</v>
      </c>
      <c r="L83" s="23" t="s">
        <v>87</v>
      </c>
      <c r="M83" s="23" t="s">
        <v>87</v>
      </c>
      <c r="N83" s="23" t="s">
        <v>87</v>
      </c>
      <c r="P83" s="23" t="s">
        <v>87</v>
      </c>
      <c r="Q83" s="23" t="s">
        <v>87</v>
      </c>
      <c r="R83" s="23" t="s">
        <v>87</v>
      </c>
      <c r="T83" s="39">
        <v>12</v>
      </c>
      <c r="U83" s="39">
        <v>0</v>
      </c>
      <c r="V83" s="39">
        <v>0</v>
      </c>
      <c r="X83" s="44">
        <v>-325</v>
      </c>
      <c r="Y83" s="44">
        <v>0</v>
      </c>
      <c r="Z83" s="44">
        <v>0</v>
      </c>
    </row>
    <row r="84" spans="1:26" x14ac:dyDescent="0.2">
      <c r="A84" s="52" t="s">
        <v>41</v>
      </c>
      <c r="B84" s="52" t="s">
        <v>12</v>
      </c>
      <c r="D84" s="40">
        <v>30</v>
      </c>
      <c r="E84" s="40">
        <v>37</v>
      </c>
      <c r="F84" s="40">
        <v>36</v>
      </c>
      <c r="H84" s="45">
        <v>217.18</v>
      </c>
      <c r="I84" s="45">
        <v>357.8</v>
      </c>
      <c r="J84" s="45">
        <v>237.1</v>
      </c>
      <c r="L84" s="23" t="s">
        <v>87</v>
      </c>
      <c r="M84" s="23" t="s">
        <v>87</v>
      </c>
      <c r="N84" s="23" t="s">
        <v>87</v>
      </c>
      <c r="P84" s="23" t="s">
        <v>87</v>
      </c>
      <c r="Q84" s="23" t="s">
        <v>87</v>
      </c>
      <c r="R84" s="23" t="s">
        <v>87</v>
      </c>
      <c r="T84" s="40">
        <v>0</v>
      </c>
      <c r="U84" s="40">
        <v>0</v>
      </c>
      <c r="V84" s="40">
        <v>0</v>
      </c>
      <c r="X84" s="45">
        <v>0</v>
      </c>
      <c r="Y84" s="45">
        <v>0</v>
      </c>
      <c r="Z84" s="45">
        <v>0</v>
      </c>
    </row>
    <row r="85" spans="1:26" x14ac:dyDescent="0.2">
      <c r="A85" s="51" t="s">
        <v>41</v>
      </c>
      <c r="B85" s="51" t="s">
        <v>13</v>
      </c>
      <c r="D85" s="39">
        <v>0</v>
      </c>
      <c r="E85" s="39">
        <v>0</v>
      </c>
      <c r="F85" s="39">
        <v>0</v>
      </c>
      <c r="H85" s="44">
        <v>0</v>
      </c>
      <c r="I85" s="44">
        <v>0</v>
      </c>
      <c r="J85" s="44">
        <v>0</v>
      </c>
      <c r="L85" s="23" t="s">
        <v>87</v>
      </c>
      <c r="M85" s="23" t="s">
        <v>87</v>
      </c>
      <c r="N85" s="23" t="s">
        <v>87</v>
      </c>
      <c r="P85" s="23" t="s">
        <v>87</v>
      </c>
      <c r="Q85" s="23" t="s">
        <v>87</v>
      </c>
      <c r="R85" s="23" t="s">
        <v>87</v>
      </c>
      <c r="T85" s="39">
        <v>0</v>
      </c>
      <c r="U85" s="39">
        <v>0</v>
      </c>
      <c r="V85" s="39">
        <v>0</v>
      </c>
      <c r="X85" s="44">
        <v>0</v>
      </c>
      <c r="Y85" s="44">
        <v>0</v>
      </c>
      <c r="Z85" s="44">
        <v>0</v>
      </c>
    </row>
    <row r="86" spans="1:26" x14ac:dyDescent="0.2">
      <c r="A86" s="52" t="s">
        <v>41</v>
      </c>
      <c r="B86" s="52" t="s">
        <v>14</v>
      </c>
      <c r="D86" s="40">
        <v>0</v>
      </c>
      <c r="E86" s="40">
        <v>0</v>
      </c>
      <c r="F86" s="40">
        <v>0</v>
      </c>
      <c r="H86" s="45">
        <v>0</v>
      </c>
      <c r="I86" s="45">
        <v>0</v>
      </c>
      <c r="J86" s="45">
        <v>0</v>
      </c>
      <c r="L86" s="23" t="s">
        <v>87</v>
      </c>
      <c r="M86" s="23" t="s">
        <v>87</v>
      </c>
      <c r="N86" s="23" t="s">
        <v>87</v>
      </c>
      <c r="P86" s="23" t="s">
        <v>87</v>
      </c>
      <c r="Q86" s="23" t="s">
        <v>87</v>
      </c>
      <c r="R86" s="23" t="s">
        <v>87</v>
      </c>
      <c r="T86" s="40">
        <v>13</v>
      </c>
      <c r="U86" s="40">
        <v>0</v>
      </c>
      <c r="V86" s="40">
        <v>0</v>
      </c>
      <c r="X86" s="45">
        <v>-325</v>
      </c>
      <c r="Y86" s="45">
        <v>0</v>
      </c>
      <c r="Z86" s="45">
        <v>0</v>
      </c>
    </row>
    <row r="87" spans="1:26" x14ac:dyDescent="0.2">
      <c r="A87" s="51" t="s">
        <v>42</v>
      </c>
      <c r="B87" s="51" t="s">
        <v>12</v>
      </c>
      <c r="D87" s="39">
        <v>24</v>
      </c>
      <c r="E87" s="39">
        <v>16</v>
      </c>
      <c r="F87" s="39">
        <v>27</v>
      </c>
      <c r="H87" s="44">
        <v>102</v>
      </c>
      <c r="I87" s="44">
        <v>71.75</v>
      </c>
      <c r="J87" s="44">
        <v>141.96</v>
      </c>
      <c r="L87" s="23" t="s">
        <v>87</v>
      </c>
      <c r="M87" s="23" t="s">
        <v>87</v>
      </c>
      <c r="N87" s="23" t="s">
        <v>87</v>
      </c>
      <c r="P87" s="23" t="s">
        <v>87</v>
      </c>
      <c r="Q87" s="23" t="s">
        <v>87</v>
      </c>
      <c r="R87" s="23" t="s">
        <v>87</v>
      </c>
      <c r="T87" s="39">
        <v>0</v>
      </c>
      <c r="U87" s="39">
        <v>0</v>
      </c>
      <c r="V87" s="39">
        <v>0</v>
      </c>
      <c r="X87" s="44">
        <v>0</v>
      </c>
      <c r="Y87" s="44">
        <v>0</v>
      </c>
      <c r="Z87" s="44">
        <v>0</v>
      </c>
    </row>
    <row r="88" spans="1:26" x14ac:dyDescent="0.2">
      <c r="A88" s="52" t="s">
        <v>42</v>
      </c>
      <c r="B88" s="52" t="s">
        <v>13</v>
      </c>
      <c r="D88" s="40">
        <v>0</v>
      </c>
      <c r="E88" s="40">
        <v>1</v>
      </c>
      <c r="F88" s="40">
        <v>0</v>
      </c>
      <c r="H88" s="45">
        <v>0</v>
      </c>
      <c r="I88" s="45">
        <v>13.86</v>
      </c>
      <c r="J88" s="45">
        <v>0</v>
      </c>
      <c r="L88" s="23" t="s">
        <v>87</v>
      </c>
      <c r="M88" s="23" t="s">
        <v>87</v>
      </c>
      <c r="N88" s="23" t="s">
        <v>87</v>
      </c>
      <c r="P88" s="23" t="s">
        <v>87</v>
      </c>
      <c r="Q88" s="23" t="s">
        <v>87</v>
      </c>
      <c r="R88" s="23" t="s">
        <v>87</v>
      </c>
      <c r="T88" s="40">
        <v>0</v>
      </c>
      <c r="U88" s="40">
        <v>0</v>
      </c>
      <c r="V88" s="40">
        <v>0</v>
      </c>
      <c r="X88" s="45">
        <v>0</v>
      </c>
      <c r="Y88" s="45">
        <v>0</v>
      </c>
      <c r="Z88" s="45">
        <v>0</v>
      </c>
    </row>
    <row r="89" spans="1:26" x14ac:dyDescent="0.2">
      <c r="A89" s="51" t="s">
        <v>42</v>
      </c>
      <c r="B89" s="51" t="s">
        <v>14</v>
      </c>
      <c r="D89" s="39">
        <v>0</v>
      </c>
      <c r="E89" s="39">
        <v>0</v>
      </c>
      <c r="F89" s="39">
        <v>0</v>
      </c>
      <c r="H89" s="44">
        <v>0</v>
      </c>
      <c r="I89" s="44">
        <v>0</v>
      </c>
      <c r="J89" s="44">
        <v>0</v>
      </c>
      <c r="L89" s="23" t="s">
        <v>87</v>
      </c>
      <c r="M89" s="23" t="s">
        <v>87</v>
      </c>
      <c r="N89" s="23" t="s">
        <v>87</v>
      </c>
      <c r="P89" s="23" t="s">
        <v>87</v>
      </c>
      <c r="Q89" s="23" t="s">
        <v>87</v>
      </c>
      <c r="R89" s="23" t="s">
        <v>87</v>
      </c>
      <c r="T89" s="39">
        <v>6</v>
      </c>
      <c r="U89" s="39">
        <v>0</v>
      </c>
      <c r="V89" s="39">
        <v>0</v>
      </c>
      <c r="X89" s="44">
        <v>-150</v>
      </c>
      <c r="Y89" s="44">
        <v>0</v>
      </c>
      <c r="Z89" s="44">
        <v>0</v>
      </c>
    </row>
    <row r="90" spans="1:26" x14ac:dyDescent="0.2">
      <c r="A90" s="52" t="s">
        <v>43</v>
      </c>
      <c r="B90" s="52" t="s">
        <v>12</v>
      </c>
      <c r="D90" s="40">
        <v>14</v>
      </c>
      <c r="E90" s="40">
        <v>15</v>
      </c>
      <c r="F90" s="40">
        <v>9</v>
      </c>
      <c r="H90" s="45">
        <v>123.96</v>
      </c>
      <c r="I90" s="45">
        <v>133.6</v>
      </c>
      <c r="J90" s="45">
        <v>94.89</v>
      </c>
      <c r="L90" s="23" t="s">
        <v>87</v>
      </c>
      <c r="M90" s="23" t="s">
        <v>87</v>
      </c>
      <c r="N90" s="23" t="s">
        <v>87</v>
      </c>
      <c r="P90" s="23" t="s">
        <v>87</v>
      </c>
      <c r="Q90" s="23" t="s">
        <v>87</v>
      </c>
      <c r="R90" s="23" t="s">
        <v>87</v>
      </c>
      <c r="T90" s="40">
        <v>0</v>
      </c>
      <c r="U90" s="40">
        <v>0</v>
      </c>
      <c r="V90" s="40">
        <v>0</v>
      </c>
      <c r="X90" s="45">
        <v>0</v>
      </c>
      <c r="Y90" s="45">
        <v>0</v>
      </c>
      <c r="Z90" s="45">
        <v>0</v>
      </c>
    </row>
    <row r="91" spans="1:26" x14ac:dyDescent="0.2">
      <c r="A91" s="51" t="s">
        <v>43</v>
      </c>
      <c r="B91" s="51" t="s">
        <v>13</v>
      </c>
      <c r="D91" s="39">
        <v>0</v>
      </c>
      <c r="E91" s="39">
        <v>0</v>
      </c>
      <c r="F91" s="39">
        <v>0</v>
      </c>
      <c r="H91" s="44">
        <v>0</v>
      </c>
      <c r="I91" s="44">
        <v>0</v>
      </c>
      <c r="J91" s="44">
        <v>0</v>
      </c>
      <c r="L91" s="23" t="s">
        <v>87</v>
      </c>
      <c r="M91" s="23" t="s">
        <v>87</v>
      </c>
      <c r="N91" s="23" t="s">
        <v>87</v>
      </c>
      <c r="P91" s="23" t="s">
        <v>87</v>
      </c>
      <c r="Q91" s="23" t="s">
        <v>87</v>
      </c>
      <c r="R91" s="23" t="s">
        <v>87</v>
      </c>
      <c r="T91" s="39">
        <v>0</v>
      </c>
      <c r="U91" s="39">
        <v>0</v>
      </c>
      <c r="V91" s="39">
        <v>0</v>
      </c>
      <c r="X91" s="44">
        <v>0</v>
      </c>
      <c r="Y91" s="44">
        <v>0</v>
      </c>
      <c r="Z91" s="44">
        <v>0</v>
      </c>
    </row>
    <row r="92" spans="1:26" x14ac:dyDescent="0.2">
      <c r="A92" s="52" t="s">
        <v>43</v>
      </c>
      <c r="B92" s="52" t="s">
        <v>14</v>
      </c>
      <c r="D92" s="40">
        <v>0</v>
      </c>
      <c r="E92" s="40">
        <v>0</v>
      </c>
      <c r="F92" s="40">
        <v>0</v>
      </c>
      <c r="H92" s="45">
        <v>0</v>
      </c>
      <c r="I92" s="45">
        <v>0</v>
      </c>
      <c r="J92" s="45">
        <v>0</v>
      </c>
      <c r="L92" s="23" t="s">
        <v>87</v>
      </c>
      <c r="M92" s="23" t="s">
        <v>87</v>
      </c>
      <c r="N92" s="23" t="s">
        <v>87</v>
      </c>
      <c r="P92" s="23" t="s">
        <v>87</v>
      </c>
      <c r="Q92" s="23" t="s">
        <v>87</v>
      </c>
      <c r="R92" s="23" t="s">
        <v>87</v>
      </c>
      <c r="T92" s="40">
        <v>9</v>
      </c>
      <c r="U92" s="40">
        <v>0</v>
      </c>
      <c r="V92" s="40">
        <v>0</v>
      </c>
      <c r="X92" s="45">
        <v>-225</v>
      </c>
      <c r="Y92" s="45">
        <v>0</v>
      </c>
      <c r="Z92" s="45">
        <v>0</v>
      </c>
    </row>
    <row r="93" spans="1:26" x14ac:dyDescent="0.2">
      <c r="A93" s="51" t="s">
        <v>44</v>
      </c>
      <c r="B93" s="51" t="s">
        <v>12</v>
      </c>
      <c r="D93" s="39">
        <v>71</v>
      </c>
      <c r="E93" s="39">
        <v>74</v>
      </c>
      <c r="F93" s="39">
        <v>79</v>
      </c>
      <c r="H93" s="44">
        <v>431.8</v>
      </c>
      <c r="I93" s="44">
        <v>447.47</v>
      </c>
      <c r="J93" s="44">
        <v>638.28</v>
      </c>
      <c r="L93" s="23" t="s">
        <v>87</v>
      </c>
      <c r="M93" s="23" t="s">
        <v>87</v>
      </c>
      <c r="N93" s="23" t="s">
        <v>87</v>
      </c>
      <c r="P93" s="23" t="s">
        <v>87</v>
      </c>
      <c r="Q93" s="23" t="s">
        <v>87</v>
      </c>
      <c r="R93" s="23" t="s">
        <v>87</v>
      </c>
      <c r="T93" s="39">
        <v>3</v>
      </c>
      <c r="U93" s="39">
        <v>0</v>
      </c>
      <c r="V93" s="39">
        <v>0</v>
      </c>
      <c r="X93" s="44">
        <v>125</v>
      </c>
      <c r="Y93" s="44">
        <v>0</v>
      </c>
      <c r="Z93" s="44">
        <v>0</v>
      </c>
    </row>
    <row r="94" spans="1:26" x14ac:dyDescent="0.2">
      <c r="A94" s="52" t="s">
        <v>44</v>
      </c>
      <c r="B94" s="52" t="s">
        <v>13</v>
      </c>
      <c r="D94" s="40">
        <v>0</v>
      </c>
      <c r="E94" s="40">
        <v>0</v>
      </c>
      <c r="F94" s="40">
        <v>0</v>
      </c>
      <c r="H94" s="45">
        <v>0</v>
      </c>
      <c r="I94" s="45">
        <v>0</v>
      </c>
      <c r="J94" s="45">
        <v>0</v>
      </c>
      <c r="L94" s="23" t="s">
        <v>87</v>
      </c>
      <c r="M94" s="23" t="s">
        <v>87</v>
      </c>
      <c r="N94" s="23" t="s">
        <v>87</v>
      </c>
      <c r="P94" s="23" t="s">
        <v>87</v>
      </c>
      <c r="Q94" s="23" t="s">
        <v>87</v>
      </c>
      <c r="R94" s="23" t="s">
        <v>87</v>
      </c>
      <c r="T94" s="40">
        <v>0</v>
      </c>
      <c r="U94" s="40">
        <v>0</v>
      </c>
      <c r="V94" s="40">
        <v>0</v>
      </c>
      <c r="X94" s="45">
        <v>0</v>
      </c>
      <c r="Y94" s="45">
        <v>0</v>
      </c>
      <c r="Z94" s="45">
        <v>0</v>
      </c>
    </row>
    <row r="95" spans="1:26" x14ac:dyDescent="0.2">
      <c r="A95" s="51" t="s">
        <v>44</v>
      </c>
      <c r="B95" s="51" t="s">
        <v>14</v>
      </c>
      <c r="D95" s="39">
        <v>0</v>
      </c>
      <c r="E95" s="39">
        <v>0</v>
      </c>
      <c r="F95" s="39">
        <v>0</v>
      </c>
      <c r="H95" s="44">
        <v>0</v>
      </c>
      <c r="I95" s="44">
        <v>0</v>
      </c>
      <c r="J95" s="44">
        <v>0</v>
      </c>
      <c r="L95" s="23" t="s">
        <v>87</v>
      </c>
      <c r="M95" s="23" t="s">
        <v>87</v>
      </c>
      <c r="N95" s="23" t="s">
        <v>87</v>
      </c>
      <c r="P95" s="23" t="s">
        <v>87</v>
      </c>
      <c r="Q95" s="23" t="s">
        <v>87</v>
      </c>
      <c r="R95" s="23" t="s">
        <v>87</v>
      </c>
      <c r="T95" s="39">
        <v>14</v>
      </c>
      <c r="U95" s="39">
        <v>0</v>
      </c>
      <c r="V95" s="39">
        <v>0</v>
      </c>
      <c r="X95" s="44">
        <v>-475</v>
      </c>
      <c r="Y95" s="44">
        <v>0</v>
      </c>
      <c r="Z95" s="44">
        <v>0</v>
      </c>
    </row>
    <row r="96" spans="1:26" x14ac:dyDescent="0.2">
      <c r="A96" s="52" t="s">
        <v>45</v>
      </c>
      <c r="B96" s="52" t="s">
        <v>12</v>
      </c>
      <c r="D96" s="40">
        <v>0</v>
      </c>
      <c r="E96" s="40">
        <v>0</v>
      </c>
      <c r="F96" s="40">
        <v>0</v>
      </c>
      <c r="H96" s="45">
        <v>0</v>
      </c>
      <c r="I96" s="45">
        <v>0</v>
      </c>
      <c r="J96" s="45">
        <v>0</v>
      </c>
      <c r="L96" s="23" t="s">
        <v>87</v>
      </c>
      <c r="M96" s="23" t="s">
        <v>87</v>
      </c>
      <c r="N96" s="23" t="s">
        <v>87</v>
      </c>
      <c r="P96" s="23" t="s">
        <v>87</v>
      </c>
      <c r="Q96" s="23" t="s">
        <v>87</v>
      </c>
      <c r="R96" s="23" t="s">
        <v>87</v>
      </c>
      <c r="T96" s="40">
        <v>0</v>
      </c>
      <c r="U96" s="40">
        <v>0</v>
      </c>
      <c r="V96" s="40">
        <v>0</v>
      </c>
      <c r="X96" s="45">
        <v>0</v>
      </c>
      <c r="Y96" s="45">
        <v>0</v>
      </c>
      <c r="Z96" s="45">
        <v>0</v>
      </c>
    </row>
    <row r="97" spans="1:26" x14ac:dyDescent="0.2">
      <c r="A97" s="51" t="s">
        <v>45</v>
      </c>
      <c r="B97" s="51" t="s">
        <v>13</v>
      </c>
      <c r="D97" s="39">
        <v>0</v>
      </c>
      <c r="E97" s="39">
        <v>0</v>
      </c>
      <c r="F97" s="39">
        <v>0</v>
      </c>
      <c r="H97" s="44">
        <v>0</v>
      </c>
      <c r="I97" s="44">
        <v>0</v>
      </c>
      <c r="J97" s="44">
        <v>0</v>
      </c>
      <c r="L97" s="23" t="s">
        <v>87</v>
      </c>
      <c r="M97" s="23" t="s">
        <v>87</v>
      </c>
      <c r="N97" s="23" t="s">
        <v>87</v>
      </c>
      <c r="P97" s="23" t="s">
        <v>87</v>
      </c>
      <c r="Q97" s="23" t="s">
        <v>87</v>
      </c>
      <c r="R97" s="23" t="s">
        <v>87</v>
      </c>
      <c r="T97" s="39">
        <v>0</v>
      </c>
      <c r="U97" s="39">
        <v>0</v>
      </c>
      <c r="V97" s="39">
        <v>0</v>
      </c>
      <c r="X97" s="44">
        <v>0</v>
      </c>
      <c r="Y97" s="44">
        <v>0</v>
      </c>
      <c r="Z97" s="44">
        <v>0</v>
      </c>
    </row>
    <row r="98" spans="1:26" x14ac:dyDescent="0.2">
      <c r="A98" s="52" t="s">
        <v>45</v>
      </c>
      <c r="B98" s="52" t="s">
        <v>14</v>
      </c>
      <c r="D98" s="40">
        <v>0</v>
      </c>
      <c r="E98" s="40">
        <v>0</v>
      </c>
      <c r="F98" s="40">
        <v>0</v>
      </c>
      <c r="H98" s="45">
        <v>0</v>
      </c>
      <c r="I98" s="45">
        <v>0</v>
      </c>
      <c r="J98" s="45">
        <v>0</v>
      </c>
      <c r="L98" s="23" t="s">
        <v>87</v>
      </c>
      <c r="M98" s="23" t="s">
        <v>87</v>
      </c>
      <c r="N98" s="23" t="s">
        <v>87</v>
      </c>
      <c r="P98" s="23" t="s">
        <v>87</v>
      </c>
      <c r="Q98" s="23" t="s">
        <v>87</v>
      </c>
      <c r="R98" s="23" t="s">
        <v>87</v>
      </c>
      <c r="T98" s="40">
        <v>0</v>
      </c>
      <c r="U98" s="40">
        <v>0</v>
      </c>
      <c r="V98" s="40">
        <v>0</v>
      </c>
      <c r="X98" s="45">
        <v>0</v>
      </c>
      <c r="Y98" s="45">
        <v>0</v>
      </c>
      <c r="Z98" s="45">
        <v>0</v>
      </c>
    </row>
    <row r="99" spans="1:26" x14ac:dyDescent="0.2">
      <c r="A99" s="51" t="s">
        <v>46</v>
      </c>
      <c r="B99" s="51" t="s">
        <v>12</v>
      </c>
      <c r="D99" s="39">
        <v>0</v>
      </c>
      <c r="E99" s="39">
        <v>0</v>
      </c>
      <c r="F99" s="39">
        <v>0</v>
      </c>
      <c r="H99" s="44">
        <v>0</v>
      </c>
      <c r="I99" s="44">
        <v>0</v>
      </c>
      <c r="J99" s="44">
        <v>0</v>
      </c>
      <c r="L99" s="23" t="s">
        <v>87</v>
      </c>
      <c r="M99" s="23" t="s">
        <v>87</v>
      </c>
      <c r="N99" s="23" t="s">
        <v>87</v>
      </c>
      <c r="P99" s="23" t="s">
        <v>87</v>
      </c>
      <c r="Q99" s="23" t="s">
        <v>87</v>
      </c>
      <c r="R99" s="23" t="s">
        <v>87</v>
      </c>
      <c r="T99" s="39">
        <v>0</v>
      </c>
      <c r="U99" s="39">
        <v>0</v>
      </c>
      <c r="V99" s="39">
        <v>0</v>
      </c>
      <c r="X99" s="44">
        <v>0</v>
      </c>
      <c r="Y99" s="44">
        <v>0</v>
      </c>
      <c r="Z99" s="44">
        <v>0</v>
      </c>
    </row>
    <row r="100" spans="1:26" x14ac:dyDescent="0.2">
      <c r="A100" s="52" t="s">
        <v>46</v>
      </c>
      <c r="B100" s="52" t="s">
        <v>13</v>
      </c>
      <c r="D100" s="40">
        <v>0</v>
      </c>
      <c r="E100" s="40">
        <v>0</v>
      </c>
      <c r="F100" s="40">
        <v>0</v>
      </c>
      <c r="H100" s="45">
        <v>0</v>
      </c>
      <c r="I100" s="45">
        <v>0</v>
      </c>
      <c r="J100" s="45">
        <v>0</v>
      </c>
      <c r="L100" s="23" t="s">
        <v>87</v>
      </c>
      <c r="M100" s="23" t="s">
        <v>87</v>
      </c>
      <c r="N100" s="23" t="s">
        <v>87</v>
      </c>
      <c r="P100" s="23" t="s">
        <v>87</v>
      </c>
      <c r="Q100" s="23" t="s">
        <v>87</v>
      </c>
      <c r="R100" s="23" t="s">
        <v>87</v>
      </c>
      <c r="T100" s="40">
        <v>0</v>
      </c>
      <c r="U100" s="40">
        <v>0</v>
      </c>
      <c r="V100" s="40">
        <v>0</v>
      </c>
      <c r="X100" s="45">
        <v>0</v>
      </c>
      <c r="Y100" s="45">
        <v>0</v>
      </c>
      <c r="Z100" s="45">
        <v>0</v>
      </c>
    </row>
    <row r="101" spans="1:26" x14ac:dyDescent="0.2">
      <c r="A101" s="51" t="s">
        <v>46</v>
      </c>
      <c r="B101" s="51" t="s">
        <v>14</v>
      </c>
      <c r="D101" s="39">
        <v>0</v>
      </c>
      <c r="E101" s="39">
        <v>0</v>
      </c>
      <c r="F101" s="39">
        <v>0</v>
      </c>
      <c r="H101" s="44">
        <v>0</v>
      </c>
      <c r="I101" s="44">
        <v>0</v>
      </c>
      <c r="J101" s="44">
        <v>0</v>
      </c>
      <c r="L101" s="23" t="s">
        <v>87</v>
      </c>
      <c r="M101" s="23" t="s">
        <v>87</v>
      </c>
      <c r="N101" s="23" t="s">
        <v>87</v>
      </c>
      <c r="P101" s="23" t="s">
        <v>87</v>
      </c>
      <c r="Q101" s="23" t="s">
        <v>87</v>
      </c>
      <c r="R101" s="23" t="s">
        <v>87</v>
      </c>
      <c r="T101" s="39">
        <v>0</v>
      </c>
      <c r="U101" s="39">
        <v>0</v>
      </c>
      <c r="V101" s="39">
        <v>0</v>
      </c>
      <c r="X101" s="44">
        <v>0</v>
      </c>
      <c r="Y101" s="44">
        <v>0</v>
      </c>
      <c r="Z101" s="44">
        <v>0</v>
      </c>
    </row>
    <row r="102" spans="1:26" x14ac:dyDescent="0.2">
      <c r="A102" s="52" t="s">
        <v>47</v>
      </c>
      <c r="B102" s="52" t="s">
        <v>12</v>
      </c>
      <c r="D102" s="40">
        <v>29</v>
      </c>
      <c r="E102" s="40">
        <v>22</v>
      </c>
      <c r="F102" s="40">
        <v>21</v>
      </c>
      <c r="H102" s="45">
        <v>235.39</v>
      </c>
      <c r="I102" s="45">
        <v>184.2</v>
      </c>
      <c r="J102" s="45">
        <v>131.5</v>
      </c>
      <c r="L102" s="23" t="s">
        <v>87</v>
      </c>
      <c r="M102" s="23" t="s">
        <v>87</v>
      </c>
      <c r="N102" s="23" t="s">
        <v>87</v>
      </c>
      <c r="P102" s="23" t="s">
        <v>87</v>
      </c>
      <c r="Q102" s="23" t="s">
        <v>87</v>
      </c>
      <c r="R102" s="23" t="s">
        <v>87</v>
      </c>
      <c r="T102" s="40">
        <v>0</v>
      </c>
      <c r="U102" s="40">
        <v>0</v>
      </c>
      <c r="V102" s="40">
        <v>0</v>
      </c>
      <c r="X102" s="45">
        <v>0</v>
      </c>
      <c r="Y102" s="45">
        <v>0</v>
      </c>
      <c r="Z102" s="45">
        <v>0</v>
      </c>
    </row>
    <row r="103" spans="1:26" x14ac:dyDescent="0.2">
      <c r="A103" s="51" t="s">
        <v>47</v>
      </c>
      <c r="B103" s="51" t="s">
        <v>13</v>
      </c>
      <c r="D103" s="39">
        <v>1</v>
      </c>
      <c r="E103" s="39">
        <v>1</v>
      </c>
      <c r="F103" s="39">
        <v>1</v>
      </c>
      <c r="H103" s="44">
        <v>6.62</v>
      </c>
      <c r="I103" s="44">
        <v>233.22</v>
      </c>
      <c r="J103" s="44">
        <v>2.44</v>
      </c>
      <c r="L103" s="23" t="s">
        <v>87</v>
      </c>
      <c r="M103" s="23" t="s">
        <v>87</v>
      </c>
      <c r="N103" s="23" t="s">
        <v>87</v>
      </c>
      <c r="P103" s="23" t="s">
        <v>87</v>
      </c>
      <c r="Q103" s="23" t="s">
        <v>87</v>
      </c>
      <c r="R103" s="23" t="s">
        <v>87</v>
      </c>
      <c r="T103" s="39">
        <v>0</v>
      </c>
      <c r="U103" s="39">
        <v>0</v>
      </c>
      <c r="V103" s="39">
        <v>0</v>
      </c>
      <c r="X103" s="44">
        <v>0</v>
      </c>
      <c r="Y103" s="44">
        <v>0</v>
      </c>
      <c r="Z103" s="44">
        <v>0</v>
      </c>
    </row>
    <row r="104" spans="1:26" x14ac:dyDescent="0.2">
      <c r="A104" s="52" t="s">
        <v>47</v>
      </c>
      <c r="B104" s="52" t="s">
        <v>14</v>
      </c>
      <c r="D104" s="40">
        <v>0</v>
      </c>
      <c r="E104" s="40">
        <v>0</v>
      </c>
      <c r="F104" s="40">
        <v>0</v>
      </c>
      <c r="H104" s="45">
        <v>0</v>
      </c>
      <c r="I104" s="45">
        <v>0</v>
      </c>
      <c r="J104" s="45">
        <v>0</v>
      </c>
      <c r="L104" s="23" t="s">
        <v>87</v>
      </c>
      <c r="M104" s="23" t="s">
        <v>87</v>
      </c>
      <c r="N104" s="23" t="s">
        <v>87</v>
      </c>
      <c r="P104" s="23" t="s">
        <v>87</v>
      </c>
      <c r="Q104" s="23" t="s">
        <v>87</v>
      </c>
      <c r="R104" s="23" t="s">
        <v>87</v>
      </c>
      <c r="T104" s="40">
        <v>4</v>
      </c>
      <c r="U104" s="40">
        <v>0</v>
      </c>
      <c r="V104" s="40">
        <v>0</v>
      </c>
      <c r="X104" s="45">
        <v>-125</v>
      </c>
      <c r="Y104" s="45">
        <v>0</v>
      </c>
      <c r="Z104" s="45">
        <v>0</v>
      </c>
    </row>
    <row r="105" spans="1:26" x14ac:dyDescent="0.2">
      <c r="A105" s="51" t="s">
        <v>48</v>
      </c>
      <c r="B105" s="51" t="s">
        <v>12</v>
      </c>
      <c r="D105" s="39">
        <v>4</v>
      </c>
      <c r="E105" s="39">
        <v>5</v>
      </c>
      <c r="F105" s="39">
        <v>4</v>
      </c>
      <c r="H105" s="44">
        <v>43.32</v>
      </c>
      <c r="I105" s="44">
        <v>36.78</v>
      </c>
      <c r="J105" s="44">
        <v>39.61</v>
      </c>
      <c r="L105" s="23" t="s">
        <v>87</v>
      </c>
      <c r="M105" s="23" t="s">
        <v>87</v>
      </c>
      <c r="N105" s="23" t="s">
        <v>87</v>
      </c>
      <c r="P105" s="23" t="s">
        <v>87</v>
      </c>
      <c r="Q105" s="23" t="s">
        <v>87</v>
      </c>
      <c r="R105" s="23" t="s">
        <v>87</v>
      </c>
      <c r="T105" s="39">
        <v>0</v>
      </c>
      <c r="U105" s="39">
        <v>0</v>
      </c>
      <c r="V105" s="39">
        <v>0</v>
      </c>
      <c r="X105" s="44">
        <v>0</v>
      </c>
      <c r="Y105" s="44">
        <v>0</v>
      </c>
      <c r="Z105" s="44">
        <v>0</v>
      </c>
    </row>
    <row r="106" spans="1:26" x14ac:dyDescent="0.2">
      <c r="A106" s="52" t="s">
        <v>48</v>
      </c>
      <c r="B106" s="52" t="s">
        <v>13</v>
      </c>
      <c r="D106" s="40">
        <v>0</v>
      </c>
      <c r="E106" s="40">
        <v>0</v>
      </c>
      <c r="F106" s="40">
        <v>0</v>
      </c>
      <c r="H106" s="45">
        <v>0</v>
      </c>
      <c r="I106" s="45">
        <v>0</v>
      </c>
      <c r="J106" s="45">
        <v>0</v>
      </c>
      <c r="L106" s="23" t="s">
        <v>87</v>
      </c>
      <c r="M106" s="23" t="s">
        <v>87</v>
      </c>
      <c r="N106" s="23" t="s">
        <v>87</v>
      </c>
      <c r="P106" s="23" t="s">
        <v>87</v>
      </c>
      <c r="Q106" s="23" t="s">
        <v>87</v>
      </c>
      <c r="R106" s="23" t="s">
        <v>87</v>
      </c>
      <c r="T106" s="40">
        <v>0</v>
      </c>
      <c r="U106" s="40">
        <v>0</v>
      </c>
      <c r="V106" s="40">
        <v>0</v>
      </c>
      <c r="X106" s="45">
        <v>0</v>
      </c>
      <c r="Y106" s="45">
        <v>0</v>
      </c>
      <c r="Z106" s="45">
        <v>0</v>
      </c>
    </row>
    <row r="107" spans="1:26" x14ac:dyDescent="0.2">
      <c r="A107" s="51" t="s">
        <v>48</v>
      </c>
      <c r="B107" s="51" t="s">
        <v>14</v>
      </c>
      <c r="D107" s="39">
        <v>0</v>
      </c>
      <c r="E107" s="39">
        <v>0</v>
      </c>
      <c r="F107" s="39">
        <v>0</v>
      </c>
      <c r="H107" s="44">
        <v>0</v>
      </c>
      <c r="I107" s="44">
        <v>0</v>
      </c>
      <c r="J107" s="44">
        <v>0</v>
      </c>
      <c r="L107" s="23" t="s">
        <v>87</v>
      </c>
      <c r="M107" s="23" t="s">
        <v>87</v>
      </c>
      <c r="N107" s="23" t="s">
        <v>87</v>
      </c>
      <c r="P107" s="23" t="s">
        <v>87</v>
      </c>
      <c r="Q107" s="23" t="s">
        <v>87</v>
      </c>
      <c r="R107" s="23" t="s">
        <v>87</v>
      </c>
      <c r="T107" s="39">
        <v>0</v>
      </c>
      <c r="U107" s="39">
        <v>0</v>
      </c>
      <c r="V107" s="39">
        <v>0</v>
      </c>
      <c r="X107" s="44">
        <v>0</v>
      </c>
      <c r="Y107" s="44">
        <v>0</v>
      </c>
      <c r="Z107" s="44">
        <v>0</v>
      </c>
    </row>
    <row r="108" spans="1:26" x14ac:dyDescent="0.2">
      <c r="A108" s="52" t="s">
        <v>49</v>
      </c>
      <c r="B108" s="52" t="s">
        <v>12</v>
      </c>
      <c r="D108" s="40">
        <v>0</v>
      </c>
      <c r="E108" s="40">
        <v>1</v>
      </c>
      <c r="F108" s="40">
        <v>1</v>
      </c>
      <c r="H108" s="45">
        <v>0</v>
      </c>
      <c r="I108" s="45">
        <v>25.45</v>
      </c>
      <c r="J108" s="45">
        <v>104.52</v>
      </c>
      <c r="L108" s="23" t="s">
        <v>87</v>
      </c>
      <c r="M108" s="23" t="s">
        <v>87</v>
      </c>
      <c r="N108" s="23" t="s">
        <v>87</v>
      </c>
      <c r="P108" s="23" t="s">
        <v>87</v>
      </c>
      <c r="Q108" s="23" t="s">
        <v>87</v>
      </c>
      <c r="R108" s="23" t="s">
        <v>87</v>
      </c>
      <c r="T108" s="40">
        <v>0</v>
      </c>
      <c r="U108" s="40">
        <v>0</v>
      </c>
      <c r="V108" s="40">
        <v>0</v>
      </c>
      <c r="X108" s="45">
        <v>0</v>
      </c>
      <c r="Y108" s="45">
        <v>0</v>
      </c>
      <c r="Z108" s="45">
        <v>0</v>
      </c>
    </row>
    <row r="109" spans="1:26" x14ac:dyDescent="0.2">
      <c r="A109" s="51" t="s">
        <v>49</v>
      </c>
      <c r="B109" s="51" t="s">
        <v>13</v>
      </c>
      <c r="D109" s="39">
        <v>0</v>
      </c>
      <c r="E109" s="39">
        <v>0</v>
      </c>
      <c r="F109" s="39">
        <v>0</v>
      </c>
      <c r="H109" s="44">
        <v>0</v>
      </c>
      <c r="I109" s="44">
        <v>0</v>
      </c>
      <c r="J109" s="44">
        <v>0</v>
      </c>
      <c r="L109" s="23" t="s">
        <v>87</v>
      </c>
      <c r="M109" s="23" t="s">
        <v>87</v>
      </c>
      <c r="N109" s="23" t="s">
        <v>87</v>
      </c>
      <c r="P109" s="23" t="s">
        <v>87</v>
      </c>
      <c r="Q109" s="23" t="s">
        <v>87</v>
      </c>
      <c r="R109" s="23" t="s">
        <v>87</v>
      </c>
      <c r="T109" s="39">
        <v>0</v>
      </c>
      <c r="U109" s="39">
        <v>0</v>
      </c>
      <c r="V109" s="39">
        <v>0</v>
      </c>
      <c r="X109" s="44">
        <v>0</v>
      </c>
      <c r="Y109" s="44">
        <v>0</v>
      </c>
      <c r="Z109" s="44">
        <v>0</v>
      </c>
    </row>
    <row r="110" spans="1:26" x14ac:dyDescent="0.2">
      <c r="A110" s="52" t="s">
        <v>49</v>
      </c>
      <c r="B110" s="52" t="s">
        <v>14</v>
      </c>
      <c r="D110" s="40">
        <v>0</v>
      </c>
      <c r="E110" s="40">
        <v>0</v>
      </c>
      <c r="F110" s="40">
        <v>0</v>
      </c>
      <c r="H110" s="45">
        <v>0</v>
      </c>
      <c r="I110" s="45">
        <v>0</v>
      </c>
      <c r="J110" s="45">
        <v>0</v>
      </c>
      <c r="L110" s="23" t="s">
        <v>87</v>
      </c>
      <c r="M110" s="23" t="s">
        <v>87</v>
      </c>
      <c r="N110" s="23" t="s">
        <v>87</v>
      </c>
      <c r="P110" s="23" t="s">
        <v>87</v>
      </c>
      <c r="Q110" s="23" t="s">
        <v>87</v>
      </c>
      <c r="R110" s="23" t="s">
        <v>87</v>
      </c>
      <c r="T110" s="40">
        <v>0</v>
      </c>
      <c r="U110" s="40">
        <v>0</v>
      </c>
      <c r="V110" s="40">
        <v>0</v>
      </c>
      <c r="X110" s="45">
        <v>0</v>
      </c>
      <c r="Y110" s="45">
        <v>0</v>
      </c>
      <c r="Z110" s="45">
        <v>0</v>
      </c>
    </row>
    <row r="111" spans="1:26" x14ac:dyDescent="0.2">
      <c r="A111" s="51" t="s">
        <v>50</v>
      </c>
      <c r="B111" s="51" t="s">
        <v>12</v>
      </c>
      <c r="D111" s="39">
        <v>0</v>
      </c>
      <c r="E111" s="39">
        <v>0</v>
      </c>
      <c r="F111" s="39">
        <v>0</v>
      </c>
      <c r="H111" s="44">
        <v>0</v>
      </c>
      <c r="I111" s="44">
        <v>0</v>
      </c>
      <c r="J111" s="44">
        <v>0</v>
      </c>
      <c r="L111" s="23" t="s">
        <v>87</v>
      </c>
      <c r="M111" s="23" t="s">
        <v>87</v>
      </c>
      <c r="N111" s="23" t="s">
        <v>87</v>
      </c>
      <c r="P111" s="23" t="s">
        <v>87</v>
      </c>
      <c r="Q111" s="23" t="s">
        <v>87</v>
      </c>
      <c r="R111" s="23" t="s">
        <v>87</v>
      </c>
      <c r="T111" s="39">
        <v>0</v>
      </c>
      <c r="U111" s="39">
        <v>0</v>
      </c>
      <c r="V111" s="39">
        <v>0</v>
      </c>
      <c r="X111" s="44">
        <v>0</v>
      </c>
      <c r="Y111" s="44">
        <v>0</v>
      </c>
      <c r="Z111" s="44">
        <v>0</v>
      </c>
    </row>
    <row r="112" spans="1:26" x14ac:dyDescent="0.2">
      <c r="A112" s="52" t="s">
        <v>50</v>
      </c>
      <c r="B112" s="52" t="s">
        <v>13</v>
      </c>
      <c r="D112" s="40">
        <v>0</v>
      </c>
      <c r="E112" s="40">
        <v>0</v>
      </c>
      <c r="F112" s="40">
        <v>0</v>
      </c>
      <c r="H112" s="45">
        <v>0</v>
      </c>
      <c r="I112" s="45">
        <v>0</v>
      </c>
      <c r="J112" s="45">
        <v>0</v>
      </c>
      <c r="L112" s="23" t="s">
        <v>87</v>
      </c>
      <c r="M112" s="23" t="s">
        <v>87</v>
      </c>
      <c r="N112" s="23" t="s">
        <v>87</v>
      </c>
      <c r="P112" s="23" t="s">
        <v>87</v>
      </c>
      <c r="Q112" s="23" t="s">
        <v>87</v>
      </c>
      <c r="R112" s="23" t="s">
        <v>87</v>
      </c>
      <c r="T112" s="40">
        <v>0</v>
      </c>
      <c r="U112" s="40">
        <v>0</v>
      </c>
      <c r="V112" s="40">
        <v>0</v>
      </c>
      <c r="X112" s="45">
        <v>0</v>
      </c>
      <c r="Y112" s="45">
        <v>0</v>
      </c>
      <c r="Z112" s="45">
        <v>0</v>
      </c>
    </row>
    <row r="113" spans="1:26" x14ac:dyDescent="0.2">
      <c r="A113" s="51" t="s">
        <v>50</v>
      </c>
      <c r="B113" s="51" t="s">
        <v>14</v>
      </c>
      <c r="D113" s="39">
        <v>0</v>
      </c>
      <c r="E113" s="39">
        <v>0</v>
      </c>
      <c r="F113" s="39">
        <v>0</v>
      </c>
      <c r="H113" s="44">
        <v>0</v>
      </c>
      <c r="I113" s="44">
        <v>0</v>
      </c>
      <c r="J113" s="44">
        <v>0</v>
      </c>
      <c r="L113" s="23" t="s">
        <v>87</v>
      </c>
      <c r="M113" s="23" t="s">
        <v>87</v>
      </c>
      <c r="N113" s="23" t="s">
        <v>87</v>
      </c>
      <c r="P113" s="23" t="s">
        <v>87</v>
      </c>
      <c r="Q113" s="23" t="s">
        <v>87</v>
      </c>
      <c r="R113" s="23" t="s">
        <v>87</v>
      </c>
      <c r="T113" s="39">
        <v>0</v>
      </c>
      <c r="U113" s="39">
        <v>0</v>
      </c>
      <c r="V113" s="39">
        <v>0</v>
      </c>
      <c r="X113" s="44">
        <v>0</v>
      </c>
      <c r="Y113" s="44">
        <v>0</v>
      </c>
      <c r="Z113" s="44">
        <v>0</v>
      </c>
    </row>
    <row r="114" spans="1:26" x14ac:dyDescent="0.2">
      <c r="A114" s="52" t="s">
        <v>51</v>
      </c>
      <c r="B114" s="52" t="s">
        <v>12</v>
      </c>
      <c r="D114" s="40">
        <v>68</v>
      </c>
      <c r="E114" s="40">
        <v>59</v>
      </c>
      <c r="F114" s="40">
        <v>57</v>
      </c>
      <c r="H114" s="45">
        <v>287.45999999999998</v>
      </c>
      <c r="I114" s="45">
        <v>236.21</v>
      </c>
      <c r="J114" s="45">
        <v>229.24</v>
      </c>
      <c r="L114" s="23" t="s">
        <v>87</v>
      </c>
      <c r="M114" s="23" t="s">
        <v>87</v>
      </c>
      <c r="N114" s="23" t="s">
        <v>87</v>
      </c>
      <c r="P114" s="23" t="s">
        <v>87</v>
      </c>
      <c r="Q114" s="23" t="s">
        <v>87</v>
      </c>
      <c r="R114" s="23" t="s">
        <v>87</v>
      </c>
      <c r="T114" s="40">
        <v>1</v>
      </c>
      <c r="U114" s="40">
        <v>0</v>
      </c>
      <c r="V114" s="40">
        <v>0</v>
      </c>
      <c r="X114" s="45">
        <v>25</v>
      </c>
      <c r="Y114" s="45">
        <v>0</v>
      </c>
      <c r="Z114" s="45">
        <v>0</v>
      </c>
    </row>
    <row r="115" spans="1:26" x14ac:dyDescent="0.2">
      <c r="A115" s="51" t="s">
        <v>51</v>
      </c>
      <c r="B115" s="51" t="s">
        <v>13</v>
      </c>
      <c r="D115" s="39">
        <v>1</v>
      </c>
      <c r="E115" s="39">
        <v>1</v>
      </c>
      <c r="F115" s="39">
        <v>1</v>
      </c>
      <c r="H115" s="44">
        <v>92.36</v>
      </c>
      <c r="I115" s="44">
        <v>75.42</v>
      </c>
      <c r="J115" s="44">
        <v>78.989999999999995</v>
      </c>
      <c r="L115" s="23" t="s">
        <v>87</v>
      </c>
      <c r="M115" s="23" t="s">
        <v>87</v>
      </c>
      <c r="N115" s="23" t="s">
        <v>87</v>
      </c>
      <c r="P115" s="23" t="s">
        <v>87</v>
      </c>
      <c r="Q115" s="23" t="s">
        <v>87</v>
      </c>
      <c r="R115" s="23" t="s">
        <v>87</v>
      </c>
      <c r="T115" s="39">
        <v>0</v>
      </c>
      <c r="U115" s="39">
        <v>0</v>
      </c>
      <c r="V115" s="39">
        <v>0</v>
      </c>
      <c r="X115" s="44">
        <v>0</v>
      </c>
      <c r="Y115" s="44">
        <v>0</v>
      </c>
      <c r="Z115" s="44">
        <v>0</v>
      </c>
    </row>
    <row r="116" spans="1:26" x14ac:dyDescent="0.2">
      <c r="A116" s="52" t="s">
        <v>51</v>
      </c>
      <c r="B116" s="52" t="s">
        <v>14</v>
      </c>
      <c r="D116" s="40">
        <v>0</v>
      </c>
      <c r="E116" s="40">
        <v>0</v>
      </c>
      <c r="F116" s="40">
        <v>0</v>
      </c>
      <c r="H116" s="45">
        <v>0</v>
      </c>
      <c r="I116" s="45">
        <v>0</v>
      </c>
      <c r="J116" s="45">
        <v>0</v>
      </c>
      <c r="L116" s="23" t="s">
        <v>87</v>
      </c>
      <c r="M116" s="23" t="s">
        <v>87</v>
      </c>
      <c r="N116" s="23" t="s">
        <v>87</v>
      </c>
      <c r="P116" s="23" t="s">
        <v>87</v>
      </c>
      <c r="Q116" s="23" t="s">
        <v>87</v>
      </c>
      <c r="R116" s="23" t="s">
        <v>87</v>
      </c>
      <c r="T116" s="40">
        <v>2</v>
      </c>
      <c r="U116" s="40">
        <v>0</v>
      </c>
      <c r="V116" s="40">
        <v>0</v>
      </c>
      <c r="X116" s="45">
        <v>-50</v>
      </c>
      <c r="Y116" s="45">
        <v>0</v>
      </c>
      <c r="Z116" s="45">
        <v>0</v>
      </c>
    </row>
    <row r="117" spans="1:26" x14ac:dyDescent="0.2">
      <c r="A117" s="51" t="s">
        <v>52</v>
      </c>
      <c r="B117" s="51" t="s">
        <v>12</v>
      </c>
      <c r="D117" s="39">
        <v>52</v>
      </c>
      <c r="E117" s="39">
        <v>49</v>
      </c>
      <c r="F117" s="39">
        <v>49</v>
      </c>
      <c r="H117" s="44">
        <v>472.56</v>
      </c>
      <c r="I117" s="44">
        <v>321.92</v>
      </c>
      <c r="J117" s="44">
        <v>345.7</v>
      </c>
      <c r="L117" s="23" t="s">
        <v>87</v>
      </c>
      <c r="M117" s="23" t="s">
        <v>87</v>
      </c>
      <c r="N117" s="23" t="s">
        <v>87</v>
      </c>
      <c r="P117" s="23" t="s">
        <v>87</v>
      </c>
      <c r="Q117" s="23" t="s">
        <v>87</v>
      </c>
      <c r="R117" s="23" t="s">
        <v>87</v>
      </c>
      <c r="T117" s="39">
        <v>0</v>
      </c>
      <c r="U117" s="39">
        <v>0</v>
      </c>
      <c r="V117" s="39">
        <v>1</v>
      </c>
      <c r="X117" s="44">
        <v>0</v>
      </c>
      <c r="Y117" s="44">
        <v>0</v>
      </c>
      <c r="Z117" s="44">
        <v>25</v>
      </c>
    </row>
    <row r="118" spans="1:26" x14ac:dyDescent="0.2">
      <c r="A118" s="52" t="s">
        <v>52</v>
      </c>
      <c r="B118" s="52" t="s">
        <v>13</v>
      </c>
      <c r="D118" s="40">
        <v>0</v>
      </c>
      <c r="E118" s="40">
        <v>0</v>
      </c>
      <c r="F118" s="40">
        <v>0</v>
      </c>
      <c r="H118" s="45">
        <v>0</v>
      </c>
      <c r="I118" s="45">
        <v>0</v>
      </c>
      <c r="J118" s="45">
        <v>0</v>
      </c>
      <c r="L118" s="23" t="s">
        <v>87</v>
      </c>
      <c r="M118" s="23" t="s">
        <v>87</v>
      </c>
      <c r="N118" s="23" t="s">
        <v>87</v>
      </c>
      <c r="P118" s="23" t="s">
        <v>87</v>
      </c>
      <c r="Q118" s="23" t="s">
        <v>87</v>
      </c>
      <c r="R118" s="23" t="s">
        <v>87</v>
      </c>
      <c r="T118" s="40">
        <v>0</v>
      </c>
      <c r="U118" s="40">
        <v>0</v>
      </c>
      <c r="V118" s="40">
        <v>0</v>
      </c>
      <c r="X118" s="45">
        <v>0</v>
      </c>
      <c r="Y118" s="45">
        <v>0</v>
      </c>
      <c r="Z118" s="45">
        <v>0</v>
      </c>
    </row>
    <row r="119" spans="1:26" x14ac:dyDescent="0.2">
      <c r="A119" s="51" t="s">
        <v>52</v>
      </c>
      <c r="B119" s="51" t="s">
        <v>14</v>
      </c>
      <c r="D119" s="39">
        <v>0</v>
      </c>
      <c r="E119" s="39">
        <v>0</v>
      </c>
      <c r="F119" s="39">
        <v>0</v>
      </c>
      <c r="H119" s="44">
        <v>0</v>
      </c>
      <c r="I119" s="44">
        <v>0</v>
      </c>
      <c r="J119" s="44">
        <v>0</v>
      </c>
      <c r="L119" s="23" t="s">
        <v>87</v>
      </c>
      <c r="M119" s="23" t="s">
        <v>87</v>
      </c>
      <c r="N119" s="23" t="s">
        <v>87</v>
      </c>
      <c r="P119" s="23" t="s">
        <v>87</v>
      </c>
      <c r="Q119" s="23" t="s">
        <v>87</v>
      </c>
      <c r="R119" s="23" t="s">
        <v>87</v>
      </c>
      <c r="T119" s="39">
        <v>8</v>
      </c>
      <c r="U119" s="39">
        <v>0</v>
      </c>
      <c r="V119" s="39">
        <v>0</v>
      </c>
      <c r="X119" s="44">
        <v>-200</v>
      </c>
      <c r="Y119" s="44">
        <v>0</v>
      </c>
      <c r="Z119" s="44">
        <v>0</v>
      </c>
    </row>
    <row r="120" spans="1:26" x14ac:dyDescent="0.2">
      <c r="A120" s="52" t="s">
        <v>53</v>
      </c>
      <c r="B120" s="52" t="s">
        <v>12</v>
      </c>
      <c r="D120" s="40">
        <v>57</v>
      </c>
      <c r="E120" s="40">
        <v>65</v>
      </c>
      <c r="F120" s="40">
        <v>44</v>
      </c>
      <c r="H120" s="45">
        <v>408.63</v>
      </c>
      <c r="I120" s="45">
        <v>524.79999999999995</v>
      </c>
      <c r="J120" s="45">
        <v>213.44</v>
      </c>
      <c r="L120" s="23" t="s">
        <v>87</v>
      </c>
      <c r="M120" s="23" t="s">
        <v>87</v>
      </c>
      <c r="N120" s="23" t="s">
        <v>87</v>
      </c>
      <c r="P120" s="23" t="s">
        <v>87</v>
      </c>
      <c r="Q120" s="23" t="s">
        <v>87</v>
      </c>
      <c r="R120" s="23" t="s">
        <v>87</v>
      </c>
      <c r="T120" s="40">
        <v>0</v>
      </c>
      <c r="U120" s="40">
        <v>0</v>
      </c>
      <c r="V120" s="40">
        <v>1</v>
      </c>
      <c r="X120" s="45">
        <v>0</v>
      </c>
      <c r="Y120" s="45">
        <v>0</v>
      </c>
      <c r="Z120" s="45">
        <v>25</v>
      </c>
    </row>
    <row r="121" spans="1:26" x14ac:dyDescent="0.2">
      <c r="A121" s="51" t="s">
        <v>53</v>
      </c>
      <c r="B121" s="51" t="s">
        <v>13</v>
      </c>
      <c r="D121" s="39">
        <v>0</v>
      </c>
      <c r="E121" s="39">
        <v>0</v>
      </c>
      <c r="F121" s="39">
        <v>0</v>
      </c>
      <c r="H121" s="44">
        <v>0</v>
      </c>
      <c r="I121" s="44">
        <v>0</v>
      </c>
      <c r="J121" s="44">
        <v>0</v>
      </c>
      <c r="L121" s="23" t="s">
        <v>87</v>
      </c>
      <c r="M121" s="23" t="s">
        <v>87</v>
      </c>
      <c r="N121" s="23" t="s">
        <v>87</v>
      </c>
      <c r="P121" s="23" t="s">
        <v>87</v>
      </c>
      <c r="Q121" s="23" t="s">
        <v>87</v>
      </c>
      <c r="R121" s="23" t="s">
        <v>87</v>
      </c>
      <c r="T121" s="39">
        <v>0</v>
      </c>
      <c r="U121" s="39">
        <v>0</v>
      </c>
      <c r="V121" s="39">
        <v>0</v>
      </c>
      <c r="X121" s="44">
        <v>0</v>
      </c>
      <c r="Y121" s="44">
        <v>0</v>
      </c>
      <c r="Z121" s="44">
        <v>0</v>
      </c>
    </row>
    <row r="122" spans="1:26" x14ac:dyDescent="0.2">
      <c r="A122" s="52" t="s">
        <v>53</v>
      </c>
      <c r="B122" s="52" t="s">
        <v>14</v>
      </c>
      <c r="D122" s="40">
        <v>0</v>
      </c>
      <c r="E122" s="40">
        <v>0</v>
      </c>
      <c r="F122" s="40">
        <v>0</v>
      </c>
      <c r="H122" s="45">
        <v>0</v>
      </c>
      <c r="I122" s="45">
        <v>0</v>
      </c>
      <c r="J122" s="45">
        <v>0</v>
      </c>
      <c r="L122" s="23" t="s">
        <v>87</v>
      </c>
      <c r="M122" s="23" t="s">
        <v>87</v>
      </c>
      <c r="N122" s="23" t="s">
        <v>87</v>
      </c>
      <c r="P122" s="23" t="s">
        <v>87</v>
      </c>
      <c r="Q122" s="23" t="s">
        <v>87</v>
      </c>
      <c r="R122" s="23" t="s">
        <v>87</v>
      </c>
      <c r="T122" s="40">
        <v>5</v>
      </c>
      <c r="U122" s="40">
        <v>0</v>
      </c>
      <c r="V122" s="40">
        <v>0</v>
      </c>
      <c r="X122" s="45">
        <v>-125</v>
      </c>
      <c r="Y122" s="45">
        <v>0</v>
      </c>
      <c r="Z122" s="45">
        <v>0</v>
      </c>
    </row>
    <row r="123" spans="1:26" x14ac:dyDescent="0.2">
      <c r="A123" s="51" t="s">
        <v>54</v>
      </c>
      <c r="B123" s="51" t="s">
        <v>12</v>
      </c>
      <c r="D123" s="39">
        <v>19</v>
      </c>
      <c r="E123" s="39">
        <v>20</v>
      </c>
      <c r="F123" s="39">
        <v>31</v>
      </c>
      <c r="H123" s="44">
        <v>126.09</v>
      </c>
      <c r="I123" s="44">
        <v>148.63</v>
      </c>
      <c r="J123" s="44">
        <v>300.27</v>
      </c>
      <c r="L123" s="23" t="s">
        <v>87</v>
      </c>
      <c r="M123" s="23" t="s">
        <v>87</v>
      </c>
      <c r="N123" s="23" t="s">
        <v>87</v>
      </c>
      <c r="P123" s="23" t="s">
        <v>87</v>
      </c>
      <c r="Q123" s="23" t="s">
        <v>87</v>
      </c>
      <c r="R123" s="23" t="s">
        <v>87</v>
      </c>
      <c r="T123" s="39">
        <v>0</v>
      </c>
      <c r="U123" s="39">
        <v>0</v>
      </c>
      <c r="V123" s="39">
        <v>0</v>
      </c>
      <c r="X123" s="44">
        <v>0</v>
      </c>
      <c r="Y123" s="44">
        <v>0</v>
      </c>
      <c r="Z123" s="44">
        <v>0</v>
      </c>
    </row>
    <row r="124" spans="1:26" x14ac:dyDescent="0.2">
      <c r="A124" s="52" t="s">
        <v>54</v>
      </c>
      <c r="B124" s="52" t="s">
        <v>13</v>
      </c>
      <c r="D124" s="40">
        <v>0</v>
      </c>
      <c r="E124" s="40">
        <v>0</v>
      </c>
      <c r="F124" s="40">
        <v>0</v>
      </c>
      <c r="H124" s="45">
        <v>0</v>
      </c>
      <c r="I124" s="45">
        <v>0</v>
      </c>
      <c r="J124" s="45">
        <v>0</v>
      </c>
      <c r="L124" s="23" t="s">
        <v>87</v>
      </c>
      <c r="M124" s="23" t="s">
        <v>87</v>
      </c>
      <c r="N124" s="23" t="s">
        <v>87</v>
      </c>
      <c r="P124" s="23" t="s">
        <v>87</v>
      </c>
      <c r="Q124" s="23" t="s">
        <v>87</v>
      </c>
      <c r="R124" s="23" t="s">
        <v>87</v>
      </c>
      <c r="T124" s="40">
        <v>0</v>
      </c>
      <c r="U124" s="40">
        <v>0</v>
      </c>
      <c r="V124" s="40">
        <v>0</v>
      </c>
      <c r="X124" s="45">
        <v>0</v>
      </c>
      <c r="Y124" s="45">
        <v>0</v>
      </c>
      <c r="Z124" s="45">
        <v>0</v>
      </c>
    </row>
    <row r="125" spans="1:26" x14ac:dyDescent="0.2">
      <c r="A125" s="51" t="s">
        <v>54</v>
      </c>
      <c r="B125" s="51" t="s">
        <v>14</v>
      </c>
      <c r="D125" s="39">
        <v>-1</v>
      </c>
      <c r="E125" s="39">
        <v>0</v>
      </c>
      <c r="F125" s="39">
        <v>0</v>
      </c>
      <c r="H125" s="44">
        <v>-15</v>
      </c>
      <c r="I125" s="44">
        <v>0</v>
      </c>
      <c r="J125" s="44">
        <v>0</v>
      </c>
      <c r="L125" s="23" t="s">
        <v>87</v>
      </c>
      <c r="M125" s="23" t="s">
        <v>87</v>
      </c>
      <c r="N125" s="23" t="s">
        <v>87</v>
      </c>
      <c r="P125" s="23" t="s">
        <v>87</v>
      </c>
      <c r="Q125" s="23" t="s">
        <v>87</v>
      </c>
      <c r="R125" s="23" t="s">
        <v>87</v>
      </c>
      <c r="T125" s="39">
        <v>8</v>
      </c>
      <c r="U125" s="39">
        <v>0</v>
      </c>
      <c r="V125" s="39">
        <v>0</v>
      </c>
      <c r="X125" s="44">
        <v>-200</v>
      </c>
      <c r="Y125" s="44">
        <v>0</v>
      </c>
      <c r="Z125" s="44">
        <v>0</v>
      </c>
    </row>
    <row r="126" spans="1:26" x14ac:dyDescent="0.2">
      <c r="A126" s="52" t="s">
        <v>55</v>
      </c>
      <c r="B126" s="52" t="s">
        <v>12</v>
      </c>
      <c r="D126" s="40">
        <v>18</v>
      </c>
      <c r="E126" s="40">
        <v>15</v>
      </c>
      <c r="F126" s="40">
        <v>13</v>
      </c>
      <c r="H126" s="45">
        <v>68.040000000000006</v>
      </c>
      <c r="I126" s="45">
        <v>104.2</v>
      </c>
      <c r="J126" s="45">
        <v>54.36</v>
      </c>
      <c r="L126" s="23" t="s">
        <v>87</v>
      </c>
      <c r="M126" s="23" t="s">
        <v>87</v>
      </c>
      <c r="N126" s="23" t="s">
        <v>87</v>
      </c>
      <c r="P126" s="23" t="s">
        <v>87</v>
      </c>
      <c r="Q126" s="23" t="s">
        <v>87</v>
      </c>
      <c r="R126" s="23" t="s">
        <v>87</v>
      </c>
      <c r="T126" s="40">
        <v>0</v>
      </c>
      <c r="U126" s="40">
        <v>0</v>
      </c>
      <c r="V126" s="40">
        <v>1</v>
      </c>
      <c r="X126" s="45">
        <v>0</v>
      </c>
      <c r="Y126" s="45">
        <v>0</v>
      </c>
      <c r="Z126" s="45">
        <v>25</v>
      </c>
    </row>
    <row r="127" spans="1:26" x14ac:dyDescent="0.2">
      <c r="A127" s="51" t="s">
        <v>55</v>
      </c>
      <c r="B127" s="51" t="s">
        <v>13</v>
      </c>
      <c r="D127" s="39">
        <v>0</v>
      </c>
      <c r="E127" s="39">
        <v>0</v>
      </c>
      <c r="F127" s="39">
        <v>0</v>
      </c>
      <c r="H127" s="44">
        <v>0</v>
      </c>
      <c r="I127" s="44">
        <v>0</v>
      </c>
      <c r="J127" s="44">
        <v>0</v>
      </c>
      <c r="L127" s="23" t="s">
        <v>87</v>
      </c>
      <c r="M127" s="23" t="s">
        <v>87</v>
      </c>
      <c r="N127" s="23" t="s">
        <v>87</v>
      </c>
      <c r="P127" s="23" t="s">
        <v>87</v>
      </c>
      <c r="Q127" s="23" t="s">
        <v>87</v>
      </c>
      <c r="R127" s="23" t="s">
        <v>87</v>
      </c>
      <c r="T127" s="39">
        <v>0</v>
      </c>
      <c r="U127" s="39">
        <v>0</v>
      </c>
      <c r="V127" s="39">
        <v>0</v>
      </c>
      <c r="X127" s="44">
        <v>0</v>
      </c>
      <c r="Y127" s="44">
        <v>0</v>
      </c>
      <c r="Z127" s="44">
        <v>0</v>
      </c>
    </row>
    <row r="128" spans="1:26" x14ac:dyDescent="0.2">
      <c r="A128" s="52" t="s">
        <v>55</v>
      </c>
      <c r="B128" s="52" t="s">
        <v>14</v>
      </c>
      <c r="D128" s="40">
        <v>0</v>
      </c>
      <c r="E128" s="40">
        <v>0</v>
      </c>
      <c r="F128" s="40">
        <v>0</v>
      </c>
      <c r="H128" s="45">
        <v>0</v>
      </c>
      <c r="I128" s="45">
        <v>0</v>
      </c>
      <c r="J128" s="45">
        <v>0</v>
      </c>
      <c r="L128" s="23" t="s">
        <v>87</v>
      </c>
      <c r="M128" s="23" t="s">
        <v>87</v>
      </c>
      <c r="N128" s="23" t="s">
        <v>87</v>
      </c>
      <c r="P128" s="23" t="s">
        <v>87</v>
      </c>
      <c r="Q128" s="23" t="s">
        <v>87</v>
      </c>
      <c r="R128" s="23" t="s">
        <v>87</v>
      </c>
      <c r="T128" s="40">
        <v>10</v>
      </c>
      <c r="U128" s="40">
        <v>0</v>
      </c>
      <c r="V128" s="40">
        <v>0</v>
      </c>
      <c r="X128" s="45">
        <v>-350</v>
      </c>
      <c r="Y128" s="45">
        <v>0</v>
      </c>
      <c r="Z128" s="45">
        <v>0</v>
      </c>
    </row>
    <row r="129" spans="1:26" x14ac:dyDescent="0.2">
      <c r="A129" s="39" t="s">
        <v>56</v>
      </c>
      <c r="B129" s="39" t="s">
        <v>12</v>
      </c>
      <c r="D129" s="39">
        <v>0</v>
      </c>
      <c r="E129" s="39">
        <v>0</v>
      </c>
      <c r="F129" s="39">
        <v>0</v>
      </c>
      <c r="H129" s="44">
        <v>0</v>
      </c>
      <c r="I129" s="44">
        <v>0</v>
      </c>
      <c r="J129" s="44">
        <v>0</v>
      </c>
      <c r="L129" s="23" t="s">
        <v>87</v>
      </c>
      <c r="M129" s="23" t="s">
        <v>87</v>
      </c>
      <c r="N129" s="23" t="s">
        <v>87</v>
      </c>
      <c r="P129" s="23" t="s">
        <v>87</v>
      </c>
      <c r="Q129" s="23" t="s">
        <v>87</v>
      </c>
      <c r="R129" s="23" t="s">
        <v>87</v>
      </c>
      <c r="T129" s="39">
        <v>0</v>
      </c>
      <c r="U129" s="39">
        <v>0</v>
      </c>
      <c r="V129" s="39">
        <v>0</v>
      </c>
      <c r="X129" s="44">
        <v>0</v>
      </c>
      <c r="Y129" s="44">
        <v>0</v>
      </c>
      <c r="Z129" s="44">
        <v>0</v>
      </c>
    </row>
    <row r="130" spans="1:26" x14ac:dyDescent="0.2">
      <c r="A130" s="40" t="s">
        <v>56</v>
      </c>
      <c r="B130" s="40" t="s">
        <v>13</v>
      </c>
      <c r="D130" s="40">
        <v>0</v>
      </c>
      <c r="E130" s="40">
        <v>0</v>
      </c>
      <c r="F130" s="40">
        <v>0</v>
      </c>
      <c r="H130" s="45">
        <v>0</v>
      </c>
      <c r="I130" s="45">
        <v>0</v>
      </c>
      <c r="J130" s="45">
        <v>0</v>
      </c>
      <c r="L130" s="23" t="s">
        <v>87</v>
      </c>
      <c r="M130" s="23" t="s">
        <v>87</v>
      </c>
      <c r="N130" s="23" t="s">
        <v>87</v>
      </c>
      <c r="P130" s="23" t="s">
        <v>87</v>
      </c>
      <c r="Q130" s="23" t="s">
        <v>87</v>
      </c>
      <c r="R130" s="23" t="s">
        <v>87</v>
      </c>
      <c r="T130" s="40">
        <v>0</v>
      </c>
      <c r="U130" s="40">
        <v>0</v>
      </c>
      <c r="V130" s="40">
        <v>0</v>
      </c>
      <c r="X130" s="45">
        <v>0</v>
      </c>
      <c r="Y130" s="45">
        <v>0</v>
      </c>
      <c r="Z130" s="45">
        <v>0</v>
      </c>
    </row>
    <row r="131" spans="1:26" x14ac:dyDescent="0.2">
      <c r="A131" s="39" t="s">
        <v>56</v>
      </c>
      <c r="B131" s="39" t="s">
        <v>14</v>
      </c>
      <c r="D131" s="39">
        <v>0</v>
      </c>
      <c r="E131" s="39">
        <v>0</v>
      </c>
      <c r="F131" s="39">
        <v>0</v>
      </c>
      <c r="H131" s="44">
        <v>0</v>
      </c>
      <c r="I131" s="44">
        <v>0</v>
      </c>
      <c r="J131" s="44">
        <v>0</v>
      </c>
      <c r="L131" s="23" t="s">
        <v>87</v>
      </c>
      <c r="M131" s="23" t="s">
        <v>87</v>
      </c>
      <c r="N131" s="23" t="s">
        <v>87</v>
      </c>
      <c r="P131" s="23" t="s">
        <v>87</v>
      </c>
      <c r="Q131" s="23" t="s">
        <v>87</v>
      </c>
      <c r="R131" s="23" t="s">
        <v>87</v>
      </c>
      <c r="T131" s="39">
        <v>0</v>
      </c>
      <c r="U131" s="39">
        <v>0</v>
      </c>
      <c r="V131" s="39">
        <v>0</v>
      </c>
      <c r="X131" s="44">
        <v>0</v>
      </c>
      <c r="Y131" s="44">
        <v>0</v>
      </c>
      <c r="Z131" s="44">
        <v>0</v>
      </c>
    </row>
    <row r="132" spans="1:26" x14ac:dyDescent="0.2">
      <c r="G132"/>
      <c r="K132"/>
      <c r="O132"/>
      <c r="S132"/>
      <c r="W132"/>
    </row>
    <row r="133" spans="1:26" x14ac:dyDescent="0.2">
      <c r="D133">
        <f>SUMIF($B3:$B131,$B$131,D3:D131)</f>
        <v>-1</v>
      </c>
      <c r="E133">
        <f>SUMIF($B3:$B131,$B$131,E3:E131)</f>
        <v>0</v>
      </c>
      <c r="F133">
        <f>SUMIF($B3:$B131,$B$131,F3:F131)</f>
        <v>0</v>
      </c>
      <c r="G133"/>
      <c r="H133" s="78">
        <f t="shared" ref="H133:J133" si="3">SUMIF($B3:$B131,$B$131,H3:H131)</f>
        <v>-15</v>
      </c>
      <c r="I133" s="78">
        <f t="shared" si="3"/>
        <v>0</v>
      </c>
      <c r="J133" s="78">
        <f t="shared" si="3"/>
        <v>0</v>
      </c>
      <c r="T133">
        <f t="shared" ref="T133:V133" si="4">SUMIF($B3:$B131,$B$131,T3:T131)</f>
        <v>113</v>
      </c>
      <c r="U133">
        <f t="shared" si="4"/>
        <v>0</v>
      </c>
      <c r="V133">
        <f t="shared" si="4"/>
        <v>0</v>
      </c>
      <c r="W133"/>
      <c r="X133">
        <f t="shared" ref="X133:Z133" si="5">SUMIF($B3:$B131,$B$131,X3:X131)</f>
        <v>-3150</v>
      </c>
      <c r="Y133">
        <f t="shared" si="5"/>
        <v>0</v>
      </c>
      <c r="Z133">
        <f t="shared" si="5"/>
        <v>0</v>
      </c>
    </row>
    <row r="134" spans="1:26" ht="48" x14ac:dyDescent="0.2">
      <c r="D134" s="19" t="s">
        <v>88</v>
      </c>
      <c r="E134" s="19"/>
      <c r="F134" s="19"/>
      <c r="H134" s="19" t="s">
        <v>88</v>
      </c>
      <c r="I134" s="19"/>
      <c r="J134" s="19"/>
      <c r="T134" s="19" t="s">
        <v>89</v>
      </c>
      <c r="U134" s="19"/>
      <c r="V134" s="19"/>
      <c r="X134" s="19" t="s">
        <v>89</v>
      </c>
      <c r="Y134" s="19"/>
      <c r="Z134" s="19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1Q and March 2025 COVID Data Rpt 
&amp;P of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view="pageLayout" zoomScaleNormal="85" zoomScaleSheetLayoutView="100" workbookViewId="0">
      <selection activeCell="W1" sqref="W1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90</v>
      </c>
      <c r="B1" s="2"/>
      <c r="D1" s="8" t="s">
        <v>91</v>
      </c>
      <c r="E1" s="8"/>
      <c r="F1" s="8"/>
      <c r="H1" s="87" t="s">
        <v>92</v>
      </c>
      <c r="I1" s="87"/>
      <c r="J1" s="87"/>
      <c r="L1" s="87" t="s">
        <v>93</v>
      </c>
      <c r="M1" s="87"/>
      <c r="N1" s="87"/>
      <c r="P1" s="87" t="s">
        <v>94</v>
      </c>
      <c r="Q1" s="87"/>
      <c r="R1" s="87"/>
    </row>
    <row r="2" spans="1:26" x14ac:dyDescent="0.2">
      <c r="A2" s="2" t="s">
        <v>63</v>
      </c>
      <c r="B2" s="2" t="s">
        <v>64</v>
      </c>
      <c r="D2" s="73" t="s">
        <v>95</v>
      </c>
      <c r="E2" s="73" t="s">
        <v>96</v>
      </c>
      <c r="F2" s="73" t="s">
        <v>97</v>
      </c>
      <c r="H2" s="56" t="str">
        <f>+D2</f>
        <v>Jan 2025</v>
      </c>
      <c r="I2" s="56" t="str">
        <f t="shared" ref="I2:J2" si="0">+E2</f>
        <v>Feb 2025</v>
      </c>
      <c r="J2" s="56" t="str">
        <f t="shared" si="0"/>
        <v>Mar 2025</v>
      </c>
      <c r="K2" s="57"/>
      <c r="L2" s="56" t="str">
        <f>+H2</f>
        <v>Jan 2025</v>
      </c>
      <c r="M2" s="56" t="str">
        <f t="shared" ref="M2" si="1">+I2</f>
        <v>Feb 2025</v>
      </c>
      <c r="N2" s="56" t="str">
        <f t="shared" ref="N2" si="2">+J2</f>
        <v>Mar 2025</v>
      </c>
      <c r="O2" s="57"/>
      <c r="P2" s="56" t="str">
        <f>+L2</f>
        <v>Jan 2025</v>
      </c>
      <c r="Q2" s="56" t="str">
        <f t="shared" ref="Q2" si="3">+M2</f>
        <v>Feb 2025</v>
      </c>
      <c r="R2" s="56" t="str">
        <f t="shared" ref="R2" si="4">+N2</f>
        <v>Mar 2025</v>
      </c>
      <c r="S2" s="58"/>
      <c r="T2" s="58"/>
      <c r="U2" s="58"/>
      <c r="V2" s="58"/>
      <c r="W2" s="58"/>
      <c r="X2" s="58"/>
      <c r="Y2" s="58"/>
      <c r="Z2" s="58"/>
    </row>
    <row r="3" spans="1:26" x14ac:dyDescent="0.2">
      <c r="A3" s="39" t="s">
        <v>11</v>
      </c>
      <c r="B3" s="39" t="s">
        <v>12</v>
      </c>
      <c r="D3" s="39">
        <v>0</v>
      </c>
      <c r="E3" s="39">
        <v>0</v>
      </c>
      <c r="F3" s="39">
        <v>0</v>
      </c>
      <c r="H3" s="83">
        <v>0</v>
      </c>
      <c r="I3" s="83">
        <v>0</v>
      </c>
      <c r="J3" s="83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">
      <c r="A4" s="40" t="s">
        <v>11</v>
      </c>
      <c r="B4" s="40" t="s">
        <v>13</v>
      </c>
      <c r="D4" s="40">
        <v>0</v>
      </c>
      <c r="E4" s="40">
        <v>0</v>
      </c>
      <c r="F4" s="40">
        <v>0</v>
      </c>
      <c r="H4" s="84">
        <v>0</v>
      </c>
      <c r="I4" s="84">
        <v>0</v>
      </c>
      <c r="J4" s="84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">
      <c r="A5" s="39" t="s">
        <v>11</v>
      </c>
      <c r="B5" s="39" t="s">
        <v>14</v>
      </c>
      <c r="D5" s="39">
        <v>0</v>
      </c>
      <c r="E5" s="39">
        <v>0</v>
      </c>
      <c r="F5" s="39">
        <v>0</v>
      </c>
      <c r="H5" s="83">
        <v>0</v>
      </c>
      <c r="I5" s="83">
        <v>0</v>
      </c>
      <c r="J5" s="83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">
      <c r="A6" s="40" t="s">
        <v>15</v>
      </c>
      <c r="B6" s="40" t="s">
        <v>12</v>
      </c>
      <c r="D6" s="40">
        <v>0</v>
      </c>
      <c r="E6" s="40">
        <v>0</v>
      </c>
      <c r="F6" s="40">
        <v>0</v>
      </c>
      <c r="H6" s="84">
        <v>0</v>
      </c>
      <c r="I6" s="84">
        <v>0</v>
      </c>
      <c r="J6" s="84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">
      <c r="A7" s="39" t="s">
        <v>15</v>
      </c>
      <c r="B7" s="39" t="s">
        <v>13</v>
      </c>
      <c r="D7" s="39">
        <v>0</v>
      </c>
      <c r="E7" s="39">
        <v>0</v>
      </c>
      <c r="F7" s="39">
        <v>0</v>
      </c>
      <c r="H7" s="83">
        <v>0</v>
      </c>
      <c r="I7" s="83">
        <v>0</v>
      </c>
      <c r="J7" s="83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">
      <c r="A8" s="40" t="s">
        <v>15</v>
      </c>
      <c r="B8" s="40" t="s">
        <v>14</v>
      </c>
      <c r="D8" s="40">
        <v>0</v>
      </c>
      <c r="E8" s="40">
        <v>0</v>
      </c>
      <c r="F8" s="40">
        <v>0</v>
      </c>
      <c r="H8" s="84">
        <v>0</v>
      </c>
      <c r="I8" s="84">
        <v>0</v>
      </c>
      <c r="J8" s="84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">
      <c r="A9" s="39" t="s">
        <v>16</v>
      </c>
      <c r="B9" s="39" t="s">
        <v>12</v>
      </c>
      <c r="D9" s="39">
        <v>0</v>
      </c>
      <c r="E9" s="39">
        <v>0</v>
      </c>
      <c r="F9" s="39">
        <v>0</v>
      </c>
      <c r="H9" s="83">
        <v>0</v>
      </c>
      <c r="I9" s="83">
        <v>0</v>
      </c>
      <c r="J9" s="83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">
      <c r="A10" s="40" t="s">
        <v>16</v>
      </c>
      <c r="B10" s="40" t="s">
        <v>13</v>
      </c>
      <c r="D10" s="40">
        <v>0</v>
      </c>
      <c r="E10" s="40">
        <v>0</v>
      </c>
      <c r="F10" s="40">
        <v>0</v>
      </c>
      <c r="H10" s="84">
        <v>0</v>
      </c>
      <c r="I10" s="84">
        <v>0</v>
      </c>
      <c r="J10" s="84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">
      <c r="A11" s="39" t="s">
        <v>16</v>
      </c>
      <c r="B11" s="39" t="s">
        <v>14</v>
      </c>
      <c r="D11" s="39">
        <v>0</v>
      </c>
      <c r="E11" s="39">
        <v>0</v>
      </c>
      <c r="F11" s="39">
        <v>0</v>
      </c>
      <c r="H11" s="83">
        <v>0</v>
      </c>
      <c r="I11" s="83">
        <v>0</v>
      </c>
      <c r="J11" s="83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">
      <c r="A12" s="40" t="s">
        <v>17</v>
      </c>
      <c r="B12" s="40" t="s">
        <v>12</v>
      </c>
      <c r="D12" s="40">
        <v>0</v>
      </c>
      <c r="E12" s="40">
        <v>0</v>
      </c>
      <c r="F12" s="40">
        <v>0</v>
      </c>
      <c r="H12" s="84">
        <v>0</v>
      </c>
      <c r="I12" s="84">
        <v>0</v>
      </c>
      <c r="J12" s="84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">
      <c r="A13" s="39" t="s">
        <v>17</v>
      </c>
      <c r="B13" s="39" t="s">
        <v>13</v>
      </c>
      <c r="D13" s="39">
        <v>0</v>
      </c>
      <c r="E13" s="39">
        <v>0</v>
      </c>
      <c r="F13" s="39">
        <v>0</v>
      </c>
      <c r="H13" s="83">
        <v>0</v>
      </c>
      <c r="I13" s="83">
        <v>0</v>
      </c>
      <c r="J13" s="83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">
      <c r="A14" s="40" t="s">
        <v>17</v>
      </c>
      <c r="B14" s="40" t="s">
        <v>14</v>
      </c>
      <c r="D14" s="40">
        <v>0</v>
      </c>
      <c r="E14" s="40">
        <v>0</v>
      </c>
      <c r="F14" s="40">
        <v>0</v>
      </c>
      <c r="H14" s="84">
        <v>0</v>
      </c>
      <c r="I14" s="84">
        <v>0</v>
      </c>
      <c r="J14" s="84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">
      <c r="A15" s="39" t="s">
        <v>18</v>
      </c>
      <c r="B15" s="39" t="s">
        <v>12</v>
      </c>
      <c r="D15" s="39">
        <v>0</v>
      </c>
      <c r="E15" s="39">
        <v>0</v>
      </c>
      <c r="F15" s="39">
        <v>0</v>
      </c>
      <c r="H15" s="83">
        <v>0</v>
      </c>
      <c r="I15" s="83">
        <v>0</v>
      </c>
      <c r="J15" s="83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">
      <c r="A16" s="40" t="s">
        <v>18</v>
      </c>
      <c r="B16" s="40" t="s">
        <v>13</v>
      </c>
      <c r="D16" s="40">
        <v>0</v>
      </c>
      <c r="E16" s="40">
        <v>0</v>
      </c>
      <c r="F16" s="40">
        <v>0</v>
      </c>
      <c r="H16" s="84">
        <v>0</v>
      </c>
      <c r="I16" s="84">
        <v>0</v>
      </c>
      <c r="J16" s="84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18</v>
      </c>
      <c r="B17" s="39" t="s">
        <v>14</v>
      </c>
      <c r="D17" s="39">
        <v>0</v>
      </c>
      <c r="E17" s="39">
        <v>0</v>
      </c>
      <c r="F17" s="39">
        <v>0</v>
      </c>
      <c r="H17" s="83">
        <v>0</v>
      </c>
      <c r="I17" s="83">
        <v>0</v>
      </c>
      <c r="J17" s="83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19</v>
      </c>
      <c r="B18" s="40" t="s">
        <v>12</v>
      </c>
      <c r="D18" s="40">
        <v>0</v>
      </c>
      <c r="E18" s="40">
        <v>0</v>
      </c>
      <c r="F18" s="40">
        <v>0</v>
      </c>
      <c r="H18" s="84">
        <v>0</v>
      </c>
      <c r="I18" s="84">
        <v>0</v>
      </c>
      <c r="J18" s="84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19</v>
      </c>
      <c r="B19" s="39" t="s">
        <v>13</v>
      </c>
      <c r="D19" s="39">
        <v>0</v>
      </c>
      <c r="E19" s="39">
        <v>0</v>
      </c>
      <c r="F19" s="39">
        <v>0</v>
      </c>
      <c r="H19" s="83">
        <v>0</v>
      </c>
      <c r="I19" s="83">
        <v>0</v>
      </c>
      <c r="J19" s="83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19</v>
      </c>
      <c r="B20" s="40" t="s">
        <v>14</v>
      </c>
      <c r="D20" s="40">
        <v>0</v>
      </c>
      <c r="E20" s="40">
        <v>0</v>
      </c>
      <c r="F20" s="40">
        <v>0</v>
      </c>
      <c r="H20" s="84">
        <v>0</v>
      </c>
      <c r="I20" s="84">
        <v>0</v>
      </c>
      <c r="J20" s="84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20</v>
      </c>
      <c r="B21" s="39" t="s">
        <v>12</v>
      </c>
      <c r="D21" s="39">
        <v>0</v>
      </c>
      <c r="E21" s="39">
        <v>0</v>
      </c>
      <c r="F21" s="39">
        <v>0</v>
      </c>
      <c r="H21" s="83">
        <v>0</v>
      </c>
      <c r="I21" s="83">
        <v>0</v>
      </c>
      <c r="J21" s="83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20</v>
      </c>
      <c r="B22" s="40" t="s">
        <v>13</v>
      </c>
      <c r="D22" s="40">
        <v>0</v>
      </c>
      <c r="E22" s="40">
        <v>0</v>
      </c>
      <c r="F22" s="40">
        <v>0</v>
      </c>
      <c r="H22" s="84">
        <v>0</v>
      </c>
      <c r="I22" s="84">
        <v>0</v>
      </c>
      <c r="J22" s="84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20</v>
      </c>
      <c r="B23" s="39" t="s">
        <v>14</v>
      </c>
      <c r="D23" s="39">
        <v>0</v>
      </c>
      <c r="E23" s="39">
        <v>0</v>
      </c>
      <c r="F23" s="39">
        <v>0</v>
      </c>
      <c r="H23" s="83">
        <v>0</v>
      </c>
      <c r="I23" s="83">
        <v>0</v>
      </c>
      <c r="J23" s="83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21</v>
      </c>
      <c r="B24" s="40" t="s">
        <v>12</v>
      </c>
      <c r="D24" s="40">
        <v>0</v>
      </c>
      <c r="E24" s="40">
        <v>0</v>
      </c>
      <c r="F24" s="40">
        <v>0</v>
      </c>
      <c r="H24" s="84">
        <v>0</v>
      </c>
      <c r="I24" s="84">
        <v>0</v>
      </c>
      <c r="J24" s="84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21</v>
      </c>
      <c r="B25" s="39" t="s">
        <v>13</v>
      </c>
      <c r="D25" s="39">
        <v>0</v>
      </c>
      <c r="E25" s="39">
        <v>0</v>
      </c>
      <c r="F25" s="39">
        <v>0</v>
      </c>
      <c r="H25" s="83">
        <v>0</v>
      </c>
      <c r="I25" s="83">
        <v>0</v>
      </c>
      <c r="J25" s="83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21</v>
      </c>
      <c r="B26" s="40" t="s">
        <v>14</v>
      </c>
      <c r="D26" s="40">
        <v>0</v>
      </c>
      <c r="E26" s="40">
        <v>0</v>
      </c>
      <c r="F26" s="40">
        <v>0</v>
      </c>
      <c r="H26" s="84">
        <v>0</v>
      </c>
      <c r="I26" s="84">
        <v>0</v>
      </c>
      <c r="J26" s="84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22</v>
      </c>
      <c r="B27" s="39" t="s">
        <v>12</v>
      </c>
      <c r="D27" s="39">
        <v>0</v>
      </c>
      <c r="E27" s="39">
        <v>0</v>
      </c>
      <c r="F27" s="39">
        <v>0</v>
      </c>
      <c r="H27" s="83">
        <v>0</v>
      </c>
      <c r="I27" s="83">
        <v>0</v>
      </c>
      <c r="J27" s="83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22</v>
      </c>
      <c r="B28" s="40" t="s">
        <v>13</v>
      </c>
      <c r="D28" s="40">
        <v>0</v>
      </c>
      <c r="E28" s="40">
        <v>0</v>
      </c>
      <c r="F28" s="40">
        <v>0</v>
      </c>
      <c r="H28" s="84">
        <v>0</v>
      </c>
      <c r="I28" s="84">
        <v>0</v>
      </c>
      <c r="J28" s="84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22</v>
      </c>
      <c r="B29" s="39" t="s">
        <v>14</v>
      </c>
      <c r="D29" s="39">
        <v>0</v>
      </c>
      <c r="E29" s="39">
        <v>0</v>
      </c>
      <c r="F29" s="39">
        <v>0</v>
      </c>
      <c r="H29" s="83">
        <v>0</v>
      </c>
      <c r="I29" s="83">
        <v>0</v>
      </c>
      <c r="J29" s="83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23</v>
      </c>
      <c r="B30" s="40" t="s">
        <v>12</v>
      </c>
      <c r="D30" s="40">
        <v>0</v>
      </c>
      <c r="E30" s="40">
        <v>0</v>
      </c>
      <c r="F30" s="40">
        <v>0</v>
      </c>
      <c r="H30" s="84">
        <v>0</v>
      </c>
      <c r="I30" s="84">
        <v>0</v>
      </c>
      <c r="J30" s="84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23</v>
      </c>
      <c r="B31" s="39" t="s">
        <v>13</v>
      </c>
      <c r="D31" s="39">
        <v>0</v>
      </c>
      <c r="E31" s="39">
        <v>0</v>
      </c>
      <c r="F31" s="39">
        <v>0</v>
      </c>
      <c r="H31" s="83">
        <v>0</v>
      </c>
      <c r="I31" s="83">
        <v>0</v>
      </c>
      <c r="J31" s="83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23</v>
      </c>
      <c r="B32" s="40" t="s">
        <v>14</v>
      </c>
      <c r="D32" s="40">
        <v>0</v>
      </c>
      <c r="E32" s="40">
        <v>0</v>
      </c>
      <c r="F32" s="40">
        <v>0</v>
      </c>
      <c r="H32" s="84">
        <v>0</v>
      </c>
      <c r="I32" s="84">
        <v>0</v>
      </c>
      <c r="J32" s="84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24</v>
      </c>
      <c r="B33" s="39" t="s">
        <v>12</v>
      </c>
      <c r="D33" s="39">
        <v>0</v>
      </c>
      <c r="E33" s="39">
        <v>0</v>
      </c>
      <c r="F33" s="39">
        <v>0</v>
      </c>
      <c r="H33" s="83">
        <v>0</v>
      </c>
      <c r="I33" s="83">
        <v>0</v>
      </c>
      <c r="J33" s="83">
        <v>0</v>
      </c>
      <c r="L33" s="39">
        <v>0</v>
      </c>
      <c r="M33" s="39">
        <v>0</v>
      </c>
      <c r="N33" s="39">
        <v>0</v>
      </c>
      <c r="P33" s="39">
        <v>0</v>
      </c>
      <c r="Q33" s="39">
        <v>0</v>
      </c>
      <c r="R33" s="39">
        <v>0</v>
      </c>
    </row>
    <row r="34" spans="1:18" x14ac:dyDescent="0.2">
      <c r="A34" s="40" t="s">
        <v>24</v>
      </c>
      <c r="B34" s="40" t="s">
        <v>13</v>
      </c>
      <c r="D34" s="40">
        <v>0</v>
      </c>
      <c r="E34" s="40">
        <v>0</v>
      </c>
      <c r="F34" s="40">
        <v>0</v>
      </c>
      <c r="H34" s="84">
        <v>0</v>
      </c>
      <c r="I34" s="84">
        <v>0</v>
      </c>
      <c r="J34" s="84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24</v>
      </c>
      <c r="B35" s="39" t="s">
        <v>14</v>
      </c>
      <c r="D35" s="39">
        <v>51</v>
      </c>
      <c r="E35" s="39">
        <v>59</v>
      </c>
      <c r="F35" s="39">
        <v>65</v>
      </c>
      <c r="H35" s="83">
        <v>2</v>
      </c>
      <c r="I35" s="83">
        <v>1</v>
      </c>
      <c r="J35" s="83">
        <v>0</v>
      </c>
      <c r="L35" s="39">
        <v>12</v>
      </c>
      <c r="M35" s="39">
        <v>16</v>
      </c>
      <c r="N35" s="39">
        <v>18</v>
      </c>
      <c r="P35" s="39">
        <v>1</v>
      </c>
      <c r="Q35" s="39">
        <v>3</v>
      </c>
      <c r="R35" s="39">
        <v>1</v>
      </c>
    </row>
    <row r="36" spans="1:18" x14ac:dyDescent="0.2">
      <c r="A36" s="40" t="s">
        <v>25</v>
      </c>
      <c r="B36" s="40" t="s">
        <v>12</v>
      </c>
      <c r="D36" s="40">
        <v>0</v>
      </c>
      <c r="E36" s="40">
        <v>0</v>
      </c>
      <c r="F36" s="40">
        <v>0</v>
      </c>
      <c r="H36" s="84">
        <v>0</v>
      </c>
      <c r="I36" s="84">
        <v>0</v>
      </c>
      <c r="J36" s="84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25</v>
      </c>
      <c r="B37" s="39" t="s">
        <v>13</v>
      </c>
      <c r="D37" s="39">
        <v>0</v>
      </c>
      <c r="E37" s="39">
        <v>0</v>
      </c>
      <c r="F37" s="39">
        <v>0</v>
      </c>
      <c r="H37" s="83">
        <v>0</v>
      </c>
      <c r="I37" s="83">
        <v>0</v>
      </c>
      <c r="J37" s="83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25</v>
      </c>
      <c r="B38" s="40" t="s">
        <v>14</v>
      </c>
      <c r="D38" s="40">
        <v>0</v>
      </c>
      <c r="E38" s="40">
        <v>0</v>
      </c>
      <c r="F38" s="40">
        <v>0</v>
      </c>
      <c r="H38" s="84">
        <v>0</v>
      </c>
      <c r="I38" s="84">
        <v>0</v>
      </c>
      <c r="J38" s="84">
        <v>0</v>
      </c>
      <c r="L38" s="40">
        <v>0</v>
      </c>
      <c r="M38" s="40">
        <v>0</v>
      </c>
      <c r="N38" s="40">
        <v>0</v>
      </c>
      <c r="P38" s="40">
        <v>0</v>
      </c>
      <c r="Q38" s="40">
        <v>0</v>
      </c>
      <c r="R38" s="40">
        <v>0</v>
      </c>
    </row>
    <row r="39" spans="1:18" x14ac:dyDescent="0.2">
      <c r="A39" s="39" t="s">
        <v>26</v>
      </c>
      <c r="B39" s="39" t="s">
        <v>12</v>
      </c>
      <c r="D39" s="39">
        <v>0</v>
      </c>
      <c r="E39" s="39">
        <v>0</v>
      </c>
      <c r="F39" s="39">
        <v>0</v>
      </c>
      <c r="H39" s="83">
        <v>0</v>
      </c>
      <c r="I39" s="83">
        <v>0</v>
      </c>
      <c r="J39" s="83">
        <v>0</v>
      </c>
      <c r="L39" s="39">
        <v>0</v>
      </c>
      <c r="M39" s="39">
        <v>0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26</v>
      </c>
      <c r="B40" s="40" t="s">
        <v>13</v>
      </c>
      <c r="D40" s="40">
        <v>0</v>
      </c>
      <c r="E40" s="40">
        <v>0</v>
      </c>
      <c r="F40" s="40">
        <v>0</v>
      </c>
      <c r="H40" s="84">
        <v>0</v>
      </c>
      <c r="I40" s="84">
        <v>0</v>
      </c>
      <c r="J40" s="84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26</v>
      </c>
      <c r="B41" s="39" t="s">
        <v>14</v>
      </c>
      <c r="D41" s="39">
        <v>4</v>
      </c>
      <c r="E41" s="39">
        <v>3</v>
      </c>
      <c r="F41" s="39">
        <v>3</v>
      </c>
      <c r="H41" s="83">
        <v>0</v>
      </c>
      <c r="I41" s="83">
        <v>0</v>
      </c>
      <c r="J41" s="83">
        <v>0</v>
      </c>
      <c r="L41" s="39">
        <v>0</v>
      </c>
      <c r="M41" s="39">
        <v>0</v>
      </c>
      <c r="N41" s="39">
        <v>0</v>
      </c>
      <c r="P41" s="39">
        <v>0</v>
      </c>
      <c r="Q41" s="39">
        <v>0</v>
      </c>
      <c r="R41" s="39">
        <v>0</v>
      </c>
    </row>
    <row r="42" spans="1:18" x14ac:dyDescent="0.2">
      <c r="A42" s="40" t="s">
        <v>27</v>
      </c>
      <c r="B42" s="40" t="s">
        <v>12</v>
      </c>
      <c r="D42" s="40">
        <v>0</v>
      </c>
      <c r="E42" s="40">
        <v>0</v>
      </c>
      <c r="F42" s="40">
        <v>0</v>
      </c>
      <c r="H42" s="84">
        <v>0</v>
      </c>
      <c r="I42" s="84">
        <v>0</v>
      </c>
      <c r="J42" s="84">
        <v>0</v>
      </c>
      <c r="L42" s="40">
        <v>0</v>
      </c>
      <c r="M42" s="40">
        <v>0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">
      <c r="A43" s="39" t="s">
        <v>27</v>
      </c>
      <c r="B43" s="39" t="s">
        <v>13</v>
      </c>
      <c r="D43" s="39">
        <v>0</v>
      </c>
      <c r="E43" s="39">
        <v>0</v>
      </c>
      <c r="F43" s="39">
        <v>0</v>
      </c>
      <c r="H43" s="83">
        <v>0</v>
      </c>
      <c r="I43" s="83">
        <v>0</v>
      </c>
      <c r="J43" s="83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27</v>
      </c>
      <c r="B44" s="40" t="s">
        <v>14</v>
      </c>
      <c r="D44" s="40">
        <v>45</v>
      </c>
      <c r="E44" s="40">
        <v>43</v>
      </c>
      <c r="F44" s="40">
        <v>44</v>
      </c>
      <c r="H44" s="84">
        <v>1</v>
      </c>
      <c r="I44" s="84">
        <v>2</v>
      </c>
      <c r="J44" s="84">
        <v>1</v>
      </c>
      <c r="L44" s="40">
        <v>7</v>
      </c>
      <c r="M44" s="40">
        <v>7</v>
      </c>
      <c r="N44" s="40">
        <v>13</v>
      </c>
      <c r="P44" s="40">
        <v>1</v>
      </c>
      <c r="Q44" s="40">
        <v>1</v>
      </c>
      <c r="R44" s="40">
        <v>2</v>
      </c>
    </row>
    <row r="45" spans="1:18" x14ac:dyDescent="0.2">
      <c r="A45" s="39" t="s">
        <v>28</v>
      </c>
      <c r="B45" s="39" t="s">
        <v>12</v>
      </c>
      <c r="D45" s="39">
        <v>0</v>
      </c>
      <c r="E45" s="39">
        <v>0</v>
      </c>
      <c r="F45" s="39">
        <v>0</v>
      </c>
      <c r="H45" s="83">
        <v>0</v>
      </c>
      <c r="I45" s="83">
        <v>0</v>
      </c>
      <c r="J45" s="83">
        <v>0</v>
      </c>
      <c r="L45" s="39">
        <v>0</v>
      </c>
      <c r="M45" s="39">
        <v>0</v>
      </c>
      <c r="N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40" t="s">
        <v>28</v>
      </c>
      <c r="B46" s="40" t="s">
        <v>13</v>
      </c>
      <c r="D46" s="40">
        <v>0</v>
      </c>
      <c r="E46" s="40">
        <v>0</v>
      </c>
      <c r="F46" s="40">
        <v>0</v>
      </c>
      <c r="H46" s="84">
        <v>0</v>
      </c>
      <c r="I46" s="84">
        <v>0</v>
      </c>
      <c r="J46" s="84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28</v>
      </c>
      <c r="B47" s="39" t="s">
        <v>14</v>
      </c>
      <c r="D47" s="39">
        <v>3</v>
      </c>
      <c r="E47" s="39">
        <v>3</v>
      </c>
      <c r="F47" s="39">
        <v>1</v>
      </c>
      <c r="H47" s="83">
        <v>0</v>
      </c>
      <c r="I47" s="83">
        <v>0</v>
      </c>
      <c r="J47" s="83">
        <v>0</v>
      </c>
      <c r="L47" s="39">
        <v>0</v>
      </c>
      <c r="M47" s="39">
        <v>0</v>
      </c>
      <c r="N47" s="39">
        <v>0</v>
      </c>
      <c r="P47" s="39">
        <v>0</v>
      </c>
      <c r="Q47" s="39">
        <v>0</v>
      </c>
      <c r="R47" s="39">
        <v>0</v>
      </c>
    </row>
    <row r="48" spans="1:18" x14ac:dyDescent="0.2">
      <c r="A48" s="40" t="s">
        <v>29</v>
      </c>
      <c r="B48" s="40" t="s">
        <v>12</v>
      </c>
      <c r="D48" s="40">
        <v>0</v>
      </c>
      <c r="E48" s="40">
        <v>0</v>
      </c>
      <c r="F48" s="40">
        <v>0</v>
      </c>
      <c r="H48" s="84">
        <v>0</v>
      </c>
      <c r="I48" s="84">
        <v>0</v>
      </c>
      <c r="J48" s="84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29</v>
      </c>
      <c r="B49" s="39" t="s">
        <v>13</v>
      </c>
      <c r="D49" s="39">
        <v>0</v>
      </c>
      <c r="E49" s="39">
        <v>0</v>
      </c>
      <c r="F49" s="39">
        <v>0</v>
      </c>
      <c r="H49" s="83">
        <v>0</v>
      </c>
      <c r="I49" s="83">
        <v>0</v>
      </c>
      <c r="J49" s="83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29</v>
      </c>
      <c r="B50" s="40" t="s">
        <v>14</v>
      </c>
      <c r="D50" s="40">
        <v>0</v>
      </c>
      <c r="E50" s="40">
        <v>0</v>
      </c>
      <c r="F50" s="40">
        <v>0</v>
      </c>
      <c r="H50" s="84">
        <v>0</v>
      </c>
      <c r="I50" s="84">
        <v>0</v>
      </c>
      <c r="J50" s="84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30</v>
      </c>
      <c r="B51" s="39" t="s">
        <v>12</v>
      </c>
      <c r="D51" s="39">
        <v>0</v>
      </c>
      <c r="E51" s="39">
        <v>0</v>
      </c>
      <c r="F51" s="39">
        <v>0</v>
      </c>
      <c r="H51" s="83">
        <v>0</v>
      </c>
      <c r="I51" s="83">
        <v>0</v>
      </c>
      <c r="J51" s="83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30</v>
      </c>
      <c r="B52" s="40" t="s">
        <v>13</v>
      </c>
      <c r="D52" s="40">
        <v>0</v>
      </c>
      <c r="E52" s="40">
        <v>0</v>
      </c>
      <c r="F52" s="40">
        <v>0</v>
      </c>
      <c r="H52" s="84">
        <v>0</v>
      </c>
      <c r="I52" s="84">
        <v>0</v>
      </c>
      <c r="J52" s="84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30</v>
      </c>
      <c r="B53" s="39" t="s">
        <v>14</v>
      </c>
      <c r="D53" s="39">
        <v>0</v>
      </c>
      <c r="E53" s="39">
        <v>0</v>
      </c>
      <c r="F53" s="39">
        <v>0</v>
      </c>
      <c r="H53" s="83">
        <v>0</v>
      </c>
      <c r="I53" s="83">
        <v>0</v>
      </c>
      <c r="J53" s="83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31</v>
      </c>
      <c r="B54" s="40" t="s">
        <v>12</v>
      </c>
      <c r="D54" s="40">
        <v>0</v>
      </c>
      <c r="E54" s="40">
        <v>0</v>
      </c>
      <c r="F54" s="40">
        <v>0</v>
      </c>
      <c r="H54" s="84">
        <v>0</v>
      </c>
      <c r="I54" s="84">
        <v>0</v>
      </c>
      <c r="J54" s="84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31</v>
      </c>
      <c r="B55" s="39" t="s">
        <v>13</v>
      </c>
      <c r="D55" s="39">
        <v>0</v>
      </c>
      <c r="E55" s="39">
        <v>0</v>
      </c>
      <c r="F55" s="39">
        <v>0</v>
      </c>
      <c r="H55" s="83">
        <v>0</v>
      </c>
      <c r="I55" s="83">
        <v>0</v>
      </c>
      <c r="J55" s="83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31</v>
      </c>
      <c r="B56" s="40" t="s">
        <v>14</v>
      </c>
      <c r="D56" s="40">
        <v>0</v>
      </c>
      <c r="E56" s="40">
        <v>0</v>
      </c>
      <c r="F56" s="40">
        <v>0</v>
      </c>
      <c r="H56" s="84">
        <v>0</v>
      </c>
      <c r="I56" s="84">
        <v>0</v>
      </c>
      <c r="J56" s="84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32</v>
      </c>
      <c r="B57" s="39" t="s">
        <v>12</v>
      </c>
      <c r="D57" s="39">
        <v>0</v>
      </c>
      <c r="E57" s="39">
        <v>0</v>
      </c>
      <c r="F57" s="39">
        <v>0</v>
      </c>
      <c r="H57" s="83">
        <v>0</v>
      </c>
      <c r="I57" s="83">
        <v>0</v>
      </c>
      <c r="J57" s="83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32</v>
      </c>
      <c r="B58" s="40" t="s">
        <v>13</v>
      </c>
      <c r="D58" s="40">
        <v>0</v>
      </c>
      <c r="E58" s="40">
        <v>0</v>
      </c>
      <c r="F58" s="40">
        <v>0</v>
      </c>
      <c r="H58" s="84">
        <v>0</v>
      </c>
      <c r="I58" s="84">
        <v>0</v>
      </c>
      <c r="J58" s="84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32</v>
      </c>
      <c r="B59" s="39" t="s">
        <v>14</v>
      </c>
      <c r="D59" s="39">
        <v>0</v>
      </c>
      <c r="E59" s="39">
        <v>0</v>
      </c>
      <c r="F59" s="39">
        <v>0</v>
      </c>
      <c r="H59" s="83">
        <v>0</v>
      </c>
      <c r="I59" s="83">
        <v>0</v>
      </c>
      <c r="J59" s="83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33</v>
      </c>
      <c r="B60" s="40" t="s">
        <v>12</v>
      </c>
      <c r="D60" s="40">
        <v>0</v>
      </c>
      <c r="E60" s="40">
        <v>0</v>
      </c>
      <c r="F60" s="40">
        <v>0</v>
      </c>
      <c r="H60" s="84">
        <v>0</v>
      </c>
      <c r="I60" s="84">
        <v>0</v>
      </c>
      <c r="J60" s="84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33</v>
      </c>
      <c r="B61" s="39" t="s">
        <v>13</v>
      </c>
      <c r="D61" s="39">
        <v>0</v>
      </c>
      <c r="E61" s="39">
        <v>0</v>
      </c>
      <c r="F61" s="39">
        <v>0</v>
      </c>
      <c r="H61" s="83">
        <v>0</v>
      </c>
      <c r="I61" s="83">
        <v>0</v>
      </c>
      <c r="J61" s="83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33</v>
      </c>
      <c r="B62" s="40" t="s">
        <v>14</v>
      </c>
      <c r="D62" s="40">
        <v>1</v>
      </c>
      <c r="E62" s="40">
        <v>1</v>
      </c>
      <c r="F62" s="40">
        <v>1</v>
      </c>
      <c r="H62" s="84">
        <v>0</v>
      </c>
      <c r="I62" s="84">
        <v>0</v>
      </c>
      <c r="J62" s="84">
        <v>0</v>
      </c>
      <c r="L62" s="40">
        <v>0</v>
      </c>
      <c r="M62" s="40">
        <v>0</v>
      </c>
      <c r="N62" s="40">
        <v>0</v>
      </c>
      <c r="P62" s="40">
        <v>0</v>
      </c>
      <c r="Q62" s="40">
        <v>0</v>
      </c>
      <c r="R62" s="40">
        <v>0</v>
      </c>
    </row>
    <row r="63" spans="1:18" x14ac:dyDescent="0.2">
      <c r="A63" s="39" t="s">
        <v>34</v>
      </c>
      <c r="B63" s="39" t="s">
        <v>12</v>
      </c>
      <c r="D63" s="39">
        <v>0</v>
      </c>
      <c r="E63" s="39">
        <v>0</v>
      </c>
      <c r="F63" s="39">
        <v>0</v>
      </c>
      <c r="H63" s="83">
        <v>0</v>
      </c>
      <c r="I63" s="83">
        <v>0</v>
      </c>
      <c r="J63" s="83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34</v>
      </c>
      <c r="B64" s="40" t="s">
        <v>13</v>
      </c>
      <c r="D64" s="40">
        <v>0</v>
      </c>
      <c r="E64" s="40">
        <v>0</v>
      </c>
      <c r="F64" s="40">
        <v>0</v>
      </c>
      <c r="H64" s="84">
        <v>0</v>
      </c>
      <c r="I64" s="84">
        <v>0</v>
      </c>
      <c r="J64" s="84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34</v>
      </c>
      <c r="B65" s="39" t="s">
        <v>14</v>
      </c>
      <c r="D65" s="39">
        <v>9</v>
      </c>
      <c r="E65" s="39">
        <v>9</v>
      </c>
      <c r="F65" s="39">
        <v>8</v>
      </c>
      <c r="H65" s="83">
        <v>0</v>
      </c>
      <c r="I65" s="83">
        <v>0</v>
      </c>
      <c r="J65" s="83">
        <v>0</v>
      </c>
      <c r="L65" s="39">
        <v>0</v>
      </c>
      <c r="M65" s="39">
        <v>1</v>
      </c>
      <c r="N65" s="39">
        <v>2</v>
      </c>
      <c r="P65" s="39">
        <v>0</v>
      </c>
      <c r="Q65" s="39">
        <v>0</v>
      </c>
      <c r="R65" s="39">
        <v>0</v>
      </c>
    </row>
    <row r="66" spans="1:18" x14ac:dyDescent="0.2">
      <c r="A66" s="40" t="s">
        <v>35</v>
      </c>
      <c r="B66" s="40" t="s">
        <v>12</v>
      </c>
      <c r="D66" s="40">
        <v>0</v>
      </c>
      <c r="E66" s="40">
        <v>0</v>
      </c>
      <c r="F66" s="40">
        <v>0</v>
      </c>
      <c r="H66" s="84">
        <v>0</v>
      </c>
      <c r="I66" s="84">
        <v>0</v>
      </c>
      <c r="J66" s="84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35</v>
      </c>
      <c r="B67" s="39" t="s">
        <v>13</v>
      </c>
      <c r="D67" s="39">
        <v>0</v>
      </c>
      <c r="E67" s="39">
        <v>0</v>
      </c>
      <c r="F67" s="39">
        <v>0</v>
      </c>
      <c r="H67" s="83">
        <v>0</v>
      </c>
      <c r="I67" s="83">
        <v>0</v>
      </c>
      <c r="J67" s="83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35</v>
      </c>
      <c r="B68" s="40" t="s">
        <v>14</v>
      </c>
      <c r="D68" s="40">
        <v>0</v>
      </c>
      <c r="E68" s="40">
        <v>0</v>
      </c>
      <c r="F68" s="40">
        <v>0</v>
      </c>
      <c r="H68" s="84">
        <v>0</v>
      </c>
      <c r="I68" s="84">
        <v>0</v>
      </c>
      <c r="J68" s="84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36</v>
      </c>
      <c r="B69" s="39" t="s">
        <v>12</v>
      </c>
      <c r="D69" s="39">
        <v>0</v>
      </c>
      <c r="E69" s="39">
        <v>0</v>
      </c>
      <c r="F69" s="39">
        <v>0</v>
      </c>
      <c r="H69" s="83">
        <v>0</v>
      </c>
      <c r="I69" s="83">
        <v>0</v>
      </c>
      <c r="J69" s="83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40" t="s">
        <v>36</v>
      </c>
      <c r="B70" s="40" t="s">
        <v>13</v>
      </c>
      <c r="D70" s="40">
        <v>0</v>
      </c>
      <c r="E70" s="40">
        <v>0</v>
      </c>
      <c r="F70" s="40">
        <v>0</v>
      </c>
      <c r="H70" s="84">
        <v>0</v>
      </c>
      <c r="I70" s="84">
        <v>0</v>
      </c>
      <c r="J70" s="84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36</v>
      </c>
      <c r="B71" s="39" t="s">
        <v>14</v>
      </c>
      <c r="D71" s="39">
        <v>6</v>
      </c>
      <c r="E71" s="39">
        <v>6</v>
      </c>
      <c r="F71" s="39">
        <v>5</v>
      </c>
      <c r="H71" s="83">
        <v>0</v>
      </c>
      <c r="I71" s="83">
        <v>0</v>
      </c>
      <c r="J71" s="83">
        <v>0</v>
      </c>
      <c r="L71" s="39">
        <v>0</v>
      </c>
      <c r="M71" s="39">
        <v>0</v>
      </c>
      <c r="N71" s="39">
        <v>0</v>
      </c>
      <c r="P71" s="39">
        <v>0</v>
      </c>
      <c r="Q71" s="39">
        <v>0</v>
      </c>
      <c r="R71" s="39">
        <v>0</v>
      </c>
    </row>
    <row r="72" spans="1:18" x14ac:dyDescent="0.2">
      <c r="A72" s="40" t="s">
        <v>37</v>
      </c>
      <c r="B72" s="40" t="s">
        <v>12</v>
      </c>
      <c r="D72" s="40">
        <v>0</v>
      </c>
      <c r="E72" s="40">
        <v>0</v>
      </c>
      <c r="F72" s="40">
        <v>0</v>
      </c>
      <c r="H72" s="84">
        <v>0</v>
      </c>
      <c r="I72" s="84">
        <v>0</v>
      </c>
      <c r="J72" s="84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">
      <c r="A73" s="39" t="s">
        <v>37</v>
      </c>
      <c r="B73" s="39" t="s">
        <v>13</v>
      </c>
      <c r="D73" s="39">
        <v>0</v>
      </c>
      <c r="E73" s="39">
        <v>0</v>
      </c>
      <c r="F73" s="39">
        <v>0</v>
      </c>
      <c r="H73" s="83">
        <v>0</v>
      </c>
      <c r="I73" s="83">
        <v>0</v>
      </c>
      <c r="J73" s="83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37</v>
      </c>
      <c r="B74" s="40" t="s">
        <v>14</v>
      </c>
      <c r="D74" s="40">
        <v>44</v>
      </c>
      <c r="E74" s="40">
        <v>44</v>
      </c>
      <c r="F74" s="40">
        <v>48</v>
      </c>
      <c r="H74" s="84">
        <v>1</v>
      </c>
      <c r="I74" s="84">
        <v>1</v>
      </c>
      <c r="J74" s="84">
        <v>0</v>
      </c>
      <c r="L74" s="40">
        <v>7</v>
      </c>
      <c r="M74" s="40">
        <v>12</v>
      </c>
      <c r="N74" s="40">
        <v>9</v>
      </c>
      <c r="P74" s="40">
        <v>1</v>
      </c>
      <c r="Q74" s="40">
        <v>1</v>
      </c>
      <c r="R74" s="40">
        <v>1</v>
      </c>
    </row>
    <row r="75" spans="1:18" x14ac:dyDescent="0.2">
      <c r="A75" s="39" t="s">
        <v>38</v>
      </c>
      <c r="B75" s="39" t="s">
        <v>12</v>
      </c>
      <c r="D75" s="39">
        <v>0</v>
      </c>
      <c r="E75" s="39">
        <v>0</v>
      </c>
      <c r="F75" s="39">
        <v>0</v>
      </c>
      <c r="H75" s="83">
        <v>0</v>
      </c>
      <c r="I75" s="83">
        <v>0</v>
      </c>
      <c r="J75" s="83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38</v>
      </c>
      <c r="B76" s="40" t="s">
        <v>13</v>
      </c>
      <c r="D76" s="40">
        <v>0</v>
      </c>
      <c r="E76" s="40">
        <v>0</v>
      </c>
      <c r="F76" s="40">
        <v>0</v>
      </c>
      <c r="H76" s="84">
        <v>0</v>
      </c>
      <c r="I76" s="84">
        <v>0</v>
      </c>
      <c r="J76" s="84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38</v>
      </c>
      <c r="B77" s="39" t="s">
        <v>14</v>
      </c>
      <c r="D77" s="39">
        <v>0</v>
      </c>
      <c r="E77" s="39">
        <v>0</v>
      </c>
      <c r="F77" s="39">
        <v>0</v>
      </c>
      <c r="H77" s="83">
        <v>0</v>
      </c>
      <c r="I77" s="83">
        <v>0</v>
      </c>
      <c r="J77" s="83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39</v>
      </c>
      <c r="B78" s="40" t="s">
        <v>12</v>
      </c>
      <c r="D78" s="40">
        <v>0</v>
      </c>
      <c r="E78" s="40">
        <v>0</v>
      </c>
      <c r="F78" s="40">
        <v>0</v>
      </c>
      <c r="H78" s="84">
        <v>0</v>
      </c>
      <c r="I78" s="84">
        <v>0</v>
      </c>
      <c r="J78" s="84">
        <v>0</v>
      </c>
      <c r="L78" s="40">
        <v>0</v>
      </c>
      <c r="M78" s="40">
        <v>0</v>
      </c>
      <c r="N78" s="40">
        <v>0</v>
      </c>
      <c r="P78" s="40">
        <v>0</v>
      </c>
      <c r="Q78" s="40">
        <v>0</v>
      </c>
      <c r="R78" s="40">
        <v>0</v>
      </c>
    </row>
    <row r="79" spans="1:18" x14ac:dyDescent="0.2">
      <c r="A79" s="39" t="s">
        <v>39</v>
      </c>
      <c r="B79" s="39" t="s">
        <v>13</v>
      </c>
      <c r="D79" s="39">
        <v>0</v>
      </c>
      <c r="E79" s="39">
        <v>0</v>
      </c>
      <c r="F79" s="39">
        <v>0</v>
      </c>
      <c r="H79" s="83">
        <v>0</v>
      </c>
      <c r="I79" s="83">
        <v>0</v>
      </c>
      <c r="J79" s="83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39</v>
      </c>
      <c r="B80" s="40" t="s">
        <v>14</v>
      </c>
      <c r="D80" s="40">
        <v>15</v>
      </c>
      <c r="E80" s="40">
        <v>19</v>
      </c>
      <c r="F80" s="40">
        <v>19</v>
      </c>
      <c r="H80" s="84">
        <v>0</v>
      </c>
      <c r="I80" s="84">
        <v>0</v>
      </c>
      <c r="J80" s="84">
        <v>0</v>
      </c>
      <c r="L80" s="40">
        <v>7</v>
      </c>
      <c r="M80" s="40">
        <v>4</v>
      </c>
      <c r="N80" s="40">
        <v>3</v>
      </c>
      <c r="P80" s="40">
        <v>1</v>
      </c>
      <c r="Q80" s="40">
        <v>0</v>
      </c>
      <c r="R80" s="40">
        <v>0</v>
      </c>
    </row>
    <row r="81" spans="1:18" x14ac:dyDescent="0.2">
      <c r="A81" s="39" t="s">
        <v>40</v>
      </c>
      <c r="B81" s="39" t="s">
        <v>12</v>
      </c>
      <c r="D81" s="39">
        <v>0</v>
      </c>
      <c r="E81" s="39">
        <v>1</v>
      </c>
      <c r="F81" s="39">
        <v>2</v>
      </c>
      <c r="H81" s="83">
        <v>0</v>
      </c>
      <c r="I81" s="83">
        <v>0</v>
      </c>
      <c r="J81" s="83">
        <v>0</v>
      </c>
      <c r="L81" s="39">
        <v>1</v>
      </c>
      <c r="M81" s="39">
        <v>1</v>
      </c>
      <c r="N81" s="39">
        <v>1</v>
      </c>
      <c r="P81" s="39">
        <v>0</v>
      </c>
      <c r="Q81" s="39">
        <v>0</v>
      </c>
      <c r="R81" s="39">
        <v>0</v>
      </c>
    </row>
    <row r="82" spans="1:18" x14ac:dyDescent="0.2">
      <c r="A82" s="40" t="s">
        <v>40</v>
      </c>
      <c r="B82" s="40" t="s">
        <v>13</v>
      </c>
      <c r="D82" s="40">
        <v>0</v>
      </c>
      <c r="E82" s="40">
        <v>0</v>
      </c>
      <c r="F82" s="40">
        <v>0</v>
      </c>
      <c r="H82" s="84">
        <v>0</v>
      </c>
      <c r="I82" s="84">
        <v>0</v>
      </c>
      <c r="J82" s="84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40</v>
      </c>
      <c r="B83" s="39" t="s">
        <v>14</v>
      </c>
      <c r="D83" s="39">
        <v>78</v>
      </c>
      <c r="E83" s="39">
        <v>76</v>
      </c>
      <c r="F83" s="39">
        <v>84</v>
      </c>
      <c r="H83" s="83">
        <v>0</v>
      </c>
      <c r="I83" s="83">
        <v>0</v>
      </c>
      <c r="J83" s="83">
        <v>0</v>
      </c>
      <c r="L83" s="39">
        <v>17</v>
      </c>
      <c r="M83" s="39">
        <v>18</v>
      </c>
      <c r="N83" s="39">
        <v>13</v>
      </c>
      <c r="P83" s="39">
        <v>0</v>
      </c>
      <c r="Q83" s="39">
        <v>0</v>
      </c>
      <c r="R83" s="39">
        <v>3</v>
      </c>
    </row>
    <row r="84" spans="1:18" x14ac:dyDescent="0.2">
      <c r="A84" s="40" t="s">
        <v>41</v>
      </c>
      <c r="B84" s="40" t="s">
        <v>12</v>
      </c>
      <c r="D84" s="40">
        <v>0</v>
      </c>
      <c r="E84" s="40">
        <v>0</v>
      </c>
      <c r="F84" s="40">
        <v>0</v>
      </c>
      <c r="H84" s="84">
        <v>0</v>
      </c>
      <c r="I84" s="84">
        <v>0</v>
      </c>
      <c r="J84" s="84">
        <v>0</v>
      </c>
      <c r="L84" s="40">
        <v>0</v>
      </c>
      <c r="M84" s="40">
        <v>0</v>
      </c>
      <c r="N84" s="40">
        <v>0</v>
      </c>
      <c r="P84" s="40">
        <v>0</v>
      </c>
      <c r="Q84" s="40">
        <v>0</v>
      </c>
      <c r="R84" s="40">
        <v>0</v>
      </c>
    </row>
    <row r="85" spans="1:18" x14ac:dyDescent="0.2">
      <c r="A85" s="39" t="s">
        <v>41</v>
      </c>
      <c r="B85" s="39" t="s">
        <v>13</v>
      </c>
      <c r="D85" s="39">
        <v>0</v>
      </c>
      <c r="E85" s="39">
        <v>0</v>
      </c>
      <c r="F85" s="39">
        <v>0</v>
      </c>
      <c r="H85" s="83">
        <v>0</v>
      </c>
      <c r="I85" s="83">
        <v>0</v>
      </c>
      <c r="J85" s="83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41</v>
      </c>
      <c r="B86" s="40" t="s">
        <v>14</v>
      </c>
      <c r="D86" s="40">
        <v>80</v>
      </c>
      <c r="E86" s="40">
        <v>83</v>
      </c>
      <c r="F86" s="40">
        <v>84</v>
      </c>
      <c r="H86" s="84">
        <v>1</v>
      </c>
      <c r="I86" s="84">
        <v>1</v>
      </c>
      <c r="J86" s="84">
        <v>1</v>
      </c>
      <c r="L86" s="40">
        <v>13</v>
      </c>
      <c r="M86" s="40">
        <v>8</v>
      </c>
      <c r="N86" s="40">
        <v>24</v>
      </c>
      <c r="P86" s="40">
        <v>2</v>
      </c>
      <c r="Q86" s="40">
        <v>0</v>
      </c>
      <c r="R86" s="40">
        <v>3</v>
      </c>
    </row>
    <row r="87" spans="1:18" x14ac:dyDescent="0.2">
      <c r="A87" s="39" t="s">
        <v>42</v>
      </c>
      <c r="B87" s="39" t="s">
        <v>12</v>
      </c>
      <c r="D87" s="39">
        <v>0</v>
      </c>
      <c r="E87" s="39">
        <v>0</v>
      </c>
      <c r="F87" s="39">
        <v>0</v>
      </c>
      <c r="H87" s="83">
        <v>0</v>
      </c>
      <c r="I87" s="83">
        <v>0</v>
      </c>
      <c r="J87" s="83">
        <v>0</v>
      </c>
      <c r="L87" s="39">
        <v>0</v>
      </c>
      <c r="M87" s="39">
        <v>0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40" t="s">
        <v>42</v>
      </c>
      <c r="B88" s="40" t="s">
        <v>13</v>
      </c>
      <c r="D88" s="40">
        <v>0</v>
      </c>
      <c r="E88" s="40">
        <v>0</v>
      </c>
      <c r="F88" s="40">
        <v>0</v>
      </c>
      <c r="H88" s="84">
        <v>0</v>
      </c>
      <c r="I88" s="84">
        <v>0</v>
      </c>
      <c r="J88" s="84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42</v>
      </c>
      <c r="B89" s="39" t="s">
        <v>14</v>
      </c>
      <c r="D89" s="39">
        <v>23</v>
      </c>
      <c r="E89" s="39">
        <v>21</v>
      </c>
      <c r="F89" s="39">
        <v>21</v>
      </c>
      <c r="H89" s="83">
        <v>0</v>
      </c>
      <c r="I89" s="83">
        <v>0</v>
      </c>
      <c r="J89" s="83">
        <v>0</v>
      </c>
      <c r="L89" s="39">
        <v>2</v>
      </c>
      <c r="M89" s="39">
        <v>3</v>
      </c>
      <c r="N89" s="39">
        <v>5</v>
      </c>
      <c r="P89" s="39">
        <v>0</v>
      </c>
      <c r="Q89" s="39">
        <v>0</v>
      </c>
      <c r="R89" s="39">
        <v>1</v>
      </c>
    </row>
    <row r="90" spans="1:18" x14ac:dyDescent="0.2">
      <c r="A90" s="40" t="s">
        <v>43</v>
      </c>
      <c r="B90" s="40" t="s">
        <v>12</v>
      </c>
      <c r="D90" s="40">
        <v>0</v>
      </c>
      <c r="E90" s="40">
        <v>0</v>
      </c>
      <c r="F90" s="40">
        <v>1</v>
      </c>
      <c r="H90" s="84">
        <v>0</v>
      </c>
      <c r="I90" s="84">
        <v>0</v>
      </c>
      <c r="J90" s="84">
        <v>0</v>
      </c>
      <c r="L90" s="40">
        <v>0</v>
      </c>
      <c r="M90" s="40">
        <v>0</v>
      </c>
      <c r="N90" s="40">
        <v>1</v>
      </c>
      <c r="P90" s="40">
        <v>0</v>
      </c>
      <c r="Q90" s="40">
        <v>0</v>
      </c>
      <c r="R90" s="40">
        <v>0</v>
      </c>
    </row>
    <row r="91" spans="1:18" x14ac:dyDescent="0.2">
      <c r="A91" s="39" t="s">
        <v>43</v>
      </c>
      <c r="B91" s="39" t="s">
        <v>13</v>
      </c>
      <c r="D91" s="39">
        <v>0</v>
      </c>
      <c r="E91" s="39">
        <v>0</v>
      </c>
      <c r="F91" s="39">
        <v>0</v>
      </c>
      <c r="H91" s="83">
        <v>0</v>
      </c>
      <c r="I91" s="83">
        <v>0</v>
      </c>
      <c r="J91" s="83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43</v>
      </c>
      <c r="B92" s="40" t="s">
        <v>14</v>
      </c>
      <c r="D92" s="40">
        <v>55</v>
      </c>
      <c r="E92" s="40">
        <v>56</v>
      </c>
      <c r="F92" s="40">
        <v>49</v>
      </c>
      <c r="H92" s="84">
        <v>0</v>
      </c>
      <c r="I92" s="84">
        <v>0</v>
      </c>
      <c r="J92" s="84">
        <v>1</v>
      </c>
      <c r="L92" s="40">
        <v>12</v>
      </c>
      <c r="M92" s="40">
        <v>5</v>
      </c>
      <c r="N92" s="40">
        <v>7</v>
      </c>
      <c r="P92" s="40">
        <v>1</v>
      </c>
      <c r="Q92" s="40">
        <v>1</v>
      </c>
      <c r="R92" s="40">
        <v>2</v>
      </c>
    </row>
    <row r="93" spans="1:18" x14ac:dyDescent="0.2">
      <c r="A93" s="39" t="s">
        <v>44</v>
      </c>
      <c r="B93" s="39" t="s">
        <v>12</v>
      </c>
      <c r="D93" s="39">
        <v>0</v>
      </c>
      <c r="E93" s="39">
        <v>0</v>
      </c>
      <c r="F93" s="39">
        <v>0</v>
      </c>
      <c r="H93" s="83">
        <v>0</v>
      </c>
      <c r="I93" s="83">
        <v>0</v>
      </c>
      <c r="J93" s="83">
        <v>0</v>
      </c>
      <c r="L93" s="39">
        <v>0</v>
      </c>
      <c r="M93" s="39">
        <v>0</v>
      </c>
      <c r="N93" s="39">
        <v>0</v>
      </c>
      <c r="P93" s="39">
        <v>0</v>
      </c>
      <c r="Q93" s="39">
        <v>0</v>
      </c>
      <c r="R93" s="39">
        <v>0</v>
      </c>
    </row>
    <row r="94" spans="1:18" x14ac:dyDescent="0.2">
      <c r="A94" s="40" t="s">
        <v>44</v>
      </c>
      <c r="B94" s="40" t="s">
        <v>13</v>
      </c>
      <c r="D94" s="40">
        <v>0</v>
      </c>
      <c r="E94" s="40">
        <v>0</v>
      </c>
      <c r="F94" s="40">
        <v>0</v>
      </c>
      <c r="H94" s="84">
        <v>0</v>
      </c>
      <c r="I94" s="84">
        <v>0</v>
      </c>
      <c r="J94" s="84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44</v>
      </c>
      <c r="B95" s="39" t="s">
        <v>14</v>
      </c>
      <c r="D95" s="39">
        <v>46</v>
      </c>
      <c r="E95" s="39">
        <v>48</v>
      </c>
      <c r="F95" s="39">
        <v>49</v>
      </c>
      <c r="H95" s="83">
        <v>1</v>
      </c>
      <c r="I95" s="83">
        <v>1</v>
      </c>
      <c r="J95" s="83">
        <v>0</v>
      </c>
      <c r="L95" s="39">
        <v>11</v>
      </c>
      <c r="M95" s="39">
        <v>11</v>
      </c>
      <c r="N95" s="39">
        <v>10</v>
      </c>
      <c r="P95" s="39">
        <v>4</v>
      </c>
      <c r="Q95" s="39">
        <v>0</v>
      </c>
      <c r="R95" s="39">
        <v>2</v>
      </c>
    </row>
    <row r="96" spans="1:18" x14ac:dyDescent="0.2">
      <c r="A96" s="40" t="s">
        <v>45</v>
      </c>
      <c r="B96" s="40" t="s">
        <v>12</v>
      </c>
      <c r="D96" s="40">
        <v>0</v>
      </c>
      <c r="E96" s="40">
        <v>0</v>
      </c>
      <c r="F96" s="40">
        <v>0</v>
      </c>
      <c r="H96" s="84">
        <v>0</v>
      </c>
      <c r="I96" s="84">
        <v>0</v>
      </c>
      <c r="J96" s="84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45</v>
      </c>
      <c r="B97" s="39" t="s">
        <v>13</v>
      </c>
      <c r="D97" s="39">
        <v>0</v>
      </c>
      <c r="E97" s="39">
        <v>0</v>
      </c>
      <c r="F97" s="39">
        <v>0</v>
      </c>
      <c r="H97" s="83">
        <v>0</v>
      </c>
      <c r="I97" s="83">
        <v>0</v>
      </c>
      <c r="J97" s="83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45</v>
      </c>
      <c r="B98" s="40" t="s">
        <v>14</v>
      </c>
      <c r="D98" s="40">
        <v>0</v>
      </c>
      <c r="E98" s="40">
        <v>0</v>
      </c>
      <c r="F98" s="40">
        <v>0</v>
      </c>
      <c r="H98" s="84">
        <v>0</v>
      </c>
      <c r="I98" s="84">
        <v>0</v>
      </c>
      <c r="J98" s="84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46</v>
      </c>
      <c r="B99" s="39" t="s">
        <v>12</v>
      </c>
      <c r="D99" s="39">
        <v>0</v>
      </c>
      <c r="E99" s="39">
        <v>0</v>
      </c>
      <c r="F99" s="39">
        <v>0</v>
      </c>
      <c r="H99" s="83">
        <v>0</v>
      </c>
      <c r="I99" s="83">
        <v>0</v>
      </c>
      <c r="J99" s="83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46</v>
      </c>
      <c r="B100" s="40" t="s">
        <v>13</v>
      </c>
      <c r="D100" s="40">
        <v>0</v>
      </c>
      <c r="E100" s="40">
        <v>0</v>
      </c>
      <c r="F100" s="40">
        <v>0</v>
      </c>
      <c r="H100" s="84">
        <v>0</v>
      </c>
      <c r="I100" s="84">
        <v>0</v>
      </c>
      <c r="J100" s="84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46</v>
      </c>
      <c r="B101" s="39" t="s">
        <v>14</v>
      </c>
      <c r="D101" s="39">
        <v>0</v>
      </c>
      <c r="E101" s="39">
        <v>0</v>
      </c>
      <c r="F101" s="39">
        <v>0</v>
      </c>
      <c r="H101" s="83">
        <v>0</v>
      </c>
      <c r="I101" s="83">
        <v>0</v>
      </c>
      <c r="J101" s="83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47</v>
      </c>
      <c r="B102" s="40" t="s">
        <v>12</v>
      </c>
      <c r="D102" s="40">
        <v>0</v>
      </c>
      <c r="E102" s="40">
        <v>0</v>
      </c>
      <c r="F102" s="40">
        <v>0</v>
      </c>
      <c r="H102" s="84">
        <v>0</v>
      </c>
      <c r="I102" s="84">
        <v>0</v>
      </c>
      <c r="J102" s="84">
        <v>0</v>
      </c>
      <c r="L102" s="40">
        <v>0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">
      <c r="A103" s="39" t="s">
        <v>47</v>
      </c>
      <c r="B103" s="39" t="s">
        <v>13</v>
      </c>
      <c r="D103" s="39">
        <v>0</v>
      </c>
      <c r="E103" s="39">
        <v>0</v>
      </c>
      <c r="F103" s="39">
        <v>0</v>
      </c>
      <c r="H103" s="83">
        <v>0</v>
      </c>
      <c r="I103" s="83">
        <v>0</v>
      </c>
      <c r="J103" s="83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47</v>
      </c>
      <c r="B104" s="40" t="s">
        <v>14</v>
      </c>
      <c r="D104" s="40">
        <v>33</v>
      </c>
      <c r="E104" s="40">
        <v>42</v>
      </c>
      <c r="F104" s="40">
        <v>41</v>
      </c>
      <c r="H104" s="84">
        <v>1</v>
      </c>
      <c r="I104" s="84">
        <v>2</v>
      </c>
      <c r="J104" s="84">
        <v>0</v>
      </c>
      <c r="L104" s="40">
        <v>4</v>
      </c>
      <c r="M104" s="40">
        <v>14</v>
      </c>
      <c r="N104" s="40">
        <v>7</v>
      </c>
      <c r="P104" s="40">
        <v>0</v>
      </c>
      <c r="Q104" s="40">
        <v>2</v>
      </c>
      <c r="R104" s="40">
        <v>1</v>
      </c>
    </row>
    <row r="105" spans="1:18" x14ac:dyDescent="0.2">
      <c r="A105" s="39" t="s">
        <v>48</v>
      </c>
      <c r="B105" s="39" t="s">
        <v>12</v>
      </c>
      <c r="D105" s="39">
        <v>0</v>
      </c>
      <c r="E105" s="39">
        <v>0</v>
      </c>
      <c r="F105" s="39">
        <v>0</v>
      </c>
      <c r="H105" s="83">
        <v>0</v>
      </c>
      <c r="I105" s="83">
        <v>0</v>
      </c>
      <c r="J105" s="83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">
      <c r="A106" s="40" t="s">
        <v>48</v>
      </c>
      <c r="B106" s="40" t="s">
        <v>13</v>
      </c>
      <c r="D106" s="40">
        <v>0</v>
      </c>
      <c r="E106" s="40">
        <v>0</v>
      </c>
      <c r="F106" s="40">
        <v>0</v>
      </c>
      <c r="H106" s="84">
        <v>0</v>
      </c>
      <c r="I106" s="84">
        <v>0</v>
      </c>
      <c r="J106" s="84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48</v>
      </c>
      <c r="B107" s="39" t="s">
        <v>14</v>
      </c>
      <c r="D107" s="39">
        <v>4</v>
      </c>
      <c r="E107" s="39">
        <v>5</v>
      </c>
      <c r="F107" s="39">
        <v>6</v>
      </c>
      <c r="H107" s="83">
        <v>0</v>
      </c>
      <c r="I107" s="83">
        <v>0</v>
      </c>
      <c r="J107" s="83">
        <v>1</v>
      </c>
      <c r="L107" s="39">
        <v>0</v>
      </c>
      <c r="M107" s="39">
        <v>2</v>
      </c>
      <c r="N107" s="39">
        <v>3</v>
      </c>
      <c r="P107" s="39">
        <v>0</v>
      </c>
      <c r="Q107" s="39">
        <v>1</v>
      </c>
      <c r="R107" s="39">
        <v>1</v>
      </c>
    </row>
    <row r="108" spans="1:18" x14ac:dyDescent="0.2">
      <c r="A108" s="40" t="s">
        <v>49</v>
      </c>
      <c r="B108" s="40" t="s">
        <v>12</v>
      </c>
      <c r="D108" s="40">
        <v>0</v>
      </c>
      <c r="E108" s="40">
        <v>0</v>
      </c>
      <c r="F108" s="40">
        <v>0</v>
      </c>
      <c r="H108" s="84">
        <v>0</v>
      </c>
      <c r="I108" s="84">
        <v>0</v>
      </c>
      <c r="J108" s="84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49</v>
      </c>
      <c r="B109" s="39" t="s">
        <v>13</v>
      </c>
      <c r="D109" s="39">
        <v>0</v>
      </c>
      <c r="E109" s="39">
        <v>0</v>
      </c>
      <c r="F109" s="39">
        <v>0</v>
      </c>
      <c r="H109" s="83">
        <v>0</v>
      </c>
      <c r="I109" s="83">
        <v>0</v>
      </c>
      <c r="J109" s="83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49</v>
      </c>
      <c r="B110" s="40" t="s">
        <v>14</v>
      </c>
      <c r="D110" s="40">
        <v>0</v>
      </c>
      <c r="E110" s="40">
        <v>0</v>
      </c>
      <c r="F110" s="40">
        <v>0</v>
      </c>
      <c r="H110" s="84">
        <v>0</v>
      </c>
      <c r="I110" s="84">
        <v>0</v>
      </c>
      <c r="J110" s="84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50</v>
      </c>
      <c r="B111" s="39" t="s">
        <v>12</v>
      </c>
      <c r="D111" s="39">
        <v>0</v>
      </c>
      <c r="E111" s="39">
        <v>0</v>
      </c>
      <c r="F111" s="39">
        <v>0</v>
      </c>
      <c r="H111" s="83">
        <v>0</v>
      </c>
      <c r="I111" s="83">
        <v>0</v>
      </c>
      <c r="J111" s="83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50</v>
      </c>
      <c r="B112" s="40" t="s">
        <v>13</v>
      </c>
      <c r="D112" s="40">
        <v>0</v>
      </c>
      <c r="E112" s="40">
        <v>0</v>
      </c>
      <c r="F112" s="40">
        <v>0</v>
      </c>
      <c r="H112" s="84">
        <v>0</v>
      </c>
      <c r="I112" s="84">
        <v>0</v>
      </c>
      <c r="J112" s="84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50</v>
      </c>
      <c r="B113" s="39" t="s">
        <v>14</v>
      </c>
      <c r="D113" s="39">
        <v>0</v>
      </c>
      <c r="E113" s="39">
        <v>0</v>
      </c>
      <c r="F113" s="39">
        <v>0</v>
      </c>
      <c r="H113" s="83">
        <v>0</v>
      </c>
      <c r="I113" s="83">
        <v>0</v>
      </c>
      <c r="J113" s="83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51</v>
      </c>
      <c r="B114" s="40" t="s">
        <v>12</v>
      </c>
      <c r="D114" s="40">
        <v>0</v>
      </c>
      <c r="E114" s="40">
        <v>0</v>
      </c>
      <c r="F114" s="40">
        <v>1</v>
      </c>
      <c r="H114" s="84">
        <v>0</v>
      </c>
      <c r="I114" s="84">
        <v>0</v>
      </c>
      <c r="J114" s="84">
        <v>0</v>
      </c>
      <c r="L114" s="40">
        <v>0</v>
      </c>
      <c r="M114" s="40">
        <v>1</v>
      </c>
      <c r="N114" s="40">
        <v>0</v>
      </c>
      <c r="P114" s="40">
        <v>0</v>
      </c>
      <c r="Q114" s="40">
        <v>0</v>
      </c>
      <c r="R114" s="40">
        <v>0</v>
      </c>
    </row>
    <row r="115" spans="1:18" x14ac:dyDescent="0.2">
      <c r="A115" s="39" t="s">
        <v>51</v>
      </c>
      <c r="B115" s="39" t="s">
        <v>13</v>
      </c>
      <c r="D115" s="39">
        <v>0</v>
      </c>
      <c r="E115" s="39">
        <v>0</v>
      </c>
      <c r="F115" s="39">
        <v>0</v>
      </c>
      <c r="H115" s="83">
        <v>0</v>
      </c>
      <c r="I115" s="83">
        <v>0</v>
      </c>
      <c r="J115" s="83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51</v>
      </c>
      <c r="B116" s="40" t="s">
        <v>14</v>
      </c>
      <c r="D116" s="40">
        <v>145</v>
      </c>
      <c r="E116" s="40">
        <v>154</v>
      </c>
      <c r="F116" s="40">
        <v>143</v>
      </c>
      <c r="H116" s="84">
        <v>2</v>
      </c>
      <c r="I116" s="84">
        <v>2</v>
      </c>
      <c r="J116" s="84">
        <v>2</v>
      </c>
      <c r="L116" s="40">
        <v>17</v>
      </c>
      <c r="M116" s="40">
        <v>27</v>
      </c>
      <c r="N116" s="40">
        <v>38</v>
      </c>
      <c r="P116" s="40">
        <v>4</v>
      </c>
      <c r="Q116" s="40">
        <v>4</v>
      </c>
      <c r="R116" s="40">
        <v>0</v>
      </c>
    </row>
    <row r="117" spans="1:18" x14ac:dyDescent="0.2">
      <c r="A117" s="39" t="s">
        <v>52</v>
      </c>
      <c r="B117" s="39" t="s">
        <v>12</v>
      </c>
      <c r="D117" s="39">
        <v>0</v>
      </c>
      <c r="E117" s="39">
        <v>0</v>
      </c>
      <c r="F117" s="39">
        <v>0</v>
      </c>
      <c r="H117" s="83">
        <v>0</v>
      </c>
      <c r="I117" s="83">
        <v>0</v>
      </c>
      <c r="J117" s="83">
        <v>0</v>
      </c>
      <c r="L117" s="39">
        <v>0</v>
      </c>
      <c r="M117" s="39">
        <v>0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">
      <c r="A118" s="40" t="s">
        <v>52</v>
      </c>
      <c r="B118" s="40" t="s">
        <v>13</v>
      </c>
      <c r="D118" s="40">
        <v>0</v>
      </c>
      <c r="E118" s="40">
        <v>0</v>
      </c>
      <c r="F118" s="40">
        <v>0</v>
      </c>
      <c r="H118" s="84">
        <v>0</v>
      </c>
      <c r="I118" s="84">
        <v>0</v>
      </c>
      <c r="J118" s="84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52</v>
      </c>
      <c r="B119" s="39" t="s">
        <v>14</v>
      </c>
      <c r="D119" s="39">
        <v>32</v>
      </c>
      <c r="E119" s="39">
        <v>36</v>
      </c>
      <c r="F119" s="39">
        <v>39</v>
      </c>
      <c r="H119" s="83">
        <v>1</v>
      </c>
      <c r="I119" s="83">
        <v>1</v>
      </c>
      <c r="J119" s="83">
        <v>0</v>
      </c>
      <c r="L119" s="39">
        <v>6</v>
      </c>
      <c r="M119" s="39">
        <v>9</v>
      </c>
      <c r="N119" s="39">
        <v>17</v>
      </c>
      <c r="P119" s="39">
        <v>0</v>
      </c>
      <c r="Q119" s="39">
        <v>2</v>
      </c>
      <c r="R119" s="39">
        <v>1</v>
      </c>
    </row>
    <row r="120" spans="1:18" x14ac:dyDescent="0.2">
      <c r="A120" s="40" t="s">
        <v>53</v>
      </c>
      <c r="B120" s="40" t="s">
        <v>12</v>
      </c>
      <c r="D120" s="40">
        <v>0</v>
      </c>
      <c r="E120" s="40">
        <v>0</v>
      </c>
      <c r="F120" s="40">
        <v>0</v>
      </c>
      <c r="H120" s="84">
        <v>0</v>
      </c>
      <c r="I120" s="84">
        <v>0</v>
      </c>
      <c r="J120" s="84">
        <v>0</v>
      </c>
      <c r="L120" s="40">
        <v>0</v>
      </c>
      <c r="M120" s="40">
        <v>0</v>
      </c>
      <c r="N120" s="40">
        <v>0</v>
      </c>
      <c r="P120" s="40">
        <v>0</v>
      </c>
      <c r="Q120" s="40">
        <v>0</v>
      </c>
      <c r="R120" s="40">
        <v>0</v>
      </c>
    </row>
    <row r="121" spans="1:18" x14ac:dyDescent="0.2">
      <c r="A121" s="39" t="s">
        <v>53</v>
      </c>
      <c r="B121" s="39" t="s">
        <v>13</v>
      </c>
      <c r="D121" s="39">
        <v>0</v>
      </c>
      <c r="E121" s="39">
        <v>0</v>
      </c>
      <c r="F121" s="39">
        <v>0</v>
      </c>
      <c r="H121" s="83">
        <v>0</v>
      </c>
      <c r="I121" s="83">
        <v>0</v>
      </c>
      <c r="J121" s="83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53</v>
      </c>
      <c r="B122" s="40" t="s">
        <v>14</v>
      </c>
      <c r="D122" s="40">
        <v>70</v>
      </c>
      <c r="E122" s="40">
        <v>71</v>
      </c>
      <c r="F122" s="40">
        <v>73</v>
      </c>
      <c r="H122" s="84">
        <v>1</v>
      </c>
      <c r="I122" s="84">
        <v>2</v>
      </c>
      <c r="J122" s="84">
        <v>0</v>
      </c>
      <c r="L122" s="40">
        <v>13</v>
      </c>
      <c r="M122" s="40">
        <v>16</v>
      </c>
      <c r="N122" s="40">
        <v>13</v>
      </c>
      <c r="P122" s="40">
        <v>0</v>
      </c>
      <c r="Q122" s="40">
        <v>0</v>
      </c>
      <c r="R122" s="40">
        <v>2</v>
      </c>
    </row>
    <row r="123" spans="1:18" x14ac:dyDescent="0.2">
      <c r="A123" s="39" t="s">
        <v>54</v>
      </c>
      <c r="B123" s="39" t="s">
        <v>12</v>
      </c>
      <c r="D123" s="39">
        <v>0</v>
      </c>
      <c r="E123" s="39">
        <v>0</v>
      </c>
      <c r="F123" s="39">
        <v>0</v>
      </c>
      <c r="H123" s="83">
        <v>0</v>
      </c>
      <c r="I123" s="83">
        <v>0</v>
      </c>
      <c r="J123" s="83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40" t="s">
        <v>54</v>
      </c>
      <c r="B124" s="40" t="s">
        <v>13</v>
      </c>
      <c r="D124" s="40">
        <v>0</v>
      </c>
      <c r="E124" s="40">
        <v>0</v>
      </c>
      <c r="F124" s="40">
        <v>0</v>
      </c>
      <c r="H124" s="84">
        <v>0</v>
      </c>
      <c r="I124" s="84">
        <v>0</v>
      </c>
      <c r="J124" s="84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54</v>
      </c>
      <c r="B125" s="39" t="s">
        <v>14</v>
      </c>
      <c r="D125" s="39">
        <v>50</v>
      </c>
      <c r="E125" s="39">
        <v>50</v>
      </c>
      <c r="F125" s="39">
        <v>52</v>
      </c>
      <c r="H125" s="83">
        <v>0</v>
      </c>
      <c r="I125" s="83">
        <v>0</v>
      </c>
      <c r="J125" s="83">
        <v>0</v>
      </c>
      <c r="L125" s="39">
        <v>8</v>
      </c>
      <c r="M125" s="39">
        <v>11</v>
      </c>
      <c r="N125" s="39">
        <v>18</v>
      </c>
      <c r="P125" s="39">
        <v>2</v>
      </c>
      <c r="Q125" s="39">
        <v>1</v>
      </c>
      <c r="R125" s="39">
        <v>1</v>
      </c>
    </row>
    <row r="126" spans="1:18" x14ac:dyDescent="0.2">
      <c r="A126" s="40" t="s">
        <v>55</v>
      </c>
      <c r="B126" s="40" t="s">
        <v>12</v>
      </c>
      <c r="D126" s="40">
        <v>1</v>
      </c>
      <c r="E126" s="40">
        <v>1</v>
      </c>
      <c r="F126" s="40">
        <v>0</v>
      </c>
      <c r="H126" s="84">
        <v>0</v>
      </c>
      <c r="I126" s="84">
        <v>0</v>
      </c>
      <c r="J126" s="84">
        <v>0</v>
      </c>
      <c r="L126" s="40">
        <v>0</v>
      </c>
      <c r="M126" s="40">
        <v>0</v>
      </c>
      <c r="N126" s="40">
        <v>0</v>
      </c>
      <c r="P126" s="40">
        <v>0</v>
      </c>
      <c r="Q126" s="40">
        <v>0</v>
      </c>
      <c r="R126" s="40">
        <v>0</v>
      </c>
    </row>
    <row r="127" spans="1:18" x14ac:dyDescent="0.2">
      <c r="A127" s="39" t="s">
        <v>55</v>
      </c>
      <c r="B127" s="39" t="s">
        <v>13</v>
      </c>
      <c r="D127" s="39">
        <v>0</v>
      </c>
      <c r="E127" s="39">
        <v>0</v>
      </c>
      <c r="F127" s="39">
        <v>0</v>
      </c>
      <c r="H127" s="83">
        <v>0</v>
      </c>
      <c r="I127" s="83">
        <v>0</v>
      </c>
      <c r="J127" s="83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55</v>
      </c>
      <c r="B128" s="40" t="s">
        <v>14</v>
      </c>
      <c r="D128" s="40">
        <v>30</v>
      </c>
      <c r="E128" s="40">
        <v>31</v>
      </c>
      <c r="F128" s="40">
        <v>30</v>
      </c>
      <c r="H128" s="84">
        <v>0</v>
      </c>
      <c r="I128" s="84">
        <v>0</v>
      </c>
      <c r="J128" s="84">
        <v>0</v>
      </c>
      <c r="L128" s="40">
        <v>4</v>
      </c>
      <c r="M128" s="40">
        <v>4</v>
      </c>
      <c r="N128" s="40">
        <v>8</v>
      </c>
      <c r="P128" s="40">
        <v>0</v>
      </c>
      <c r="Q128" s="40">
        <v>1</v>
      </c>
      <c r="R128" s="40">
        <v>1</v>
      </c>
    </row>
    <row r="129" spans="1:18" x14ac:dyDescent="0.2">
      <c r="A129" s="39" t="s">
        <v>56</v>
      </c>
      <c r="B129" s="39" t="s">
        <v>12</v>
      </c>
      <c r="D129" s="39">
        <v>0</v>
      </c>
      <c r="E129" s="39">
        <v>0</v>
      </c>
      <c r="F129" s="39">
        <v>0</v>
      </c>
      <c r="H129" s="83">
        <v>0</v>
      </c>
      <c r="I129" s="83">
        <v>0</v>
      </c>
      <c r="J129" s="83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56</v>
      </c>
      <c r="B130" s="40" t="s">
        <v>13</v>
      </c>
      <c r="D130" s="40">
        <v>0</v>
      </c>
      <c r="E130" s="40">
        <v>0</v>
      </c>
      <c r="F130" s="40">
        <v>0</v>
      </c>
      <c r="H130" s="84">
        <v>0</v>
      </c>
      <c r="I130" s="84">
        <v>0</v>
      </c>
      <c r="J130" s="84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56</v>
      </c>
      <c r="B131" s="39" t="s">
        <v>14</v>
      </c>
      <c r="D131" s="39">
        <v>0</v>
      </c>
      <c r="E131" s="39">
        <v>0</v>
      </c>
      <c r="F131" s="39">
        <v>0</v>
      </c>
      <c r="H131" s="83">
        <v>0</v>
      </c>
      <c r="I131" s="83">
        <v>0</v>
      </c>
      <c r="J131" s="83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">
      <c r="G132"/>
      <c r="K132"/>
      <c r="O132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1Q and March 2025 COVID Data Rpt 
&amp;P of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20"/>
  <sheetViews>
    <sheetView view="pageLayout" zoomScale="80" zoomScaleNormal="100" zoomScalePageLayoutView="80" workbookViewId="0">
      <selection activeCell="P13" sqref="P13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98</v>
      </c>
      <c r="C1" s="8" t="s">
        <v>99</v>
      </c>
      <c r="D1" s="8"/>
      <c r="E1" s="8"/>
      <c r="G1" s="87" t="s">
        <v>100</v>
      </c>
      <c r="H1" s="87"/>
      <c r="I1" s="87"/>
      <c r="K1" s="87" t="s">
        <v>101</v>
      </c>
      <c r="L1" s="87"/>
      <c r="M1" s="87"/>
      <c r="O1" s="87" t="s">
        <v>102</v>
      </c>
      <c r="P1" s="87"/>
      <c r="Q1" s="87"/>
    </row>
    <row r="2" spans="1:17" x14ac:dyDescent="0.2">
      <c r="A2" s="2" t="s">
        <v>63</v>
      </c>
      <c r="C2" s="73" t="str">
        <f>+'4. Payment Arrangements 2025'!D2</f>
        <v>Jan 2025</v>
      </c>
      <c r="D2" s="73" t="str">
        <f>+'4. Payment Arrangements 2025'!E2</f>
        <v>Feb 2025</v>
      </c>
      <c r="E2" s="73" t="str">
        <f>+'4. Payment Arrangements 2025'!F2</f>
        <v>Mar 2025</v>
      </c>
      <c r="G2" s="56" t="str">
        <f>+C2</f>
        <v>Jan 2025</v>
      </c>
      <c r="H2" s="56" t="str">
        <f t="shared" ref="H2:I2" si="0">+D2</f>
        <v>Feb 2025</v>
      </c>
      <c r="I2" s="56" t="str">
        <f t="shared" si="0"/>
        <v>Mar 2025</v>
      </c>
      <c r="K2" s="56" t="str">
        <f>+G2</f>
        <v>Jan 2025</v>
      </c>
      <c r="L2" s="56" t="str">
        <f t="shared" ref="L2" si="1">+H2</f>
        <v>Feb 2025</v>
      </c>
      <c r="M2" s="56" t="str">
        <f t="shared" ref="M2" si="2">+I2</f>
        <v>Mar 2025</v>
      </c>
      <c r="N2" s="57"/>
      <c r="O2" s="56" t="str">
        <f>+K2</f>
        <v>Jan 2025</v>
      </c>
      <c r="P2" s="56" t="str">
        <f t="shared" ref="P2" si="3">+L2</f>
        <v>Feb 2025</v>
      </c>
      <c r="Q2" s="56" t="str">
        <f t="shared" ref="Q2" si="4">+M2</f>
        <v>Mar 2025</v>
      </c>
    </row>
    <row r="4" spans="1:17" x14ac:dyDescent="0.2">
      <c r="C4" t="s">
        <v>103</v>
      </c>
    </row>
    <row r="5" spans="1:17" x14ac:dyDescent="0.2">
      <c r="C5" t="s">
        <v>104</v>
      </c>
    </row>
    <row r="6" spans="1:17" x14ac:dyDescent="0.2">
      <c r="C6" t="s">
        <v>105</v>
      </c>
    </row>
    <row r="7" spans="1:17" x14ac:dyDescent="0.2">
      <c r="C7" t="s">
        <v>106</v>
      </c>
    </row>
    <row r="8" spans="1:17" ht="16" thickBot="1" x14ac:dyDescent="0.25">
      <c r="A8" s="24"/>
      <c r="C8" s="24" t="s">
        <v>107</v>
      </c>
      <c r="D8" s="24"/>
      <c r="E8" s="24"/>
      <c r="G8" s="24" t="s">
        <v>107</v>
      </c>
      <c r="H8" s="24"/>
      <c r="I8" s="24"/>
      <c r="K8" s="24" t="s">
        <v>107</v>
      </c>
      <c r="L8" s="24"/>
      <c r="M8" s="24"/>
      <c r="N8" s="25"/>
      <c r="O8" s="24"/>
      <c r="P8" s="24"/>
      <c r="Q8" s="24"/>
    </row>
    <row r="9" spans="1:17" s="59" customFormat="1" ht="16" thickTop="1" x14ac:dyDescent="0.2">
      <c r="A9" s="59" t="s">
        <v>108</v>
      </c>
      <c r="B9" s="60"/>
      <c r="C9" s="59">
        <f>SUM(C10:C20)</f>
        <v>2</v>
      </c>
      <c r="D9" s="59">
        <f>SUM(D10:D20)</f>
        <v>0</v>
      </c>
      <c r="E9" s="59">
        <f>SUM(E10:E20)</f>
        <v>0</v>
      </c>
      <c r="F9" s="60"/>
      <c r="G9" s="59">
        <f>SUM(G10:G16)</f>
        <v>0</v>
      </c>
      <c r="H9" s="59">
        <f t="shared" ref="H9:I9" si="5">SUM(H10:H16)</f>
        <v>0</v>
      </c>
      <c r="I9" s="59">
        <f t="shared" si="5"/>
        <v>0</v>
      </c>
      <c r="J9" s="60"/>
      <c r="K9" s="59">
        <f>SUM(K11:K23)</f>
        <v>4</v>
      </c>
      <c r="L9" s="59">
        <f t="shared" ref="L9:Q9" si="6">SUM(L11:L23)</f>
        <v>0</v>
      </c>
      <c r="M9" s="59">
        <f t="shared" si="6"/>
        <v>0</v>
      </c>
      <c r="N9" s="60"/>
      <c r="O9" s="59">
        <f t="shared" si="6"/>
        <v>0</v>
      </c>
      <c r="P9" s="59">
        <f t="shared" si="6"/>
        <v>2</v>
      </c>
      <c r="Q9" s="59">
        <f t="shared" si="6"/>
        <v>0</v>
      </c>
    </row>
    <row r="10" spans="1:17" x14ac:dyDescent="0.2">
      <c r="A10" s="26"/>
      <c r="C10" s="36"/>
      <c r="D10" s="37"/>
      <c r="E10" s="38"/>
      <c r="G10" s="36" t="s">
        <v>109</v>
      </c>
      <c r="H10" s="37"/>
      <c r="I10" s="38"/>
      <c r="K10" s="36"/>
      <c r="L10" s="37"/>
      <c r="M10" s="38"/>
      <c r="O10" s="88"/>
      <c r="P10" s="89"/>
      <c r="Q10" s="90"/>
    </row>
    <row r="12" spans="1:17" x14ac:dyDescent="0.2">
      <c r="A12">
        <v>98642</v>
      </c>
      <c r="K12">
        <v>1</v>
      </c>
    </row>
    <row r="13" spans="1:17" x14ac:dyDescent="0.2">
      <c r="A13">
        <v>98665</v>
      </c>
    </row>
    <row r="14" spans="1:17" x14ac:dyDescent="0.2">
      <c r="A14">
        <v>98671</v>
      </c>
    </row>
    <row r="15" spans="1:17" x14ac:dyDescent="0.2">
      <c r="A15">
        <v>98682</v>
      </c>
      <c r="P15">
        <v>1</v>
      </c>
    </row>
    <row r="16" spans="1:17" x14ac:dyDescent="0.2">
      <c r="A16">
        <v>98605</v>
      </c>
    </row>
    <row r="17" spans="1:16" x14ac:dyDescent="0.2">
      <c r="A17">
        <v>98684</v>
      </c>
      <c r="C17">
        <v>1</v>
      </c>
      <c r="K17">
        <v>1</v>
      </c>
    </row>
    <row r="18" spans="1:16" x14ac:dyDescent="0.2">
      <c r="A18">
        <v>98661</v>
      </c>
      <c r="K18">
        <v>2</v>
      </c>
    </row>
    <row r="19" spans="1:16" x14ac:dyDescent="0.2">
      <c r="A19">
        <v>98604</v>
      </c>
    </row>
    <row r="20" spans="1:16" x14ac:dyDescent="0.2">
      <c r="A20">
        <v>98607</v>
      </c>
      <c r="C20">
        <v>1</v>
      </c>
      <c r="P20">
        <v>1</v>
      </c>
    </row>
  </sheetData>
  <mergeCells count="4">
    <mergeCell ref="G1:I1"/>
    <mergeCell ref="K1:M1"/>
    <mergeCell ref="O1:Q1"/>
    <mergeCell ref="O10:Q10"/>
  </mergeCells>
  <pageMargins left="0.5" right="0.5" top="0.5" bottom="0.5" header="0.25" footer="0.25"/>
  <pageSetup scale="60" orientation="portrait" r:id="rId1"/>
  <headerFooter>
    <oddHeader>&amp;RU-200281 NWN 1Q and March 2025 COVID Data Rpt 
&amp;P of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view="pageLayout" zoomScaleNormal="100" workbookViewId="0">
      <selection activeCell="P4" sqref="P4:R129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110</v>
      </c>
      <c r="B1" s="2"/>
      <c r="D1" s="8" t="s">
        <v>111</v>
      </c>
      <c r="E1" s="8"/>
      <c r="F1" s="8"/>
      <c r="H1" s="87" t="s">
        <v>112</v>
      </c>
      <c r="I1" s="87"/>
      <c r="J1" s="87"/>
      <c r="L1" s="87" t="s">
        <v>113</v>
      </c>
      <c r="M1" s="87"/>
      <c r="N1" s="87"/>
      <c r="P1" s="87" t="s">
        <v>114</v>
      </c>
      <c r="Q1" s="87"/>
      <c r="R1" s="87"/>
    </row>
    <row r="2" spans="1:18" x14ac:dyDescent="0.2">
      <c r="A2" s="2" t="s">
        <v>63</v>
      </c>
      <c r="B2" s="2" t="s">
        <v>64</v>
      </c>
      <c r="D2" s="73" t="str">
        <f>+'4. Payment Arrangements 2025'!D2</f>
        <v>Jan 2025</v>
      </c>
      <c r="E2" s="73" t="str">
        <f>+'4. Payment Arrangements 2025'!E2</f>
        <v>Feb 2025</v>
      </c>
      <c r="F2" s="73" t="str">
        <f>+'4. Payment Arrangements 2025'!F2</f>
        <v>Mar 2025</v>
      </c>
      <c r="H2" s="56" t="str">
        <f>+D2</f>
        <v>Jan 2025</v>
      </c>
      <c r="I2" s="56" t="str">
        <f t="shared" ref="I2:J2" si="0">+E2</f>
        <v>Feb 2025</v>
      </c>
      <c r="J2" s="56" t="str">
        <f t="shared" si="0"/>
        <v>Mar 2025</v>
      </c>
      <c r="K2" s="57"/>
      <c r="L2" s="56" t="str">
        <f>+H2</f>
        <v>Jan 2025</v>
      </c>
      <c r="M2" s="56" t="str">
        <f t="shared" ref="M2" si="1">+I2</f>
        <v>Feb 2025</v>
      </c>
      <c r="N2" s="56" t="str">
        <f t="shared" ref="N2" si="2">+J2</f>
        <v>Mar 2025</v>
      </c>
      <c r="O2" s="57"/>
      <c r="P2" s="56" t="str">
        <f>+L2</f>
        <v>Jan 2025</v>
      </c>
      <c r="Q2" s="56" t="str">
        <f t="shared" ref="Q2" si="3">+M2</f>
        <v>Feb 2025</v>
      </c>
      <c r="R2" s="56" t="str">
        <f t="shared" ref="R2" si="4">+N2</f>
        <v>Mar 2025</v>
      </c>
    </row>
    <row r="3" spans="1:18" x14ac:dyDescent="0.2">
      <c r="D3" s="72"/>
      <c r="E3" s="72"/>
      <c r="F3" s="72"/>
      <c r="H3" s="71"/>
      <c r="I3" s="71"/>
      <c r="J3" s="71"/>
      <c r="K3" s="57"/>
      <c r="L3" s="71"/>
      <c r="M3" s="71"/>
      <c r="N3" s="71"/>
      <c r="O3" s="57"/>
      <c r="P3" s="71"/>
      <c r="Q3" s="71"/>
      <c r="R3" s="71"/>
    </row>
    <row r="4" spans="1:18" x14ac:dyDescent="0.2">
      <c r="A4" s="39" t="s">
        <v>11</v>
      </c>
      <c r="B4" s="39" t="s">
        <v>12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P4" s="39">
        <v>0</v>
      </c>
      <c r="Q4" s="39">
        <v>0</v>
      </c>
      <c r="R4" s="39">
        <v>0</v>
      </c>
    </row>
    <row r="5" spans="1:18" x14ac:dyDescent="0.2">
      <c r="A5" s="40" t="s">
        <v>11</v>
      </c>
      <c r="B5" s="40" t="s">
        <v>13</v>
      </c>
      <c r="D5" s="40">
        <v>0</v>
      </c>
      <c r="E5" s="40">
        <v>0</v>
      </c>
      <c r="F5" s="40">
        <v>0</v>
      </c>
      <c r="H5" s="40">
        <v>0</v>
      </c>
      <c r="I5" s="40">
        <v>0</v>
      </c>
      <c r="J5" s="40">
        <v>0</v>
      </c>
      <c r="L5" t="s">
        <v>115</v>
      </c>
      <c r="P5" s="40">
        <v>0</v>
      </c>
      <c r="Q5" s="40">
        <v>0</v>
      </c>
      <c r="R5" s="40">
        <v>0</v>
      </c>
    </row>
    <row r="6" spans="1:18" x14ac:dyDescent="0.2">
      <c r="A6" s="39" t="s">
        <v>11</v>
      </c>
      <c r="B6" s="39" t="s">
        <v>14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t="s">
        <v>116</v>
      </c>
      <c r="P6" s="39">
        <v>0</v>
      </c>
      <c r="Q6" s="39">
        <v>0</v>
      </c>
      <c r="R6" s="39">
        <v>0</v>
      </c>
    </row>
    <row r="7" spans="1:18" x14ac:dyDescent="0.2">
      <c r="A7" s="40" t="s">
        <v>15</v>
      </c>
      <c r="B7" s="40" t="s">
        <v>12</v>
      </c>
      <c r="D7" s="40">
        <v>0</v>
      </c>
      <c r="E7" s="40">
        <v>0</v>
      </c>
      <c r="F7" s="40">
        <v>0</v>
      </c>
      <c r="H7" s="40">
        <v>0</v>
      </c>
      <c r="I7" s="40">
        <v>0</v>
      </c>
      <c r="J7" s="40">
        <v>0</v>
      </c>
      <c r="P7" s="40">
        <v>0</v>
      </c>
      <c r="Q7" s="40">
        <v>0</v>
      </c>
      <c r="R7" s="40">
        <v>0</v>
      </c>
    </row>
    <row r="8" spans="1:18" x14ac:dyDescent="0.2">
      <c r="A8" s="39" t="s">
        <v>15</v>
      </c>
      <c r="B8" s="39" t="s">
        <v>13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P8" s="39">
        <v>0</v>
      </c>
      <c r="Q8" s="39">
        <v>0</v>
      </c>
      <c r="R8" s="39">
        <v>0</v>
      </c>
    </row>
    <row r="9" spans="1:18" x14ac:dyDescent="0.2">
      <c r="A9" s="40" t="s">
        <v>15</v>
      </c>
      <c r="B9" s="40" t="s">
        <v>14</v>
      </c>
      <c r="D9" s="40">
        <v>0</v>
      </c>
      <c r="E9" s="40">
        <v>0</v>
      </c>
      <c r="F9" s="40">
        <v>0</v>
      </c>
      <c r="H9" s="40">
        <v>0</v>
      </c>
      <c r="I9" s="40">
        <v>0</v>
      </c>
      <c r="J9" s="40">
        <v>0</v>
      </c>
      <c r="P9" s="40">
        <v>0</v>
      </c>
      <c r="Q9" s="40">
        <v>0</v>
      </c>
      <c r="R9" s="40">
        <v>0</v>
      </c>
    </row>
    <row r="10" spans="1:18" x14ac:dyDescent="0.2">
      <c r="A10" s="39" t="s">
        <v>16</v>
      </c>
      <c r="B10" s="39" t="s">
        <v>12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P10" s="39">
        <v>0</v>
      </c>
      <c r="Q10" s="39">
        <v>0</v>
      </c>
      <c r="R10" s="39">
        <v>0</v>
      </c>
    </row>
    <row r="11" spans="1:18" x14ac:dyDescent="0.2">
      <c r="A11" s="40" t="s">
        <v>16</v>
      </c>
      <c r="B11" s="40" t="s">
        <v>13</v>
      </c>
      <c r="D11" s="40">
        <v>0</v>
      </c>
      <c r="E11" s="40">
        <v>0</v>
      </c>
      <c r="F11" s="40">
        <v>0</v>
      </c>
      <c r="H11" s="40">
        <v>0</v>
      </c>
      <c r="I11" s="40">
        <v>0</v>
      </c>
      <c r="J11" s="40">
        <v>0</v>
      </c>
      <c r="P11" s="40">
        <v>0</v>
      </c>
      <c r="Q11" s="40">
        <v>0</v>
      </c>
      <c r="R11" s="40">
        <v>0</v>
      </c>
    </row>
    <row r="12" spans="1:18" x14ac:dyDescent="0.2">
      <c r="A12" s="39" t="s">
        <v>16</v>
      </c>
      <c r="B12" s="39" t="s">
        <v>14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P12" s="39">
        <v>0</v>
      </c>
      <c r="Q12" s="39">
        <v>0</v>
      </c>
      <c r="R12" s="39">
        <v>0</v>
      </c>
    </row>
    <row r="13" spans="1:18" x14ac:dyDescent="0.2">
      <c r="A13" s="40" t="s">
        <v>17</v>
      </c>
      <c r="B13" s="40" t="s">
        <v>12</v>
      </c>
      <c r="D13" s="40">
        <v>0</v>
      </c>
      <c r="E13" s="40">
        <v>0</v>
      </c>
      <c r="F13" s="40">
        <v>0</v>
      </c>
      <c r="H13" s="40">
        <v>0</v>
      </c>
      <c r="I13" s="40">
        <v>0</v>
      </c>
      <c r="J13" s="40">
        <v>0</v>
      </c>
      <c r="P13" s="40">
        <v>0</v>
      </c>
      <c r="Q13" s="40">
        <v>0</v>
      </c>
      <c r="R13" s="40">
        <v>0</v>
      </c>
    </row>
    <row r="14" spans="1:18" x14ac:dyDescent="0.2">
      <c r="A14" s="39" t="s">
        <v>17</v>
      </c>
      <c r="B14" s="39" t="s">
        <v>13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P14" s="39">
        <v>0</v>
      </c>
      <c r="Q14" s="39">
        <v>0</v>
      </c>
      <c r="R14" s="39">
        <v>0</v>
      </c>
    </row>
    <row r="15" spans="1:18" x14ac:dyDescent="0.2">
      <c r="A15" s="40" t="s">
        <v>17</v>
      </c>
      <c r="B15" s="40" t="s">
        <v>14</v>
      </c>
      <c r="D15" s="40">
        <v>0</v>
      </c>
      <c r="E15" s="40">
        <v>0</v>
      </c>
      <c r="F15" s="40">
        <v>0</v>
      </c>
      <c r="H15" s="40">
        <v>0</v>
      </c>
      <c r="I15" s="40">
        <v>0</v>
      </c>
      <c r="J15" s="40">
        <v>0</v>
      </c>
      <c r="P15" s="40">
        <v>0</v>
      </c>
      <c r="Q15" s="40">
        <v>0</v>
      </c>
      <c r="R15" s="40">
        <v>0</v>
      </c>
    </row>
    <row r="16" spans="1:18" x14ac:dyDescent="0.2">
      <c r="A16" s="39" t="s">
        <v>18</v>
      </c>
      <c r="B16" s="39" t="s">
        <v>12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40" t="s">
        <v>18</v>
      </c>
      <c r="B17" s="40" t="s">
        <v>13</v>
      </c>
      <c r="D17" s="40">
        <v>0</v>
      </c>
      <c r="E17" s="40">
        <v>0</v>
      </c>
      <c r="F17" s="40">
        <v>0</v>
      </c>
      <c r="H17" s="40">
        <v>0</v>
      </c>
      <c r="I17" s="40">
        <v>0</v>
      </c>
      <c r="J17" s="40">
        <v>0</v>
      </c>
      <c r="P17" s="40">
        <v>0</v>
      </c>
      <c r="Q17" s="40">
        <v>0</v>
      </c>
      <c r="R17" s="40">
        <v>0</v>
      </c>
    </row>
    <row r="18" spans="1:18" x14ac:dyDescent="0.2">
      <c r="A18" s="39" t="s">
        <v>18</v>
      </c>
      <c r="B18" s="39" t="s">
        <v>14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40" t="s">
        <v>19</v>
      </c>
      <c r="B19" s="40" t="s">
        <v>12</v>
      </c>
      <c r="D19" s="40">
        <v>0</v>
      </c>
      <c r="E19" s="40">
        <v>0</v>
      </c>
      <c r="F19" s="40">
        <v>0</v>
      </c>
      <c r="H19" s="40">
        <v>0</v>
      </c>
      <c r="I19" s="40">
        <v>0</v>
      </c>
      <c r="J19" s="40">
        <v>0</v>
      </c>
      <c r="P19" s="40">
        <v>0</v>
      </c>
      <c r="Q19" s="40">
        <v>0</v>
      </c>
      <c r="R19" s="40">
        <v>0</v>
      </c>
    </row>
    <row r="20" spans="1:18" x14ac:dyDescent="0.2">
      <c r="A20" s="39" t="s">
        <v>19</v>
      </c>
      <c r="B20" s="39" t="s">
        <v>13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40" t="s">
        <v>19</v>
      </c>
      <c r="B21" s="40" t="s">
        <v>14</v>
      </c>
      <c r="D21" s="40">
        <v>0</v>
      </c>
      <c r="E21" s="40">
        <v>0</v>
      </c>
      <c r="F21" s="40">
        <v>0</v>
      </c>
      <c r="H21" s="40">
        <v>0</v>
      </c>
      <c r="I21" s="40">
        <v>0</v>
      </c>
      <c r="J21" s="40">
        <v>0</v>
      </c>
      <c r="P21" s="40">
        <v>0</v>
      </c>
      <c r="Q21" s="40">
        <v>0</v>
      </c>
      <c r="R21" s="40">
        <v>0</v>
      </c>
    </row>
    <row r="22" spans="1:18" x14ac:dyDescent="0.2">
      <c r="A22" s="39" t="s">
        <v>20</v>
      </c>
      <c r="B22" s="39" t="s">
        <v>12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40" t="s">
        <v>20</v>
      </c>
      <c r="B23" s="40" t="s">
        <v>13</v>
      </c>
      <c r="D23" s="40">
        <v>0</v>
      </c>
      <c r="E23" s="40">
        <v>0</v>
      </c>
      <c r="F23" s="40">
        <v>0</v>
      </c>
      <c r="H23" s="40">
        <v>0</v>
      </c>
      <c r="I23" s="40">
        <v>0</v>
      </c>
      <c r="J23" s="40">
        <v>0</v>
      </c>
      <c r="P23" s="40">
        <v>0</v>
      </c>
      <c r="Q23" s="40">
        <v>0</v>
      </c>
      <c r="R23" s="40">
        <v>0</v>
      </c>
    </row>
    <row r="24" spans="1:18" x14ac:dyDescent="0.2">
      <c r="A24" s="39" t="s">
        <v>20</v>
      </c>
      <c r="B24" s="39" t="s">
        <v>14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40" t="s">
        <v>21</v>
      </c>
      <c r="B25" s="40" t="s">
        <v>12</v>
      </c>
      <c r="D25" s="40">
        <v>0</v>
      </c>
      <c r="E25" s="40">
        <v>0</v>
      </c>
      <c r="F25" s="40">
        <v>0</v>
      </c>
      <c r="H25" s="40">
        <v>0</v>
      </c>
      <c r="I25" s="40">
        <v>0</v>
      </c>
      <c r="J25" s="40">
        <v>0</v>
      </c>
      <c r="P25" s="40">
        <v>0</v>
      </c>
      <c r="Q25" s="40">
        <v>0</v>
      </c>
      <c r="R25" s="40">
        <v>0</v>
      </c>
    </row>
    <row r="26" spans="1:18" x14ac:dyDescent="0.2">
      <c r="A26" s="39" t="s">
        <v>21</v>
      </c>
      <c r="B26" s="39" t="s">
        <v>13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40" t="s">
        <v>21</v>
      </c>
      <c r="B27" s="40" t="s">
        <v>14</v>
      </c>
      <c r="D27" s="40">
        <v>0</v>
      </c>
      <c r="E27" s="40">
        <v>0</v>
      </c>
      <c r="F27" s="40">
        <v>0</v>
      </c>
      <c r="H27" s="40">
        <v>0</v>
      </c>
      <c r="I27" s="40">
        <v>0</v>
      </c>
      <c r="J27" s="40">
        <v>0</v>
      </c>
      <c r="P27" s="40">
        <v>0</v>
      </c>
      <c r="Q27" s="40">
        <v>0</v>
      </c>
      <c r="R27" s="40">
        <v>0</v>
      </c>
    </row>
    <row r="28" spans="1:18" x14ac:dyDescent="0.2">
      <c r="A28" s="39" t="s">
        <v>22</v>
      </c>
      <c r="B28" s="39" t="s">
        <v>12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P28" s="39">
        <v>0</v>
      </c>
      <c r="Q28" s="39">
        <v>0</v>
      </c>
      <c r="R28" s="39">
        <v>0</v>
      </c>
    </row>
    <row r="29" spans="1:18" x14ac:dyDescent="0.2">
      <c r="A29" s="40" t="s">
        <v>22</v>
      </c>
      <c r="B29" s="40" t="s">
        <v>13</v>
      </c>
      <c r="D29" s="40">
        <v>0</v>
      </c>
      <c r="E29" s="40">
        <v>0</v>
      </c>
      <c r="F29" s="40">
        <v>0</v>
      </c>
      <c r="H29" s="40">
        <v>0</v>
      </c>
      <c r="I29" s="40">
        <v>0</v>
      </c>
      <c r="J29" s="40">
        <v>0</v>
      </c>
      <c r="P29" s="40">
        <v>0</v>
      </c>
      <c r="Q29" s="40">
        <v>0</v>
      </c>
      <c r="R29" s="40">
        <v>0</v>
      </c>
    </row>
    <row r="30" spans="1:18" x14ac:dyDescent="0.2">
      <c r="A30" s="39" t="s">
        <v>22</v>
      </c>
      <c r="B30" s="39" t="s">
        <v>14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40" t="s">
        <v>23</v>
      </c>
      <c r="B31" s="40" t="s">
        <v>12</v>
      </c>
      <c r="D31" s="40">
        <v>0</v>
      </c>
      <c r="E31" s="40">
        <v>0</v>
      </c>
      <c r="F31" s="40">
        <v>0</v>
      </c>
      <c r="H31" s="40">
        <v>0</v>
      </c>
      <c r="I31" s="40">
        <v>0</v>
      </c>
      <c r="J31" s="40">
        <v>0</v>
      </c>
      <c r="P31" s="40">
        <v>0</v>
      </c>
      <c r="Q31" s="40">
        <v>0</v>
      </c>
      <c r="R31" s="40">
        <v>0</v>
      </c>
    </row>
    <row r="32" spans="1:18" x14ac:dyDescent="0.2">
      <c r="A32" s="39" t="s">
        <v>23</v>
      </c>
      <c r="B32" s="39" t="s">
        <v>13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P32" s="39">
        <v>0</v>
      </c>
      <c r="Q32" s="39">
        <v>0</v>
      </c>
      <c r="R32" s="39">
        <v>0</v>
      </c>
    </row>
    <row r="33" spans="1:18" x14ac:dyDescent="0.2">
      <c r="A33" s="40" t="s">
        <v>23</v>
      </c>
      <c r="B33" s="40" t="s">
        <v>14</v>
      </c>
      <c r="D33" s="40">
        <v>0</v>
      </c>
      <c r="E33" s="40">
        <v>0</v>
      </c>
      <c r="F33" s="40">
        <v>0</v>
      </c>
      <c r="H33" s="40">
        <v>0</v>
      </c>
      <c r="I33" s="40">
        <v>0</v>
      </c>
      <c r="J33" s="40">
        <v>0</v>
      </c>
      <c r="P33" s="40">
        <v>0</v>
      </c>
      <c r="Q33" s="40">
        <v>0</v>
      </c>
      <c r="R33" s="40">
        <v>0</v>
      </c>
    </row>
    <row r="34" spans="1:18" x14ac:dyDescent="0.2">
      <c r="A34" s="39" t="s">
        <v>24</v>
      </c>
      <c r="B34" s="39" t="s">
        <v>12</v>
      </c>
      <c r="D34" s="39">
        <v>18</v>
      </c>
      <c r="E34" s="39">
        <v>21</v>
      </c>
      <c r="F34" s="39">
        <v>22</v>
      </c>
      <c r="H34" s="39">
        <v>2</v>
      </c>
      <c r="I34" s="39">
        <v>3</v>
      </c>
      <c r="J34" s="39">
        <v>2</v>
      </c>
      <c r="P34" s="39">
        <v>0</v>
      </c>
      <c r="Q34" s="39">
        <v>1</v>
      </c>
      <c r="R34" s="39">
        <v>0</v>
      </c>
    </row>
    <row r="35" spans="1:18" x14ac:dyDescent="0.2">
      <c r="A35" s="40" t="s">
        <v>24</v>
      </c>
      <c r="B35" s="40" t="s">
        <v>13</v>
      </c>
      <c r="D35" s="40">
        <v>0</v>
      </c>
      <c r="E35" s="40">
        <v>0</v>
      </c>
      <c r="F35" s="40">
        <v>0</v>
      </c>
      <c r="H35" s="40">
        <v>0</v>
      </c>
      <c r="I35" s="40">
        <v>0</v>
      </c>
      <c r="J35" s="40">
        <v>0</v>
      </c>
      <c r="P35" s="40">
        <v>0</v>
      </c>
      <c r="Q35" s="40">
        <v>0</v>
      </c>
      <c r="R35" s="40">
        <v>0</v>
      </c>
    </row>
    <row r="36" spans="1:18" x14ac:dyDescent="0.2">
      <c r="A36" s="39" t="s">
        <v>24</v>
      </c>
      <c r="B36" s="39" t="s">
        <v>14</v>
      </c>
      <c r="D36" s="39">
        <v>3</v>
      </c>
      <c r="E36" s="39">
        <v>4</v>
      </c>
      <c r="F36" s="39">
        <v>3</v>
      </c>
      <c r="H36" s="39">
        <v>0</v>
      </c>
      <c r="I36" s="39">
        <v>1</v>
      </c>
      <c r="J36" s="39">
        <v>0</v>
      </c>
      <c r="P36" s="39">
        <v>0</v>
      </c>
      <c r="Q36" s="39">
        <v>1</v>
      </c>
      <c r="R36" s="39">
        <v>1</v>
      </c>
    </row>
    <row r="37" spans="1:18" x14ac:dyDescent="0.2">
      <c r="A37" s="40" t="s">
        <v>25</v>
      </c>
      <c r="B37" s="40" t="s">
        <v>12</v>
      </c>
      <c r="D37" s="40">
        <v>4</v>
      </c>
      <c r="E37" s="40">
        <v>4</v>
      </c>
      <c r="F37" s="40">
        <v>3</v>
      </c>
      <c r="H37" s="40">
        <v>1</v>
      </c>
      <c r="I37" s="40">
        <v>0</v>
      </c>
      <c r="J37" s="40">
        <v>0</v>
      </c>
      <c r="P37" s="40">
        <v>0</v>
      </c>
      <c r="Q37" s="40">
        <v>1</v>
      </c>
      <c r="R37" s="40">
        <v>0</v>
      </c>
    </row>
    <row r="38" spans="1:18" x14ac:dyDescent="0.2">
      <c r="A38" s="39" t="s">
        <v>25</v>
      </c>
      <c r="B38" s="39" t="s">
        <v>13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40" t="s">
        <v>25</v>
      </c>
      <c r="B39" s="40" t="s">
        <v>14</v>
      </c>
      <c r="D39" s="40">
        <v>1</v>
      </c>
      <c r="E39" s="40">
        <v>1</v>
      </c>
      <c r="F39" s="40">
        <v>1</v>
      </c>
      <c r="H39" s="40">
        <v>0</v>
      </c>
      <c r="I39" s="40">
        <v>0</v>
      </c>
      <c r="J39" s="40">
        <v>0</v>
      </c>
      <c r="P39" s="40">
        <v>0</v>
      </c>
      <c r="Q39" s="40">
        <v>0</v>
      </c>
      <c r="R39" s="40">
        <v>0</v>
      </c>
    </row>
    <row r="40" spans="1:18" x14ac:dyDescent="0.2">
      <c r="A40" s="39" t="s">
        <v>26</v>
      </c>
      <c r="B40" s="39" t="s">
        <v>12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P40" s="39">
        <v>0</v>
      </c>
      <c r="Q40" s="39">
        <v>0</v>
      </c>
      <c r="R40" s="39">
        <v>0</v>
      </c>
    </row>
    <row r="41" spans="1:18" x14ac:dyDescent="0.2">
      <c r="A41" s="40" t="s">
        <v>26</v>
      </c>
      <c r="B41" s="40" t="s">
        <v>13</v>
      </c>
      <c r="D41" s="40">
        <v>0</v>
      </c>
      <c r="E41" s="40">
        <v>0</v>
      </c>
      <c r="F41" s="40">
        <v>0</v>
      </c>
      <c r="H41" s="40">
        <v>0</v>
      </c>
      <c r="I41" s="40">
        <v>0</v>
      </c>
      <c r="J41" s="40">
        <v>0</v>
      </c>
      <c r="P41" s="40">
        <v>0</v>
      </c>
      <c r="Q41" s="40">
        <v>0</v>
      </c>
      <c r="R41" s="40">
        <v>0</v>
      </c>
    </row>
    <row r="42" spans="1:18" x14ac:dyDescent="0.2">
      <c r="A42" s="39" t="s">
        <v>26</v>
      </c>
      <c r="B42" s="39" t="s">
        <v>14</v>
      </c>
      <c r="D42" s="39">
        <v>1</v>
      </c>
      <c r="E42" s="39">
        <v>1</v>
      </c>
      <c r="F42" s="39">
        <v>1</v>
      </c>
      <c r="H42" s="39">
        <v>1</v>
      </c>
      <c r="I42" s="39">
        <v>0</v>
      </c>
      <c r="J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40" t="s">
        <v>27</v>
      </c>
      <c r="B43" s="40" t="s">
        <v>12</v>
      </c>
      <c r="D43" s="40">
        <v>33</v>
      </c>
      <c r="E43" s="40">
        <v>36</v>
      </c>
      <c r="F43" s="40">
        <v>34</v>
      </c>
      <c r="H43" s="40">
        <v>5</v>
      </c>
      <c r="I43" s="40">
        <v>4</v>
      </c>
      <c r="J43" s="40">
        <v>1</v>
      </c>
      <c r="P43" s="40">
        <v>1</v>
      </c>
      <c r="Q43" s="40">
        <v>3</v>
      </c>
      <c r="R43" s="40">
        <v>1</v>
      </c>
    </row>
    <row r="44" spans="1:18" x14ac:dyDescent="0.2">
      <c r="A44" s="39" t="s">
        <v>27</v>
      </c>
      <c r="B44" s="39" t="s">
        <v>13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P44" s="39">
        <v>0</v>
      </c>
      <c r="Q44" s="39">
        <v>0</v>
      </c>
      <c r="R44" s="39">
        <v>0</v>
      </c>
    </row>
    <row r="45" spans="1:18" x14ac:dyDescent="0.2">
      <c r="A45" s="40" t="s">
        <v>27</v>
      </c>
      <c r="B45" s="40" t="s">
        <v>14</v>
      </c>
      <c r="D45" s="40">
        <v>1</v>
      </c>
      <c r="E45" s="40">
        <v>1</v>
      </c>
      <c r="F45" s="40">
        <v>2</v>
      </c>
      <c r="H45" s="40">
        <v>0</v>
      </c>
      <c r="I45" s="40">
        <v>0</v>
      </c>
      <c r="J45" s="40">
        <v>1</v>
      </c>
      <c r="P45" s="40">
        <v>0</v>
      </c>
      <c r="Q45" s="40">
        <v>0</v>
      </c>
      <c r="R45" s="40">
        <v>0</v>
      </c>
    </row>
    <row r="46" spans="1:18" x14ac:dyDescent="0.2">
      <c r="A46" s="39" t="s">
        <v>28</v>
      </c>
      <c r="B46" s="39" t="s">
        <v>12</v>
      </c>
      <c r="D46" s="39">
        <v>1</v>
      </c>
      <c r="E46" s="39">
        <v>1</v>
      </c>
      <c r="F46" s="39">
        <v>1</v>
      </c>
      <c r="H46" s="39">
        <v>0</v>
      </c>
      <c r="I46" s="39">
        <v>0</v>
      </c>
      <c r="J46" s="39">
        <v>0</v>
      </c>
      <c r="P46" s="39">
        <v>0</v>
      </c>
      <c r="Q46" s="39">
        <v>0</v>
      </c>
      <c r="R46" s="39">
        <v>0</v>
      </c>
    </row>
    <row r="47" spans="1:18" x14ac:dyDescent="0.2">
      <c r="A47" s="40" t="s">
        <v>28</v>
      </c>
      <c r="B47" s="40" t="s">
        <v>13</v>
      </c>
      <c r="D47" s="40">
        <v>0</v>
      </c>
      <c r="E47" s="40">
        <v>0</v>
      </c>
      <c r="F47" s="40">
        <v>0</v>
      </c>
      <c r="H47" s="40">
        <v>0</v>
      </c>
      <c r="I47" s="40">
        <v>0</v>
      </c>
      <c r="J47" s="40">
        <v>0</v>
      </c>
      <c r="P47" s="40">
        <v>0</v>
      </c>
      <c r="Q47" s="40">
        <v>0</v>
      </c>
      <c r="R47" s="40">
        <v>0</v>
      </c>
    </row>
    <row r="48" spans="1:18" x14ac:dyDescent="0.2">
      <c r="A48" s="39" t="s">
        <v>28</v>
      </c>
      <c r="B48" s="39" t="s">
        <v>14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P48" s="39">
        <v>0</v>
      </c>
      <c r="Q48" s="39">
        <v>0</v>
      </c>
      <c r="R48" s="39">
        <v>0</v>
      </c>
    </row>
    <row r="49" spans="1:18" x14ac:dyDescent="0.2">
      <c r="A49" s="40" t="s">
        <v>29</v>
      </c>
      <c r="B49" s="40" t="s">
        <v>12</v>
      </c>
      <c r="D49" s="40">
        <v>0</v>
      </c>
      <c r="E49" s="40">
        <v>0</v>
      </c>
      <c r="F49" s="40">
        <v>0</v>
      </c>
      <c r="H49" s="40">
        <v>0</v>
      </c>
      <c r="I49" s="40">
        <v>0</v>
      </c>
      <c r="J49" s="40">
        <v>0</v>
      </c>
      <c r="P49" s="40">
        <v>0</v>
      </c>
      <c r="Q49" s="40">
        <v>0</v>
      </c>
      <c r="R49" s="40">
        <v>0</v>
      </c>
    </row>
    <row r="50" spans="1:18" x14ac:dyDescent="0.2">
      <c r="A50" s="39" t="s">
        <v>29</v>
      </c>
      <c r="B50" s="39" t="s">
        <v>13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40" t="s">
        <v>29</v>
      </c>
      <c r="B51" s="40" t="s">
        <v>14</v>
      </c>
      <c r="D51" s="40">
        <v>0</v>
      </c>
      <c r="E51" s="40">
        <v>0</v>
      </c>
      <c r="F51" s="40">
        <v>0</v>
      </c>
      <c r="H51" s="40">
        <v>0</v>
      </c>
      <c r="I51" s="40">
        <v>0</v>
      </c>
      <c r="J51" s="40">
        <v>0</v>
      </c>
      <c r="P51" s="40">
        <v>0</v>
      </c>
      <c r="Q51" s="40">
        <v>0</v>
      </c>
      <c r="R51" s="40">
        <v>0</v>
      </c>
    </row>
    <row r="52" spans="1:18" x14ac:dyDescent="0.2">
      <c r="A52" s="39" t="s">
        <v>30</v>
      </c>
      <c r="B52" s="39" t="s">
        <v>12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40" t="s">
        <v>30</v>
      </c>
      <c r="B53" s="40" t="s">
        <v>13</v>
      </c>
      <c r="D53" s="40">
        <v>0</v>
      </c>
      <c r="E53" s="40">
        <v>0</v>
      </c>
      <c r="F53" s="40">
        <v>0</v>
      </c>
      <c r="H53" s="40">
        <v>0</v>
      </c>
      <c r="I53" s="40">
        <v>0</v>
      </c>
      <c r="J53" s="40">
        <v>0</v>
      </c>
      <c r="P53" s="40">
        <v>0</v>
      </c>
      <c r="Q53" s="40">
        <v>0</v>
      </c>
      <c r="R53" s="40">
        <v>0</v>
      </c>
    </row>
    <row r="54" spans="1:18" x14ac:dyDescent="0.2">
      <c r="A54" s="39" t="s">
        <v>30</v>
      </c>
      <c r="B54" s="39" t="s">
        <v>14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40" t="s">
        <v>31</v>
      </c>
      <c r="B55" s="40" t="s">
        <v>12</v>
      </c>
      <c r="D55" s="40">
        <v>0</v>
      </c>
      <c r="E55" s="40">
        <v>0</v>
      </c>
      <c r="F55" s="40">
        <v>0</v>
      </c>
      <c r="H55" s="40">
        <v>0</v>
      </c>
      <c r="I55" s="40">
        <v>0</v>
      </c>
      <c r="J55" s="40">
        <v>0</v>
      </c>
      <c r="P55" s="40">
        <v>0</v>
      </c>
      <c r="Q55" s="40">
        <v>0</v>
      </c>
      <c r="R55" s="40">
        <v>0</v>
      </c>
    </row>
    <row r="56" spans="1:18" x14ac:dyDescent="0.2">
      <c r="A56" s="39" t="s">
        <v>31</v>
      </c>
      <c r="B56" s="39" t="s">
        <v>13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40" t="s">
        <v>31</v>
      </c>
      <c r="B57" s="40" t="s">
        <v>14</v>
      </c>
      <c r="D57" s="40">
        <v>0</v>
      </c>
      <c r="E57" s="40">
        <v>0</v>
      </c>
      <c r="F57" s="40">
        <v>0</v>
      </c>
      <c r="H57" s="40">
        <v>0</v>
      </c>
      <c r="I57" s="40">
        <v>0</v>
      </c>
      <c r="J57" s="40">
        <v>0</v>
      </c>
      <c r="P57" s="40">
        <v>0</v>
      </c>
      <c r="Q57" s="40">
        <v>0</v>
      </c>
      <c r="R57" s="40">
        <v>0</v>
      </c>
    </row>
    <row r="58" spans="1:18" x14ac:dyDescent="0.2">
      <c r="A58" s="39" t="s">
        <v>32</v>
      </c>
      <c r="B58" s="39" t="s">
        <v>12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40" t="s">
        <v>32</v>
      </c>
      <c r="B59" s="40" t="s">
        <v>13</v>
      </c>
      <c r="D59" s="40">
        <v>0</v>
      </c>
      <c r="E59" s="40">
        <v>0</v>
      </c>
      <c r="F59" s="40">
        <v>0</v>
      </c>
      <c r="H59" s="40">
        <v>0</v>
      </c>
      <c r="I59" s="40">
        <v>0</v>
      </c>
      <c r="J59" s="40">
        <v>0</v>
      </c>
      <c r="P59" s="40">
        <v>0</v>
      </c>
      <c r="Q59" s="40">
        <v>0</v>
      </c>
      <c r="R59" s="40">
        <v>0</v>
      </c>
    </row>
    <row r="60" spans="1:18" x14ac:dyDescent="0.2">
      <c r="A60" s="39" t="s">
        <v>32</v>
      </c>
      <c r="B60" s="39" t="s">
        <v>14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40" t="s">
        <v>33</v>
      </c>
      <c r="B61" s="40" t="s">
        <v>12</v>
      </c>
      <c r="D61" s="40">
        <v>1</v>
      </c>
      <c r="E61" s="40">
        <v>1</v>
      </c>
      <c r="F61" s="40">
        <v>1</v>
      </c>
      <c r="H61" s="40">
        <v>0</v>
      </c>
      <c r="I61" s="40">
        <v>0</v>
      </c>
      <c r="J61" s="40">
        <v>0</v>
      </c>
      <c r="P61" s="40">
        <v>0</v>
      </c>
      <c r="Q61" s="40">
        <v>0</v>
      </c>
      <c r="R61" s="40">
        <v>0</v>
      </c>
    </row>
    <row r="62" spans="1:18" x14ac:dyDescent="0.2">
      <c r="A62" s="39" t="s">
        <v>33</v>
      </c>
      <c r="B62" s="39" t="s">
        <v>13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40" t="s">
        <v>33</v>
      </c>
      <c r="B63" s="40" t="s">
        <v>14</v>
      </c>
      <c r="D63" s="40">
        <v>0</v>
      </c>
      <c r="E63" s="40">
        <v>0</v>
      </c>
      <c r="F63" s="40">
        <v>0</v>
      </c>
      <c r="H63" s="40">
        <v>0</v>
      </c>
      <c r="I63" s="40">
        <v>0</v>
      </c>
      <c r="J63" s="40">
        <v>0</v>
      </c>
      <c r="P63" s="40">
        <v>0</v>
      </c>
      <c r="Q63" s="40">
        <v>0</v>
      </c>
      <c r="R63" s="40">
        <v>0</v>
      </c>
    </row>
    <row r="64" spans="1:18" x14ac:dyDescent="0.2">
      <c r="A64" s="39" t="s">
        <v>34</v>
      </c>
      <c r="B64" s="39" t="s">
        <v>12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40" t="s">
        <v>34</v>
      </c>
      <c r="B65" s="40" t="s">
        <v>13</v>
      </c>
      <c r="D65" s="40">
        <v>0</v>
      </c>
      <c r="E65" s="40">
        <v>0</v>
      </c>
      <c r="F65" s="40">
        <v>0</v>
      </c>
      <c r="H65" s="40">
        <v>0</v>
      </c>
      <c r="I65" s="40">
        <v>0</v>
      </c>
      <c r="J65" s="40">
        <v>0</v>
      </c>
      <c r="P65" s="40">
        <v>0</v>
      </c>
      <c r="Q65" s="40">
        <v>0</v>
      </c>
      <c r="R65" s="40">
        <v>0</v>
      </c>
    </row>
    <row r="66" spans="1:18" x14ac:dyDescent="0.2">
      <c r="A66" s="39" t="s">
        <v>34</v>
      </c>
      <c r="B66" s="39" t="s">
        <v>14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P66" s="39">
        <v>0</v>
      </c>
      <c r="Q66" s="39">
        <v>0</v>
      </c>
      <c r="R66" s="39">
        <v>0</v>
      </c>
    </row>
    <row r="67" spans="1:18" x14ac:dyDescent="0.2">
      <c r="A67" s="40" t="s">
        <v>35</v>
      </c>
      <c r="B67" s="40" t="s">
        <v>12</v>
      </c>
      <c r="D67" s="40">
        <v>0</v>
      </c>
      <c r="E67" s="40">
        <v>0</v>
      </c>
      <c r="F67" s="40">
        <v>0</v>
      </c>
      <c r="H67" s="40">
        <v>0</v>
      </c>
      <c r="I67" s="40">
        <v>0</v>
      </c>
      <c r="J67" s="40">
        <v>0</v>
      </c>
      <c r="P67" s="40">
        <v>0</v>
      </c>
      <c r="Q67" s="40">
        <v>0</v>
      </c>
      <c r="R67" s="40">
        <v>0</v>
      </c>
    </row>
    <row r="68" spans="1:18" x14ac:dyDescent="0.2">
      <c r="A68" s="39" t="s">
        <v>35</v>
      </c>
      <c r="B68" s="39" t="s">
        <v>13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40" t="s">
        <v>35</v>
      </c>
      <c r="B69" s="40" t="s">
        <v>14</v>
      </c>
      <c r="D69" s="40">
        <v>0</v>
      </c>
      <c r="E69" s="40">
        <v>0</v>
      </c>
      <c r="F69" s="40">
        <v>0</v>
      </c>
      <c r="H69" s="40">
        <v>0</v>
      </c>
      <c r="I69" s="40">
        <v>0</v>
      </c>
      <c r="J69" s="40">
        <v>0</v>
      </c>
      <c r="P69" s="40">
        <v>0</v>
      </c>
      <c r="Q69" s="40">
        <v>0</v>
      </c>
      <c r="R69" s="40">
        <v>0</v>
      </c>
    </row>
    <row r="70" spans="1:18" x14ac:dyDescent="0.2">
      <c r="A70" s="39" t="s">
        <v>36</v>
      </c>
      <c r="B70" s="39" t="s">
        <v>12</v>
      </c>
      <c r="D70" s="39">
        <v>3</v>
      </c>
      <c r="E70" s="39">
        <v>3</v>
      </c>
      <c r="F70" s="39">
        <v>3</v>
      </c>
      <c r="H70" s="39">
        <v>1</v>
      </c>
      <c r="I70" s="39">
        <v>0</v>
      </c>
      <c r="J70" s="39">
        <v>0</v>
      </c>
      <c r="P70" s="39">
        <v>0</v>
      </c>
      <c r="Q70" s="39">
        <v>0</v>
      </c>
      <c r="R70" s="39">
        <v>1</v>
      </c>
    </row>
    <row r="71" spans="1:18" x14ac:dyDescent="0.2">
      <c r="A71" s="40" t="s">
        <v>36</v>
      </c>
      <c r="B71" s="40" t="s">
        <v>13</v>
      </c>
      <c r="D71" s="40">
        <v>0</v>
      </c>
      <c r="E71" s="40">
        <v>0</v>
      </c>
      <c r="F71" s="40">
        <v>0</v>
      </c>
      <c r="H71" s="40">
        <v>0</v>
      </c>
      <c r="I71" s="40">
        <v>0</v>
      </c>
      <c r="J71" s="40">
        <v>0</v>
      </c>
      <c r="P71" s="40">
        <v>0</v>
      </c>
      <c r="Q71" s="40">
        <v>0</v>
      </c>
      <c r="R71" s="40">
        <v>0</v>
      </c>
    </row>
    <row r="72" spans="1:18" x14ac:dyDescent="0.2">
      <c r="A72" s="39" t="s">
        <v>36</v>
      </c>
      <c r="B72" s="39" t="s">
        <v>14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40" t="s">
        <v>37</v>
      </c>
      <c r="B73" s="40" t="s">
        <v>12</v>
      </c>
      <c r="D73" s="40">
        <v>6</v>
      </c>
      <c r="E73" s="40">
        <v>7</v>
      </c>
      <c r="F73" s="40">
        <v>7</v>
      </c>
      <c r="H73" s="40">
        <v>0</v>
      </c>
      <c r="I73" s="40">
        <v>1</v>
      </c>
      <c r="J73" s="40">
        <v>0</v>
      </c>
      <c r="P73" s="40">
        <v>0</v>
      </c>
      <c r="Q73" s="40">
        <v>0</v>
      </c>
      <c r="R73" s="40">
        <v>0</v>
      </c>
    </row>
    <row r="74" spans="1:18" x14ac:dyDescent="0.2">
      <c r="A74" s="39" t="s">
        <v>37</v>
      </c>
      <c r="B74" s="39" t="s">
        <v>13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40" t="s">
        <v>37</v>
      </c>
      <c r="B75" s="40" t="s">
        <v>14</v>
      </c>
      <c r="D75" s="40">
        <v>2</v>
      </c>
      <c r="E75" s="40">
        <v>3</v>
      </c>
      <c r="F75" s="40">
        <v>4</v>
      </c>
      <c r="H75" s="40">
        <v>0</v>
      </c>
      <c r="I75" s="40">
        <v>1</v>
      </c>
      <c r="J75" s="40">
        <v>1</v>
      </c>
      <c r="P75" s="40">
        <v>0</v>
      </c>
      <c r="Q75" s="40">
        <v>0</v>
      </c>
      <c r="R75" s="40">
        <v>0</v>
      </c>
    </row>
    <row r="76" spans="1:18" x14ac:dyDescent="0.2">
      <c r="A76" s="39" t="s">
        <v>38</v>
      </c>
      <c r="B76" s="39" t="s">
        <v>12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40" t="s">
        <v>38</v>
      </c>
      <c r="B77" s="40" t="s">
        <v>13</v>
      </c>
      <c r="D77" s="40">
        <v>0</v>
      </c>
      <c r="E77" s="40">
        <v>0</v>
      </c>
      <c r="F77" s="40">
        <v>0</v>
      </c>
      <c r="H77" s="40">
        <v>0</v>
      </c>
      <c r="I77" s="40">
        <v>0</v>
      </c>
      <c r="J77" s="40">
        <v>0</v>
      </c>
      <c r="P77" s="40">
        <v>0</v>
      </c>
      <c r="Q77" s="40">
        <v>0</v>
      </c>
      <c r="R77" s="40">
        <v>0</v>
      </c>
    </row>
    <row r="78" spans="1:18" x14ac:dyDescent="0.2">
      <c r="A78" s="39" t="s">
        <v>38</v>
      </c>
      <c r="B78" s="39" t="s">
        <v>14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40" t="s">
        <v>39</v>
      </c>
      <c r="B79" s="40" t="s">
        <v>12</v>
      </c>
      <c r="D79" s="40">
        <v>20</v>
      </c>
      <c r="E79" s="40">
        <v>21</v>
      </c>
      <c r="F79" s="40">
        <v>22</v>
      </c>
      <c r="H79" s="40">
        <v>3</v>
      </c>
      <c r="I79" s="40">
        <v>1</v>
      </c>
      <c r="J79" s="40">
        <v>2</v>
      </c>
      <c r="P79" s="40">
        <v>0</v>
      </c>
      <c r="Q79" s="40">
        <v>1</v>
      </c>
      <c r="R79" s="40">
        <v>0</v>
      </c>
    </row>
    <row r="80" spans="1:18" x14ac:dyDescent="0.2">
      <c r="A80" s="39" t="s">
        <v>39</v>
      </c>
      <c r="B80" s="39" t="s">
        <v>13</v>
      </c>
      <c r="D80" s="39">
        <v>1</v>
      </c>
      <c r="E80" s="39">
        <v>1</v>
      </c>
      <c r="F80" s="39">
        <v>1</v>
      </c>
      <c r="H80" s="39">
        <v>0</v>
      </c>
      <c r="I80" s="39">
        <v>0</v>
      </c>
      <c r="J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40" t="s">
        <v>39</v>
      </c>
      <c r="B81" s="40" t="s">
        <v>14</v>
      </c>
      <c r="D81" s="40">
        <v>3</v>
      </c>
      <c r="E81" s="40">
        <v>3</v>
      </c>
      <c r="F81" s="40">
        <v>5</v>
      </c>
      <c r="H81" s="40">
        <v>1</v>
      </c>
      <c r="I81" s="40">
        <v>1</v>
      </c>
      <c r="J81" s="40">
        <v>2</v>
      </c>
      <c r="P81" s="40">
        <v>1</v>
      </c>
      <c r="Q81" s="40">
        <v>0</v>
      </c>
      <c r="R81" s="40">
        <v>0</v>
      </c>
    </row>
    <row r="82" spans="1:18" x14ac:dyDescent="0.2">
      <c r="A82" s="39" t="s">
        <v>40</v>
      </c>
      <c r="B82" s="39" t="s">
        <v>12</v>
      </c>
      <c r="D82" s="39">
        <v>47</v>
      </c>
      <c r="E82" s="39">
        <v>48</v>
      </c>
      <c r="F82" s="39">
        <v>50</v>
      </c>
      <c r="H82" s="39">
        <v>14</v>
      </c>
      <c r="I82" s="39">
        <v>2</v>
      </c>
      <c r="J82" s="39">
        <v>3</v>
      </c>
      <c r="P82" s="39">
        <v>1</v>
      </c>
      <c r="Q82" s="39">
        <v>0</v>
      </c>
      <c r="R82" s="39">
        <v>3</v>
      </c>
    </row>
    <row r="83" spans="1:18" x14ac:dyDescent="0.2">
      <c r="A83" s="40" t="s">
        <v>40</v>
      </c>
      <c r="B83" s="40" t="s">
        <v>13</v>
      </c>
      <c r="D83" s="40">
        <v>1</v>
      </c>
      <c r="E83" s="40">
        <v>1</v>
      </c>
      <c r="F83" s="40">
        <v>1</v>
      </c>
      <c r="H83" s="40">
        <v>0</v>
      </c>
      <c r="I83" s="40">
        <v>0</v>
      </c>
      <c r="J83" s="40">
        <v>0</v>
      </c>
      <c r="P83" s="40">
        <v>0</v>
      </c>
      <c r="Q83" s="40">
        <v>0</v>
      </c>
      <c r="R83" s="40">
        <v>1</v>
      </c>
    </row>
    <row r="84" spans="1:18" x14ac:dyDescent="0.2">
      <c r="A84" s="39" t="s">
        <v>40</v>
      </c>
      <c r="B84" s="39" t="s">
        <v>14</v>
      </c>
      <c r="D84" s="39">
        <v>4</v>
      </c>
      <c r="E84" s="39">
        <v>6</v>
      </c>
      <c r="F84" s="39">
        <v>8</v>
      </c>
      <c r="H84" s="39">
        <v>1</v>
      </c>
      <c r="I84" s="39">
        <v>2</v>
      </c>
      <c r="J84" s="39">
        <v>2</v>
      </c>
      <c r="P84" s="39">
        <v>0</v>
      </c>
      <c r="Q84" s="39">
        <v>0</v>
      </c>
      <c r="R84" s="39">
        <v>3</v>
      </c>
    </row>
    <row r="85" spans="1:18" x14ac:dyDescent="0.2">
      <c r="A85" s="40" t="s">
        <v>41</v>
      </c>
      <c r="B85" s="40" t="s">
        <v>12</v>
      </c>
      <c r="D85" s="40">
        <v>23</v>
      </c>
      <c r="E85" s="40">
        <v>25</v>
      </c>
      <c r="F85" s="40">
        <v>26</v>
      </c>
      <c r="H85" s="40">
        <v>4</v>
      </c>
      <c r="I85" s="40">
        <v>3</v>
      </c>
      <c r="J85" s="40">
        <v>1</v>
      </c>
      <c r="P85" s="40">
        <v>1</v>
      </c>
      <c r="Q85" s="40">
        <v>0</v>
      </c>
      <c r="R85" s="40">
        <v>1</v>
      </c>
    </row>
    <row r="86" spans="1:18" x14ac:dyDescent="0.2">
      <c r="A86" s="39" t="s">
        <v>41</v>
      </c>
      <c r="B86" s="39" t="s">
        <v>13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40" t="s">
        <v>41</v>
      </c>
      <c r="B87" s="40" t="s">
        <v>14</v>
      </c>
      <c r="D87" s="40">
        <v>5</v>
      </c>
      <c r="E87" s="40">
        <v>4</v>
      </c>
      <c r="F87" s="40">
        <v>5</v>
      </c>
      <c r="H87" s="40">
        <v>1</v>
      </c>
      <c r="I87" s="40">
        <v>1</v>
      </c>
      <c r="J87" s="40">
        <v>1</v>
      </c>
      <c r="P87" s="40">
        <v>2</v>
      </c>
      <c r="Q87" s="40">
        <v>0</v>
      </c>
      <c r="R87" s="40">
        <v>0</v>
      </c>
    </row>
    <row r="88" spans="1:18" x14ac:dyDescent="0.2">
      <c r="A88" s="39" t="s">
        <v>42</v>
      </c>
      <c r="B88" s="39" t="s">
        <v>12</v>
      </c>
      <c r="D88" s="39">
        <v>9</v>
      </c>
      <c r="E88" s="39">
        <v>9</v>
      </c>
      <c r="F88" s="39">
        <v>12</v>
      </c>
      <c r="H88" s="39">
        <v>2</v>
      </c>
      <c r="I88" s="39">
        <v>0</v>
      </c>
      <c r="J88" s="39">
        <v>3</v>
      </c>
      <c r="P88" s="39">
        <v>0</v>
      </c>
      <c r="Q88" s="39">
        <v>0</v>
      </c>
      <c r="R88" s="39">
        <v>1</v>
      </c>
    </row>
    <row r="89" spans="1:18" x14ac:dyDescent="0.2">
      <c r="A89" s="40" t="s">
        <v>42</v>
      </c>
      <c r="B89" s="40" t="s">
        <v>13</v>
      </c>
      <c r="D89" s="40">
        <v>0</v>
      </c>
      <c r="E89" s="40">
        <v>0</v>
      </c>
      <c r="F89" s="40">
        <v>0</v>
      </c>
      <c r="H89" s="40">
        <v>0</v>
      </c>
      <c r="I89" s="40">
        <v>0</v>
      </c>
      <c r="J89" s="40">
        <v>0</v>
      </c>
      <c r="P89" s="40">
        <v>0</v>
      </c>
      <c r="Q89" s="40">
        <v>0</v>
      </c>
      <c r="R89" s="40">
        <v>0</v>
      </c>
    </row>
    <row r="90" spans="1:18" x14ac:dyDescent="0.2">
      <c r="A90" s="39" t="s">
        <v>42</v>
      </c>
      <c r="B90" s="39" t="s">
        <v>14</v>
      </c>
      <c r="D90" s="39">
        <v>3</v>
      </c>
      <c r="E90" s="39">
        <v>2</v>
      </c>
      <c r="F90" s="39">
        <v>3</v>
      </c>
      <c r="H90" s="39">
        <v>0</v>
      </c>
      <c r="I90" s="39">
        <v>0</v>
      </c>
      <c r="J90" s="39">
        <v>1</v>
      </c>
      <c r="P90" s="39">
        <v>1</v>
      </c>
      <c r="Q90" s="39">
        <v>0</v>
      </c>
      <c r="R90" s="39">
        <v>0</v>
      </c>
    </row>
    <row r="91" spans="1:18" x14ac:dyDescent="0.2">
      <c r="A91" s="40" t="s">
        <v>43</v>
      </c>
      <c r="B91" s="40" t="s">
        <v>12</v>
      </c>
      <c r="D91" s="40">
        <v>7</v>
      </c>
      <c r="E91" s="40">
        <v>8</v>
      </c>
      <c r="F91" s="40">
        <v>8</v>
      </c>
      <c r="H91" s="40">
        <v>0</v>
      </c>
      <c r="I91" s="40">
        <v>1</v>
      </c>
      <c r="J91" s="40">
        <v>0</v>
      </c>
      <c r="P91" s="40">
        <v>0</v>
      </c>
      <c r="Q91" s="40">
        <v>0</v>
      </c>
      <c r="R91" s="40">
        <v>0</v>
      </c>
    </row>
    <row r="92" spans="1:18" x14ac:dyDescent="0.2">
      <c r="A92" s="39" t="s">
        <v>43</v>
      </c>
      <c r="B92" s="39" t="s">
        <v>13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40" t="s">
        <v>43</v>
      </c>
      <c r="B93" s="40" t="s">
        <v>14</v>
      </c>
      <c r="D93" s="40">
        <v>3</v>
      </c>
      <c r="E93" s="40">
        <v>2</v>
      </c>
      <c r="F93" s="40">
        <v>5</v>
      </c>
      <c r="H93" s="40">
        <v>0</v>
      </c>
      <c r="I93" s="40">
        <v>0</v>
      </c>
      <c r="J93" s="40">
        <v>3</v>
      </c>
      <c r="P93" s="40">
        <v>1</v>
      </c>
      <c r="Q93" s="40">
        <v>0</v>
      </c>
      <c r="R93" s="40">
        <v>1</v>
      </c>
    </row>
    <row r="94" spans="1:18" x14ac:dyDescent="0.2">
      <c r="A94" s="39" t="s">
        <v>44</v>
      </c>
      <c r="B94" s="39" t="s">
        <v>12</v>
      </c>
      <c r="D94" s="39">
        <v>32</v>
      </c>
      <c r="E94" s="39">
        <v>34</v>
      </c>
      <c r="F94" s="39">
        <v>36</v>
      </c>
      <c r="H94" s="39">
        <v>4</v>
      </c>
      <c r="I94" s="39">
        <v>2</v>
      </c>
      <c r="J94" s="39">
        <v>2</v>
      </c>
      <c r="P94" s="39">
        <v>0</v>
      </c>
      <c r="Q94" s="39">
        <v>0</v>
      </c>
      <c r="R94" s="39">
        <v>1</v>
      </c>
    </row>
    <row r="95" spans="1:18" x14ac:dyDescent="0.2">
      <c r="A95" s="40" t="s">
        <v>44</v>
      </c>
      <c r="B95" s="40" t="s">
        <v>13</v>
      </c>
      <c r="D95" s="40">
        <v>0</v>
      </c>
      <c r="E95" s="40">
        <v>0</v>
      </c>
      <c r="F95" s="40">
        <v>0</v>
      </c>
      <c r="H95" s="40">
        <v>0</v>
      </c>
      <c r="I95" s="40">
        <v>0</v>
      </c>
      <c r="J95" s="40">
        <v>0</v>
      </c>
      <c r="P95" s="40">
        <v>0</v>
      </c>
      <c r="Q95" s="40">
        <v>0</v>
      </c>
      <c r="R95" s="40">
        <v>0</v>
      </c>
    </row>
    <row r="96" spans="1:18" x14ac:dyDescent="0.2">
      <c r="A96" s="39" t="s">
        <v>44</v>
      </c>
      <c r="B96" s="39" t="s">
        <v>14</v>
      </c>
      <c r="D96" s="39">
        <v>6</v>
      </c>
      <c r="E96" s="39">
        <v>4</v>
      </c>
      <c r="F96" s="39">
        <v>6</v>
      </c>
      <c r="H96" s="39">
        <v>2</v>
      </c>
      <c r="I96" s="39">
        <v>0</v>
      </c>
      <c r="J96" s="39">
        <v>2</v>
      </c>
      <c r="P96" s="39">
        <v>2</v>
      </c>
      <c r="Q96" s="39">
        <v>0</v>
      </c>
      <c r="R96" s="39">
        <v>1</v>
      </c>
    </row>
    <row r="97" spans="1:18" x14ac:dyDescent="0.2">
      <c r="A97" s="40" t="s">
        <v>45</v>
      </c>
      <c r="B97" s="40" t="s">
        <v>12</v>
      </c>
      <c r="D97" s="40">
        <v>0</v>
      </c>
      <c r="E97" s="40">
        <v>0</v>
      </c>
      <c r="F97" s="40">
        <v>0</v>
      </c>
      <c r="H97" s="40">
        <v>0</v>
      </c>
      <c r="I97" s="40">
        <v>0</v>
      </c>
      <c r="J97" s="40">
        <v>0</v>
      </c>
      <c r="P97" s="40">
        <v>0</v>
      </c>
      <c r="Q97" s="40">
        <v>0</v>
      </c>
      <c r="R97" s="40">
        <v>0</v>
      </c>
    </row>
    <row r="98" spans="1:18" x14ac:dyDescent="0.2">
      <c r="A98" s="39" t="s">
        <v>45</v>
      </c>
      <c r="B98" s="39" t="s">
        <v>13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P98" s="39">
        <v>0</v>
      </c>
      <c r="Q98" s="39">
        <v>0</v>
      </c>
      <c r="R98" s="39">
        <v>0</v>
      </c>
    </row>
    <row r="99" spans="1:18" x14ac:dyDescent="0.2">
      <c r="A99" s="40" t="s">
        <v>45</v>
      </c>
      <c r="B99" s="40" t="s">
        <v>14</v>
      </c>
      <c r="D99" s="40">
        <v>0</v>
      </c>
      <c r="E99" s="40">
        <v>0</v>
      </c>
      <c r="F99" s="40">
        <v>0</v>
      </c>
      <c r="H99" s="40">
        <v>0</v>
      </c>
      <c r="I99" s="40">
        <v>0</v>
      </c>
      <c r="J99" s="40">
        <v>0</v>
      </c>
      <c r="P99" s="40">
        <v>0</v>
      </c>
      <c r="Q99" s="40">
        <v>0</v>
      </c>
      <c r="R99" s="40">
        <v>0</v>
      </c>
    </row>
    <row r="100" spans="1:18" x14ac:dyDescent="0.2">
      <c r="A100" s="39" t="s">
        <v>46</v>
      </c>
      <c r="B100" s="39" t="s">
        <v>12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P100" s="39">
        <v>0</v>
      </c>
      <c r="Q100" s="39">
        <v>0</v>
      </c>
      <c r="R100" s="39">
        <v>0</v>
      </c>
    </row>
    <row r="101" spans="1:18" x14ac:dyDescent="0.2">
      <c r="A101" s="40" t="s">
        <v>46</v>
      </c>
      <c r="B101" s="40" t="s">
        <v>13</v>
      </c>
      <c r="D101" s="40">
        <v>0</v>
      </c>
      <c r="E101" s="40">
        <v>0</v>
      </c>
      <c r="F101" s="40">
        <v>0</v>
      </c>
      <c r="H101" s="40">
        <v>0</v>
      </c>
      <c r="I101" s="40">
        <v>0</v>
      </c>
      <c r="J101" s="40">
        <v>0</v>
      </c>
      <c r="P101" s="40">
        <v>0</v>
      </c>
      <c r="Q101" s="40">
        <v>0</v>
      </c>
      <c r="R101" s="40">
        <v>0</v>
      </c>
    </row>
    <row r="102" spans="1:18" x14ac:dyDescent="0.2">
      <c r="A102" s="39" t="s">
        <v>46</v>
      </c>
      <c r="B102" s="39" t="s">
        <v>14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P102" s="39">
        <v>0</v>
      </c>
      <c r="Q102" s="39">
        <v>0</v>
      </c>
      <c r="R102" s="39">
        <v>0</v>
      </c>
    </row>
    <row r="103" spans="1:18" x14ac:dyDescent="0.2">
      <c r="A103" s="40" t="s">
        <v>47</v>
      </c>
      <c r="B103" s="40" t="s">
        <v>12</v>
      </c>
      <c r="D103" s="40">
        <v>7</v>
      </c>
      <c r="E103" s="40">
        <v>11</v>
      </c>
      <c r="F103" s="40">
        <v>12</v>
      </c>
      <c r="H103" s="40">
        <v>1</v>
      </c>
      <c r="I103" s="40">
        <v>4</v>
      </c>
      <c r="J103" s="40">
        <v>1</v>
      </c>
      <c r="P103" s="40">
        <v>0</v>
      </c>
      <c r="Q103" s="40">
        <v>0</v>
      </c>
      <c r="R103" s="40">
        <v>1</v>
      </c>
    </row>
    <row r="104" spans="1:18" x14ac:dyDescent="0.2">
      <c r="A104" s="39" t="s">
        <v>47</v>
      </c>
      <c r="B104" s="39" t="s">
        <v>13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40" t="s">
        <v>47</v>
      </c>
      <c r="B105" s="40" t="s">
        <v>14</v>
      </c>
      <c r="D105" s="40">
        <v>2</v>
      </c>
      <c r="E105" s="40">
        <v>1</v>
      </c>
      <c r="F105" s="40">
        <v>3</v>
      </c>
      <c r="H105" s="40">
        <v>0</v>
      </c>
      <c r="I105" s="40">
        <v>0</v>
      </c>
      <c r="J105" s="40">
        <v>2</v>
      </c>
      <c r="P105" s="40">
        <v>1</v>
      </c>
      <c r="Q105" s="40">
        <v>0</v>
      </c>
      <c r="R105" s="40">
        <v>0</v>
      </c>
    </row>
    <row r="106" spans="1:18" x14ac:dyDescent="0.2">
      <c r="A106" s="39" t="s">
        <v>48</v>
      </c>
      <c r="B106" s="39" t="s">
        <v>12</v>
      </c>
      <c r="D106" s="39">
        <v>3</v>
      </c>
      <c r="E106" s="39">
        <v>3</v>
      </c>
      <c r="F106" s="39">
        <v>2</v>
      </c>
      <c r="H106" s="39">
        <v>0</v>
      </c>
      <c r="I106" s="39">
        <v>0</v>
      </c>
      <c r="J106" s="39">
        <v>0</v>
      </c>
      <c r="P106" s="39">
        <v>0</v>
      </c>
      <c r="Q106" s="39">
        <v>1</v>
      </c>
      <c r="R106" s="39">
        <v>0</v>
      </c>
    </row>
    <row r="107" spans="1:18" x14ac:dyDescent="0.2">
      <c r="A107" s="40" t="s">
        <v>48</v>
      </c>
      <c r="B107" s="40" t="s">
        <v>13</v>
      </c>
      <c r="D107" s="40">
        <v>0</v>
      </c>
      <c r="E107" s="40">
        <v>0</v>
      </c>
      <c r="F107" s="40">
        <v>0</v>
      </c>
      <c r="H107" s="40">
        <v>0</v>
      </c>
      <c r="I107" s="40">
        <v>0</v>
      </c>
      <c r="J107" s="40">
        <v>0</v>
      </c>
      <c r="P107" s="40">
        <v>0</v>
      </c>
      <c r="Q107" s="40">
        <v>0</v>
      </c>
      <c r="R107" s="40">
        <v>0</v>
      </c>
    </row>
    <row r="108" spans="1:18" x14ac:dyDescent="0.2">
      <c r="A108" s="39" t="s">
        <v>48</v>
      </c>
      <c r="B108" s="39" t="s">
        <v>14</v>
      </c>
      <c r="D108" s="39">
        <v>1</v>
      </c>
      <c r="E108" s="39">
        <v>1</v>
      </c>
      <c r="F108" s="39">
        <v>1</v>
      </c>
      <c r="H108" s="39">
        <v>0</v>
      </c>
      <c r="I108" s="39">
        <v>0</v>
      </c>
      <c r="J108" s="39">
        <v>0</v>
      </c>
      <c r="P108" s="39">
        <v>0</v>
      </c>
      <c r="Q108" s="39">
        <v>0</v>
      </c>
      <c r="R108" s="39">
        <v>0</v>
      </c>
    </row>
    <row r="109" spans="1:18" x14ac:dyDescent="0.2">
      <c r="A109" s="40" t="s">
        <v>49</v>
      </c>
      <c r="B109" s="40" t="s">
        <v>12</v>
      </c>
      <c r="D109" s="40">
        <v>0</v>
      </c>
      <c r="E109" s="40">
        <v>0</v>
      </c>
      <c r="F109" s="40">
        <v>0</v>
      </c>
      <c r="H109" s="40">
        <v>0</v>
      </c>
      <c r="I109" s="40">
        <v>0</v>
      </c>
      <c r="J109" s="40">
        <v>0</v>
      </c>
      <c r="P109" s="40">
        <v>0</v>
      </c>
      <c r="Q109" s="40">
        <v>0</v>
      </c>
      <c r="R109" s="40">
        <v>0</v>
      </c>
    </row>
    <row r="110" spans="1:18" x14ac:dyDescent="0.2">
      <c r="A110" s="39" t="s">
        <v>49</v>
      </c>
      <c r="B110" s="39" t="s">
        <v>13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40" t="s">
        <v>49</v>
      </c>
      <c r="B111" s="40" t="s">
        <v>14</v>
      </c>
      <c r="D111" s="40">
        <v>0</v>
      </c>
      <c r="E111" s="40">
        <v>0</v>
      </c>
      <c r="F111" s="40">
        <v>0</v>
      </c>
      <c r="H111" s="40">
        <v>0</v>
      </c>
      <c r="I111" s="40">
        <v>0</v>
      </c>
      <c r="J111" s="40">
        <v>0</v>
      </c>
      <c r="P111" s="40">
        <v>0</v>
      </c>
      <c r="Q111" s="40">
        <v>0</v>
      </c>
      <c r="R111" s="40">
        <v>0</v>
      </c>
    </row>
    <row r="112" spans="1:18" x14ac:dyDescent="0.2">
      <c r="A112" s="39" t="s">
        <v>50</v>
      </c>
      <c r="B112" s="39" t="s">
        <v>12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P112" s="39">
        <v>0</v>
      </c>
      <c r="Q112" s="39">
        <v>0</v>
      </c>
      <c r="R112" s="39">
        <v>0</v>
      </c>
    </row>
    <row r="113" spans="1:18" x14ac:dyDescent="0.2">
      <c r="A113" s="40" t="s">
        <v>50</v>
      </c>
      <c r="B113" s="40" t="s">
        <v>13</v>
      </c>
      <c r="D113" s="40">
        <v>0</v>
      </c>
      <c r="E113" s="40">
        <v>0</v>
      </c>
      <c r="F113" s="40">
        <v>0</v>
      </c>
      <c r="H113" s="40">
        <v>0</v>
      </c>
      <c r="I113" s="40">
        <v>0</v>
      </c>
      <c r="J113" s="40">
        <v>0</v>
      </c>
      <c r="P113" s="40">
        <v>0</v>
      </c>
      <c r="Q113" s="40">
        <v>0</v>
      </c>
      <c r="R113" s="40">
        <v>0</v>
      </c>
    </row>
    <row r="114" spans="1:18" x14ac:dyDescent="0.2">
      <c r="A114" s="39" t="s">
        <v>50</v>
      </c>
      <c r="B114" s="39" t="s">
        <v>14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P114" s="39">
        <v>0</v>
      </c>
      <c r="Q114" s="39">
        <v>0</v>
      </c>
      <c r="R114" s="39">
        <v>0</v>
      </c>
    </row>
    <row r="115" spans="1:18" x14ac:dyDescent="0.2">
      <c r="A115" s="40" t="s">
        <v>51</v>
      </c>
      <c r="B115" s="40" t="s">
        <v>12</v>
      </c>
      <c r="D115" s="40">
        <v>52</v>
      </c>
      <c r="E115" s="40">
        <v>58</v>
      </c>
      <c r="F115" s="40">
        <v>61</v>
      </c>
      <c r="H115" s="40">
        <v>5</v>
      </c>
      <c r="I115" s="40">
        <v>6</v>
      </c>
      <c r="J115" s="40">
        <v>3</v>
      </c>
      <c r="P115" s="40">
        <v>0</v>
      </c>
      <c r="Q115" s="40">
        <v>0</v>
      </c>
      <c r="R115" s="40">
        <v>0</v>
      </c>
    </row>
    <row r="116" spans="1:18" x14ac:dyDescent="0.2">
      <c r="A116" s="39" t="s">
        <v>51</v>
      </c>
      <c r="B116" s="39" t="s">
        <v>13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P116" s="39">
        <v>0</v>
      </c>
      <c r="Q116" s="39">
        <v>0</v>
      </c>
      <c r="R116" s="39">
        <v>0</v>
      </c>
    </row>
    <row r="117" spans="1:18" x14ac:dyDescent="0.2">
      <c r="A117" s="40" t="s">
        <v>51</v>
      </c>
      <c r="B117" s="40" t="s">
        <v>14</v>
      </c>
      <c r="D117" s="40">
        <v>4</v>
      </c>
      <c r="E117" s="40">
        <v>7</v>
      </c>
      <c r="F117" s="40">
        <v>7</v>
      </c>
      <c r="H117" s="40">
        <v>1</v>
      </c>
      <c r="I117" s="40">
        <v>3</v>
      </c>
      <c r="J117" s="40">
        <v>0</v>
      </c>
      <c r="P117" s="40">
        <v>0</v>
      </c>
      <c r="Q117" s="40">
        <v>0</v>
      </c>
      <c r="R117" s="40">
        <v>1</v>
      </c>
    </row>
    <row r="118" spans="1:18" x14ac:dyDescent="0.2">
      <c r="A118" s="39" t="s">
        <v>52</v>
      </c>
      <c r="B118" s="39" t="s">
        <v>12</v>
      </c>
      <c r="D118" s="39">
        <v>18</v>
      </c>
      <c r="E118" s="39">
        <v>19</v>
      </c>
      <c r="F118" s="39">
        <v>21</v>
      </c>
      <c r="H118" s="39">
        <v>2</v>
      </c>
      <c r="I118" s="39">
        <v>2</v>
      </c>
      <c r="J118" s="39">
        <v>2</v>
      </c>
      <c r="P118" s="39">
        <v>1</v>
      </c>
      <c r="Q118" s="39">
        <v>0</v>
      </c>
      <c r="R118" s="39">
        <v>0</v>
      </c>
    </row>
    <row r="119" spans="1:18" x14ac:dyDescent="0.2">
      <c r="A119" s="40" t="s">
        <v>52</v>
      </c>
      <c r="B119" s="40" t="s">
        <v>13</v>
      </c>
      <c r="D119" s="40">
        <v>0</v>
      </c>
      <c r="E119" s="40">
        <v>0</v>
      </c>
      <c r="F119" s="40">
        <v>0</v>
      </c>
      <c r="H119" s="40">
        <v>0</v>
      </c>
      <c r="I119" s="40">
        <v>0</v>
      </c>
      <c r="J119" s="40">
        <v>0</v>
      </c>
      <c r="P119" s="40">
        <v>0</v>
      </c>
      <c r="Q119" s="40">
        <v>0</v>
      </c>
      <c r="R119" s="40">
        <v>0</v>
      </c>
    </row>
    <row r="120" spans="1:18" x14ac:dyDescent="0.2">
      <c r="A120" s="39" t="s">
        <v>52</v>
      </c>
      <c r="B120" s="39" t="s">
        <v>14</v>
      </c>
      <c r="D120" s="39">
        <v>3</v>
      </c>
      <c r="E120" s="39">
        <v>3</v>
      </c>
      <c r="F120" s="39">
        <v>4</v>
      </c>
      <c r="H120" s="39">
        <v>1</v>
      </c>
      <c r="I120" s="39">
        <v>0</v>
      </c>
      <c r="J120" s="39">
        <v>1</v>
      </c>
      <c r="P120" s="39">
        <v>0</v>
      </c>
      <c r="Q120" s="39">
        <v>0</v>
      </c>
      <c r="R120" s="39">
        <v>0</v>
      </c>
    </row>
    <row r="121" spans="1:18" x14ac:dyDescent="0.2">
      <c r="A121" s="40" t="s">
        <v>53</v>
      </c>
      <c r="B121" s="40" t="s">
        <v>12</v>
      </c>
      <c r="D121" s="40">
        <v>21</v>
      </c>
      <c r="E121" s="40">
        <v>23</v>
      </c>
      <c r="F121" s="40">
        <v>25</v>
      </c>
      <c r="H121" s="40">
        <v>1</v>
      </c>
      <c r="I121" s="40">
        <v>2</v>
      </c>
      <c r="J121" s="40">
        <v>2</v>
      </c>
      <c r="P121" s="40">
        <v>0</v>
      </c>
      <c r="Q121" s="40">
        <v>0</v>
      </c>
      <c r="R121" s="40">
        <v>0</v>
      </c>
    </row>
    <row r="122" spans="1:18" x14ac:dyDescent="0.2">
      <c r="A122" s="39" t="s">
        <v>53</v>
      </c>
      <c r="B122" s="39" t="s">
        <v>13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P122" s="39">
        <v>0</v>
      </c>
      <c r="Q122" s="39">
        <v>0</v>
      </c>
      <c r="R122" s="39">
        <v>0</v>
      </c>
    </row>
    <row r="123" spans="1:18" x14ac:dyDescent="0.2">
      <c r="A123" s="40" t="s">
        <v>53</v>
      </c>
      <c r="B123" s="40" t="s">
        <v>14</v>
      </c>
      <c r="D123" s="40">
        <v>6</v>
      </c>
      <c r="E123" s="40">
        <v>5</v>
      </c>
      <c r="F123" s="40">
        <v>6</v>
      </c>
      <c r="H123" s="40">
        <v>2</v>
      </c>
      <c r="I123" s="40">
        <v>1</v>
      </c>
      <c r="J123" s="40">
        <v>2</v>
      </c>
      <c r="P123" s="40">
        <v>2</v>
      </c>
      <c r="Q123" s="40">
        <v>1</v>
      </c>
      <c r="R123" s="40">
        <v>0</v>
      </c>
    </row>
    <row r="124" spans="1:18" x14ac:dyDescent="0.2">
      <c r="A124" s="39" t="s">
        <v>54</v>
      </c>
      <c r="B124" s="39" t="s">
        <v>12</v>
      </c>
      <c r="D124" s="39">
        <v>9</v>
      </c>
      <c r="E124" s="39">
        <v>9</v>
      </c>
      <c r="F124" s="39">
        <v>10</v>
      </c>
      <c r="H124" s="39">
        <v>2</v>
      </c>
      <c r="I124" s="39">
        <v>0</v>
      </c>
      <c r="J124" s="39">
        <v>1</v>
      </c>
      <c r="P124" s="39">
        <v>0</v>
      </c>
      <c r="Q124" s="39">
        <v>0</v>
      </c>
      <c r="R124" s="39">
        <v>0</v>
      </c>
    </row>
    <row r="125" spans="1:18" x14ac:dyDescent="0.2">
      <c r="A125" s="40" t="s">
        <v>54</v>
      </c>
      <c r="B125" s="40" t="s">
        <v>13</v>
      </c>
      <c r="D125" s="40">
        <v>0</v>
      </c>
      <c r="E125" s="40">
        <v>0</v>
      </c>
      <c r="F125" s="40">
        <v>0</v>
      </c>
      <c r="H125" s="40">
        <v>0</v>
      </c>
      <c r="I125" s="40">
        <v>0</v>
      </c>
      <c r="J125" s="40">
        <v>0</v>
      </c>
      <c r="P125" s="40">
        <v>0</v>
      </c>
      <c r="Q125" s="40">
        <v>0</v>
      </c>
      <c r="R125" s="40">
        <v>0</v>
      </c>
    </row>
    <row r="126" spans="1:18" x14ac:dyDescent="0.2">
      <c r="A126" s="39" t="s">
        <v>54</v>
      </c>
      <c r="B126" s="39" t="s">
        <v>14</v>
      </c>
      <c r="D126" s="39">
        <v>6</v>
      </c>
      <c r="E126" s="39">
        <v>7</v>
      </c>
      <c r="F126" s="39">
        <v>8</v>
      </c>
      <c r="H126" s="39">
        <v>1</v>
      </c>
      <c r="I126" s="39">
        <v>1</v>
      </c>
      <c r="J126" s="39">
        <v>1</v>
      </c>
      <c r="P126" s="39">
        <v>0</v>
      </c>
      <c r="Q126" s="39">
        <v>0</v>
      </c>
      <c r="R126" s="39">
        <v>0</v>
      </c>
    </row>
    <row r="127" spans="1:18" x14ac:dyDescent="0.2">
      <c r="A127" s="40" t="s">
        <v>55</v>
      </c>
      <c r="B127" s="40" t="s">
        <v>12</v>
      </c>
      <c r="D127" s="40">
        <v>7</v>
      </c>
      <c r="E127" s="40">
        <v>9</v>
      </c>
      <c r="F127" s="40">
        <v>11</v>
      </c>
      <c r="H127" s="40">
        <v>0</v>
      </c>
      <c r="I127" s="40">
        <v>2</v>
      </c>
      <c r="J127" s="40">
        <v>2</v>
      </c>
      <c r="P127" s="40">
        <v>0</v>
      </c>
      <c r="Q127" s="40">
        <v>0</v>
      </c>
      <c r="R127" s="40">
        <v>0</v>
      </c>
    </row>
    <row r="128" spans="1:18" x14ac:dyDescent="0.2">
      <c r="A128" s="39" t="s">
        <v>55</v>
      </c>
      <c r="B128" s="39" t="s">
        <v>13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P128" s="39">
        <v>0</v>
      </c>
      <c r="Q128" s="39">
        <v>0</v>
      </c>
      <c r="R128" s="39">
        <v>0</v>
      </c>
    </row>
    <row r="129" spans="1:18" x14ac:dyDescent="0.2">
      <c r="A129" s="40" t="s">
        <v>55</v>
      </c>
      <c r="B129" s="40" t="s">
        <v>14</v>
      </c>
      <c r="D129" s="40">
        <v>4</v>
      </c>
      <c r="E129" s="40">
        <v>9</v>
      </c>
      <c r="F129" s="40">
        <v>9</v>
      </c>
      <c r="H129" s="40">
        <v>1</v>
      </c>
      <c r="I129" s="40">
        <v>5</v>
      </c>
      <c r="J129" s="40">
        <v>0</v>
      </c>
      <c r="P129" s="40">
        <v>0</v>
      </c>
      <c r="Q129" s="40">
        <v>0</v>
      </c>
      <c r="R129" s="40">
        <v>3</v>
      </c>
    </row>
    <row r="130" spans="1:18" x14ac:dyDescent="0.2">
      <c r="A130" s="39" t="s">
        <v>56</v>
      </c>
      <c r="B130" s="39" t="s">
        <v>12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P130" s="39">
        <v>0</v>
      </c>
      <c r="Q130" s="39">
        <v>0</v>
      </c>
      <c r="R130" s="39">
        <v>0</v>
      </c>
    </row>
    <row r="131" spans="1:18" x14ac:dyDescent="0.2">
      <c r="A131" s="40" t="s">
        <v>56</v>
      </c>
      <c r="B131" s="40" t="s">
        <v>13</v>
      </c>
      <c r="D131" s="40">
        <v>0</v>
      </c>
      <c r="E131" s="40">
        <v>0</v>
      </c>
      <c r="F131" s="40">
        <v>0</v>
      </c>
      <c r="H131" s="40">
        <v>0</v>
      </c>
      <c r="I131" s="40">
        <v>0</v>
      </c>
      <c r="J131" s="40">
        <v>0</v>
      </c>
      <c r="P131" s="40">
        <v>0</v>
      </c>
      <c r="Q131" s="40">
        <v>0</v>
      </c>
      <c r="R131" s="40">
        <v>0</v>
      </c>
    </row>
    <row r="132" spans="1:18" x14ac:dyDescent="0.2">
      <c r="A132" s="39" t="s">
        <v>56</v>
      </c>
      <c r="B132" s="39" t="s">
        <v>14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P132" s="39">
        <v>0</v>
      </c>
      <c r="Q132" s="39">
        <v>0</v>
      </c>
      <c r="R132" s="39">
        <v>0</v>
      </c>
    </row>
    <row r="133" spans="1:18" x14ac:dyDescent="0.2">
      <c r="A133" s="74"/>
      <c r="B133" s="74"/>
      <c r="C133"/>
      <c r="D133" s="74"/>
      <c r="E133" s="74"/>
      <c r="F133" s="74"/>
      <c r="G133"/>
      <c r="H133" s="74"/>
      <c r="I133" s="74"/>
      <c r="J133" s="74"/>
      <c r="P133" s="74"/>
      <c r="Q133" s="74"/>
      <c r="R133" s="74"/>
    </row>
    <row r="134" spans="1:18" x14ac:dyDescent="0.2">
      <c r="D134">
        <f>SUMIF($B$4:$B$132,$B$132,D4:D132)</f>
        <v>58</v>
      </c>
      <c r="E134">
        <f t="shared" ref="E134:F134" si="5">SUMIF($B$4:$B$132,$B$132,E4:E132)</f>
        <v>64</v>
      </c>
      <c r="F134">
        <f t="shared" si="5"/>
        <v>81</v>
      </c>
      <c r="H134">
        <f t="shared" ref="H134:J134" si="6">SUMIF($B$4:$B$132,$B$132,H4:H132)</f>
        <v>12</v>
      </c>
      <c r="I134">
        <f t="shared" si="6"/>
        <v>16</v>
      </c>
      <c r="J134">
        <f t="shared" si="6"/>
        <v>19</v>
      </c>
      <c r="P134">
        <f t="shared" ref="P134:R134" si="7">SUMIF($B$4:$B$132,$B$132,P4:P132)</f>
        <v>10</v>
      </c>
      <c r="Q134">
        <f t="shared" si="7"/>
        <v>2</v>
      </c>
      <c r="R134">
        <f t="shared" si="7"/>
        <v>10</v>
      </c>
    </row>
    <row r="135" spans="1:18" ht="32" x14ac:dyDescent="0.2">
      <c r="D135" s="19" t="s">
        <v>117</v>
      </c>
      <c r="E135" s="19"/>
      <c r="F135" s="19"/>
      <c r="H135" s="19" t="s">
        <v>118</v>
      </c>
      <c r="I135" s="19"/>
      <c r="J135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1Q and March 2025 COVID Data Rpt 
&amp;P of &amp;N</oddHeader>
  </headerFooter>
  <colBreaks count="1" manualBreakCount="1">
    <brk id="11" max="133" man="1"/>
  </colBreaks>
  <ignoredErrors>
    <ignoredError sqref="A4:A1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1"/>
  <sheetViews>
    <sheetView view="pageLayout" zoomScaleNormal="100" workbookViewId="0">
      <selection activeCell="J6" sqref="J6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119</v>
      </c>
      <c r="B1" s="2"/>
      <c r="D1" s="8" t="s">
        <v>120</v>
      </c>
      <c r="E1" s="8"/>
      <c r="F1" s="8"/>
    </row>
    <row r="2" spans="1:6" x14ac:dyDescent="0.2">
      <c r="A2" s="2" t="s">
        <v>63</v>
      </c>
      <c r="B2" s="2" t="s">
        <v>64</v>
      </c>
      <c r="D2" s="73" t="str">
        <f>+'6. Deposits 2025'!D2</f>
        <v>Jan 2025</v>
      </c>
      <c r="E2" s="73" t="str">
        <f>+'6. Deposits 2025'!E2</f>
        <v>Feb 2025</v>
      </c>
      <c r="F2" s="73" t="str">
        <f>+'6. Deposits 2025'!F2</f>
        <v>Mar 2025</v>
      </c>
    </row>
    <row r="3" spans="1:6" x14ac:dyDescent="0.2">
      <c r="A3" s="39" t="s">
        <v>11</v>
      </c>
      <c r="B3" s="39" t="s">
        <v>12</v>
      </c>
      <c r="D3" s="39">
        <v>0</v>
      </c>
      <c r="E3" s="39">
        <v>0</v>
      </c>
      <c r="F3" s="39">
        <v>0</v>
      </c>
    </row>
    <row r="4" spans="1:6" x14ac:dyDescent="0.2">
      <c r="A4" s="40" t="s">
        <v>11</v>
      </c>
      <c r="B4" s="40" t="s">
        <v>13</v>
      </c>
      <c r="D4" s="40">
        <v>0</v>
      </c>
      <c r="E4" s="40">
        <v>0</v>
      </c>
      <c r="F4" s="40">
        <v>0</v>
      </c>
    </row>
    <row r="5" spans="1:6" x14ac:dyDescent="0.2">
      <c r="A5" s="39" t="s">
        <v>11</v>
      </c>
      <c r="B5" s="39" t="s">
        <v>14</v>
      </c>
      <c r="D5" s="39">
        <v>0</v>
      </c>
      <c r="E5" s="39">
        <v>0</v>
      </c>
      <c r="F5" s="39">
        <v>0</v>
      </c>
    </row>
    <row r="6" spans="1:6" x14ac:dyDescent="0.2">
      <c r="A6" s="40" t="s">
        <v>15</v>
      </c>
      <c r="B6" s="40" t="s">
        <v>12</v>
      </c>
      <c r="D6" s="40">
        <v>0</v>
      </c>
      <c r="E6" s="40">
        <v>0</v>
      </c>
      <c r="F6" s="40">
        <v>0</v>
      </c>
    </row>
    <row r="7" spans="1:6" x14ac:dyDescent="0.2">
      <c r="A7" s="39" t="s">
        <v>15</v>
      </c>
      <c r="B7" s="39" t="s">
        <v>13</v>
      </c>
      <c r="D7" s="39">
        <v>0</v>
      </c>
      <c r="E7" s="39">
        <v>0</v>
      </c>
      <c r="F7" s="39">
        <v>0</v>
      </c>
    </row>
    <row r="8" spans="1:6" x14ac:dyDescent="0.2">
      <c r="A8" s="40" t="s">
        <v>15</v>
      </c>
      <c r="B8" s="40" t="s">
        <v>14</v>
      </c>
      <c r="D8" s="40">
        <v>0</v>
      </c>
      <c r="E8" s="40">
        <v>0</v>
      </c>
      <c r="F8" s="40">
        <v>0</v>
      </c>
    </row>
    <row r="9" spans="1:6" x14ac:dyDescent="0.2">
      <c r="A9" s="39" t="s">
        <v>16</v>
      </c>
      <c r="B9" s="39" t="s">
        <v>12</v>
      </c>
      <c r="D9" s="39">
        <v>0</v>
      </c>
      <c r="E9" s="39">
        <v>0</v>
      </c>
      <c r="F9" s="39">
        <v>0</v>
      </c>
    </row>
    <row r="10" spans="1:6" x14ac:dyDescent="0.2">
      <c r="A10" s="40" t="s">
        <v>16</v>
      </c>
      <c r="B10" s="40" t="s">
        <v>13</v>
      </c>
      <c r="D10" s="40">
        <v>0</v>
      </c>
      <c r="E10" s="40">
        <v>0</v>
      </c>
      <c r="F10" s="40">
        <v>0</v>
      </c>
    </row>
    <row r="11" spans="1:6" x14ac:dyDescent="0.2">
      <c r="A11" s="39" t="s">
        <v>16</v>
      </c>
      <c r="B11" s="39" t="s">
        <v>14</v>
      </c>
      <c r="D11" s="39">
        <v>0</v>
      </c>
      <c r="E11" s="39">
        <v>0</v>
      </c>
      <c r="F11" s="39">
        <v>0</v>
      </c>
    </row>
    <row r="12" spans="1:6" x14ac:dyDescent="0.2">
      <c r="A12" s="40" t="s">
        <v>17</v>
      </c>
      <c r="B12" s="40" t="s">
        <v>12</v>
      </c>
      <c r="D12" s="40">
        <v>0</v>
      </c>
      <c r="E12" s="40">
        <v>0</v>
      </c>
      <c r="F12" s="40">
        <v>0</v>
      </c>
    </row>
    <row r="13" spans="1:6" x14ac:dyDescent="0.2">
      <c r="A13" s="39" t="s">
        <v>17</v>
      </c>
      <c r="B13" s="39" t="s">
        <v>13</v>
      </c>
      <c r="D13" s="39">
        <v>0</v>
      </c>
      <c r="E13" s="39">
        <v>0</v>
      </c>
      <c r="F13" s="39">
        <v>0</v>
      </c>
    </row>
    <row r="14" spans="1:6" x14ac:dyDescent="0.2">
      <c r="A14" s="40" t="s">
        <v>17</v>
      </c>
      <c r="B14" s="40" t="s">
        <v>14</v>
      </c>
      <c r="D14" s="40">
        <v>0</v>
      </c>
      <c r="E14" s="40">
        <v>0</v>
      </c>
      <c r="F14" s="40">
        <v>0</v>
      </c>
    </row>
    <row r="15" spans="1:6" x14ac:dyDescent="0.2">
      <c r="A15" s="39" t="s">
        <v>18</v>
      </c>
      <c r="B15" s="39" t="s">
        <v>12</v>
      </c>
      <c r="D15" s="39">
        <v>0</v>
      </c>
      <c r="E15" s="39">
        <v>0</v>
      </c>
      <c r="F15" s="39">
        <v>0</v>
      </c>
    </row>
    <row r="16" spans="1:6" x14ac:dyDescent="0.2">
      <c r="A16" s="40" t="s">
        <v>18</v>
      </c>
      <c r="B16" s="40" t="s">
        <v>13</v>
      </c>
      <c r="D16" s="40">
        <v>0</v>
      </c>
      <c r="E16" s="40">
        <v>0</v>
      </c>
      <c r="F16" s="40">
        <v>0</v>
      </c>
    </row>
    <row r="17" spans="1:6" x14ac:dyDescent="0.2">
      <c r="A17" s="39" t="s">
        <v>18</v>
      </c>
      <c r="B17" s="39" t="s">
        <v>14</v>
      </c>
      <c r="D17" s="39">
        <v>0</v>
      </c>
      <c r="E17" s="39">
        <v>0</v>
      </c>
      <c r="F17" s="39">
        <v>0</v>
      </c>
    </row>
    <row r="18" spans="1:6" x14ac:dyDescent="0.2">
      <c r="A18" s="40" t="s">
        <v>19</v>
      </c>
      <c r="B18" s="40" t="s">
        <v>12</v>
      </c>
      <c r="D18" s="40">
        <v>0</v>
      </c>
      <c r="E18" s="40">
        <v>0</v>
      </c>
      <c r="F18" s="40">
        <v>0</v>
      </c>
    </row>
    <row r="19" spans="1:6" x14ac:dyDescent="0.2">
      <c r="A19" s="39" t="s">
        <v>19</v>
      </c>
      <c r="B19" s="39" t="s">
        <v>13</v>
      </c>
      <c r="D19" s="39">
        <v>0</v>
      </c>
      <c r="E19" s="39">
        <v>0</v>
      </c>
      <c r="F19" s="39">
        <v>0</v>
      </c>
    </row>
    <row r="20" spans="1:6" x14ac:dyDescent="0.2">
      <c r="A20" s="40" t="s">
        <v>19</v>
      </c>
      <c r="B20" s="40" t="s">
        <v>14</v>
      </c>
      <c r="D20" s="40">
        <v>0</v>
      </c>
      <c r="E20" s="40">
        <v>0</v>
      </c>
      <c r="F20" s="40">
        <v>0</v>
      </c>
    </row>
    <row r="21" spans="1:6" x14ac:dyDescent="0.2">
      <c r="A21" s="39" t="s">
        <v>20</v>
      </c>
      <c r="B21" s="39" t="s">
        <v>12</v>
      </c>
      <c r="D21" s="39">
        <v>0</v>
      </c>
      <c r="E21" s="39">
        <v>0</v>
      </c>
      <c r="F21" s="39">
        <v>0</v>
      </c>
    </row>
    <row r="22" spans="1:6" x14ac:dyDescent="0.2">
      <c r="A22" s="40" t="s">
        <v>20</v>
      </c>
      <c r="B22" s="40" t="s">
        <v>13</v>
      </c>
      <c r="D22" s="40">
        <v>0</v>
      </c>
      <c r="E22" s="40">
        <v>0</v>
      </c>
      <c r="F22" s="40">
        <v>0</v>
      </c>
    </row>
    <row r="23" spans="1:6" x14ac:dyDescent="0.2">
      <c r="A23" s="39" t="s">
        <v>20</v>
      </c>
      <c r="B23" s="39" t="s">
        <v>14</v>
      </c>
      <c r="D23" s="39">
        <v>0</v>
      </c>
      <c r="E23" s="39">
        <v>0</v>
      </c>
      <c r="F23" s="39">
        <v>0</v>
      </c>
    </row>
    <row r="24" spans="1:6" x14ac:dyDescent="0.2">
      <c r="A24" s="40" t="s">
        <v>21</v>
      </c>
      <c r="B24" s="40" t="s">
        <v>12</v>
      </c>
      <c r="D24" s="40">
        <v>0</v>
      </c>
      <c r="E24" s="40">
        <v>0</v>
      </c>
      <c r="F24" s="40">
        <v>0</v>
      </c>
    </row>
    <row r="25" spans="1:6" x14ac:dyDescent="0.2">
      <c r="A25" s="39" t="s">
        <v>21</v>
      </c>
      <c r="B25" s="39" t="s">
        <v>13</v>
      </c>
      <c r="D25" s="39">
        <v>0</v>
      </c>
      <c r="E25" s="39">
        <v>0</v>
      </c>
      <c r="F25" s="39">
        <v>0</v>
      </c>
    </row>
    <row r="26" spans="1:6" x14ac:dyDescent="0.2">
      <c r="A26" s="40" t="s">
        <v>21</v>
      </c>
      <c r="B26" s="40" t="s">
        <v>14</v>
      </c>
      <c r="D26" s="40">
        <v>0</v>
      </c>
      <c r="E26" s="40">
        <v>0</v>
      </c>
      <c r="F26" s="40">
        <v>0</v>
      </c>
    </row>
    <row r="27" spans="1:6" x14ac:dyDescent="0.2">
      <c r="A27" s="39" t="s">
        <v>22</v>
      </c>
      <c r="B27" s="39" t="s">
        <v>12</v>
      </c>
      <c r="D27" s="39">
        <v>0</v>
      </c>
      <c r="E27" s="39">
        <v>0</v>
      </c>
      <c r="F27" s="39">
        <v>0</v>
      </c>
    </row>
    <row r="28" spans="1:6" x14ac:dyDescent="0.2">
      <c r="A28" s="40" t="s">
        <v>22</v>
      </c>
      <c r="B28" s="40" t="s">
        <v>13</v>
      </c>
      <c r="D28" s="40">
        <v>0</v>
      </c>
      <c r="E28" s="40">
        <v>0</v>
      </c>
      <c r="F28" s="40">
        <v>0</v>
      </c>
    </row>
    <row r="29" spans="1:6" x14ac:dyDescent="0.2">
      <c r="A29" s="39" t="s">
        <v>22</v>
      </c>
      <c r="B29" s="39" t="s">
        <v>14</v>
      </c>
      <c r="D29" s="39">
        <v>0</v>
      </c>
      <c r="E29" s="39">
        <v>0</v>
      </c>
      <c r="F29" s="39">
        <v>0</v>
      </c>
    </row>
    <row r="30" spans="1:6" x14ac:dyDescent="0.2">
      <c r="A30" s="40" t="s">
        <v>23</v>
      </c>
      <c r="B30" s="40" t="s">
        <v>12</v>
      </c>
      <c r="D30" s="40">
        <v>0</v>
      </c>
      <c r="E30" s="40">
        <v>0</v>
      </c>
      <c r="F30" s="40">
        <v>0</v>
      </c>
    </row>
    <row r="31" spans="1:6" x14ac:dyDescent="0.2">
      <c r="A31" s="39" t="s">
        <v>23</v>
      </c>
      <c r="B31" s="39" t="s">
        <v>13</v>
      </c>
      <c r="D31" s="39">
        <v>0</v>
      </c>
      <c r="E31" s="39">
        <v>0</v>
      </c>
      <c r="F31" s="39">
        <v>0</v>
      </c>
    </row>
    <row r="32" spans="1:6" x14ac:dyDescent="0.2">
      <c r="A32" s="40" t="s">
        <v>23</v>
      </c>
      <c r="B32" s="40" t="s">
        <v>14</v>
      </c>
      <c r="D32" s="40">
        <v>0</v>
      </c>
      <c r="E32" s="40">
        <v>0</v>
      </c>
      <c r="F32" s="40">
        <v>0</v>
      </c>
    </row>
    <row r="33" spans="1:6" x14ac:dyDescent="0.2">
      <c r="A33" s="39" t="s">
        <v>24</v>
      </c>
      <c r="B33" s="39" t="s">
        <v>12</v>
      </c>
      <c r="D33" s="39">
        <v>0</v>
      </c>
      <c r="E33" s="39">
        <v>0</v>
      </c>
      <c r="F33" s="39">
        <v>0</v>
      </c>
    </row>
    <row r="34" spans="1:6" x14ac:dyDescent="0.2">
      <c r="A34" s="40" t="s">
        <v>24</v>
      </c>
      <c r="B34" s="40" t="s">
        <v>13</v>
      </c>
      <c r="D34" s="40">
        <v>0</v>
      </c>
      <c r="E34" s="40">
        <v>0</v>
      </c>
      <c r="F34" s="40">
        <v>0</v>
      </c>
    </row>
    <row r="35" spans="1:6" x14ac:dyDescent="0.2">
      <c r="A35" s="39" t="s">
        <v>24</v>
      </c>
      <c r="B35" s="39" t="s">
        <v>14</v>
      </c>
      <c r="D35" s="39">
        <v>6</v>
      </c>
      <c r="E35" s="39">
        <v>3</v>
      </c>
      <c r="F35" s="39">
        <v>4</v>
      </c>
    </row>
    <row r="36" spans="1:6" x14ac:dyDescent="0.2">
      <c r="A36" s="40" t="s">
        <v>25</v>
      </c>
      <c r="B36" s="40" t="s">
        <v>12</v>
      </c>
      <c r="D36" s="40">
        <v>0</v>
      </c>
      <c r="E36" s="40">
        <v>0</v>
      </c>
      <c r="F36" s="40">
        <v>0</v>
      </c>
    </row>
    <row r="37" spans="1:6" x14ac:dyDescent="0.2">
      <c r="A37" s="39" t="s">
        <v>25</v>
      </c>
      <c r="B37" s="39" t="s">
        <v>13</v>
      </c>
      <c r="D37" s="39">
        <v>0</v>
      </c>
      <c r="E37" s="39">
        <v>0</v>
      </c>
      <c r="F37" s="39">
        <v>0</v>
      </c>
    </row>
    <row r="38" spans="1:6" x14ac:dyDescent="0.2">
      <c r="A38" s="40" t="s">
        <v>25</v>
      </c>
      <c r="B38" s="40" t="s">
        <v>14</v>
      </c>
      <c r="D38" s="40">
        <v>0</v>
      </c>
      <c r="E38" s="40">
        <v>0</v>
      </c>
      <c r="F38" s="40">
        <v>0</v>
      </c>
    </row>
    <row r="39" spans="1:6" x14ac:dyDescent="0.2">
      <c r="A39" s="39" t="s">
        <v>26</v>
      </c>
      <c r="B39" s="39" t="s">
        <v>12</v>
      </c>
      <c r="D39" s="39">
        <v>0</v>
      </c>
      <c r="E39" s="39">
        <v>0</v>
      </c>
      <c r="F39" s="39">
        <v>0</v>
      </c>
    </row>
    <row r="40" spans="1:6" x14ac:dyDescent="0.2">
      <c r="A40" s="40" t="s">
        <v>26</v>
      </c>
      <c r="B40" s="40" t="s">
        <v>13</v>
      </c>
      <c r="D40" s="40">
        <v>0</v>
      </c>
      <c r="E40" s="40">
        <v>0</v>
      </c>
      <c r="F40" s="40">
        <v>0</v>
      </c>
    </row>
    <row r="41" spans="1:6" x14ac:dyDescent="0.2">
      <c r="A41" s="39" t="s">
        <v>26</v>
      </c>
      <c r="B41" s="39" t="s">
        <v>14</v>
      </c>
      <c r="D41" s="39">
        <v>1</v>
      </c>
      <c r="E41" s="39">
        <v>0</v>
      </c>
      <c r="F41" s="39">
        <v>0</v>
      </c>
    </row>
    <row r="42" spans="1:6" x14ac:dyDescent="0.2">
      <c r="A42" s="40" t="s">
        <v>27</v>
      </c>
      <c r="B42" s="40" t="s">
        <v>12</v>
      </c>
      <c r="D42" s="40">
        <v>0</v>
      </c>
      <c r="E42" s="40">
        <v>0</v>
      </c>
      <c r="F42" s="40">
        <v>0</v>
      </c>
    </row>
    <row r="43" spans="1:6" x14ac:dyDescent="0.2">
      <c r="A43" s="39" t="s">
        <v>27</v>
      </c>
      <c r="B43" s="39" t="s">
        <v>13</v>
      </c>
      <c r="D43" s="39">
        <v>0</v>
      </c>
      <c r="E43" s="39">
        <v>0</v>
      </c>
      <c r="F43" s="39">
        <v>0</v>
      </c>
    </row>
    <row r="44" spans="1:6" x14ac:dyDescent="0.2">
      <c r="A44" s="40" t="s">
        <v>27</v>
      </c>
      <c r="B44" s="40" t="s">
        <v>14</v>
      </c>
      <c r="D44" s="40">
        <v>4</v>
      </c>
      <c r="E44" s="40">
        <v>3</v>
      </c>
      <c r="F44" s="40">
        <v>3</v>
      </c>
    </row>
    <row r="45" spans="1:6" x14ac:dyDescent="0.2">
      <c r="A45" s="39" t="s">
        <v>28</v>
      </c>
      <c r="B45" s="39" t="s">
        <v>12</v>
      </c>
      <c r="D45" s="39">
        <v>0</v>
      </c>
      <c r="E45" s="39">
        <v>0</v>
      </c>
      <c r="F45" s="39">
        <v>0</v>
      </c>
    </row>
    <row r="46" spans="1:6" x14ac:dyDescent="0.2">
      <c r="A46" s="40" t="s">
        <v>28</v>
      </c>
      <c r="B46" s="40" t="s">
        <v>13</v>
      </c>
      <c r="D46" s="40">
        <v>0</v>
      </c>
      <c r="E46" s="40">
        <v>0</v>
      </c>
      <c r="F46" s="40">
        <v>0</v>
      </c>
    </row>
    <row r="47" spans="1:6" x14ac:dyDescent="0.2">
      <c r="A47" s="39" t="s">
        <v>28</v>
      </c>
      <c r="B47" s="39" t="s">
        <v>14</v>
      </c>
      <c r="D47" s="39">
        <v>0</v>
      </c>
      <c r="E47" s="39">
        <v>1</v>
      </c>
      <c r="F47" s="39">
        <v>0</v>
      </c>
    </row>
    <row r="48" spans="1:6" x14ac:dyDescent="0.2">
      <c r="A48" s="40" t="s">
        <v>29</v>
      </c>
      <c r="B48" s="40" t="s">
        <v>12</v>
      </c>
      <c r="D48" s="40">
        <v>0</v>
      </c>
      <c r="E48" s="40">
        <v>0</v>
      </c>
      <c r="F48" s="40">
        <v>0</v>
      </c>
    </row>
    <row r="49" spans="1:6" x14ac:dyDescent="0.2">
      <c r="A49" s="39" t="s">
        <v>29</v>
      </c>
      <c r="B49" s="39" t="s">
        <v>13</v>
      </c>
      <c r="D49" s="39">
        <v>0</v>
      </c>
      <c r="E49" s="39">
        <v>0</v>
      </c>
      <c r="F49" s="39">
        <v>0</v>
      </c>
    </row>
    <row r="50" spans="1:6" x14ac:dyDescent="0.2">
      <c r="A50" s="40" t="s">
        <v>29</v>
      </c>
      <c r="B50" s="40" t="s">
        <v>14</v>
      </c>
      <c r="D50" s="40">
        <v>0</v>
      </c>
      <c r="E50" s="40">
        <v>0</v>
      </c>
      <c r="F50" s="40">
        <v>0</v>
      </c>
    </row>
    <row r="51" spans="1:6" x14ac:dyDescent="0.2">
      <c r="A51" s="39" t="s">
        <v>30</v>
      </c>
      <c r="B51" s="39" t="s">
        <v>12</v>
      </c>
      <c r="D51" s="39">
        <v>0</v>
      </c>
      <c r="E51" s="39">
        <v>0</v>
      </c>
      <c r="F51" s="39">
        <v>0</v>
      </c>
    </row>
    <row r="52" spans="1:6" x14ac:dyDescent="0.2">
      <c r="A52" s="40" t="s">
        <v>30</v>
      </c>
      <c r="B52" s="40" t="s">
        <v>13</v>
      </c>
      <c r="D52" s="40">
        <v>0</v>
      </c>
      <c r="E52" s="40">
        <v>0</v>
      </c>
      <c r="F52" s="40">
        <v>0</v>
      </c>
    </row>
    <row r="53" spans="1:6" x14ac:dyDescent="0.2">
      <c r="A53" s="39" t="s">
        <v>30</v>
      </c>
      <c r="B53" s="39" t="s">
        <v>14</v>
      </c>
      <c r="D53" s="39">
        <v>0</v>
      </c>
      <c r="E53" s="39">
        <v>0</v>
      </c>
      <c r="F53" s="39">
        <v>0</v>
      </c>
    </row>
    <row r="54" spans="1:6" x14ac:dyDescent="0.2">
      <c r="A54" s="40" t="s">
        <v>31</v>
      </c>
      <c r="B54" s="40" t="s">
        <v>12</v>
      </c>
      <c r="D54" s="40">
        <v>0</v>
      </c>
      <c r="E54" s="40">
        <v>0</v>
      </c>
      <c r="F54" s="40">
        <v>0</v>
      </c>
    </row>
    <row r="55" spans="1:6" x14ac:dyDescent="0.2">
      <c r="A55" s="39" t="s">
        <v>31</v>
      </c>
      <c r="B55" s="39" t="s">
        <v>13</v>
      </c>
      <c r="D55" s="39">
        <v>0</v>
      </c>
      <c r="E55" s="39">
        <v>0</v>
      </c>
      <c r="F55" s="39">
        <v>0</v>
      </c>
    </row>
    <row r="56" spans="1:6" x14ac:dyDescent="0.2">
      <c r="A56" s="40" t="s">
        <v>31</v>
      </c>
      <c r="B56" s="40" t="s">
        <v>14</v>
      </c>
      <c r="D56" s="40">
        <v>0</v>
      </c>
      <c r="E56" s="40">
        <v>0</v>
      </c>
      <c r="F56" s="40">
        <v>0</v>
      </c>
    </row>
    <row r="57" spans="1:6" x14ac:dyDescent="0.2">
      <c r="A57" s="39" t="s">
        <v>32</v>
      </c>
      <c r="B57" s="39" t="s">
        <v>12</v>
      </c>
      <c r="D57" s="39">
        <v>0</v>
      </c>
      <c r="E57" s="39">
        <v>0</v>
      </c>
      <c r="F57" s="39">
        <v>0</v>
      </c>
    </row>
    <row r="58" spans="1:6" x14ac:dyDescent="0.2">
      <c r="A58" s="40" t="s">
        <v>32</v>
      </c>
      <c r="B58" s="40" t="s">
        <v>13</v>
      </c>
      <c r="D58" s="40">
        <v>0</v>
      </c>
      <c r="E58" s="40">
        <v>0</v>
      </c>
      <c r="F58" s="40">
        <v>0</v>
      </c>
    </row>
    <row r="59" spans="1:6" x14ac:dyDescent="0.2">
      <c r="A59" s="39" t="s">
        <v>32</v>
      </c>
      <c r="B59" s="39" t="s">
        <v>14</v>
      </c>
      <c r="D59" s="39">
        <v>0</v>
      </c>
      <c r="E59" s="39">
        <v>0</v>
      </c>
      <c r="F59" s="39">
        <v>0</v>
      </c>
    </row>
    <row r="60" spans="1:6" x14ac:dyDescent="0.2">
      <c r="A60" s="40" t="s">
        <v>33</v>
      </c>
      <c r="B60" s="40" t="s">
        <v>12</v>
      </c>
      <c r="D60" s="40">
        <v>0</v>
      </c>
      <c r="E60" s="40">
        <v>0</v>
      </c>
      <c r="F60" s="40">
        <v>0</v>
      </c>
    </row>
    <row r="61" spans="1:6" x14ac:dyDescent="0.2">
      <c r="A61" s="39" t="s">
        <v>33</v>
      </c>
      <c r="B61" s="39" t="s">
        <v>13</v>
      </c>
      <c r="D61" s="39">
        <v>0</v>
      </c>
      <c r="E61" s="39">
        <v>0</v>
      </c>
      <c r="F61" s="39">
        <v>0</v>
      </c>
    </row>
    <row r="62" spans="1:6" x14ac:dyDescent="0.2">
      <c r="A62" s="40" t="s">
        <v>33</v>
      </c>
      <c r="B62" s="40" t="s">
        <v>14</v>
      </c>
      <c r="D62" s="40">
        <v>0</v>
      </c>
      <c r="E62" s="40">
        <v>0</v>
      </c>
      <c r="F62" s="40">
        <v>0</v>
      </c>
    </row>
    <row r="63" spans="1:6" x14ac:dyDescent="0.2">
      <c r="A63" s="39" t="s">
        <v>34</v>
      </c>
      <c r="B63" s="39" t="s">
        <v>12</v>
      </c>
      <c r="D63" s="39">
        <v>0</v>
      </c>
      <c r="E63" s="39">
        <v>0</v>
      </c>
      <c r="F63" s="39">
        <v>0</v>
      </c>
    </row>
    <row r="64" spans="1:6" x14ac:dyDescent="0.2">
      <c r="A64" s="40" t="s">
        <v>34</v>
      </c>
      <c r="B64" s="40" t="s">
        <v>13</v>
      </c>
      <c r="D64" s="40">
        <v>0</v>
      </c>
      <c r="E64" s="40">
        <v>0</v>
      </c>
      <c r="F64" s="40">
        <v>0</v>
      </c>
    </row>
    <row r="65" spans="1:6" x14ac:dyDescent="0.2">
      <c r="A65" s="39" t="s">
        <v>34</v>
      </c>
      <c r="B65" s="39" t="s">
        <v>14</v>
      </c>
      <c r="D65" s="39">
        <v>1</v>
      </c>
      <c r="E65" s="39">
        <v>2</v>
      </c>
      <c r="F65" s="39">
        <v>0</v>
      </c>
    </row>
    <row r="66" spans="1:6" x14ac:dyDescent="0.2">
      <c r="A66" s="40" t="s">
        <v>35</v>
      </c>
      <c r="B66" s="40" t="s">
        <v>12</v>
      </c>
      <c r="D66" s="40">
        <v>0</v>
      </c>
      <c r="E66" s="40">
        <v>0</v>
      </c>
      <c r="F66" s="40">
        <v>0</v>
      </c>
    </row>
    <row r="67" spans="1:6" x14ac:dyDescent="0.2">
      <c r="A67" s="39" t="s">
        <v>35</v>
      </c>
      <c r="B67" s="39" t="s">
        <v>13</v>
      </c>
      <c r="D67" s="39">
        <v>0</v>
      </c>
      <c r="E67" s="39">
        <v>0</v>
      </c>
      <c r="F67" s="39">
        <v>0</v>
      </c>
    </row>
    <row r="68" spans="1:6" x14ac:dyDescent="0.2">
      <c r="A68" s="40" t="s">
        <v>35</v>
      </c>
      <c r="B68" s="40" t="s">
        <v>14</v>
      </c>
      <c r="D68" s="40">
        <v>0</v>
      </c>
      <c r="E68" s="40">
        <v>0</v>
      </c>
      <c r="F68" s="40">
        <v>0</v>
      </c>
    </row>
    <row r="69" spans="1:6" x14ac:dyDescent="0.2">
      <c r="A69" s="39" t="s">
        <v>36</v>
      </c>
      <c r="B69" s="39" t="s">
        <v>12</v>
      </c>
      <c r="D69" s="39">
        <v>0</v>
      </c>
      <c r="E69" s="39">
        <v>0</v>
      </c>
      <c r="F69" s="39">
        <v>0</v>
      </c>
    </row>
    <row r="70" spans="1:6" x14ac:dyDescent="0.2">
      <c r="A70" s="40" t="s">
        <v>36</v>
      </c>
      <c r="B70" s="40" t="s">
        <v>13</v>
      </c>
      <c r="D70" s="40">
        <v>0</v>
      </c>
      <c r="E70" s="40">
        <v>0</v>
      </c>
      <c r="F70" s="40">
        <v>0</v>
      </c>
    </row>
    <row r="71" spans="1:6" x14ac:dyDescent="0.2">
      <c r="A71" s="39" t="s">
        <v>36</v>
      </c>
      <c r="B71" s="39" t="s">
        <v>14</v>
      </c>
      <c r="D71" s="39">
        <v>0</v>
      </c>
      <c r="E71" s="39">
        <v>2</v>
      </c>
      <c r="F71" s="39">
        <v>0</v>
      </c>
    </row>
    <row r="72" spans="1:6" x14ac:dyDescent="0.2">
      <c r="A72" s="40" t="s">
        <v>37</v>
      </c>
      <c r="B72" s="40" t="s">
        <v>12</v>
      </c>
      <c r="D72" s="40">
        <v>0</v>
      </c>
      <c r="E72" s="40">
        <v>0</v>
      </c>
      <c r="F72" s="40">
        <v>0</v>
      </c>
    </row>
    <row r="73" spans="1:6" x14ac:dyDescent="0.2">
      <c r="A73" s="39" t="s">
        <v>37</v>
      </c>
      <c r="B73" s="39" t="s">
        <v>13</v>
      </c>
      <c r="D73" s="39">
        <v>0</v>
      </c>
      <c r="E73" s="39">
        <v>0</v>
      </c>
      <c r="F73" s="39">
        <v>0</v>
      </c>
    </row>
    <row r="74" spans="1:6" x14ac:dyDescent="0.2">
      <c r="A74" s="40" t="s">
        <v>37</v>
      </c>
      <c r="B74" s="40" t="s">
        <v>14</v>
      </c>
      <c r="D74" s="40">
        <v>4</v>
      </c>
      <c r="E74" s="40">
        <v>1</v>
      </c>
      <c r="F74" s="40">
        <v>4</v>
      </c>
    </row>
    <row r="75" spans="1:6" x14ac:dyDescent="0.2">
      <c r="A75" s="39" t="s">
        <v>38</v>
      </c>
      <c r="B75" s="39" t="s">
        <v>12</v>
      </c>
      <c r="D75" s="39">
        <v>0</v>
      </c>
      <c r="E75" s="39">
        <v>0</v>
      </c>
      <c r="F75" s="39">
        <v>0</v>
      </c>
    </row>
    <row r="76" spans="1:6" x14ac:dyDescent="0.2">
      <c r="A76" s="40" t="s">
        <v>38</v>
      </c>
      <c r="B76" s="40" t="s">
        <v>13</v>
      </c>
      <c r="D76" s="40">
        <v>0</v>
      </c>
      <c r="E76" s="40">
        <v>0</v>
      </c>
      <c r="F76" s="40">
        <v>0</v>
      </c>
    </row>
    <row r="77" spans="1:6" x14ac:dyDescent="0.2">
      <c r="A77" s="39" t="s">
        <v>38</v>
      </c>
      <c r="B77" s="39" t="s">
        <v>14</v>
      </c>
      <c r="D77" s="39">
        <v>0</v>
      </c>
      <c r="E77" s="39">
        <v>0</v>
      </c>
      <c r="F77" s="39">
        <v>0</v>
      </c>
    </row>
    <row r="78" spans="1:6" x14ac:dyDescent="0.2">
      <c r="A78" s="40" t="s">
        <v>39</v>
      </c>
      <c r="B78" s="40" t="s">
        <v>12</v>
      </c>
      <c r="D78" s="40">
        <v>0</v>
      </c>
      <c r="E78" s="40">
        <v>0</v>
      </c>
      <c r="F78" s="40">
        <v>0</v>
      </c>
    </row>
    <row r="79" spans="1:6" x14ac:dyDescent="0.2">
      <c r="A79" s="39" t="s">
        <v>39</v>
      </c>
      <c r="B79" s="39" t="s">
        <v>13</v>
      </c>
      <c r="D79" s="39">
        <v>0</v>
      </c>
      <c r="E79" s="39">
        <v>0</v>
      </c>
      <c r="F79" s="39">
        <v>0</v>
      </c>
    </row>
    <row r="80" spans="1:6" x14ac:dyDescent="0.2">
      <c r="A80" s="40" t="s">
        <v>39</v>
      </c>
      <c r="B80" s="40" t="s">
        <v>14</v>
      </c>
      <c r="D80" s="40">
        <v>5</v>
      </c>
      <c r="E80" s="40">
        <v>4</v>
      </c>
      <c r="F80" s="40">
        <v>6</v>
      </c>
    </row>
    <row r="81" spans="1:6" x14ac:dyDescent="0.2">
      <c r="A81" s="39" t="s">
        <v>40</v>
      </c>
      <c r="B81" s="39" t="s">
        <v>12</v>
      </c>
      <c r="D81" s="39">
        <v>0</v>
      </c>
      <c r="E81" s="39">
        <v>0</v>
      </c>
      <c r="F81" s="39">
        <v>0</v>
      </c>
    </row>
    <row r="82" spans="1:6" x14ac:dyDescent="0.2">
      <c r="A82" s="40" t="s">
        <v>40</v>
      </c>
      <c r="B82" s="40" t="s">
        <v>13</v>
      </c>
      <c r="D82" s="40">
        <v>0</v>
      </c>
      <c r="E82" s="40">
        <v>0</v>
      </c>
      <c r="F82" s="40">
        <v>0</v>
      </c>
    </row>
    <row r="83" spans="1:6" x14ac:dyDescent="0.2">
      <c r="A83" s="39" t="s">
        <v>40</v>
      </c>
      <c r="B83" s="39" t="s">
        <v>14</v>
      </c>
      <c r="D83" s="39">
        <v>12</v>
      </c>
      <c r="E83" s="39">
        <v>6</v>
      </c>
      <c r="F83" s="39">
        <v>10</v>
      </c>
    </row>
    <row r="84" spans="1:6" x14ac:dyDescent="0.2">
      <c r="A84" s="40" t="s">
        <v>41</v>
      </c>
      <c r="B84" s="40" t="s">
        <v>12</v>
      </c>
      <c r="D84" s="40">
        <v>0</v>
      </c>
      <c r="E84" s="40">
        <v>0</v>
      </c>
      <c r="F84" s="40">
        <v>0</v>
      </c>
    </row>
    <row r="85" spans="1:6" x14ac:dyDescent="0.2">
      <c r="A85" s="39" t="s">
        <v>41</v>
      </c>
      <c r="B85" s="39" t="s">
        <v>13</v>
      </c>
      <c r="D85" s="39">
        <v>0</v>
      </c>
      <c r="E85" s="39">
        <v>0</v>
      </c>
      <c r="F85" s="39">
        <v>0</v>
      </c>
    </row>
    <row r="86" spans="1:6" x14ac:dyDescent="0.2">
      <c r="A86" s="40" t="s">
        <v>41</v>
      </c>
      <c r="B86" s="40" t="s">
        <v>14</v>
      </c>
      <c r="D86" s="40">
        <v>10</v>
      </c>
      <c r="E86" s="40">
        <v>9</v>
      </c>
      <c r="F86" s="40">
        <v>12</v>
      </c>
    </row>
    <row r="87" spans="1:6" x14ac:dyDescent="0.2">
      <c r="A87" s="39" t="s">
        <v>42</v>
      </c>
      <c r="B87" s="39" t="s">
        <v>12</v>
      </c>
      <c r="D87" s="39">
        <v>0</v>
      </c>
      <c r="E87" s="39">
        <v>0</v>
      </c>
      <c r="F87" s="39">
        <v>0</v>
      </c>
    </row>
    <row r="88" spans="1:6" x14ac:dyDescent="0.2">
      <c r="A88" s="40" t="s">
        <v>42</v>
      </c>
      <c r="B88" s="40" t="s">
        <v>13</v>
      </c>
      <c r="D88" s="40">
        <v>0</v>
      </c>
      <c r="E88" s="40">
        <v>0</v>
      </c>
      <c r="F88" s="40">
        <v>0</v>
      </c>
    </row>
    <row r="89" spans="1:6" x14ac:dyDescent="0.2">
      <c r="A89" s="39" t="s">
        <v>42</v>
      </c>
      <c r="B89" s="39" t="s">
        <v>14</v>
      </c>
      <c r="D89" s="39">
        <v>5</v>
      </c>
      <c r="E89" s="39">
        <v>1</v>
      </c>
      <c r="F89" s="39">
        <v>5</v>
      </c>
    </row>
    <row r="90" spans="1:6" x14ac:dyDescent="0.2">
      <c r="A90" s="40" t="s">
        <v>43</v>
      </c>
      <c r="B90" s="40" t="s">
        <v>12</v>
      </c>
      <c r="D90" s="40">
        <v>0</v>
      </c>
      <c r="E90" s="40">
        <v>0</v>
      </c>
      <c r="F90" s="40">
        <v>0</v>
      </c>
    </row>
    <row r="91" spans="1:6" x14ac:dyDescent="0.2">
      <c r="A91" s="39" t="s">
        <v>43</v>
      </c>
      <c r="B91" s="39" t="s">
        <v>13</v>
      </c>
      <c r="D91" s="39">
        <v>0</v>
      </c>
      <c r="E91" s="39">
        <v>0</v>
      </c>
      <c r="F91" s="39">
        <v>0</v>
      </c>
    </row>
    <row r="92" spans="1:6" x14ac:dyDescent="0.2">
      <c r="A92" s="40" t="s">
        <v>43</v>
      </c>
      <c r="B92" s="40" t="s">
        <v>14</v>
      </c>
      <c r="D92" s="40">
        <v>8</v>
      </c>
      <c r="E92" s="40">
        <v>8</v>
      </c>
      <c r="F92" s="40">
        <v>4</v>
      </c>
    </row>
    <row r="93" spans="1:6" x14ac:dyDescent="0.2">
      <c r="A93" s="39" t="s">
        <v>44</v>
      </c>
      <c r="B93" s="39" t="s">
        <v>12</v>
      </c>
      <c r="D93" s="39">
        <v>0</v>
      </c>
      <c r="E93" s="39">
        <v>0</v>
      </c>
      <c r="F93" s="39">
        <v>0</v>
      </c>
    </row>
    <row r="94" spans="1:6" x14ac:dyDescent="0.2">
      <c r="A94" s="40" t="s">
        <v>44</v>
      </c>
      <c r="B94" s="40" t="s">
        <v>13</v>
      </c>
      <c r="D94" s="40">
        <v>0</v>
      </c>
      <c r="E94" s="40">
        <v>0</v>
      </c>
      <c r="F94" s="40">
        <v>0</v>
      </c>
    </row>
    <row r="95" spans="1:6" x14ac:dyDescent="0.2">
      <c r="A95" s="39" t="s">
        <v>44</v>
      </c>
      <c r="B95" s="39" t="s">
        <v>14</v>
      </c>
      <c r="D95" s="39">
        <v>11</v>
      </c>
      <c r="E95" s="39">
        <v>4</v>
      </c>
      <c r="F95" s="39">
        <v>10</v>
      </c>
    </row>
    <row r="96" spans="1:6" x14ac:dyDescent="0.2">
      <c r="A96" s="40" t="s">
        <v>45</v>
      </c>
      <c r="B96" s="40" t="s">
        <v>12</v>
      </c>
      <c r="D96" s="40">
        <v>0</v>
      </c>
      <c r="E96" s="40">
        <v>0</v>
      </c>
      <c r="F96" s="40">
        <v>0</v>
      </c>
    </row>
    <row r="97" spans="1:6" x14ac:dyDescent="0.2">
      <c r="A97" s="39" t="s">
        <v>45</v>
      </c>
      <c r="B97" s="39" t="s">
        <v>13</v>
      </c>
      <c r="D97" s="39">
        <v>0</v>
      </c>
      <c r="E97" s="39">
        <v>0</v>
      </c>
      <c r="F97" s="39">
        <v>0</v>
      </c>
    </row>
    <row r="98" spans="1:6" x14ac:dyDescent="0.2">
      <c r="A98" s="40" t="s">
        <v>45</v>
      </c>
      <c r="B98" s="40" t="s">
        <v>14</v>
      </c>
      <c r="D98" s="40">
        <v>0</v>
      </c>
      <c r="E98" s="40">
        <v>0</v>
      </c>
      <c r="F98" s="40">
        <v>0</v>
      </c>
    </row>
    <row r="99" spans="1:6" x14ac:dyDescent="0.2">
      <c r="A99" s="39" t="s">
        <v>46</v>
      </c>
      <c r="B99" s="39" t="s">
        <v>12</v>
      </c>
      <c r="D99" s="39">
        <v>0</v>
      </c>
      <c r="E99" s="39">
        <v>0</v>
      </c>
      <c r="F99" s="39">
        <v>0</v>
      </c>
    </row>
    <row r="100" spans="1:6" x14ac:dyDescent="0.2">
      <c r="A100" s="40" t="s">
        <v>46</v>
      </c>
      <c r="B100" s="40" t="s">
        <v>13</v>
      </c>
      <c r="D100" s="40">
        <v>0</v>
      </c>
      <c r="E100" s="40">
        <v>0</v>
      </c>
      <c r="F100" s="40">
        <v>0</v>
      </c>
    </row>
    <row r="101" spans="1:6" x14ac:dyDescent="0.2">
      <c r="A101" s="39" t="s">
        <v>46</v>
      </c>
      <c r="B101" s="39" t="s">
        <v>14</v>
      </c>
      <c r="D101" s="39">
        <v>0</v>
      </c>
      <c r="E101" s="39">
        <v>0</v>
      </c>
      <c r="F101" s="39">
        <v>0</v>
      </c>
    </row>
    <row r="102" spans="1:6" x14ac:dyDescent="0.2">
      <c r="A102" s="40" t="s">
        <v>47</v>
      </c>
      <c r="B102" s="40" t="s">
        <v>12</v>
      </c>
      <c r="D102" s="40">
        <v>0</v>
      </c>
      <c r="E102" s="40">
        <v>0</v>
      </c>
      <c r="F102" s="40">
        <v>0</v>
      </c>
    </row>
    <row r="103" spans="1:6" x14ac:dyDescent="0.2">
      <c r="A103" s="39" t="s">
        <v>47</v>
      </c>
      <c r="B103" s="39" t="s">
        <v>13</v>
      </c>
      <c r="D103" s="39">
        <v>0</v>
      </c>
      <c r="E103" s="39">
        <v>0</v>
      </c>
      <c r="F103" s="39">
        <v>0</v>
      </c>
    </row>
    <row r="104" spans="1:6" x14ac:dyDescent="0.2">
      <c r="A104" s="40" t="s">
        <v>47</v>
      </c>
      <c r="B104" s="40" t="s">
        <v>14</v>
      </c>
      <c r="D104" s="40">
        <v>7</v>
      </c>
      <c r="E104" s="40">
        <v>2</v>
      </c>
      <c r="F104" s="40">
        <v>1</v>
      </c>
    </row>
    <row r="105" spans="1:6" x14ac:dyDescent="0.2">
      <c r="A105" s="39" t="s">
        <v>48</v>
      </c>
      <c r="B105" s="39" t="s">
        <v>12</v>
      </c>
      <c r="D105" s="39">
        <v>0</v>
      </c>
      <c r="E105" s="39">
        <v>0</v>
      </c>
      <c r="F105" s="39">
        <v>0</v>
      </c>
    </row>
    <row r="106" spans="1:6" x14ac:dyDescent="0.2">
      <c r="A106" s="40" t="s">
        <v>48</v>
      </c>
      <c r="B106" s="40" t="s">
        <v>13</v>
      </c>
      <c r="D106" s="40">
        <v>0</v>
      </c>
      <c r="E106" s="40">
        <v>0</v>
      </c>
      <c r="F106" s="40">
        <v>0</v>
      </c>
    </row>
    <row r="107" spans="1:6" x14ac:dyDescent="0.2">
      <c r="A107" s="39" t="s">
        <v>48</v>
      </c>
      <c r="B107" s="39" t="s">
        <v>14</v>
      </c>
      <c r="D107" s="39">
        <v>0</v>
      </c>
      <c r="E107" s="39">
        <v>7</v>
      </c>
      <c r="F107" s="39">
        <v>0</v>
      </c>
    </row>
    <row r="108" spans="1:6" x14ac:dyDescent="0.2">
      <c r="A108" s="40" t="s">
        <v>49</v>
      </c>
      <c r="B108" s="40" t="s">
        <v>12</v>
      </c>
      <c r="D108" s="40">
        <v>0</v>
      </c>
      <c r="E108" s="40">
        <v>0</v>
      </c>
      <c r="F108" s="40">
        <v>0</v>
      </c>
    </row>
    <row r="109" spans="1:6" x14ac:dyDescent="0.2">
      <c r="A109" s="39" t="s">
        <v>49</v>
      </c>
      <c r="B109" s="39" t="s">
        <v>13</v>
      </c>
      <c r="D109" s="39">
        <v>0</v>
      </c>
      <c r="E109" s="39">
        <v>0</v>
      </c>
      <c r="F109" s="39">
        <v>0</v>
      </c>
    </row>
    <row r="110" spans="1:6" x14ac:dyDescent="0.2">
      <c r="A110" s="40" t="s">
        <v>49</v>
      </c>
      <c r="B110" s="40" t="s">
        <v>14</v>
      </c>
      <c r="D110" s="40">
        <v>0</v>
      </c>
      <c r="E110" s="40">
        <v>0</v>
      </c>
      <c r="F110" s="40">
        <v>0</v>
      </c>
    </row>
    <row r="111" spans="1:6" x14ac:dyDescent="0.2">
      <c r="A111" s="39" t="s">
        <v>50</v>
      </c>
      <c r="B111" s="39" t="s">
        <v>12</v>
      </c>
      <c r="D111" s="39">
        <v>0</v>
      </c>
      <c r="E111" s="39">
        <v>0</v>
      </c>
      <c r="F111" s="39">
        <v>0</v>
      </c>
    </row>
    <row r="112" spans="1:6" x14ac:dyDescent="0.2">
      <c r="A112" s="40" t="s">
        <v>50</v>
      </c>
      <c r="B112" s="40" t="s">
        <v>13</v>
      </c>
      <c r="D112" s="40">
        <v>0</v>
      </c>
      <c r="E112" s="40">
        <v>0</v>
      </c>
      <c r="F112" s="40">
        <v>0</v>
      </c>
    </row>
    <row r="113" spans="1:6" x14ac:dyDescent="0.2">
      <c r="A113" s="39" t="s">
        <v>50</v>
      </c>
      <c r="B113" s="39" t="s">
        <v>14</v>
      </c>
      <c r="D113" s="39">
        <v>0</v>
      </c>
      <c r="E113" s="39">
        <v>0</v>
      </c>
      <c r="F113" s="39">
        <v>0</v>
      </c>
    </row>
    <row r="114" spans="1:6" x14ac:dyDescent="0.2">
      <c r="A114" s="40" t="s">
        <v>51</v>
      </c>
      <c r="B114" s="40" t="s">
        <v>12</v>
      </c>
      <c r="D114" s="40">
        <v>0</v>
      </c>
      <c r="E114" s="40">
        <v>0</v>
      </c>
      <c r="F114" s="40">
        <v>0</v>
      </c>
    </row>
    <row r="115" spans="1:6" x14ac:dyDescent="0.2">
      <c r="A115" s="39" t="s">
        <v>51</v>
      </c>
      <c r="B115" s="39" t="s">
        <v>13</v>
      </c>
      <c r="D115" s="39">
        <v>0</v>
      </c>
      <c r="E115" s="39">
        <v>0</v>
      </c>
      <c r="F115" s="39">
        <v>0</v>
      </c>
    </row>
    <row r="116" spans="1:6" x14ac:dyDescent="0.2">
      <c r="A116" s="40" t="s">
        <v>51</v>
      </c>
      <c r="B116" s="40" t="s">
        <v>14</v>
      </c>
      <c r="D116" s="40">
        <v>20</v>
      </c>
      <c r="E116" s="40">
        <v>25</v>
      </c>
      <c r="F116" s="40">
        <v>23</v>
      </c>
    </row>
    <row r="117" spans="1:6" x14ac:dyDescent="0.2">
      <c r="A117" s="39" t="s">
        <v>52</v>
      </c>
      <c r="B117" s="39" t="s">
        <v>12</v>
      </c>
      <c r="D117" s="39">
        <v>0</v>
      </c>
      <c r="E117" s="39">
        <v>0</v>
      </c>
      <c r="F117" s="39">
        <v>0</v>
      </c>
    </row>
    <row r="118" spans="1:6" x14ac:dyDescent="0.2">
      <c r="A118" s="40" t="s">
        <v>52</v>
      </c>
      <c r="B118" s="40" t="s">
        <v>13</v>
      </c>
      <c r="D118" s="40">
        <v>0</v>
      </c>
      <c r="E118" s="40">
        <v>0</v>
      </c>
      <c r="F118" s="40">
        <v>0</v>
      </c>
    </row>
    <row r="119" spans="1:6" x14ac:dyDescent="0.2">
      <c r="A119" s="39" t="s">
        <v>52</v>
      </c>
      <c r="B119" s="39" t="s">
        <v>14</v>
      </c>
      <c r="D119" s="39">
        <v>7</v>
      </c>
      <c r="E119" s="39">
        <v>5</v>
      </c>
      <c r="F119" s="39">
        <v>3</v>
      </c>
    </row>
    <row r="120" spans="1:6" x14ac:dyDescent="0.2">
      <c r="A120" s="40" t="s">
        <v>53</v>
      </c>
      <c r="B120" s="40" t="s">
        <v>12</v>
      </c>
      <c r="D120" s="40">
        <v>0</v>
      </c>
      <c r="E120" s="40">
        <v>0</v>
      </c>
      <c r="F120" s="40">
        <v>0</v>
      </c>
    </row>
    <row r="121" spans="1:6" x14ac:dyDescent="0.2">
      <c r="A121" s="39" t="s">
        <v>53</v>
      </c>
      <c r="B121" s="39" t="s">
        <v>13</v>
      </c>
      <c r="D121" s="39">
        <v>0</v>
      </c>
      <c r="E121" s="39">
        <v>0</v>
      </c>
      <c r="F121" s="39">
        <v>0</v>
      </c>
    </row>
    <row r="122" spans="1:6" x14ac:dyDescent="0.2">
      <c r="A122" s="40" t="s">
        <v>53</v>
      </c>
      <c r="B122" s="40" t="s">
        <v>14</v>
      </c>
      <c r="D122" s="40">
        <v>6</v>
      </c>
      <c r="E122" s="40">
        <v>9</v>
      </c>
      <c r="F122" s="40">
        <v>6</v>
      </c>
    </row>
    <row r="123" spans="1:6" x14ac:dyDescent="0.2">
      <c r="A123" s="39" t="s">
        <v>54</v>
      </c>
      <c r="B123" s="39" t="s">
        <v>12</v>
      </c>
      <c r="D123" s="39">
        <v>0</v>
      </c>
      <c r="E123" s="39">
        <v>0</v>
      </c>
      <c r="F123" s="39">
        <v>0</v>
      </c>
    </row>
    <row r="124" spans="1:6" x14ac:dyDescent="0.2">
      <c r="A124" s="40" t="s">
        <v>54</v>
      </c>
      <c r="B124" s="40" t="s">
        <v>13</v>
      </c>
      <c r="D124" s="40">
        <v>0</v>
      </c>
      <c r="E124" s="40">
        <v>0</v>
      </c>
      <c r="F124" s="40">
        <v>0</v>
      </c>
    </row>
    <row r="125" spans="1:6" x14ac:dyDescent="0.2">
      <c r="A125" s="39" t="s">
        <v>54</v>
      </c>
      <c r="B125" s="39" t="s">
        <v>14</v>
      </c>
      <c r="D125" s="39">
        <v>8</v>
      </c>
      <c r="E125" s="39">
        <v>5</v>
      </c>
      <c r="F125" s="39">
        <v>3</v>
      </c>
    </row>
    <row r="126" spans="1:6" x14ac:dyDescent="0.2">
      <c r="A126" s="40" t="s">
        <v>55</v>
      </c>
      <c r="B126" s="40" t="s">
        <v>12</v>
      </c>
      <c r="D126" s="40">
        <v>0</v>
      </c>
      <c r="E126" s="40">
        <v>0</v>
      </c>
      <c r="F126" s="40">
        <v>0</v>
      </c>
    </row>
    <row r="127" spans="1:6" x14ac:dyDescent="0.2">
      <c r="A127" s="39" t="s">
        <v>55</v>
      </c>
      <c r="B127" s="39" t="s">
        <v>13</v>
      </c>
      <c r="D127" s="39">
        <v>0</v>
      </c>
      <c r="E127" s="39">
        <v>0</v>
      </c>
      <c r="F127" s="39">
        <v>0</v>
      </c>
    </row>
    <row r="128" spans="1:6" x14ac:dyDescent="0.2">
      <c r="A128" s="40" t="s">
        <v>55</v>
      </c>
      <c r="B128" s="40" t="s">
        <v>14</v>
      </c>
      <c r="D128" s="40">
        <v>5</v>
      </c>
      <c r="E128" s="40">
        <v>4</v>
      </c>
      <c r="F128" s="40">
        <v>2</v>
      </c>
    </row>
    <row r="129" spans="1:6" x14ac:dyDescent="0.2">
      <c r="A129" s="39" t="s">
        <v>56</v>
      </c>
      <c r="B129" s="39" t="s">
        <v>12</v>
      </c>
      <c r="D129" s="39">
        <v>0</v>
      </c>
      <c r="E129" s="39">
        <v>0</v>
      </c>
      <c r="F129" s="39">
        <v>0</v>
      </c>
    </row>
    <row r="130" spans="1:6" x14ac:dyDescent="0.2">
      <c r="A130" s="40" t="s">
        <v>56</v>
      </c>
      <c r="B130" s="40" t="s">
        <v>13</v>
      </c>
      <c r="D130" s="40">
        <v>0</v>
      </c>
      <c r="E130" s="40">
        <v>0</v>
      </c>
      <c r="F130" s="40">
        <v>0</v>
      </c>
    </row>
    <row r="131" spans="1:6" x14ac:dyDescent="0.2">
      <c r="A131" s="39" t="s">
        <v>56</v>
      </c>
      <c r="B131" s="39" t="s">
        <v>14</v>
      </c>
      <c r="D131" s="39">
        <v>0</v>
      </c>
      <c r="E131" s="39">
        <v>0</v>
      </c>
      <c r="F131" s="39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1Q and March 2025 COVID Data Rpt 
&amp;P of &amp;N</oddHeader>
  </headerFooter>
  <ignoredErrors>
    <ignoredError sqref="A3:A65 A66:A1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view="pageLayout" zoomScaleNormal="100" workbookViewId="0">
      <selection activeCell="Q133" sqref="Q133:W22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7" customWidth="1"/>
    <col min="10" max="10" width="14.6640625" customWidth="1"/>
    <col min="11" max="11" width="14.6640625" style="7" customWidth="1"/>
    <col min="12" max="12" width="14.6640625" customWidth="1"/>
    <col min="13" max="13" width="14.6640625" style="7" customWidth="1"/>
    <col min="14" max="14" width="14.6640625" customWidth="1"/>
    <col min="15" max="15" width="14.6640625" style="7" customWidth="1"/>
    <col min="16" max="16" width="14.6640625" customWidth="1"/>
    <col min="17" max="17" width="14.6640625" style="7" customWidth="1"/>
    <col min="18" max="18" width="14.6640625" customWidth="1"/>
    <col min="19" max="19" width="14.6640625" style="7" customWidth="1"/>
    <col min="20" max="20" width="14.6640625" customWidth="1"/>
    <col min="21" max="21" width="14.6640625" style="7" customWidth="1"/>
    <col min="22" max="22" width="14.6640625" customWidth="1"/>
    <col min="23" max="23" width="14.6640625" style="7" customWidth="1"/>
    <col min="24" max="24" width="14.6640625" customWidth="1"/>
    <col min="25" max="25" width="14.6640625" style="7" customWidth="1"/>
    <col min="26" max="26" width="14.6640625" customWidth="1"/>
    <col min="27" max="27" width="14.6640625" style="7" customWidth="1"/>
    <col min="28" max="28" width="14.6640625" customWidth="1"/>
    <col min="29" max="29" width="14.6640625" style="7" customWidth="1"/>
    <col min="30" max="30" width="14.6640625" customWidth="1"/>
    <col min="31" max="31" width="14.6640625" style="7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121</v>
      </c>
      <c r="B1" s="2"/>
      <c r="D1" s="8" t="s">
        <v>122</v>
      </c>
      <c r="E1" s="8"/>
      <c r="F1" s="8"/>
      <c r="H1" s="93" t="s">
        <v>123</v>
      </c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G1" s="93" t="s">
        <v>124</v>
      </c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U1" s="8" t="s">
        <v>125</v>
      </c>
      <c r="AV1" s="8"/>
      <c r="AW1" s="8"/>
      <c r="AY1" s="8" t="s">
        <v>126</v>
      </c>
      <c r="AZ1" s="8"/>
      <c r="BA1" s="8"/>
      <c r="BB1" s="6"/>
      <c r="BD1" s="8" t="s">
        <v>127</v>
      </c>
      <c r="BE1" s="8"/>
      <c r="BF1" s="8"/>
      <c r="BH1" s="8" t="s">
        <v>128</v>
      </c>
      <c r="BI1" s="8"/>
      <c r="BJ1" s="8"/>
      <c r="BM1" s="8" t="s">
        <v>129</v>
      </c>
      <c r="BN1" s="8"/>
      <c r="BO1" s="8"/>
    </row>
    <row r="2" spans="1:67" x14ac:dyDescent="0.2">
      <c r="A2" s="2"/>
      <c r="B2" s="2"/>
      <c r="D2" s="3"/>
      <c r="E2" s="3"/>
      <c r="F2" s="3"/>
      <c r="H2" s="68" t="str">
        <f>+D3</f>
        <v>Jan 2025</v>
      </c>
      <c r="I2" s="68"/>
      <c r="J2" s="27"/>
      <c r="K2" s="27"/>
      <c r="L2" s="27"/>
      <c r="M2" s="27"/>
      <c r="N2" s="27"/>
      <c r="O2" s="69"/>
      <c r="P2" s="68" t="str">
        <f>+E3</f>
        <v>Feb 2025</v>
      </c>
      <c r="Q2" s="68"/>
      <c r="R2" s="27"/>
      <c r="S2" s="27"/>
      <c r="T2" s="27"/>
      <c r="U2" s="27"/>
      <c r="V2" s="27"/>
      <c r="W2" s="69"/>
      <c r="X2" s="68" t="str">
        <f>+F3</f>
        <v>Mar 2025</v>
      </c>
      <c r="Y2" s="68"/>
      <c r="Z2" s="27"/>
      <c r="AA2" s="27"/>
      <c r="AB2" s="27"/>
      <c r="AC2" s="27"/>
      <c r="AD2" s="27"/>
      <c r="AE2" s="70"/>
      <c r="AG2" s="91" t="str">
        <f>+D3</f>
        <v>Jan 2025</v>
      </c>
      <c r="AH2" s="92"/>
      <c r="AI2" s="92"/>
      <c r="AJ2" s="92"/>
      <c r="AK2" s="91" t="str">
        <f>+E3</f>
        <v>Feb 2025</v>
      </c>
      <c r="AL2" s="92"/>
      <c r="AM2" s="92"/>
      <c r="AN2" s="92"/>
      <c r="AO2" s="91" t="str">
        <f>+F3</f>
        <v>Mar 2025</v>
      </c>
      <c r="AP2" s="92"/>
      <c r="AQ2" s="92"/>
      <c r="AR2" s="92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">
      <c r="A3" s="2" t="s">
        <v>63</v>
      </c>
      <c r="B3" s="2" t="s">
        <v>64</v>
      </c>
      <c r="D3" s="73" t="s">
        <v>95</v>
      </c>
      <c r="E3" s="73" t="s">
        <v>96</v>
      </c>
      <c r="F3" s="73" t="s">
        <v>97</v>
      </c>
      <c r="H3" s="43" t="s">
        <v>130</v>
      </c>
      <c r="I3" s="62" t="s">
        <v>131</v>
      </c>
      <c r="J3" s="43" t="s">
        <v>132</v>
      </c>
      <c r="K3" s="62" t="s">
        <v>133</v>
      </c>
      <c r="L3" s="43" t="s">
        <v>134</v>
      </c>
      <c r="M3" s="62" t="s">
        <v>135</v>
      </c>
      <c r="N3" s="43" t="s">
        <v>136</v>
      </c>
      <c r="O3" s="62" t="s">
        <v>137</v>
      </c>
      <c r="P3" s="43" t="str">
        <f>+H3</f>
        <v>30 Days Amt</v>
      </c>
      <c r="Q3" s="62" t="str">
        <f t="shared" ref="Q3:W3" si="0">+I3</f>
        <v>30 Day Count</v>
      </c>
      <c r="R3" s="43" t="str">
        <f t="shared" si="0"/>
        <v>60 Days Amt</v>
      </c>
      <c r="S3" s="62" t="str">
        <f t="shared" si="0"/>
        <v>60 Days Count</v>
      </c>
      <c r="T3" s="43" t="str">
        <f t="shared" si="0"/>
        <v>90 Days + Amt</v>
      </c>
      <c r="U3" s="62" t="str">
        <f t="shared" si="0"/>
        <v>90 Days + Count</v>
      </c>
      <c r="V3" s="43" t="str">
        <f t="shared" si="0"/>
        <v>Total Arrearages</v>
      </c>
      <c r="W3" s="62" t="str">
        <f t="shared" si="0"/>
        <v>Total Count</v>
      </c>
      <c r="X3" s="43" t="str">
        <f>+P3</f>
        <v>30 Days Amt</v>
      </c>
      <c r="Y3" s="62" t="str">
        <f t="shared" ref="Y3:AE3" si="1">+Q3</f>
        <v>30 Day Count</v>
      </c>
      <c r="Z3" s="43" t="str">
        <f t="shared" si="1"/>
        <v>60 Days Amt</v>
      </c>
      <c r="AA3" s="62" t="str">
        <f t="shared" si="1"/>
        <v>60 Days Count</v>
      </c>
      <c r="AB3" s="43" t="str">
        <f t="shared" si="1"/>
        <v>90 Days + Amt</v>
      </c>
      <c r="AC3" s="62" t="str">
        <f t="shared" si="1"/>
        <v>90 Days + Count</v>
      </c>
      <c r="AD3" s="43" t="str">
        <f t="shared" si="1"/>
        <v>Total Arrearages</v>
      </c>
      <c r="AE3" s="62" t="str">
        <f t="shared" si="1"/>
        <v>Total Count</v>
      </c>
      <c r="AG3" s="2" t="s">
        <v>138</v>
      </c>
      <c r="AH3" s="2" t="s">
        <v>139</v>
      </c>
      <c r="AI3" s="2" t="s">
        <v>140</v>
      </c>
      <c r="AJ3" s="2" t="s">
        <v>136</v>
      </c>
      <c r="AK3" s="2" t="s">
        <v>138</v>
      </c>
      <c r="AL3" s="2" t="s">
        <v>139</v>
      </c>
      <c r="AM3" s="2" t="s">
        <v>140</v>
      </c>
      <c r="AN3" s="2" t="s">
        <v>136</v>
      </c>
      <c r="AO3" s="2" t="s">
        <v>138</v>
      </c>
      <c r="AP3" s="2" t="s">
        <v>139</v>
      </c>
      <c r="AQ3" s="2" t="s">
        <v>140</v>
      </c>
      <c r="AR3" s="2" t="s">
        <v>136</v>
      </c>
      <c r="AU3" s="73" t="str">
        <f>+'4. Payment Arrangements 2025'!D2</f>
        <v>Jan 2025</v>
      </c>
      <c r="AV3" s="73" t="str">
        <f>+'4. Payment Arrangements 2025'!E2</f>
        <v>Feb 2025</v>
      </c>
      <c r="AW3" s="73" t="str">
        <f>+'4. Payment Arrangements 2025'!F2</f>
        <v>Mar 2025</v>
      </c>
      <c r="AY3" s="56" t="str">
        <f>+AU3</f>
        <v>Jan 2025</v>
      </c>
      <c r="AZ3" s="56" t="str">
        <f t="shared" ref="AZ3:BA3" si="2">+AV3</f>
        <v>Feb 2025</v>
      </c>
      <c r="BA3" s="56" t="str">
        <f t="shared" si="2"/>
        <v>Mar 2025</v>
      </c>
      <c r="BB3" s="77"/>
      <c r="BC3" s="58"/>
      <c r="BD3" s="56" t="str">
        <f>+AY3</f>
        <v>Jan 2025</v>
      </c>
      <c r="BE3" s="56" t="str">
        <f t="shared" ref="BE3:BF3" si="3">+AZ3</f>
        <v>Feb 2025</v>
      </c>
      <c r="BF3" s="56" t="str">
        <f t="shared" si="3"/>
        <v>Mar 2025</v>
      </c>
      <c r="BG3" s="57"/>
      <c r="BH3" s="56" t="str">
        <f>+BD3</f>
        <v>Jan 2025</v>
      </c>
      <c r="BI3" s="56" t="str">
        <f t="shared" ref="BI3:BJ3" si="4">+BE3</f>
        <v>Feb 2025</v>
      </c>
      <c r="BJ3" s="56" t="str">
        <f t="shared" si="4"/>
        <v>Mar 2025</v>
      </c>
      <c r="BK3" s="77"/>
      <c r="BL3" s="58"/>
      <c r="BM3" s="56" t="str">
        <f>+BH3</f>
        <v>Jan 2025</v>
      </c>
      <c r="BN3" s="56" t="str">
        <f t="shared" ref="BN3:BO3" si="5">+BI3</f>
        <v>Feb 2025</v>
      </c>
      <c r="BO3" s="56" t="str">
        <f t="shared" si="5"/>
        <v>Mar 2025</v>
      </c>
    </row>
    <row r="4" spans="1:67" x14ac:dyDescent="0.2">
      <c r="A4" s="39" t="s">
        <v>11</v>
      </c>
      <c r="B4" s="39" t="s">
        <v>12</v>
      </c>
      <c r="D4" s="39">
        <v>0</v>
      </c>
      <c r="E4" s="39">
        <v>0</v>
      </c>
      <c r="F4" s="39">
        <v>0</v>
      </c>
      <c r="H4" s="41">
        <v>0</v>
      </c>
      <c r="I4" s="63">
        <v>0</v>
      </c>
      <c r="J4" s="41">
        <v>0</v>
      </c>
      <c r="K4" s="63">
        <v>0</v>
      </c>
      <c r="L4" s="41">
        <v>0</v>
      </c>
      <c r="M4" s="63">
        <v>0</v>
      </c>
      <c r="N4" s="41">
        <v>0</v>
      </c>
      <c r="O4" s="63">
        <v>0</v>
      </c>
      <c r="P4" s="41">
        <v>0</v>
      </c>
      <c r="Q4" s="63">
        <v>0</v>
      </c>
      <c r="R4" s="41">
        <v>0</v>
      </c>
      <c r="S4" s="63">
        <v>0</v>
      </c>
      <c r="T4" s="41">
        <v>0</v>
      </c>
      <c r="U4" s="63">
        <v>0</v>
      </c>
      <c r="V4" s="41">
        <v>0</v>
      </c>
      <c r="W4" s="63">
        <v>0</v>
      </c>
      <c r="X4" s="41">
        <v>0</v>
      </c>
      <c r="Y4" s="63">
        <v>0</v>
      </c>
      <c r="Z4" s="41">
        <v>0</v>
      </c>
      <c r="AA4" s="63">
        <v>0</v>
      </c>
      <c r="AB4" s="41">
        <v>0</v>
      </c>
      <c r="AC4" s="63">
        <v>0</v>
      </c>
      <c r="AD4" s="41">
        <v>0</v>
      </c>
      <c r="AE4" s="66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0</v>
      </c>
      <c r="AT4" s="9"/>
      <c r="AU4" s="9" t="s">
        <v>141</v>
      </c>
      <c r="AV4" s="9"/>
      <c r="AW4" s="9"/>
      <c r="AY4" s="9"/>
      <c r="AZ4" s="9"/>
      <c r="BA4" s="9"/>
      <c r="BD4" s="9" t="s">
        <v>141</v>
      </c>
      <c r="BE4" s="9"/>
      <c r="BF4" s="9"/>
      <c r="BH4" s="9"/>
      <c r="BI4" s="9"/>
      <c r="BJ4" s="9"/>
      <c r="BL4" s="9"/>
      <c r="BM4" s="9" t="s">
        <v>141</v>
      </c>
      <c r="BN4" s="9"/>
      <c r="BO4" s="9"/>
    </row>
    <row r="5" spans="1:67" ht="16" thickBot="1" x14ac:dyDescent="0.25">
      <c r="A5" s="40" t="s">
        <v>11</v>
      </c>
      <c r="B5" s="40" t="s">
        <v>13</v>
      </c>
      <c r="D5" s="40">
        <v>0</v>
      </c>
      <c r="E5" s="40">
        <v>0</v>
      </c>
      <c r="F5" s="40">
        <v>0</v>
      </c>
      <c r="H5" s="42">
        <v>0</v>
      </c>
      <c r="I5" s="64">
        <v>0</v>
      </c>
      <c r="J5" s="42">
        <v>0</v>
      </c>
      <c r="K5" s="64">
        <v>0</v>
      </c>
      <c r="L5" s="42">
        <v>0</v>
      </c>
      <c r="M5" s="64">
        <v>0</v>
      </c>
      <c r="N5" s="42">
        <v>0</v>
      </c>
      <c r="O5" s="64">
        <v>0</v>
      </c>
      <c r="P5" s="42">
        <v>0</v>
      </c>
      <c r="Q5" s="64">
        <v>0</v>
      </c>
      <c r="R5" s="42">
        <v>0</v>
      </c>
      <c r="S5" s="64">
        <v>0</v>
      </c>
      <c r="T5" s="42">
        <v>0</v>
      </c>
      <c r="U5" s="64">
        <v>0</v>
      </c>
      <c r="V5" s="42">
        <v>0</v>
      </c>
      <c r="W5" s="64">
        <v>0</v>
      </c>
      <c r="X5" s="42">
        <v>0</v>
      </c>
      <c r="Y5" s="64">
        <v>0</v>
      </c>
      <c r="Z5" s="42">
        <v>0</v>
      </c>
      <c r="AA5" s="64">
        <v>0</v>
      </c>
      <c r="AB5" s="42">
        <v>0</v>
      </c>
      <c r="AC5" s="64">
        <v>0</v>
      </c>
      <c r="AD5" s="42">
        <v>0</v>
      </c>
      <c r="AE5" s="67">
        <v>0</v>
      </c>
      <c r="AG5" s="42">
        <v>0</v>
      </c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">
      <c r="A6" s="39" t="s">
        <v>11</v>
      </c>
      <c r="B6" s="39" t="s">
        <v>14</v>
      </c>
      <c r="D6" s="39">
        <v>0</v>
      </c>
      <c r="E6" s="39">
        <v>0</v>
      </c>
      <c r="F6" s="39">
        <v>0</v>
      </c>
      <c r="H6" s="41">
        <v>0</v>
      </c>
      <c r="I6" s="63">
        <v>0</v>
      </c>
      <c r="J6" s="41">
        <v>0</v>
      </c>
      <c r="K6" s="63">
        <v>0</v>
      </c>
      <c r="L6" s="41">
        <v>0</v>
      </c>
      <c r="M6" s="63">
        <v>0</v>
      </c>
      <c r="N6" s="41">
        <v>0</v>
      </c>
      <c r="O6" s="63">
        <v>0</v>
      </c>
      <c r="P6" s="41">
        <v>0</v>
      </c>
      <c r="Q6" s="63">
        <v>0</v>
      </c>
      <c r="R6" s="41">
        <v>0</v>
      </c>
      <c r="S6" s="63">
        <v>0</v>
      </c>
      <c r="T6" s="41">
        <v>0</v>
      </c>
      <c r="U6" s="63">
        <v>0</v>
      </c>
      <c r="V6" s="41">
        <v>0</v>
      </c>
      <c r="W6" s="63">
        <v>0</v>
      </c>
      <c r="X6" s="41">
        <v>0</v>
      </c>
      <c r="Y6" s="63">
        <v>0</v>
      </c>
      <c r="Z6" s="41">
        <v>0</v>
      </c>
      <c r="AA6" s="63">
        <v>0</v>
      </c>
      <c r="AB6" s="41">
        <v>0</v>
      </c>
      <c r="AC6" s="63">
        <v>0</v>
      </c>
      <c r="AD6" s="41">
        <v>0</v>
      </c>
      <c r="AE6" s="66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T6" s="9" t="s">
        <v>12</v>
      </c>
      <c r="AU6" s="10">
        <v>5418.23</v>
      </c>
      <c r="AV6" s="10">
        <v>26426.34</v>
      </c>
      <c r="AW6" s="10">
        <v>6607.2</v>
      </c>
      <c r="AY6" s="11"/>
      <c r="AZ6" s="12"/>
      <c r="BA6" s="47"/>
      <c r="BC6" t="s">
        <v>12</v>
      </c>
      <c r="BD6" s="9">
        <v>16</v>
      </c>
      <c r="BE6" s="9">
        <v>10</v>
      </c>
      <c r="BF6" s="9">
        <v>9</v>
      </c>
      <c r="BH6" s="11"/>
      <c r="BI6" s="12"/>
      <c r="BJ6" s="47"/>
      <c r="BL6" s="9" t="s">
        <v>12</v>
      </c>
      <c r="BM6" s="10">
        <v>1000.77</v>
      </c>
      <c r="BN6" s="10">
        <v>510.13</v>
      </c>
      <c r="BO6" s="10">
        <v>12932.58</v>
      </c>
    </row>
    <row r="7" spans="1:67" x14ac:dyDescent="0.2">
      <c r="A7" s="40" t="s">
        <v>15</v>
      </c>
      <c r="B7" s="40" t="s">
        <v>12</v>
      </c>
      <c r="D7" s="40">
        <v>0</v>
      </c>
      <c r="E7" s="40">
        <v>0</v>
      </c>
      <c r="F7" s="40">
        <v>0</v>
      </c>
      <c r="H7" s="42">
        <v>0</v>
      </c>
      <c r="I7" s="64">
        <v>0</v>
      </c>
      <c r="J7" s="42">
        <v>0</v>
      </c>
      <c r="K7" s="64">
        <v>0</v>
      </c>
      <c r="L7" s="42">
        <v>0</v>
      </c>
      <c r="M7" s="64">
        <v>0</v>
      </c>
      <c r="N7" s="42">
        <v>0</v>
      </c>
      <c r="O7" s="64">
        <v>0</v>
      </c>
      <c r="P7" s="42">
        <v>0</v>
      </c>
      <c r="Q7" s="64">
        <v>0</v>
      </c>
      <c r="R7" s="42">
        <v>0</v>
      </c>
      <c r="S7" s="64">
        <v>0</v>
      </c>
      <c r="T7" s="42">
        <v>0</v>
      </c>
      <c r="U7" s="64">
        <v>0</v>
      </c>
      <c r="V7" s="42">
        <v>0</v>
      </c>
      <c r="W7" s="64">
        <v>0</v>
      </c>
      <c r="X7" s="42">
        <v>0</v>
      </c>
      <c r="Y7" s="64">
        <v>0</v>
      </c>
      <c r="Z7" s="42">
        <v>0</v>
      </c>
      <c r="AA7" s="64">
        <v>0</v>
      </c>
      <c r="AB7" s="42">
        <v>0</v>
      </c>
      <c r="AC7" s="64">
        <v>0</v>
      </c>
      <c r="AD7" s="42">
        <v>0</v>
      </c>
      <c r="AE7" s="67">
        <v>0</v>
      </c>
      <c r="AG7" s="42">
        <v>0</v>
      </c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>
        <v>0</v>
      </c>
      <c r="AT7" s="9" t="s">
        <v>13</v>
      </c>
      <c r="AU7" s="10">
        <v>0</v>
      </c>
      <c r="AV7" s="10">
        <v>0</v>
      </c>
      <c r="AW7" s="10">
        <v>0</v>
      </c>
      <c r="AY7" s="13"/>
      <c r="AZ7" s="9"/>
      <c r="BA7" s="48"/>
      <c r="BC7" t="s">
        <v>13</v>
      </c>
      <c r="BD7" s="9">
        <v>0</v>
      </c>
      <c r="BE7" s="9">
        <v>0</v>
      </c>
      <c r="BF7" s="9">
        <v>0</v>
      </c>
      <c r="BH7" s="13"/>
      <c r="BI7" s="9"/>
      <c r="BJ7" s="48"/>
      <c r="BL7" s="9" t="s">
        <v>13</v>
      </c>
      <c r="BM7" s="10">
        <v>0</v>
      </c>
      <c r="BN7" s="10">
        <v>0</v>
      </c>
      <c r="BO7" s="10">
        <v>0</v>
      </c>
    </row>
    <row r="8" spans="1:67" x14ac:dyDescent="0.2">
      <c r="A8" s="39" t="s">
        <v>15</v>
      </c>
      <c r="B8" s="39" t="s">
        <v>13</v>
      </c>
      <c r="D8" s="39">
        <v>0</v>
      </c>
      <c r="E8" s="39">
        <v>0</v>
      </c>
      <c r="F8" s="39">
        <v>0</v>
      </c>
      <c r="H8" s="41">
        <v>0</v>
      </c>
      <c r="I8" s="63">
        <v>0</v>
      </c>
      <c r="J8" s="41">
        <v>0</v>
      </c>
      <c r="K8" s="63">
        <v>0</v>
      </c>
      <c r="L8" s="41">
        <v>0</v>
      </c>
      <c r="M8" s="63">
        <v>0</v>
      </c>
      <c r="N8" s="41">
        <v>0</v>
      </c>
      <c r="O8" s="63">
        <v>0</v>
      </c>
      <c r="P8" s="41">
        <v>0</v>
      </c>
      <c r="Q8" s="63">
        <v>0</v>
      </c>
      <c r="R8" s="41">
        <v>0</v>
      </c>
      <c r="S8" s="63">
        <v>0</v>
      </c>
      <c r="T8" s="41">
        <v>0</v>
      </c>
      <c r="U8" s="63">
        <v>0</v>
      </c>
      <c r="V8" s="41">
        <v>0</v>
      </c>
      <c r="W8" s="63">
        <v>0</v>
      </c>
      <c r="X8" s="41">
        <v>0</v>
      </c>
      <c r="Y8" s="63">
        <v>0</v>
      </c>
      <c r="Z8" s="41">
        <v>0</v>
      </c>
      <c r="AA8" s="63">
        <v>0</v>
      </c>
      <c r="AB8" s="41">
        <v>0</v>
      </c>
      <c r="AC8" s="63">
        <v>0</v>
      </c>
      <c r="AD8" s="41">
        <v>0</v>
      </c>
      <c r="AE8" s="66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T8" s="9" t="s">
        <v>14</v>
      </c>
      <c r="AU8" s="21">
        <v>20703.34</v>
      </c>
      <c r="AV8" s="21">
        <v>23804.31</v>
      </c>
      <c r="AW8" s="21">
        <v>15960.24</v>
      </c>
      <c r="AY8" s="14" t="s">
        <v>142</v>
      </c>
      <c r="AZ8" s="15"/>
      <c r="BA8" s="49"/>
      <c r="BC8" t="s">
        <v>14</v>
      </c>
      <c r="BD8" s="79">
        <v>101</v>
      </c>
      <c r="BE8" s="18">
        <v>111</v>
      </c>
      <c r="BF8" s="18">
        <v>83</v>
      </c>
      <c r="BH8" s="14" t="s">
        <v>142</v>
      </c>
      <c r="BI8" s="15"/>
      <c r="BJ8" s="49"/>
      <c r="BL8" s="9" t="s">
        <v>14</v>
      </c>
      <c r="BM8" s="21">
        <v>12536.8</v>
      </c>
      <c r="BN8" s="21">
        <v>11846.47</v>
      </c>
      <c r="BO8" s="21">
        <v>17011.13</v>
      </c>
    </row>
    <row r="9" spans="1:67" x14ac:dyDescent="0.2">
      <c r="A9" s="40" t="s">
        <v>15</v>
      </c>
      <c r="B9" s="40" t="s">
        <v>14</v>
      </c>
      <c r="D9" s="40">
        <v>0</v>
      </c>
      <c r="E9" s="40">
        <v>0</v>
      </c>
      <c r="F9" s="40">
        <v>0</v>
      </c>
      <c r="H9" s="42">
        <v>0</v>
      </c>
      <c r="I9" s="64">
        <v>0</v>
      </c>
      <c r="J9" s="42">
        <v>0</v>
      </c>
      <c r="K9" s="64">
        <v>0</v>
      </c>
      <c r="L9" s="42">
        <v>0</v>
      </c>
      <c r="M9" s="64">
        <v>0</v>
      </c>
      <c r="N9" s="42">
        <v>0</v>
      </c>
      <c r="O9" s="64">
        <v>0</v>
      </c>
      <c r="P9" s="42">
        <v>0</v>
      </c>
      <c r="Q9" s="64">
        <v>0</v>
      </c>
      <c r="R9" s="42">
        <v>0</v>
      </c>
      <c r="S9" s="64">
        <v>0</v>
      </c>
      <c r="T9" s="42">
        <v>0</v>
      </c>
      <c r="U9" s="64">
        <v>0</v>
      </c>
      <c r="V9" s="42">
        <v>0</v>
      </c>
      <c r="W9" s="64">
        <v>0</v>
      </c>
      <c r="X9" s="42">
        <v>0</v>
      </c>
      <c r="Y9" s="64">
        <v>0</v>
      </c>
      <c r="Z9" s="42">
        <v>0</v>
      </c>
      <c r="AA9" s="64">
        <v>0</v>
      </c>
      <c r="AB9" s="42">
        <v>0</v>
      </c>
      <c r="AC9" s="64">
        <v>0</v>
      </c>
      <c r="AD9" s="42">
        <v>0</v>
      </c>
      <c r="AE9" s="67">
        <v>0</v>
      </c>
      <c r="AG9" s="42">
        <v>0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T9" s="9"/>
      <c r="AU9" s="10"/>
      <c r="AV9" s="10"/>
      <c r="AW9" s="10"/>
      <c r="AY9" s="13"/>
      <c r="AZ9" s="9"/>
      <c r="BA9" s="48"/>
      <c r="BD9" s="9"/>
      <c r="BE9" s="9"/>
      <c r="BF9" s="9"/>
      <c r="BH9" s="13"/>
      <c r="BI9" s="9"/>
      <c r="BJ9" s="48"/>
      <c r="BL9" s="9"/>
      <c r="BM9" s="10"/>
      <c r="BN9" s="10"/>
      <c r="BO9" s="10"/>
    </row>
    <row r="10" spans="1:67" ht="16" thickBot="1" x14ac:dyDescent="0.25">
      <c r="A10" s="39" t="s">
        <v>16</v>
      </c>
      <c r="B10" s="39" t="s">
        <v>12</v>
      </c>
      <c r="D10" s="39">
        <v>0</v>
      </c>
      <c r="E10" s="39">
        <v>0</v>
      </c>
      <c r="F10" s="39">
        <v>0</v>
      </c>
      <c r="H10" s="41">
        <v>0</v>
      </c>
      <c r="I10" s="63">
        <v>0</v>
      </c>
      <c r="J10" s="41">
        <v>0</v>
      </c>
      <c r="K10" s="63">
        <v>0</v>
      </c>
      <c r="L10" s="41">
        <v>0</v>
      </c>
      <c r="M10" s="63">
        <v>0</v>
      </c>
      <c r="N10" s="41">
        <v>0</v>
      </c>
      <c r="O10" s="63">
        <v>0</v>
      </c>
      <c r="P10" s="41">
        <v>0</v>
      </c>
      <c r="Q10" s="63">
        <v>0</v>
      </c>
      <c r="R10" s="41">
        <v>0</v>
      </c>
      <c r="S10" s="63">
        <v>0</v>
      </c>
      <c r="T10" s="41">
        <v>0</v>
      </c>
      <c r="U10" s="63">
        <v>0</v>
      </c>
      <c r="V10" s="41">
        <v>0</v>
      </c>
      <c r="W10" s="63">
        <v>0</v>
      </c>
      <c r="X10" s="41">
        <v>0</v>
      </c>
      <c r="Y10" s="63">
        <v>0</v>
      </c>
      <c r="Z10" s="41">
        <v>0</v>
      </c>
      <c r="AA10" s="63">
        <v>0</v>
      </c>
      <c r="AB10" s="41">
        <v>0</v>
      </c>
      <c r="AC10" s="63">
        <v>0</v>
      </c>
      <c r="AD10" s="41">
        <v>0</v>
      </c>
      <c r="AE10" s="66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T10" s="9" t="s">
        <v>143</v>
      </c>
      <c r="AU10" s="10">
        <f>SUM(AU6:AU8)</f>
        <v>26121.57</v>
      </c>
      <c r="AV10" s="10">
        <f t="shared" ref="AV10:AW10" si="6">SUM(AV6:AV8)</f>
        <v>50230.65</v>
      </c>
      <c r="AW10" s="10">
        <f t="shared" si="6"/>
        <v>22567.439999999999</v>
      </c>
      <c r="AY10" s="16"/>
      <c r="AZ10" s="17"/>
      <c r="BA10" s="50"/>
      <c r="BC10" t="s">
        <v>143</v>
      </c>
      <c r="BD10" s="9">
        <f>SUM(BD6:BD8)</f>
        <v>117</v>
      </c>
      <c r="BE10" s="9">
        <f t="shared" ref="BE10:BF10" si="7">SUM(BE6:BE8)</f>
        <v>121</v>
      </c>
      <c r="BF10" s="9">
        <f t="shared" si="7"/>
        <v>92</v>
      </c>
      <c r="BH10" s="16"/>
      <c r="BI10" s="17"/>
      <c r="BJ10" s="50"/>
      <c r="BL10" s="9" t="s">
        <v>143</v>
      </c>
      <c r="BM10" s="10">
        <f>SUM(BM6:BM8)</f>
        <v>13537.57</v>
      </c>
      <c r="BN10" s="10">
        <f t="shared" ref="BN10:BO10" si="8">SUM(BN6:BN8)</f>
        <v>12356.599999999999</v>
      </c>
      <c r="BO10" s="10">
        <f t="shared" si="8"/>
        <v>29943.71</v>
      </c>
    </row>
    <row r="11" spans="1:67" x14ac:dyDescent="0.2">
      <c r="A11" s="40" t="s">
        <v>16</v>
      </c>
      <c r="B11" s="40" t="s">
        <v>13</v>
      </c>
      <c r="D11" s="40">
        <v>0</v>
      </c>
      <c r="E11" s="40">
        <v>0</v>
      </c>
      <c r="F11" s="40">
        <v>0</v>
      </c>
      <c r="H11" s="42">
        <v>0</v>
      </c>
      <c r="I11" s="64">
        <v>0</v>
      </c>
      <c r="J11" s="42">
        <v>0</v>
      </c>
      <c r="K11" s="64">
        <v>0</v>
      </c>
      <c r="L11" s="42">
        <v>0</v>
      </c>
      <c r="M11" s="64">
        <v>0</v>
      </c>
      <c r="N11" s="42">
        <v>0</v>
      </c>
      <c r="O11" s="64">
        <v>0</v>
      </c>
      <c r="P11" s="42">
        <v>0</v>
      </c>
      <c r="Q11" s="64">
        <v>0</v>
      </c>
      <c r="R11" s="42">
        <v>0</v>
      </c>
      <c r="S11" s="64">
        <v>0</v>
      </c>
      <c r="T11" s="42">
        <v>0</v>
      </c>
      <c r="U11" s="64">
        <v>0</v>
      </c>
      <c r="V11" s="42">
        <v>0</v>
      </c>
      <c r="W11" s="64">
        <v>0</v>
      </c>
      <c r="X11" s="42">
        <v>0</v>
      </c>
      <c r="Y11" s="64">
        <v>0</v>
      </c>
      <c r="Z11" s="42">
        <v>0</v>
      </c>
      <c r="AA11" s="64">
        <v>0</v>
      </c>
      <c r="AB11" s="42">
        <v>0</v>
      </c>
      <c r="AC11" s="64">
        <v>0</v>
      </c>
      <c r="AD11" s="42">
        <v>0</v>
      </c>
      <c r="AE11" s="67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">
      <c r="A12" s="39" t="s">
        <v>16</v>
      </c>
      <c r="B12" s="39" t="s">
        <v>14</v>
      </c>
      <c r="D12" s="39">
        <v>0</v>
      </c>
      <c r="E12" s="39">
        <v>0</v>
      </c>
      <c r="F12" s="39">
        <v>0</v>
      </c>
      <c r="H12" s="41">
        <v>0</v>
      </c>
      <c r="I12" s="63">
        <v>0</v>
      </c>
      <c r="J12" s="41">
        <v>0</v>
      </c>
      <c r="K12" s="63">
        <v>0</v>
      </c>
      <c r="L12" s="41">
        <v>0</v>
      </c>
      <c r="M12" s="63">
        <v>0</v>
      </c>
      <c r="N12" s="41">
        <v>0</v>
      </c>
      <c r="O12" s="63">
        <v>0</v>
      </c>
      <c r="P12" s="41">
        <v>0</v>
      </c>
      <c r="Q12" s="63">
        <v>0</v>
      </c>
      <c r="R12" s="41">
        <v>0</v>
      </c>
      <c r="S12" s="63">
        <v>0</v>
      </c>
      <c r="T12" s="41">
        <v>0</v>
      </c>
      <c r="U12" s="63">
        <v>0</v>
      </c>
      <c r="V12" s="41">
        <v>0</v>
      </c>
      <c r="W12" s="63">
        <v>0</v>
      </c>
      <c r="X12" s="41">
        <v>0</v>
      </c>
      <c r="Y12" s="63">
        <v>0</v>
      </c>
      <c r="Z12" s="41">
        <v>0</v>
      </c>
      <c r="AA12" s="63">
        <v>0</v>
      </c>
      <c r="AB12" s="41">
        <v>0</v>
      </c>
      <c r="AC12" s="63">
        <v>0</v>
      </c>
      <c r="AD12" s="41">
        <v>0</v>
      </c>
      <c r="AE12" s="66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">
      <c r="A13" s="40" t="s">
        <v>17</v>
      </c>
      <c r="B13" s="40" t="s">
        <v>12</v>
      </c>
      <c r="D13" s="40">
        <v>0</v>
      </c>
      <c r="E13" s="40">
        <v>0</v>
      </c>
      <c r="F13" s="40">
        <v>0</v>
      </c>
      <c r="H13" s="42">
        <v>0</v>
      </c>
      <c r="I13" s="64">
        <v>0</v>
      </c>
      <c r="J13" s="42">
        <v>0</v>
      </c>
      <c r="K13" s="64">
        <v>0</v>
      </c>
      <c r="L13" s="42">
        <v>0</v>
      </c>
      <c r="M13" s="64">
        <v>0</v>
      </c>
      <c r="N13" s="42">
        <v>0</v>
      </c>
      <c r="O13" s="64">
        <v>0</v>
      </c>
      <c r="P13" s="42">
        <v>0</v>
      </c>
      <c r="Q13" s="64">
        <v>0</v>
      </c>
      <c r="R13" s="42">
        <v>0</v>
      </c>
      <c r="S13" s="64">
        <v>0</v>
      </c>
      <c r="T13" s="42">
        <v>0</v>
      </c>
      <c r="U13" s="64">
        <v>0</v>
      </c>
      <c r="V13" s="42">
        <v>0</v>
      </c>
      <c r="W13" s="64">
        <v>0</v>
      </c>
      <c r="X13" s="42">
        <v>0</v>
      </c>
      <c r="Y13" s="64">
        <v>0</v>
      </c>
      <c r="Z13" s="42">
        <v>0</v>
      </c>
      <c r="AA13" s="64">
        <v>0</v>
      </c>
      <c r="AB13" s="42">
        <v>0</v>
      </c>
      <c r="AC13" s="64">
        <v>0</v>
      </c>
      <c r="AD13" s="42">
        <v>0</v>
      </c>
      <c r="AE13" s="67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">
      <c r="A14" s="39" t="s">
        <v>17</v>
      </c>
      <c r="B14" s="39" t="s">
        <v>13</v>
      </c>
      <c r="D14" s="39">
        <v>0</v>
      </c>
      <c r="E14" s="39">
        <v>0</v>
      </c>
      <c r="F14" s="39">
        <v>0</v>
      </c>
      <c r="H14" s="41">
        <v>0</v>
      </c>
      <c r="I14" s="63">
        <v>0</v>
      </c>
      <c r="J14" s="41">
        <v>0</v>
      </c>
      <c r="K14" s="63">
        <v>0</v>
      </c>
      <c r="L14" s="41">
        <v>0</v>
      </c>
      <c r="M14" s="63">
        <v>0</v>
      </c>
      <c r="N14" s="41">
        <v>0</v>
      </c>
      <c r="O14" s="63">
        <v>0</v>
      </c>
      <c r="P14" s="41">
        <v>0</v>
      </c>
      <c r="Q14" s="63">
        <v>0</v>
      </c>
      <c r="R14" s="41">
        <v>0</v>
      </c>
      <c r="S14" s="63">
        <v>0</v>
      </c>
      <c r="T14" s="41">
        <v>0</v>
      </c>
      <c r="U14" s="63">
        <v>0</v>
      </c>
      <c r="V14" s="41">
        <v>0</v>
      </c>
      <c r="W14" s="63">
        <v>0</v>
      </c>
      <c r="X14" s="41">
        <v>0</v>
      </c>
      <c r="Y14" s="63">
        <v>0</v>
      </c>
      <c r="Z14" s="41">
        <v>0</v>
      </c>
      <c r="AA14" s="63">
        <v>0</v>
      </c>
      <c r="AB14" s="41">
        <v>0</v>
      </c>
      <c r="AC14" s="63">
        <v>0</v>
      </c>
      <c r="AD14" s="41">
        <v>0</v>
      </c>
      <c r="AE14" s="66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9"/>
      <c r="BN14" s="9"/>
      <c r="BO14" s="9"/>
    </row>
    <row r="15" spans="1:67" x14ac:dyDescent="0.2">
      <c r="A15" s="40" t="s">
        <v>17</v>
      </c>
      <c r="B15" s="40" t="s">
        <v>14</v>
      </c>
      <c r="D15" s="40">
        <v>0</v>
      </c>
      <c r="E15" s="40">
        <v>0</v>
      </c>
      <c r="F15" s="40">
        <v>0</v>
      </c>
      <c r="H15" s="42">
        <v>0</v>
      </c>
      <c r="I15" s="64">
        <v>0</v>
      </c>
      <c r="J15" s="42">
        <v>0</v>
      </c>
      <c r="K15" s="64">
        <v>0</v>
      </c>
      <c r="L15" s="42">
        <v>0</v>
      </c>
      <c r="M15" s="64">
        <v>0</v>
      </c>
      <c r="N15" s="42">
        <v>0</v>
      </c>
      <c r="O15" s="64">
        <v>0</v>
      </c>
      <c r="P15" s="42">
        <v>0</v>
      </c>
      <c r="Q15" s="64">
        <v>0</v>
      </c>
      <c r="R15" s="42">
        <v>0</v>
      </c>
      <c r="S15" s="64">
        <v>0</v>
      </c>
      <c r="T15" s="42">
        <v>0</v>
      </c>
      <c r="U15" s="64">
        <v>0</v>
      </c>
      <c r="V15" s="42">
        <v>0</v>
      </c>
      <c r="W15" s="64">
        <v>0</v>
      </c>
      <c r="X15" s="42">
        <v>0</v>
      </c>
      <c r="Y15" s="64">
        <v>0</v>
      </c>
      <c r="Z15" s="42">
        <v>0</v>
      </c>
      <c r="AA15" s="64">
        <v>0</v>
      </c>
      <c r="AB15" s="42">
        <v>0</v>
      </c>
      <c r="AC15" s="64">
        <v>0</v>
      </c>
      <c r="AD15" s="42">
        <v>0</v>
      </c>
      <c r="AE15" s="67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9"/>
      <c r="BN15" s="9"/>
      <c r="BO15" s="9"/>
    </row>
    <row r="16" spans="1:67" x14ac:dyDescent="0.2">
      <c r="A16" s="39" t="s">
        <v>18</v>
      </c>
      <c r="B16" s="39" t="s">
        <v>12</v>
      </c>
      <c r="D16" s="39">
        <v>0</v>
      </c>
      <c r="E16" s="39">
        <v>0</v>
      </c>
      <c r="F16" s="39">
        <v>0</v>
      </c>
      <c r="H16" s="41">
        <v>0</v>
      </c>
      <c r="I16" s="63">
        <v>0</v>
      </c>
      <c r="J16" s="41">
        <v>0</v>
      </c>
      <c r="K16" s="63">
        <v>0</v>
      </c>
      <c r="L16" s="41">
        <v>0</v>
      </c>
      <c r="M16" s="63">
        <v>0</v>
      </c>
      <c r="N16" s="41">
        <v>0</v>
      </c>
      <c r="O16" s="63">
        <v>0</v>
      </c>
      <c r="P16" s="41">
        <v>0</v>
      </c>
      <c r="Q16" s="63">
        <v>0</v>
      </c>
      <c r="R16" s="41">
        <v>0</v>
      </c>
      <c r="S16" s="63">
        <v>0</v>
      </c>
      <c r="T16" s="41">
        <v>0</v>
      </c>
      <c r="U16" s="63">
        <v>0</v>
      </c>
      <c r="V16" s="41">
        <v>0</v>
      </c>
      <c r="W16" s="63">
        <v>0</v>
      </c>
      <c r="X16" s="41">
        <v>0</v>
      </c>
      <c r="Y16" s="63">
        <v>0</v>
      </c>
      <c r="Z16" s="41">
        <v>0</v>
      </c>
      <c r="AA16" s="63">
        <v>0</v>
      </c>
      <c r="AB16" s="41">
        <v>0</v>
      </c>
      <c r="AC16" s="63">
        <v>0</v>
      </c>
      <c r="AD16" s="41">
        <v>0</v>
      </c>
      <c r="AE16" s="66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9"/>
      <c r="BN16" s="9"/>
      <c r="BO16" s="9"/>
    </row>
    <row r="17" spans="1:67" x14ac:dyDescent="0.2">
      <c r="A17" s="40" t="s">
        <v>18</v>
      </c>
      <c r="B17" s="40" t="s">
        <v>13</v>
      </c>
      <c r="D17" s="40">
        <v>0</v>
      </c>
      <c r="E17" s="40">
        <v>0</v>
      </c>
      <c r="F17" s="40">
        <v>0</v>
      </c>
      <c r="H17" s="42">
        <v>0</v>
      </c>
      <c r="I17" s="64">
        <v>0</v>
      </c>
      <c r="J17" s="42">
        <v>0</v>
      </c>
      <c r="K17" s="64">
        <v>0</v>
      </c>
      <c r="L17" s="42">
        <v>0</v>
      </c>
      <c r="M17" s="64">
        <v>0</v>
      </c>
      <c r="N17" s="42">
        <v>0</v>
      </c>
      <c r="O17" s="64">
        <v>0</v>
      </c>
      <c r="P17" s="42">
        <v>0</v>
      </c>
      <c r="Q17" s="64">
        <v>0</v>
      </c>
      <c r="R17" s="42">
        <v>0</v>
      </c>
      <c r="S17" s="64">
        <v>0</v>
      </c>
      <c r="T17" s="42">
        <v>0</v>
      </c>
      <c r="U17" s="64">
        <v>0</v>
      </c>
      <c r="V17" s="42">
        <v>0</v>
      </c>
      <c r="W17" s="64">
        <v>0</v>
      </c>
      <c r="X17" s="42">
        <v>0</v>
      </c>
      <c r="Y17" s="64">
        <v>0</v>
      </c>
      <c r="Z17" s="42">
        <v>0</v>
      </c>
      <c r="AA17" s="64">
        <v>0</v>
      </c>
      <c r="AB17" s="42">
        <v>0</v>
      </c>
      <c r="AC17" s="64">
        <v>0</v>
      </c>
      <c r="AD17" s="42">
        <v>0</v>
      </c>
      <c r="AE17" s="67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">
      <c r="A18" s="39" t="s">
        <v>18</v>
      </c>
      <c r="B18" s="39" t="s">
        <v>14</v>
      </c>
      <c r="D18" s="39">
        <v>0</v>
      </c>
      <c r="E18" s="39">
        <v>0</v>
      </c>
      <c r="F18" s="39">
        <v>0</v>
      </c>
      <c r="H18" s="41">
        <v>0</v>
      </c>
      <c r="I18" s="63">
        <v>0</v>
      </c>
      <c r="J18" s="41">
        <v>0</v>
      </c>
      <c r="K18" s="63">
        <v>0</v>
      </c>
      <c r="L18" s="41">
        <v>0</v>
      </c>
      <c r="M18" s="63">
        <v>0</v>
      </c>
      <c r="N18" s="41">
        <v>0</v>
      </c>
      <c r="O18" s="63">
        <v>0</v>
      </c>
      <c r="P18" s="41">
        <v>0</v>
      </c>
      <c r="Q18" s="63">
        <v>0</v>
      </c>
      <c r="R18" s="41">
        <v>0</v>
      </c>
      <c r="S18" s="63">
        <v>0</v>
      </c>
      <c r="T18" s="41">
        <v>0</v>
      </c>
      <c r="U18" s="63">
        <v>0</v>
      </c>
      <c r="V18" s="41">
        <v>0</v>
      </c>
      <c r="W18" s="63">
        <v>0</v>
      </c>
      <c r="X18" s="41">
        <v>0</v>
      </c>
      <c r="Y18" s="63">
        <v>0</v>
      </c>
      <c r="Z18" s="41">
        <v>0</v>
      </c>
      <c r="AA18" s="63">
        <v>0</v>
      </c>
      <c r="AB18" s="41">
        <v>0</v>
      </c>
      <c r="AC18" s="63">
        <v>0</v>
      </c>
      <c r="AD18" s="41">
        <v>0</v>
      </c>
      <c r="AE18" s="66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">
      <c r="A19" s="40" t="s">
        <v>19</v>
      </c>
      <c r="B19" s="40" t="s">
        <v>12</v>
      </c>
      <c r="D19" s="40">
        <v>0</v>
      </c>
      <c r="E19" s="40">
        <v>0</v>
      </c>
      <c r="F19" s="40">
        <v>0</v>
      </c>
      <c r="H19" s="42">
        <v>0</v>
      </c>
      <c r="I19" s="64">
        <v>0</v>
      </c>
      <c r="J19" s="42">
        <v>0</v>
      </c>
      <c r="K19" s="64">
        <v>0</v>
      </c>
      <c r="L19" s="42">
        <v>0</v>
      </c>
      <c r="M19" s="64">
        <v>0</v>
      </c>
      <c r="N19" s="42">
        <v>0</v>
      </c>
      <c r="O19" s="64">
        <v>0</v>
      </c>
      <c r="P19" s="42">
        <v>0</v>
      </c>
      <c r="Q19" s="64">
        <v>0</v>
      </c>
      <c r="R19" s="42">
        <v>0</v>
      </c>
      <c r="S19" s="64">
        <v>0</v>
      </c>
      <c r="T19" s="42">
        <v>0</v>
      </c>
      <c r="U19" s="64">
        <v>0</v>
      </c>
      <c r="V19" s="42">
        <v>0</v>
      </c>
      <c r="W19" s="64">
        <v>0</v>
      </c>
      <c r="X19" s="42">
        <v>0</v>
      </c>
      <c r="Y19" s="64">
        <v>0</v>
      </c>
      <c r="Z19" s="42">
        <v>0</v>
      </c>
      <c r="AA19" s="64">
        <v>0</v>
      </c>
      <c r="AB19" s="42">
        <v>0</v>
      </c>
      <c r="AC19" s="64">
        <v>0</v>
      </c>
      <c r="AD19" s="42">
        <v>0</v>
      </c>
      <c r="AE19" s="67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">
      <c r="A20" s="39" t="s">
        <v>19</v>
      </c>
      <c r="B20" s="39" t="s">
        <v>13</v>
      </c>
      <c r="D20" s="39">
        <v>0</v>
      </c>
      <c r="E20" s="39">
        <v>0</v>
      </c>
      <c r="F20" s="39">
        <v>0</v>
      </c>
      <c r="H20" s="41">
        <v>0</v>
      </c>
      <c r="I20" s="63">
        <v>0</v>
      </c>
      <c r="J20" s="41">
        <v>0</v>
      </c>
      <c r="K20" s="63">
        <v>0</v>
      </c>
      <c r="L20" s="41">
        <v>0</v>
      </c>
      <c r="M20" s="63">
        <v>0</v>
      </c>
      <c r="N20" s="41">
        <v>0</v>
      </c>
      <c r="O20" s="63">
        <v>0</v>
      </c>
      <c r="P20" s="41">
        <v>0</v>
      </c>
      <c r="Q20" s="63">
        <v>0</v>
      </c>
      <c r="R20" s="41">
        <v>0</v>
      </c>
      <c r="S20" s="63">
        <v>0</v>
      </c>
      <c r="T20" s="41">
        <v>0</v>
      </c>
      <c r="U20" s="63">
        <v>0</v>
      </c>
      <c r="V20" s="41">
        <v>0</v>
      </c>
      <c r="W20" s="63">
        <v>0</v>
      </c>
      <c r="X20" s="41">
        <v>0</v>
      </c>
      <c r="Y20" s="63">
        <v>0</v>
      </c>
      <c r="Z20" s="41">
        <v>0</v>
      </c>
      <c r="AA20" s="63">
        <v>0</v>
      </c>
      <c r="AB20" s="41">
        <v>0</v>
      </c>
      <c r="AC20" s="63">
        <v>0</v>
      </c>
      <c r="AD20" s="41">
        <v>0</v>
      </c>
      <c r="AE20" s="66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">
      <c r="A21" s="40" t="s">
        <v>19</v>
      </c>
      <c r="B21" s="40" t="s">
        <v>14</v>
      </c>
      <c r="D21" s="40">
        <v>0</v>
      </c>
      <c r="E21" s="40">
        <v>0</v>
      </c>
      <c r="F21" s="40">
        <v>0</v>
      </c>
      <c r="H21" s="42">
        <v>0</v>
      </c>
      <c r="I21" s="64">
        <v>0</v>
      </c>
      <c r="J21" s="42">
        <v>0</v>
      </c>
      <c r="K21" s="64">
        <v>0</v>
      </c>
      <c r="L21" s="42">
        <v>0</v>
      </c>
      <c r="M21" s="64">
        <v>0</v>
      </c>
      <c r="N21" s="42">
        <v>0</v>
      </c>
      <c r="O21" s="64">
        <v>0</v>
      </c>
      <c r="P21" s="42">
        <v>0</v>
      </c>
      <c r="Q21" s="64">
        <v>0</v>
      </c>
      <c r="R21" s="42">
        <v>0</v>
      </c>
      <c r="S21" s="64">
        <v>0</v>
      </c>
      <c r="T21" s="42">
        <v>0</v>
      </c>
      <c r="U21" s="64">
        <v>0</v>
      </c>
      <c r="V21" s="42">
        <v>0</v>
      </c>
      <c r="W21" s="64">
        <v>0</v>
      </c>
      <c r="X21" s="42">
        <v>0</v>
      </c>
      <c r="Y21" s="64">
        <v>0</v>
      </c>
      <c r="Z21" s="42">
        <v>0</v>
      </c>
      <c r="AA21" s="64">
        <v>0</v>
      </c>
      <c r="AB21" s="42">
        <v>0</v>
      </c>
      <c r="AC21" s="64">
        <v>0</v>
      </c>
      <c r="AD21" s="42">
        <v>0</v>
      </c>
      <c r="AE21" s="67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">
      <c r="A22" s="39" t="s">
        <v>20</v>
      </c>
      <c r="B22" s="39" t="s">
        <v>12</v>
      </c>
      <c r="D22" s="39">
        <v>0</v>
      </c>
      <c r="E22" s="39">
        <v>0</v>
      </c>
      <c r="F22" s="39">
        <v>0</v>
      </c>
      <c r="H22" s="41">
        <v>0</v>
      </c>
      <c r="I22" s="63">
        <v>0</v>
      </c>
      <c r="J22" s="41">
        <v>0</v>
      </c>
      <c r="K22" s="63">
        <v>0</v>
      </c>
      <c r="L22" s="41">
        <v>0</v>
      </c>
      <c r="M22" s="63">
        <v>0</v>
      </c>
      <c r="N22" s="41">
        <v>0</v>
      </c>
      <c r="O22" s="63">
        <v>0</v>
      </c>
      <c r="P22" s="41">
        <v>0</v>
      </c>
      <c r="Q22" s="63">
        <v>0</v>
      </c>
      <c r="R22" s="41">
        <v>0</v>
      </c>
      <c r="S22" s="63">
        <v>0</v>
      </c>
      <c r="T22" s="41">
        <v>0</v>
      </c>
      <c r="U22" s="63">
        <v>0</v>
      </c>
      <c r="V22" s="41">
        <v>0</v>
      </c>
      <c r="W22" s="63">
        <v>0</v>
      </c>
      <c r="X22" s="41">
        <v>0</v>
      </c>
      <c r="Y22" s="63">
        <v>0</v>
      </c>
      <c r="Z22" s="41">
        <v>0</v>
      </c>
      <c r="AA22" s="63">
        <v>0</v>
      </c>
      <c r="AB22" s="41">
        <v>0</v>
      </c>
      <c r="AC22" s="63">
        <v>0</v>
      </c>
      <c r="AD22" s="41">
        <v>0</v>
      </c>
      <c r="AE22" s="66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">
      <c r="A23" s="40" t="s">
        <v>20</v>
      </c>
      <c r="B23" s="40" t="s">
        <v>13</v>
      </c>
      <c r="D23" s="40">
        <v>0</v>
      </c>
      <c r="E23" s="40">
        <v>0</v>
      </c>
      <c r="F23" s="40">
        <v>0</v>
      </c>
      <c r="H23" s="42">
        <v>0</v>
      </c>
      <c r="I23" s="64">
        <v>0</v>
      </c>
      <c r="J23" s="42">
        <v>0</v>
      </c>
      <c r="K23" s="64">
        <v>0</v>
      </c>
      <c r="L23" s="42">
        <v>0</v>
      </c>
      <c r="M23" s="64">
        <v>0</v>
      </c>
      <c r="N23" s="42">
        <v>0</v>
      </c>
      <c r="O23" s="64">
        <v>0</v>
      </c>
      <c r="P23" s="42">
        <v>0</v>
      </c>
      <c r="Q23" s="64">
        <v>0</v>
      </c>
      <c r="R23" s="42">
        <v>0</v>
      </c>
      <c r="S23" s="64">
        <v>0</v>
      </c>
      <c r="T23" s="42">
        <v>0</v>
      </c>
      <c r="U23" s="64">
        <v>0</v>
      </c>
      <c r="V23" s="42">
        <v>0</v>
      </c>
      <c r="W23" s="64">
        <v>0</v>
      </c>
      <c r="X23" s="42">
        <v>0</v>
      </c>
      <c r="Y23" s="64">
        <v>0</v>
      </c>
      <c r="Z23" s="42">
        <v>0</v>
      </c>
      <c r="AA23" s="64">
        <v>0</v>
      </c>
      <c r="AB23" s="42">
        <v>0</v>
      </c>
      <c r="AC23" s="64">
        <v>0</v>
      </c>
      <c r="AD23" s="42">
        <v>0</v>
      </c>
      <c r="AE23" s="67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">
      <c r="A24" s="39" t="s">
        <v>20</v>
      </c>
      <c r="B24" s="39" t="s">
        <v>14</v>
      </c>
      <c r="D24" s="39">
        <v>0</v>
      </c>
      <c r="E24" s="39">
        <v>0</v>
      </c>
      <c r="F24" s="39">
        <v>0</v>
      </c>
      <c r="H24" s="41">
        <v>0</v>
      </c>
      <c r="I24" s="63">
        <v>0</v>
      </c>
      <c r="J24" s="41">
        <v>0</v>
      </c>
      <c r="K24" s="63">
        <v>0</v>
      </c>
      <c r="L24" s="41">
        <v>0</v>
      </c>
      <c r="M24" s="63">
        <v>0</v>
      </c>
      <c r="N24" s="41">
        <v>0</v>
      </c>
      <c r="O24" s="63">
        <v>0</v>
      </c>
      <c r="P24" s="41">
        <v>0</v>
      </c>
      <c r="Q24" s="63">
        <v>0</v>
      </c>
      <c r="R24" s="41">
        <v>0</v>
      </c>
      <c r="S24" s="63">
        <v>0</v>
      </c>
      <c r="T24" s="41">
        <v>0</v>
      </c>
      <c r="U24" s="63">
        <v>0</v>
      </c>
      <c r="V24" s="41">
        <v>0</v>
      </c>
      <c r="W24" s="63">
        <v>0</v>
      </c>
      <c r="X24" s="41">
        <v>0</v>
      </c>
      <c r="Y24" s="63">
        <v>0</v>
      </c>
      <c r="Z24" s="41">
        <v>0</v>
      </c>
      <c r="AA24" s="63">
        <v>0</v>
      </c>
      <c r="AB24" s="41">
        <v>0</v>
      </c>
      <c r="AC24" s="63">
        <v>0</v>
      </c>
      <c r="AD24" s="41">
        <v>0</v>
      </c>
      <c r="AE24" s="66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">
      <c r="A25" s="40" t="s">
        <v>21</v>
      </c>
      <c r="B25" s="40" t="s">
        <v>12</v>
      </c>
      <c r="D25" s="40">
        <v>0</v>
      </c>
      <c r="E25" s="40">
        <v>0</v>
      </c>
      <c r="F25" s="40">
        <v>0</v>
      </c>
      <c r="H25" s="42">
        <v>0</v>
      </c>
      <c r="I25" s="64">
        <v>0</v>
      </c>
      <c r="J25" s="42">
        <v>0</v>
      </c>
      <c r="K25" s="64">
        <v>0</v>
      </c>
      <c r="L25" s="42">
        <v>0</v>
      </c>
      <c r="M25" s="64">
        <v>0</v>
      </c>
      <c r="N25" s="42">
        <v>0</v>
      </c>
      <c r="O25" s="64">
        <v>0</v>
      </c>
      <c r="P25" s="42">
        <v>0</v>
      </c>
      <c r="Q25" s="64">
        <v>0</v>
      </c>
      <c r="R25" s="42">
        <v>0</v>
      </c>
      <c r="S25" s="64">
        <v>0</v>
      </c>
      <c r="T25" s="42">
        <v>0</v>
      </c>
      <c r="U25" s="64">
        <v>0</v>
      </c>
      <c r="V25" s="42">
        <v>0</v>
      </c>
      <c r="W25" s="64">
        <v>0</v>
      </c>
      <c r="X25" s="42">
        <v>0</v>
      </c>
      <c r="Y25" s="64">
        <v>0</v>
      </c>
      <c r="Z25" s="42">
        <v>0</v>
      </c>
      <c r="AA25" s="64">
        <v>0</v>
      </c>
      <c r="AB25" s="42">
        <v>0</v>
      </c>
      <c r="AC25" s="64">
        <v>0</v>
      </c>
      <c r="AD25" s="42">
        <v>0</v>
      </c>
      <c r="AE25" s="67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">
      <c r="A26" s="39" t="s">
        <v>21</v>
      </c>
      <c r="B26" s="39" t="s">
        <v>13</v>
      </c>
      <c r="D26" s="39">
        <v>0</v>
      </c>
      <c r="E26" s="39">
        <v>0</v>
      </c>
      <c r="F26" s="39">
        <v>0</v>
      </c>
      <c r="H26" s="41">
        <v>0</v>
      </c>
      <c r="I26" s="63">
        <v>0</v>
      </c>
      <c r="J26" s="41">
        <v>0</v>
      </c>
      <c r="K26" s="63">
        <v>0</v>
      </c>
      <c r="L26" s="41">
        <v>0</v>
      </c>
      <c r="M26" s="63">
        <v>0</v>
      </c>
      <c r="N26" s="41">
        <v>0</v>
      </c>
      <c r="O26" s="63">
        <v>0</v>
      </c>
      <c r="P26" s="41">
        <v>0</v>
      </c>
      <c r="Q26" s="63">
        <v>0</v>
      </c>
      <c r="R26" s="41">
        <v>0</v>
      </c>
      <c r="S26" s="63">
        <v>0</v>
      </c>
      <c r="T26" s="41">
        <v>0</v>
      </c>
      <c r="U26" s="63">
        <v>0</v>
      </c>
      <c r="V26" s="41">
        <v>0</v>
      </c>
      <c r="W26" s="63">
        <v>0</v>
      </c>
      <c r="X26" s="41">
        <v>0</v>
      </c>
      <c r="Y26" s="63">
        <v>0</v>
      </c>
      <c r="Z26" s="41">
        <v>0</v>
      </c>
      <c r="AA26" s="63">
        <v>0</v>
      </c>
      <c r="AB26" s="41">
        <v>0</v>
      </c>
      <c r="AC26" s="63">
        <v>0</v>
      </c>
      <c r="AD26" s="41">
        <v>0</v>
      </c>
      <c r="AE26" s="66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">
      <c r="A27" s="40" t="s">
        <v>21</v>
      </c>
      <c r="B27" s="40" t="s">
        <v>14</v>
      </c>
      <c r="D27" s="40">
        <v>0</v>
      </c>
      <c r="E27" s="40">
        <v>0</v>
      </c>
      <c r="F27" s="40">
        <v>0</v>
      </c>
      <c r="H27" s="42">
        <v>0</v>
      </c>
      <c r="I27" s="64">
        <v>0</v>
      </c>
      <c r="J27" s="42">
        <v>0</v>
      </c>
      <c r="K27" s="64">
        <v>0</v>
      </c>
      <c r="L27" s="42">
        <v>0</v>
      </c>
      <c r="M27" s="64">
        <v>0</v>
      </c>
      <c r="N27" s="42">
        <v>0</v>
      </c>
      <c r="O27" s="64">
        <v>0</v>
      </c>
      <c r="P27" s="42">
        <v>0</v>
      </c>
      <c r="Q27" s="64">
        <v>0</v>
      </c>
      <c r="R27" s="42">
        <v>0</v>
      </c>
      <c r="S27" s="64">
        <v>0</v>
      </c>
      <c r="T27" s="42">
        <v>0</v>
      </c>
      <c r="U27" s="64">
        <v>0</v>
      </c>
      <c r="V27" s="42">
        <v>0</v>
      </c>
      <c r="W27" s="64">
        <v>0</v>
      </c>
      <c r="X27" s="42">
        <v>0</v>
      </c>
      <c r="Y27" s="64">
        <v>0</v>
      </c>
      <c r="Z27" s="42">
        <v>0</v>
      </c>
      <c r="AA27" s="64">
        <v>0</v>
      </c>
      <c r="AB27" s="42">
        <v>0</v>
      </c>
      <c r="AC27" s="64">
        <v>0</v>
      </c>
      <c r="AD27" s="42">
        <v>0</v>
      </c>
      <c r="AE27" s="67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">
      <c r="A28" s="39" t="s">
        <v>22</v>
      </c>
      <c r="B28" s="39" t="s">
        <v>12</v>
      </c>
      <c r="D28" s="39">
        <v>0</v>
      </c>
      <c r="E28" s="39">
        <v>0</v>
      </c>
      <c r="F28" s="39">
        <v>0</v>
      </c>
      <c r="H28" s="41">
        <v>0</v>
      </c>
      <c r="I28" s="63">
        <v>0</v>
      </c>
      <c r="J28" s="41">
        <v>0</v>
      </c>
      <c r="K28" s="63">
        <v>0</v>
      </c>
      <c r="L28" s="41">
        <v>0</v>
      </c>
      <c r="M28" s="63">
        <v>0</v>
      </c>
      <c r="N28" s="41">
        <v>0</v>
      </c>
      <c r="O28" s="63">
        <v>0</v>
      </c>
      <c r="P28" s="41">
        <v>0</v>
      </c>
      <c r="Q28" s="63">
        <v>0</v>
      </c>
      <c r="R28" s="41">
        <v>0</v>
      </c>
      <c r="S28" s="63">
        <v>0</v>
      </c>
      <c r="T28" s="41">
        <v>0</v>
      </c>
      <c r="U28" s="63">
        <v>0</v>
      </c>
      <c r="V28" s="41">
        <v>0</v>
      </c>
      <c r="W28" s="63">
        <v>0</v>
      </c>
      <c r="X28" s="41">
        <v>0</v>
      </c>
      <c r="Y28" s="63">
        <v>0</v>
      </c>
      <c r="Z28" s="41">
        <v>0</v>
      </c>
      <c r="AA28" s="63">
        <v>0</v>
      </c>
      <c r="AB28" s="41">
        <v>0</v>
      </c>
      <c r="AC28" s="63">
        <v>0</v>
      </c>
      <c r="AD28" s="41">
        <v>0</v>
      </c>
      <c r="AE28" s="66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">
      <c r="A29" s="40" t="s">
        <v>22</v>
      </c>
      <c r="B29" s="40" t="s">
        <v>13</v>
      </c>
      <c r="D29" s="40">
        <v>0</v>
      </c>
      <c r="E29" s="40">
        <v>0</v>
      </c>
      <c r="F29" s="40">
        <v>0</v>
      </c>
      <c r="H29" s="42">
        <v>0</v>
      </c>
      <c r="I29" s="64">
        <v>0</v>
      </c>
      <c r="J29" s="42">
        <v>0</v>
      </c>
      <c r="K29" s="64">
        <v>0</v>
      </c>
      <c r="L29" s="42">
        <v>0</v>
      </c>
      <c r="M29" s="64">
        <v>0</v>
      </c>
      <c r="N29" s="42">
        <v>0</v>
      </c>
      <c r="O29" s="64">
        <v>0</v>
      </c>
      <c r="P29" s="42">
        <v>0</v>
      </c>
      <c r="Q29" s="64">
        <v>0</v>
      </c>
      <c r="R29" s="42">
        <v>0</v>
      </c>
      <c r="S29" s="64">
        <v>0</v>
      </c>
      <c r="T29" s="42">
        <v>0</v>
      </c>
      <c r="U29" s="64">
        <v>0</v>
      </c>
      <c r="V29" s="42">
        <v>0</v>
      </c>
      <c r="W29" s="64">
        <v>0</v>
      </c>
      <c r="X29" s="42">
        <v>0</v>
      </c>
      <c r="Y29" s="64">
        <v>0</v>
      </c>
      <c r="Z29" s="42">
        <v>0</v>
      </c>
      <c r="AA29" s="64">
        <v>0</v>
      </c>
      <c r="AB29" s="42">
        <v>0</v>
      </c>
      <c r="AC29" s="64">
        <v>0</v>
      </c>
      <c r="AD29" s="42">
        <v>0</v>
      </c>
      <c r="AE29" s="67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">
      <c r="A30" s="39" t="s">
        <v>22</v>
      </c>
      <c r="B30" s="39" t="s">
        <v>14</v>
      </c>
      <c r="D30" s="39">
        <v>0</v>
      </c>
      <c r="E30" s="39">
        <v>0</v>
      </c>
      <c r="F30" s="39">
        <v>0</v>
      </c>
      <c r="H30" s="41">
        <v>0</v>
      </c>
      <c r="I30" s="63">
        <v>0</v>
      </c>
      <c r="J30" s="41">
        <v>0</v>
      </c>
      <c r="K30" s="63">
        <v>0</v>
      </c>
      <c r="L30" s="41">
        <v>0</v>
      </c>
      <c r="M30" s="63">
        <v>0</v>
      </c>
      <c r="N30" s="41">
        <v>0</v>
      </c>
      <c r="O30" s="63">
        <v>0</v>
      </c>
      <c r="P30" s="41">
        <v>0</v>
      </c>
      <c r="Q30" s="63">
        <v>0</v>
      </c>
      <c r="R30" s="41">
        <v>0</v>
      </c>
      <c r="S30" s="63">
        <v>0</v>
      </c>
      <c r="T30" s="41">
        <v>0</v>
      </c>
      <c r="U30" s="63">
        <v>0</v>
      </c>
      <c r="V30" s="41">
        <v>0</v>
      </c>
      <c r="W30" s="63">
        <v>0</v>
      </c>
      <c r="X30" s="41">
        <v>0</v>
      </c>
      <c r="Y30" s="63">
        <v>0</v>
      </c>
      <c r="Z30" s="41">
        <v>0</v>
      </c>
      <c r="AA30" s="63">
        <v>0</v>
      </c>
      <c r="AB30" s="41">
        <v>0</v>
      </c>
      <c r="AC30" s="63">
        <v>0</v>
      </c>
      <c r="AD30" s="41">
        <v>0</v>
      </c>
      <c r="AE30" s="66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">
      <c r="A31" s="40" t="s">
        <v>23</v>
      </c>
      <c r="B31" s="40" t="s">
        <v>12</v>
      </c>
      <c r="D31" s="40">
        <v>0</v>
      </c>
      <c r="E31" s="40">
        <v>0</v>
      </c>
      <c r="F31" s="40">
        <v>0</v>
      </c>
      <c r="H31" s="42">
        <v>0</v>
      </c>
      <c r="I31" s="64">
        <v>0</v>
      </c>
      <c r="J31" s="42">
        <v>0</v>
      </c>
      <c r="K31" s="64">
        <v>0</v>
      </c>
      <c r="L31" s="42">
        <v>0</v>
      </c>
      <c r="M31" s="64">
        <v>0</v>
      </c>
      <c r="N31" s="42">
        <v>0</v>
      </c>
      <c r="O31" s="64">
        <v>0</v>
      </c>
      <c r="P31" s="42">
        <v>0</v>
      </c>
      <c r="Q31" s="64">
        <v>0</v>
      </c>
      <c r="R31" s="42">
        <v>0</v>
      </c>
      <c r="S31" s="64">
        <v>0</v>
      </c>
      <c r="T31" s="42">
        <v>0</v>
      </c>
      <c r="U31" s="64">
        <v>0</v>
      </c>
      <c r="V31" s="42">
        <v>0</v>
      </c>
      <c r="W31" s="64">
        <v>0</v>
      </c>
      <c r="X31" s="42">
        <v>0</v>
      </c>
      <c r="Y31" s="64">
        <v>0</v>
      </c>
      <c r="Z31" s="42">
        <v>0</v>
      </c>
      <c r="AA31" s="64">
        <v>0</v>
      </c>
      <c r="AB31" s="42">
        <v>0</v>
      </c>
      <c r="AC31" s="64">
        <v>0</v>
      </c>
      <c r="AD31" s="42">
        <v>0</v>
      </c>
      <c r="AE31" s="67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">
      <c r="A32" s="39" t="s">
        <v>23</v>
      </c>
      <c r="B32" s="39" t="s">
        <v>13</v>
      </c>
      <c r="D32" s="39">
        <v>0</v>
      </c>
      <c r="E32" s="39">
        <v>0</v>
      </c>
      <c r="F32" s="39">
        <v>0</v>
      </c>
      <c r="H32" s="41">
        <v>0</v>
      </c>
      <c r="I32" s="63">
        <v>0</v>
      </c>
      <c r="J32" s="41">
        <v>0</v>
      </c>
      <c r="K32" s="63">
        <v>0</v>
      </c>
      <c r="L32" s="41">
        <v>0</v>
      </c>
      <c r="M32" s="63">
        <v>0</v>
      </c>
      <c r="N32" s="41">
        <v>0</v>
      </c>
      <c r="O32" s="63">
        <v>0</v>
      </c>
      <c r="P32" s="41">
        <v>0</v>
      </c>
      <c r="Q32" s="63">
        <v>0</v>
      </c>
      <c r="R32" s="41">
        <v>0</v>
      </c>
      <c r="S32" s="63">
        <v>0</v>
      </c>
      <c r="T32" s="41">
        <v>0</v>
      </c>
      <c r="U32" s="63">
        <v>0</v>
      </c>
      <c r="V32" s="41">
        <v>0</v>
      </c>
      <c r="W32" s="63">
        <v>0</v>
      </c>
      <c r="X32" s="41">
        <v>0</v>
      </c>
      <c r="Y32" s="63">
        <v>0</v>
      </c>
      <c r="Z32" s="41">
        <v>0</v>
      </c>
      <c r="AA32" s="63">
        <v>0</v>
      </c>
      <c r="AB32" s="41">
        <v>0</v>
      </c>
      <c r="AC32" s="63">
        <v>0</v>
      </c>
      <c r="AD32" s="41">
        <v>0</v>
      </c>
      <c r="AE32" s="66">
        <v>0</v>
      </c>
      <c r="AG32" s="41">
        <v>0</v>
      </c>
      <c r="AH32" s="41">
        <v>0</v>
      </c>
      <c r="AI32" s="41">
        <v>0</v>
      </c>
      <c r="AJ32" s="41">
        <v>0</v>
      </c>
      <c r="AK32" s="41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">
      <c r="A33" s="40" t="s">
        <v>23</v>
      </c>
      <c r="B33" s="40" t="s">
        <v>14</v>
      </c>
      <c r="D33" s="40">
        <v>0</v>
      </c>
      <c r="E33" s="40">
        <v>0</v>
      </c>
      <c r="F33" s="40">
        <v>0</v>
      </c>
      <c r="H33" s="42">
        <v>0</v>
      </c>
      <c r="I33" s="64">
        <v>0</v>
      </c>
      <c r="J33" s="42">
        <v>0</v>
      </c>
      <c r="K33" s="64">
        <v>0</v>
      </c>
      <c r="L33" s="42">
        <v>0</v>
      </c>
      <c r="M33" s="64">
        <v>0</v>
      </c>
      <c r="N33" s="42">
        <v>0</v>
      </c>
      <c r="O33" s="64">
        <v>0</v>
      </c>
      <c r="P33" s="42">
        <v>0</v>
      </c>
      <c r="Q33" s="64">
        <v>0</v>
      </c>
      <c r="R33" s="42">
        <v>0</v>
      </c>
      <c r="S33" s="64">
        <v>0</v>
      </c>
      <c r="T33" s="42">
        <v>0</v>
      </c>
      <c r="U33" s="64">
        <v>0</v>
      </c>
      <c r="V33" s="42">
        <v>0</v>
      </c>
      <c r="W33" s="64">
        <v>0</v>
      </c>
      <c r="X33" s="42">
        <v>0</v>
      </c>
      <c r="Y33" s="64">
        <v>0</v>
      </c>
      <c r="Z33" s="42">
        <v>0</v>
      </c>
      <c r="AA33" s="64">
        <v>0</v>
      </c>
      <c r="AB33" s="42">
        <v>0</v>
      </c>
      <c r="AC33" s="64">
        <v>0</v>
      </c>
      <c r="AD33" s="42">
        <v>0</v>
      </c>
      <c r="AE33" s="67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">
      <c r="A34" s="39" t="s">
        <v>24</v>
      </c>
      <c r="B34" s="39" t="s">
        <v>12</v>
      </c>
      <c r="D34" s="39">
        <v>46</v>
      </c>
      <c r="E34" s="39">
        <v>19</v>
      </c>
      <c r="F34" s="39">
        <v>36</v>
      </c>
      <c r="H34" s="41">
        <v>18381.38</v>
      </c>
      <c r="I34" s="63">
        <v>27</v>
      </c>
      <c r="J34" s="41">
        <v>6741.89</v>
      </c>
      <c r="K34" s="63">
        <v>11</v>
      </c>
      <c r="L34" s="41">
        <v>613.55999999999995</v>
      </c>
      <c r="M34" s="63">
        <v>8</v>
      </c>
      <c r="N34" s="41">
        <v>25736.83</v>
      </c>
      <c r="O34" s="63">
        <v>46</v>
      </c>
      <c r="P34" s="41">
        <v>1693.71</v>
      </c>
      <c r="Q34" s="63">
        <v>13</v>
      </c>
      <c r="R34" s="41">
        <v>448.91</v>
      </c>
      <c r="S34" s="63">
        <v>10</v>
      </c>
      <c r="T34" s="41">
        <v>410.02</v>
      </c>
      <c r="U34" s="63">
        <v>8</v>
      </c>
      <c r="V34" s="41">
        <v>2552.64</v>
      </c>
      <c r="W34" s="63">
        <v>31</v>
      </c>
      <c r="X34" s="41">
        <v>9927</v>
      </c>
      <c r="Y34" s="63">
        <v>20</v>
      </c>
      <c r="Z34" s="41">
        <v>2087.29</v>
      </c>
      <c r="AA34" s="63">
        <v>10</v>
      </c>
      <c r="AB34" s="41">
        <v>2725.61</v>
      </c>
      <c r="AC34" s="63">
        <v>6</v>
      </c>
      <c r="AD34" s="41">
        <v>14739.9</v>
      </c>
      <c r="AE34" s="66">
        <v>36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">
      <c r="A35" s="40" t="s">
        <v>24</v>
      </c>
      <c r="B35" s="40" t="s">
        <v>13</v>
      </c>
      <c r="D35" s="40">
        <v>0</v>
      </c>
      <c r="E35" s="40">
        <v>0</v>
      </c>
      <c r="F35" s="40">
        <v>0</v>
      </c>
      <c r="H35" s="42">
        <v>0</v>
      </c>
      <c r="I35" s="64">
        <v>0</v>
      </c>
      <c r="J35" s="42">
        <v>0</v>
      </c>
      <c r="K35" s="64">
        <v>0</v>
      </c>
      <c r="L35" s="42">
        <v>0</v>
      </c>
      <c r="M35" s="64">
        <v>0</v>
      </c>
      <c r="N35" s="42">
        <v>0</v>
      </c>
      <c r="O35" s="64">
        <v>0</v>
      </c>
      <c r="P35" s="42">
        <v>0</v>
      </c>
      <c r="Q35" s="64">
        <v>0</v>
      </c>
      <c r="R35" s="42">
        <v>0</v>
      </c>
      <c r="S35" s="64">
        <v>0</v>
      </c>
      <c r="T35" s="42">
        <v>0</v>
      </c>
      <c r="U35" s="64">
        <v>0</v>
      </c>
      <c r="V35" s="42">
        <v>0</v>
      </c>
      <c r="W35" s="64">
        <v>0</v>
      </c>
      <c r="X35" s="42">
        <v>0</v>
      </c>
      <c r="Y35" s="64">
        <v>0</v>
      </c>
      <c r="Z35" s="42">
        <v>0</v>
      </c>
      <c r="AA35" s="64">
        <v>0</v>
      </c>
      <c r="AB35" s="42">
        <v>0</v>
      </c>
      <c r="AC35" s="64">
        <v>0</v>
      </c>
      <c r="AD35" s="42">
        <v>0</v>
      </c>
      <c r="AE35" s="67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">
      <c r="A36" s="39" t="s">
        <v>24</v>
      </c>
      <c r="B36" s="39" t="s">
        <v>14</v>
      </c>
      <c r="D36" s="39">
        <v>770</v>
      </c>
      <c r="E36" s="39">
        <v>451</v>
      </c>
      <c r="F36" s="39">
        <v>1032</v>
      </c>
      <c r="H36" s="41">
        <v>87700.24</v>
      </c>
      <c r="I36" s="63">
        <v>472</v>
      </c>
      <c r="J36" s="41">
        <v>18182.509999999998</v>
      </c>
      <c r="K36" s="63">
        <v>163</v>
      </c>
      <c r="L36" s="41">
        <v>10409.290000000001</v>
      </c>
      <c r="M36" s="63">
        <v>135</v>
      </c>
      <c r="N36" s="41">
        <v>116292.04</v>
      </c>
      <c r="O36" s="63">
        <v>770</v>
      </c>
      <c r="P36" s="41">
        <v>26456.9</v>
      </c>
      <c r="Q36" s="63">
        <v>250</v>
      </c>
      <c r="R36" s="41">
        <v>7801.24</v>
      </c>
      <c r="S36" s="63">
        <v>110</v>
      </c>
      <c r="T36" s="41">
        <v>14295.06</v>
      </c>
      <c r="U36" s="63">
        <v>201</v>
      </c>
      <c r="V36" s="41">
        <v>48553.2</v>
      </c>
      <c r="W36" s="63">
        <v>561</v>
      </c>
      <c r="X36" s="41">
        <v>108555.64</v>
      </c>
      <c r="Y36" s="63">
        <v>572</v>
      </c>
      <c r="Z36" s="41">
        <v>30091.74</v>
      </c>
      <c r="AA36" s="63">
        <v>340</v>
      </c>
      <c r="AB36" s="41">
        <v>10912.93</v>
      </c>
      <c r="AC36" s="63">
        <v>120</v>
      </c>
      <c r="AD36" s="41">
        <v>149560.31</v>
      </c>
      <c r="AE36" s="66">
        <v>1032</v>
      </c>
      <c r="AG36" s="41">
        <v>634.45000000000005</v>
      </c>
      <c r="AH36" s="41">
        <v>355.52</v>
      </c>
      <c r="AI36" s="41">
        <v>325.93</v>
      </c>
      <c r="AJ36" s="41">
        <v>1315.9</v>
      </c>
      <c r="AK36" s="41">
        <v>111.16</v>
      </c>
      <c r="AL36" s="41">
        <v>361.35</v>
      </c>
      <c r="AM36" s="41">
        <v>357.51</v>
      </c>
      <c r="AN36" s="41">
        <v>830.02</v>
      </c>
      <c r="AO36" s="41">
        <v>556.02</v>
      </c>
      <c r="AP36" s="41">
        <v>249.48</v>
      </c>
      <c r="AQ36" s="41">
        <v>182.54</v>
      </c>
      <c r="AR36" s="41">
        <v>988.04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">
      <c r="A37" s="40" t="s">
        <v>25</v>
      </c>
      <c r="B37" s="40" t="s">
        <v>12</v>
      </c>
      <c r="D37" s="40">
        <v>7</v>
      </c>
      <c r="E37" s="40">
        <v>6</v>
      </c>
      <c r="F37" s="40">
        <v>6</v>
      </c>
      <c r="H37" s="42">
        <v>4078.92</v>
      </c>
      <c r="I37" s="64">
        <v>5</v>
      </c>
      <c r="J37" s="42">
        <v>140.91</v>
      </c>
      <c r="K37" s="64">
        <v>2</v>
      </c>
      <c r="L37" s="42">
        <v>0</v>
      </c>
      <c r="M37" s="64">
        <v>0</v>
      </c>
      <c r="N37" s="42">
        <v>4219.83</v>
      </c>
      <c r="O37" s="64">
        <v>7</v>
      </c>
      <c r="P37" s="42">
        <v>110.72</v>
      </c>
      <c r="Q37" s="64">
        <v>2</v>
      </c>
      <c r="R37" s="42">
        <v>0</v>
      </c>
      <c r="S37" s="64">
        <v>0</v>
      </c>
      <c r="T37" s="42">
        <v>0</v>
      </c>
      <c r="U37" s="64">
        <v>0</v>
      </c>
      <c r="V37" s="42">
        <v>110.72</v>
      </c>
      <c r="W37" s="64">
        <v>2</v>
      </c>
      <c r="X37" s="42">
        <v>3533.41</v>
      </c>
      <c r="Y37" s="64">
        <v>3</v>
      </c>
      <c r="Z37" s="42">
        <v>1282.06</v>
      </c>
      <c r="AA37" s="64">
        <v>2</v>
      </c>
      <c r="AB37" s="42">
        <v>60.21</v>
      </c>
      <c r="AC37" s="64">
        <v>1</v>
      </c>
      <c r="AD37" s="42">
        <v>4875.68</v>
      </c>
      <c r="AE37" s="67">
        <v>6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">
      <c r="A38" s="39" t="s">
        <v>25</v>
      </c>
      <c r="B38" s="39" t="s">
        <v>13</v>
      </c>
      <c r="D38" s="39">
        <v>0</v>
      </c>
      <c r="E38" s="39">
        <v>0</v>
      </c>
      <c r="F38" s="39">
        <v>0</v>
      </c>
      <c r="H38" s="41">
        <v>0</v>
      </c>
      <c r="I38" s="63">
        <v>0</v>
      </c>
      <c r="J38" s="41">
        <v>0</v>
      </c>
      <c r="K38" s="63">
        <v>0</v>
      </c>
      <c r="L38" s="41">
        <v>0</v>
      </c>
      <c r="M38" s="63">
        <v>0</v>
      </c>
      <c r="N38" s="41">
        <v>0</v>
      </c>
      <c r="O38" s="63">
        <v>0</v>
      </c>
      <c r="P38" s="41">
        <v>0</v>
      </c>
      <c r="Q38" s="63">
        <v>0</v>
      </c>
      <c r="R38" s="41">
        <v>0</v>
      </c>
      <c r="S38" s="63">
        <v>0</v>
      </c>
      <c r="T38" s="41">
        <v>0</v>
      </c>
      <c r="U38" s="63">
        <v>0</v>
      </c>
      <c r="V38" s="41">
        <v>0</v>
      </c>
      <c r="W38" s="63">
        <v>0</v>
      </c>
      <c r="X38" s="41">
        <v>0</v>
      </c>
      <c r="Y38" s="63">
        <v>0</v>
      </c>
      <c r="Z38" s="41">
        <v>0</v>
      </c>
      <c r="AA38" s="63">
        <v>0</v>
      </c>
      <c r="AB38" s="41">
        <v>0</v>
      </c>
      <c r="AC38" s="63">
        <v>0</v>
      </c>
      <c r="AD38" s="41">
        <v>0</v>
      </c>
      <c r="AE38" s="66">
        <v>0</v>
      </c>
      <c r="AG38" s="41">
        <v>0</v>
      </c>
      <c r="AH38" s="41">
        <v>0</v>
      </c>
      <c r="AI38" s="41">
        <v>0</v>
      </c>
      <c r="AJ38" s="41">
        <v>0</v>
      </c>
      <c r="AK38" s="41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">
      <c r="A39" s="40" t="s">
        <v>25</v>
      </c>
      <c r="B39" s="40" t="s">
        <v>14</v>
      </c>
      <c r="D39" s="40">
        <v>23</v>
      </c>
      <c r="E39" s="40">
        <v>25</v>
      </c>
      <c r="F39" s="40">
        <v>30</v>
      </c>
      <c r="H39" s="42">
        <v>1469.35</v>
      </c>
      <c r="I39" s="64">
        <v>12</v>
      </c>
      <c r="J39" s="42">
        <v>367.52</v>
      </c>
      <c r="K39" s="64">
        <v>7</v>
      </c>
      <c r="L39" s="42">
        <v>185.74</v>
      </c>
      <c r="M39" s="64">
        <v>4</v>
      </c>
      <c r="N39" s="42">
        <v>2022.61</v>
      </c>
      <c r="O39" s="64">
        <v>23</v>
      </c>
      <c r="P39" s="42">
        <v>415.79</v>
      </c>
      <c r="Q39" s="64">
        <v>8</v>
      </c>
      <c r="R39" s="42">
        <v>35.53</v>
      </c>
      <c r="S39" s="64">
        <v>0</v>
      </c>
      <c r="T39" s="42">
        <v>508.39</v>
      </c>
      <c r="U39" s="64">
        <v>6</v>
      </c>
      <c r="V39" s="42">
        <v>959.71</v>
      </c>
      <c r="W39" s="64">
        <v>14</v>
      </c>
      <c r="X39" s="42">
        <v>2334.5100000000002</v>
      </c>
      <c r="Y39" s="64">
        <v>15</v>
      </c>
      <c r="Z39" s="42">
        <v>825.75</v>
      </c>
      <c r="AA39" s="64">
        <v>5</v>
      </c>
      <c r="AB39" s="42">
        <v>869.23</v>
      </c>
      <c r="AC39" s="64">
        <v>10</v>
      </c>
      <c r="AD39" s="42">
        <v>4029.49</v>
      </c>
      <c r="AE39" s="67">
        <v>30</v>
      </c>
      <c r="AG39" s="42">
        <v>19.149999999999999</v>
      </c>
      <c r="AH39" s="42">
        <v>15.41</v>
      </c>
      <c r="AI39" s="42">
        <v>133.4</v>
      </c>
      <c r="AJ39" s="42">
        <v>167.96</v>
      </c>
      <c r="AK39" s="42">
        <v>131.87</v>
      </c>
      <c r="AL39" s="42">
        <v>19.149999999999999</v>
      </c>
      <c r="AM39" s="42">
        <v>148.81</v>
      </c>
      <c r="AN39" s="42">
        <v>299.83</v>
      </c>
      <c r="AO39" s="42">
        <v>116.67</v>
      </c>
      <c r="AP39" s="42">
        <v>131.87</v>
      </c>
      <c r="AQ39" s="42">
        <v>167.96</v>
      </c>
      <c r="AR39" s="42">
        <v>416.5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">
      <c r="A40" s="39" t="s">
        <v>26</v>
      </c>
      <c r="B40" s="39" t="s">
        <v>12</v>
      </c>
      <c r="D40" s="39">
        <v>3</v>
      </c>
      <c r="E40" s="39">
        <v>3</v>
      </c>
      <c r="F40" s="39">
        <v>4</v>
      </c>
      <c r="H40" s="41">
        <v>1576.95</v>
      </c>
      <c r="I40" s="63">
        <v>0</v>
      </c>
      <c r="J40" s="41">
        <v>159.01</v>
      </c>
      <c r="K40" s="63">
        <v>2</v>
      </c>
      <c r="L40" s="41">
        <v>54.27</v>
      </c>
      <c r="M40" s="63">
        <v>1</v>
      </c>
      <c r="N40" s="41">
        <v>1790.23</v>
      </c>
      <c r="O40" s="63">
        <v>3</v>
      </c>
      <c r="P40" s="41">
        <v>22</v>
      </c>
      <c r="Q40" s="63">
        <v>0</v>
      </c>
      <c r="R40" s="41">
        <v>22</v>
      </c>
      <c r="S40" s="63">
        <v>0</v>
      </c>
      <c r="T40" s="41">
        <v>10.27</v>
      </c>
      <c r="U40" s="63">
        <v>1</v>
      </c>
      <c r="V40" s="41">
        <v>54.27</v>
      </c>
      <c r="W40" s="63">
        <v>1</v>
      </c>
      <c r="X40" s="41">
        <v>1491.2</v>
      </c>
      <c r="Y40" s="63">
        <v>1</v>
      </c>
      <c r="Z40" s="41">
        <v>78.13</v>
      </c>
      <c r="AA40" s="63">
        <v>1</v>
      </c>
      <c r="AB40" s="41">
        <v>119.35</v>
      </c>
      <c r="AC40" s="63">
        <v>2</v>
      </c>
      <c r="AD40" s="41">
        <v>1688.68</v>
      </c>
      <c r="AE40" s="66">
        <v>4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">
      <c r="A41" s="40" t="s">
        <v>26</v>
      </c>
      <c r="B41" s="40" t="s">
        <v>13</v>
      </c>
      <c r="D41" s="40">
        <v>0</v>
      </c>
      <c r="E41" s="40">
        <v>0</v>
      </c>
      <c r="F41" s="40">
        <v>0</v>
      </c>
      <c r="H41" s="42">
        <v>0</v>
      </c>
      <c r="I41" s="64">
        <v>0</v>
      </c>
      <c r="J41" s="42">
        <v>0</v>
      </c>
      <c r="K41" s="64">
        <v>0</v>
      </c>
      <c r="L41" s="42">
        <v>0</v>
      </c>
      <c r="M41" s="64">
        <v>0</v>
      </c>
      <c r="N41" s="42">
        <v>0</v>
      </c>
      <c r="O41" s="64">
        <v>0</v>
      </c>
      <c r="P41" s="42">
        <v>0</v>
      </c>
      <c r="Q41" s="64">
        <v>0</v>
      </c>
      <c r="R41" s="42">
        <v>0</v>
      </c>
      <c r="S41" s="64">
        <v>0</v>
      </c>
      <c r="T41" s="42">
        <v>0</v>
      </c>
      <c r="U41" s="64">
        <v>0</v>
      </c>
      <c r="V41" s="42">
        <v>0</v>
      </c>
      <c r="W41" s="64">
        <v>0</v>
      </c>
      <c r="X41" s="42">
        <v>0</v>
      </c>
      <c r="Y41" s="64">
        <v>0</v>
      </c>
      <c r="Z41" s="42">
        <v>0</v>
      </c>
      <c r="AA41" s="64">
        <v>0</v>
      </c>
      <c r="AB41" s="42">
        <v>0</v>
      </c>
      <c r="AC41" s="64">
        <v>0</v>
      </c>
      <c r="AD41" s="42">
        <v>0</v>
      </c>
      <c r="AE41" s="67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">
      <c r="A42" s="39" t="s">
        <v>26</v>
      </c>
      <c r="B42" s="39" t="s">
        <v>14</v>
      </c>
      <c r="D42" s="39">
        <v>50</v>
      </c>
      <c r="E42" s="39">
        <v>69</v>
      </c>
      <c r="F42" s="39">
        <v>67</v>
      </c>
      <c r="H42" s="41">
        <v>5854.15</v>
      </c>
      <c r="I42" s="63">
        <v>24</v>
      </c>
      <c r="J42" s="41">
        <v>1096.93</v>
      </c>
      <c r="K42" s="63">
        <v>9</v>
      </c>
      <c r="L42" s="41">
        <v>1211.94</v>
      </c>
      <c r="M42" s="63">
        <v>17</v>
      </c>
      <c r="N42" s="41">
        <v>8163.02</v>
      </c>
      <c r="O42" s="63">
        <v>50</v>
      </c>
      <c r="P42" s="41">
        <v>1977.94</v>
      </c>
      <c r="Q42" s="63">
        <v>16</v>
      </c>
      <c r="R42" s="41">
        <v>654.05999999999995</v>
      </c>
      <c r="S42" s="63">
        <v>10</v>
      </c>
      <c r="T42" s="41">
        <v>1288.72</v>
      </c>
      <c r="U42" s="63">
        <v>21</v>
      </c>
      <c r="V42" s="41">
        <v>3920.72</v>
      </c>
      <c r="W42" s="63">
        <v>47</v>
      </c>
      <c r="X42" s="41">
        <v>9707.39</v>
      </c>
      <c r="Y42" s="63">
        <v>30</v>
      </c>
      <c r="Z42" s="41">
        <v>3442.9</v>
      </c>
      <c r="AA42" s="63">
        <v>23</v>
      </c>
      <c r="AB42" s="41">
        <v>1342.34</v>
      </c>
      <c r="AC42" s="63">
        <v>14</v>
      </c>
      <c r="AD42" s="41">
        <v>14492.63</v>
      </c>
      <c r="AE42" s="66">
        <v>67</v>
      </c>
      <c r="AG42" s="41">
        <v>0</v>
      </c>
      <c r="AH42" s="41">
        <v>0</v>
      </c>
      <c r="AI42" s="41">
        <v>0</v>
      </c>
      <c r="AJ42" s="41">
        <v>0</v>
      </c>
      <c r="AK42" s="41">
        <v>123.64</v>
      </c>
      <c r="AL42" s="41">
        <v>0</v>
      </c>
      <c r="AM42" s="41">
        <v>0</v>
      </c>
      <c r="AN42" s="41">
        <v>123.64</v>
      </c>
      <c r="AO42" s="41">
        <v>0</v>
      </c>
      <c r="AP42" s="41">
        <v>0</v>
      </c>
      <c r="AQ42" s="41">
        <v>0</v>
      </c>
      <c r="AR42" s="41">
        <v>0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">
      <c r="A43" s="40" t="s">
        <v>27</v>
      </c>
      <c r="B43" s="40" t="s">
        <v>12</v>
      </c>
      <c r="D43" s="40">
        <v>28</v>
      </c>
      <c r="E43" s="40">
        <v>53</v>
      </c>
      <c r="F43" s="40">
        <v>52</v>
      </c>
      <c r="H43" s="42">
        <v>5746.85</v>
      </c>
      <c r="I43" s="64">
        <v>18</v>
      </c>
      <c r="J43" s="42">
        <v>529.92999999999995</v>
      </c>
      <c r="K43" s="64">
        <v>5</v>
      </c>
      <c r="L43" s="42">
        <v>448.22</v>
      </c>
      <c r="M43" s="64">
        <v>5</v>
      </c>
      <c r="N43" s="42">
        <v>6725</v>
      </c>
      <c r="O43" s="64">
        <v>28</v>
      </c>
      <c r="P43" s="42">
        <v>2442.6999999999998</v>
      </c>
      <c r="Q43" s="64">
        <v>20</v>
      </c>
      <c r="R43" s="42">
        <v>1188.28</v>
      </c>
      <c r="S43" s="64">
        <v>4</v>
      </c>
      <c r="T43" s="42">
        <v>1216.2</v>
      </c>
      <c r="U43" s="64">
        <v>21</v>
      </c>
      <c r="V43" s="42">
        <v>4847.18</v>
      </c>
      <c r="W43" s="64">
        <v>45</v>
      </c>
      <c r="X43" s="42">
        <v>8306.1299999999992</v>
      </c>
      <c r="Y43" s="64">
        <v>36</v>
      </c>
      <c r="Z43" s="42">
        <v>2025.36</v>
      </c>
      <c r="AA43" s="64">
        <v>10</v>
      </c>
      <c r="AB43" s="42">
        <v>672.62</v>
      </c>
      <c r="AC43" s="64">
        <v>6</v>
      </c>
      <c r="AD43" s="42">
        <v>11004.11</v>
      </c>
      <c r="AE43" s="67">
        <v>52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">
      <c r="A44" s="39" t="s">
        <v>27</v>
      </c>
      <c r="B44" s="39" t="s">
        <v>13</v>
      </c>
      <c r="D44" s="39">
        <v>0</v>
      </c>
      <c r="E44" s="39">
        <v>0</v>
      </c>
      <c r="F44" s="39">
        <v>0</v>
      </c>
      <c r="H44" s="41">
        <v>0</v>
      </c>
      <c r="I44" s="63">
        <v>0</v>
      </c>
      <c r="J44" s="41">
        <v>0</v>
      </c>
      <c r="K44" s="63">
        <v>0</v>
      </c>
      <c r="L44" s="41">
        <v>0</v>
      </c>
      <c r="M44" s="63">
        <v>0</v>
      </c>
      <c r="N44" s="41">
        <v>0</v>
      </c>
      <c r="O44" s="63">
        <v>0</v>
      </c>
      <c r="P44" s="41">
        <v>0</v>
      </c>
      <c r="Q44" s="63">
        <v>0</v>
      </c>
      <c r="R44" s="41">
        <v>0</v>
      </c>
      <c r="S44" s="63">
        <v>0</v>
      </c>
      <c r="T44" s="41">
        <v>0</v>
      </c>
      <c r="U44" s="63">
        <v>0</v>
      </c>
      <c r="V44" s="41">
        <v>0</v>
      </c>
      <c r="W44" s="63">
        <v>0</v>
      </c>
      <c r="X44" s="41">
        <v>0</v>
      </c>
      <c r="Y44" s="63">
        <v>0</v>
      </c>
      <c r="Z44" s="41">
        <v>0</v>
      </c>
      <c r="AA44" s="63">
        <v>0</v>
      </c>
      <c r="AB44" s="41">
        <v>0</v>
      </c>
      <c r="AC44" s="63">
        <v>0</v>
      </c>
      <c r="AD44" s="41">
        <v>0</v>
      </c>
      <c r="AE44" s="66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">
      <c r="A45" s="40" t="s">
        <v>27</v>
      </c>
      <c r="B45" s="40" t="s">
        <v>14</v>
      </c>
      <c r="D45" s="40">
        <v>650</v>
      </c>
      <c r="E45" s="40">
        <v>874</v>
      </c>
      <c r="F45" s="40">
        <v>1077</v>
      </c>
      <c r="H45" s="42">
        <v>67804.990000000005</v>
      </c>
      <c r="I45" s="64">
        <v>402</v>
      </c>
      <c r="J45" s="42">
        <v>13230.13</v>
      </c>
      <c r="K45" s="64">
        <v>122</v>
      </c>
      <c r="L45" s="42">
        <v>6986.62</v>
      </c>
      <c r="M45" s="64">
        <v>126</v>
      </c>
      <c r="N45" s="42">
        <v>88021.74</v>
      </c>
      <c r="O45" s="64">
        <v>650</v>
      </c>
      <c r="P45" s="42">
        <v>19536.89</v>
      </c>
      <c r="Q45" s="64">
        <v>239</v>
      </c>
      <c r="R45" s="42">
        <v>6652.8</v>
      </c>
      <c r="S45" s="64">
        <v>97</v>
      </c>
      <c r="T45" s="42">
        <v>12728.26</v>
      </c>
      <c r="U45" s="64">
        <v>175</v>
      </c>
      <c r="V45" s="42">
        <v>38917.949999999997</v>
      </c>
      <c r="W45" s="64">
        <v>511</v>
      </c>
      <c r="X45" s="42">
        <v>136308.12</v>
      </c>
      <c r="Y45" s="64">
        <v>693</v>
      </c>
      <c r="Z45" s="42">
        <v>22440.22</v>
      </c>
      <c r="AA45" s="64">
        <v>293</v>
      </c>
      <c r="AB45" s="42">
        <v>8819.31</v>
      </c>
      <c r="AC45" s="64">
        <v>91</v>
      </c>
      <c r="AD45" s="42">
        <v>167567.65</v>
      </c>
      <c r="AE45" s="67">
        <v>1077</v>
      </c>
      <c r="AG45" s="42">
        <v>366.93</v>
      </c>
      <c r="AH45" s="42">
        <v>146.38</v>
      </c>
      <c r="AI45" s="42">
        <v>76.7</v>
      </c>
      <c r="AJ45" s="42">
        <v>590.01</v>
      </c>
      <c r="AK45" s="42">
        <v>497.18</v>
      </c>
      <c r="AL45" s="42">
        <v>65.599999999999994</v>
      </c>
      <c r="AM45" s="42">
        <v>29.7</v>
      </c>
      <c r="AN45" s="42">
        <v>592.48</v>
      </c>
      <c r="AO45" s="42">
        <v>438.26</v>
      </c>
      <c r="AP45" s="42">
        <v>245.51</v>
      </c>
      <c r="AQ45" s="42">
        <v>0</v>
      </c>
      <c r="AR45" s="42">
        <v>683.77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">
      <c r="A46" s="39" t="s">
        <v>28</v>
      </c>
      <c r="B46" s="39" t="s">
        <v>12</v>
      </c>
      <c r="D46" s="39">
        <v>2</v>
      </c>
      <c r="E46" s="39">
        <v>6</v>
      </c>
      <c r="F46" s="39">
        <v>5</v>
      </c>
      <c r="H46" s="41">
        <v>764.25</v>
      </c>
      <c r="I46" s="63">
        <v>0</v>
      </c>
      <c r="J46" s="41">
        <v>515.26</v>
      </c>
      <c r="K46" s="63">
        <v>1</v>
      </c>
      <c r="L46" s="41">
        <v>4.37</v>
      </c>
      <c r="M46" s="63">
        <v>1</v>
      </c>
      <c r="N46" s="41">
        <v>1283.8800000000001</v>
      </c>
      <c r="O46" s="63">
        <v>2</v>
      </c>
      <c r="P46" s="41">
        <v>137.27000000000001</v>
      </c>
      <c r="Q46" s="63">
        <v>2</v>
      </c>
      <c r="R46" s="41">
        <v>346.16</v>
      </c>
      <c r="S46" s="63">
        <v>0</v>
      </c>
      <c r="T46" s="41">
        <v>734.62</v>
      </c>
      <c r="U46" s="63">
        <v>1</v>
      </c>
      <c r="V46" s="41">
        <v>1218.05</v>
      </c>
      <c r="W46" s="63">
        <v>3</v>
      </c>
      <c r="X46" s="41">
        <v>7595.15</v>
      </c>
      <c r="Y46" s="63">
        <v>0</v>
      </c>
      <c r="Z46" s="41">
        <v>8025.16</v>
      </c>
      <c r="AA46" s="63">
        <v>3</v>
      </c>
      <c r="AB46" s="41">
        <v>783.88</v>
      </c>
      <c r="AC46" s="63">
        <v>2</v>
      </c>
      <c r="AD46" s="41">
        <v>16404.189999999999</v>
      </c>
      <c r="AE46" s="66">
        <v>5</v>
      </c>
      <c r="AG46" s="41">
        <v>0</v>
      </c>
      <c r="AH46" s="41">
        <v>0</v>
      </c>
      <c r="AI46" s="41">
        <v>0</v>
      </c>
      <c r="AJ46" s="41">
        <v>0</v>
      </c>
      <c r="AK46" s="41">
        <v>0</v>
      </c>
      <c r="AL46" s="41">
        <v>0</v>
      </c>
      <c r="AM46" s="41">
        <v>0</v>
      </c>
      <c r="AN46" s="41">
        <v>0</v>
      </c>
      <c r="AO46" s="41">
        <v>0</v>
      </c>
      <c r="AP46" s="41">
        <v>0</v>
      </c>
      <c r="AQ46" s="41">
        <v>0</v>
      </c>
      <c r="AR46" s="41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">
      <c r="A47" s="40" t="s">
        <v>28</v>
      </c>
      <c r="B47" s="40" t="s">
        <v>13</v>
      </c>
      <c r="D47" s="40">
        <v>0</v>
      </c>
      <c r="E47" s="40">
        <v>0</v>
      </c>
      <c r="F47" s="40">
        <v>0</v>
      </c>
      <c r="H47" s="42">
        <v>0</v>
      </c>
      <c r="I47" s="64">
        <v>0</v>
      </c>
      <c r="J47" s="42">
        <v>0</v>
      </c>
      <c r="K47" s="64">
        <v>0</v>
      </c>
      <c r="L47" s="42">
        <v>0</v>
      </c>
      <c r="M47" s="64">
        <v>0</v>
      </c>
      <c r="N47" s="42">
        <v>0</v>
      </c>
      <c r="O47" s="64">
        <v>0</v>
      </c>
      <c r="P47" s="42">
        <v>0</v>
      </c>
      <c r="Q47" s="64">
        <v>0</v>
      </c>
      <c r="R47" s="42">
        <v>0</v>
      </c>
      <c r="S47" s="64">
        <v>0</v>
      </c>
      <c r="T47" s="42">
        <v>0</v>
      </c>
      <c r="U47" s="64">
        <v>0</v>
      </c>
      <c r="V47" s="42">
        <v>0</v>
      </c>
      <c r="W47" s="64">
        <v>0</v>
      </c>
      <c r="X47" s="42">
        <v>0</v>
      </c>
      <c r="Y47" s="64">
        <v>0</v>
      </c>
      <c r="Z47" s="42">
        <v>0</v>
      </c>
      <c r="AA47" s="64">
        <v>0</v>
      </c>
      <c r="AB47" s="42">
        <v>0</v>
      </c>
      <c r="AC47" s="64">
        <v>0</v>
      </c>
      <c r="AD47" s="42">
        <v>0</v>
      </c>
      <c r="AE47" s="67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">
      <c r="A48" s="39" t="s">
        <v>28</v>
      </c>
      <c r="B48" s="39" t="s">
        <v>14</v>
      </c>
      <c r="D48" s="39">
        <v>38</v>
      </c>
      <c r="E48" s="39">
        <v>53</v>
      </c>
      <c r="F48" s="39">
        <v>57</v>
      </c>
      <c r="H48" s="41">
        <v>2737.07</v>
      </c>
      <c r="I48" s="63">
        <v>21</v>
      </c>
      <c r="J48" s="41">
        <v>960.28</v>
      </c>
      <c r="K48" s="63">
        <v>5</v>
      </c>
      <c r="L48" s="41">
        <v>780.98</v>
      </c>
      <c r="M48" s="63">
        <v>12</v>
      </c>
      <c r="N48" s="41">
        <v>4478.33</v>
      </c>
      <c r="O48" s="63">
        <v>38</v>
      </c>
      <c r="P48" s="41">
        <v>1208.1199999999999</v>
      </c>
      <c r="Q48" s="63">
        <v>18</v>
      </c>
      <c r="R48" s="41">
        <v>197.27</v>
      </c>
      <c r="S48" s="63">
        <v>3</v>
      </c>
      <c r="T48" s="41">
        <v>1067.1199999999999</v>
      </c>
      <c r="U48" s="63">
        <v>15</v>
      </c>
      <c r="V48" s="41">
        <v>2472.5100000000002</v>
      </c>
      <c r="W48" s="63">
        <v>36</v>
      </c>
      <c r="X48" s="41">
        <v>5947.76</v>
      </c>
      <c r="Y48" s="63">
        <v>29</v>
      </c>
      <c r="Z48" s="41">
        <v>1817.19</v>
      </c>
      <c r="AA48" s="63">
        <v>15</v>
      </c>
      <c r="AB48" s="41">
        <v>1991.42</v>
      </c>
      <c r="AC48" s="63">
        <v>13</v>
      </c>
      <c r="AD48" s="41">
        <v>9756.3700000000008</v>
      </c>
      <c r="AE48" s="66">
        <v>57</v>
      </c>
      <c r="AG48" s="41">
        <v>24.77</v>
      </c>
      <c r="AH48" s="41">
        <v>20.7</v>
      </c>
      <c r="AI48" s="41">
        <v>12.5</v>
      </c>
      <c r="AJ48" s="41">
        <v>57.97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">
      <c r="A49" s="40" t="s">
        <v>29</v>
      </c>
      <c r="B49" s="40" t="s">
        <v>12</v>
      </c>
      <c r="D49" s="40">
        <v>0</v>
      </c>
      <c r="E49" s="40">
        <v>0</v>
      </c>
      <c r="F49" s="40">
        <v>0</v>
      </c>
      <c r="H49" s="42">
        <v>0</v>
      </c>
      <c r="I49" s="64">
        <v>0</v>
      </c>
      <c r="J49" s="42">
        <v>0</v>
      </c>
      <c r="K49" s="64">
        <v>0</v>
      </c>
      <c r="L49" s="42">
        <v>0</v>
      </c>
      <c r="M49" s="64">
        <v>0</v>
      </c>
      <c r="N49" s="42">
        <v>0</v>
      </c>
      <c r="O49" s="64">
        <v>0</v>
      </c>
      <c r="P49" s="42">
        <v>0</v>
      </c>
      <c r="Q49" s="64">
        <v>0</v>
      </c>
      <c r="R49" s="42">
        <v>0</v>
      </c>
      <c r="S49" s="64">
        <v>0</v>
      </c>
      <c r="T49" s="42">
        <v>0</v>
      </c>
      <c r="U49" s="64">
        <v>0</v>
      </c>
      <c r="V49" s="42">
        <v>0</v>
      </c>
      <c r="W49" s="64">
        <v>0</v>
      </c>
      <c r="X49" s="42">
        <v>0</v>
      </c>
      <c r="Y49" s="64">
        <v>0</v>
      </c>
      <c r="Z49" s="42">
        <v>0</v>
      </c>
      <c r="AA49" s="64">
        <v>0</v>
      </c>
      <c r="AB49" s="42">
        <v>0</v>
      </c>
      <c r="AC49" s="64">
        <v>0</v>
      </c>
      <c r="AD49" s="42">
        <v>0</v>
      </c>
      <c r="AE49" s="67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">
      <c r="A50" s="39" t="s">
        <v>29</v>
      </c>
      <c r="B50" s="39" t="s">
        <v>13</v>
      </c>
      <c r="D50" s="39">
        <v>0</v>
      </c>
      <c r="E50" s="39">
        <v>0</v>
      </c>
      <c r="F50" s="39">
        <v>0</v>
      </c>
      <c r="H50" s="41">
        <v>0</v>
      </c>
      <c r="I50" s="63">
        <v>0</v>
      </c>
      <c r="J50" s="41">
        <v>0</v>
      </c>
      <c r="K50" s="63">
        <v>0</v>
      </c>
      <c r="L50" s="41">
        <v>0</v>
      </c>
      <c r="M50" s="63">
        <v>0</v>
      </c>
      <c r="N50" s="41">
        <v>0</v>
      </c>
      <c r="O50" s="63">
        <v>0</v>
      </c>
      <c r="P50" s="41">
        <v>0</v>
      </c>
      <c r="Q50" s="63">
        <v>0</v>
      </c>
      <c r="R50" s="41">
        <v>0</v>
      </c>
      <c r="S50" s="63">
        <v>0</v>
      </c>
      <c r="T50" s="41">
        <v>0</v>
      </c>
      <c r="U50" s="63">
        <v>0</v>
      </c>
      <c r="V50" s="41">
        <v>0</v>
      </c>
      <c r="W50" s="63">
        <v>0</v>
      </c>
      <c r="X50" s="41">
        <v>0</v>
      </c>
      <c r="Y50" s="63">
        <v>0</v>
      </c>
      <c r="Z50" s="41">
        <v>0</v>
      </c>
      <c r="AA50" s="63">
        <v>0</v>
      </c>
      <c r="AB50" s="41">
        <v>0</v>
      </c>
      <c r="AC50" s="63">
        <v>0</v>
      </c>
      <c r="AD50" s="41">
        <v>0</v>
      </c>
      <c r="AE50" s="66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">
      <c r="A51" s="40" t="s">
        <v>29</v>
      </c>
      <c r="B51" s="40" t="s">
        <v>14</v>
      </c>
      <c r="D51" s="40">
        <v>0</v>
      </c>
      <c r="E51" s="40">
        <v>0</v>
      </c>
      <c r="F51" s="40">
        <v>0</v>
      </c>
      <c r="H51" s="42">
        <v>0</v>
      </c>
      <c r="I51" s="64">
        <v>0</v>
      </c>
      <c r="J51" s="42">
        <v>0</v>
      </c>
      <c r="K51" s="64">
        <v>0</v>
      </c>
      <c r="L51" s="42">
        <v>0</v>
      </c>
      <c r="M51" s="64">
        <v>0</v>
      </c>
      <c r="N51" s="42">
        <v>0</v>
      </c>
      <c r="O51" s="64">
        <v>0</v>
      </c>
      <c r="P51" s="42">
        <v>0</v>
      </c>
      <c r="Q51" s="64">
        <v>0</v>
      </c>
      <c r="R51" s="42">
        <v>0</v>
      </c>
      <c r="S51" s="64">
        <v>0</v>
      </c>
      <c r="T51" s="42">
        <v>0</v>
      </c>
      <c r="U51" s="64">
        <v>0</v>
      </c>
      <c r="V51" s="42">
        <v>0</v>
      </c>
      <c r="W51" s="64">
        <v>0</v>
      </c>
      <c r="X51" s="42">
        <v>0</v>
      </c>
      <c r="Y51" s="64">
        <v>0</v>
      </c>
      <c r="Z51" s="42">
        <v>0</v>
      </c>
      <c r="AA51" s="64">
        <v>0</v>
      </c>
      <c r="AB51" s="42">
        <v>0</v>
      </c>
      <c r="AC51" s="64">
        <v>0</v>
      </c>
      <c r="AD51" s="42">
        <v>0</v>
      </c>
      <c r="AE51" s="67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">
      <c r="A52" s="39" t="s">
        <v>30</v>
      </c>
      <c r="B52" s="39" t="s">
        <v>12</v>
      </c>
      <c r="D52" s="39">
        <v>1</v>
      </c>
      <c r="E52" s="39">
        <v>1</v>
      </c>
      <c r="F52" s="39">
        <v>0</v>
      </c>
      <c r="H52" s="41">
        <v>305.55</v>
      </c>
      <c r="I52" s="63">
        <v>0</v>
      </c>
      <c r="J52" s="41">
        <v>0</v>
      </c>
      <c r="K52" s="63">
        <v>0</v>
      </c>
      <c r="L52" s="41">
        <v>151.35</v>
      </c>
      <c r="M52" s="63">
        <v>1</v>
      </c>
      <c r="N52" s="41">
        <v>456.9</v>
      </c>
      <c r="O52" s="63">
        <v>1</v>
      </c>
      <c r="P52" s="41">
        <v>323.62</v>
      </c>
      <c r="Q52" s="63">
        <v>2</v>
      </c>
      <c r="R52" s="41">
        <v>0</v>
      </c>
      <c r="S52" s="63">
        <v>0</v>
      </c>
      <c r="T52" s="41">
        <v>0</v>
      </c>
      <c r="U52" s="63">
        <v>0</v>
      </c>
      <c r="V52" s="41">
        <v>323.62</v>
      </c>
      <c r="W52" s="63">
        <v>2</v>
      </c>
      <c r="X52" s="41">
        <v>0</v>
      </c>
      <c r="Y52" s="63">
        <v>0</v>
      </c>
      <c r="Z52" s="41">
        <v>0</v>
      </c>
      <c r="AA52" s="63">
        <v>0</v>
      </c>
      <c r="AB52" s="41">
        <v>0</v>
      </c>
      <c r="AC52" s="63">
        <v>0</v>
      </c>
      <c r="AD52" s="41">
        <v>0</v>
      </c>
      <c r="AE52" s="66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">
      <c r="A53" s="40" t="s">
        <v>30</v>
      </c>
      <c r="B53" s="40" t="s">
        <v>13</v>
      </c>
      <c r="D53" s="40">
        <v>0</v>
      </c>
      <c r="E53" s="40">
        <v>0</v>
      </c>
      <c r="F53" s="40">
        <v>0</v>
      </c>
      <c r="H53" s="42">
        <v>0</v>
      </c>
      <c r="I53" s="64">
        <v>0</v>
      </c>
      <c r="J53" s="42">
        <v>0</v>
      </c>
      <c r="K53" s="64">
        <v>0</v>
      </c>
      <c r="L53" s="42">
        <v>0</v>
      </c>
      <c r="M53" s="64">
        <v>0</v>
      </c>
      <c r="N53" s="42">
        <v>0</v>
      </c>
      <c r="O53" s="64">
        <v>0</v>
      </c>
      <c r="P53" s="42">
        <v>0</v>
      </c>
      <c r="Q53" s="64">
        <v>0</v>
      </c>
      <c r="R53" s="42">
        <v>0</v>
      </c>
      <c r="S53" s="64">
        <v>0</v>
      </c>
      <c r="T53" s="42">
        <v>0</v>
      </c>
      <c r="U53" s="64">
        <v>0</v>
      </c>
      <c r="V53" s="42">
        <v>0</v>
      </c>
      <c r="W53" s="64">
        <v>0</v>
      </c>
      <c r="X53" s="42">
        <v>0</v>
      </c>
      <c r="Y53" s="64">
        <v>0</v>
      </c>
      <c r="Z53" s="42">
        <v>0</v>
      </c>
      <c r="AA53" s="64">
        <v>0</v>
      </c>
      <c r="AB53" s="42">
        <v>0</v>
      </c>
      <c r="AC53" s="64">
        <v>0</v>
      </c>
      <c r="AD53" s="42">
        <v>0</v>
      </c>
      <c r="AE53" s="67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">
      <c r="A54" s="39" t="s">
        <v>30</v>
      </c>
      <c r="B54" s="39" t="s">
        <v>14</v>
      </c>
      <c r="D54" s="39">
        <v>0</v>
      </c>
      <c r="E54" s="39">
        <v>0</v>
      </c>
      <c r="F54" s="39">
        <v>0</v>
      </c>
      <c r="H54" s="41">
        <v>0</v>
      </c>
      <c r="I54" s="63">
        <v>0</v>
      </c>
      <c r="J54" s="41">
        <v>0</v>
      </c>
      <c r="K54" s="63">
        <v>0</v>
      </c>
      <c r="L54" s="41">
        <v>0</v>
      </c>
      <c r="M54" s="63">
        <v>0</v>
      </c>
      <c r="N54" s="41">
        <v>0</v>
      </c>
      <c r="O54" s="63">
        <v>0</v>
      </c>
      <c r="P54" s="41">
        <v>0</v>
      </c>
      <c r="Q54" s="63">
        <v>0</v>
      </c>
      <c r="R54" s="41">
        <v>0</v>
      </c>
      <c r="S54" s="63">
        <v>0</v>
      </c>
      <c r="T54" s="41">
        <v>0</v>
      </c>
      <c r="U54" s="63">
        <v>0</v>
      </c>
      <c r="V54" s="41">
        <v>0</v>
      </c>
      <c r="W54" s="63">
        <v>0</v>
      </c>
      <c r="X54" s="41">
        <v>0</v>
      </c>
      <c r="Y54" s="63">
        <v>0</v>
      </c>
      <c r="Z54" s="41">
        <v>0</v>
      </c>
      <c r="AA54" s="63">
        <v>0</v>
      </c>
      <c r="AB54" s="41">
        <v>0</v>
      </c>
      <c r="AC54" s="63">
        <v>0</v>
      </c>
      <c r="AD54" s="41">
        <v>0</v>
      </c>
      <c r="AE54" s="66">
        <v>0</v>
      </c>
      <c r="AG54" s="41">
        <v>0</v>
      </c>
      <c r="AH54" s="41">
        <v>0</v>
      </c>
      <c r="AI54" s="41">
        <v>0</v>
      </c>
      <c r="AJ54" s="41">
        <v>0</v>
      </c>
      <c r="AK54" s="41">
        <v>0</v>
      </c>
      <c r="AL54" s="41">
        <v>0</v>
      </c>
      <c r="AM54" s="41">
        <v>0</v>
      </c>
      <c r="AN54" s="41">
        <v>0</v>
      </c>
      <c r="AO54" s="41">
        <v>0</v>
      </c>
      <c r="AP54" s="41">
        <v>0</v>
      </c>
      <c r="AQ54" s="41">
        <v>0</v>
      </c>
      <c r="AR54" s="41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">
      <c r="A55" s="40" t="s">
        <v>31</v>
      </c>
      <c r="B55" s="40" t="s">
        <v>12</v>
      </c>
      <c r="D55" s="40">
        <v>0</v>
      </c>
      <c r="E55" s="40">
        <v>0</v>
      </c>
      <c r="F55" s="40">
        <v>0</v>
      </c>
      <c r="H55" s="42">
        <v>0</v>
      </c>
      <c r="I55" s="64">
        <v>0</v>
      </c>
      <c r="J55" s="42">
        <v>0</v>
      </c>
      <c r="K55" s="64">
        <v>0</v>
      </c>
      <c r="L55" s="42">
        <v>0</v>
      </c>
      <c r="M55" s="64">
        <v>0</v>
      </c>
      <c r="N55" s="42">
        <v>0</v>
      </c>
      <c r="O55" s="64">
        <v>0</v>
      </c>
      <c r="P55" s="42">
        <v>0</v>
      </c>
      <c r="Q55" s="64">
        <v>0</v>
      </c>
      <c r="R55" s="42">
        <v>0</v>
      </c>
      <c r="S55" s="64">
        <v>0</v>
      </c>
      <c r="T55" s="42">
        <v>0</v>
      </c>
      <c r="U55" s="64">
        <v>0</v>
      </c>
      <c r="V55" s="42">
        <v>0</v>
      </c>
      <c r="W55" s="64">
        <v>0</v>
      </c>
      <c r="X55" s="42">
        <v>0</v>
      </c>
      <c r="Y55" s="64">
        <v>0</v>
      </c>
      <c r="Z55" s="42">
        <v>0</v>
      </c>
      <c r="AA55" s="64">
        <v>0</v>
      </c>
      <c r="AB55" s="42">
        <v>0</v>
      </c>
      <c r="AC55" s="64">
        <v>0</v>
      </c>
      <c r="AD55" s="42">
        <v>0</v>
      </c>
      <c r="AE55" s="67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">
      <c r="A56" s="39" t="s">
        <v>31</v>
      </c>
      <c r="B56" s="39" t="s">
        <v>13</v>
      </c>
      <c r="D56" s="39">
        <v>0</v>
      </c>
      <c r="E56" s="39">
        <v>0</v>
      </c>
      <c r="F56" s="39">
        <v>0</v>
      </c>
      <c r="H56" s="41">
        <v>0</v>
      </c>
      <c r="I56" s="63">
        <v>0</v>
      </c>
      <c r="J56" s="41">
        <v>0</v>
      </c>
      <c r="K56" s="63">
        <v>0</v>
      </c>
      <c r="L56" s="41">
        <v>0</v>
      </c>
      <c r="M56" s="63">
        <v>0</v>
      </c>
      <c r="N56" s="41">
        <v>0</v>
      </c>
      <c r="O56" s="63">
        <v>0</v>
      </c>
      <c r="P56" s="41">
        <v>0</v>
      </c>
      <c r="Q56" s="63">
        <v>0</v>
      </c>
      <c r="R56" s="41">
        <v>0</v>
      </c>
      <c r="S56" s="63">
        <v>0</v>
      </c>
      <c r="T56" s="41">
        <v>0</v>
      </c>
      <c r="U56" s="63">
        <v>0</v>
      </c>
      <c r="V56" s="41">
        <v>0</v>
      </c>
      <c r="W56" s="63">
        <v>0</v>
      </c>
      <c r="X56" s="41">
        <v>0</v>
      </c>
      <c r="Y56" s="63">
        <v>0</v>
      </c>
      <c r="Z56" s="41">
        <v>0</v>
      </c>
      <c r="AA56" s="63">
        <v>0</v>
      </c>
      <c r="AB56" s="41">
        <v>0</v>
      </c>
      <c r="AC56" s="63">
        <v>0</v>
      </c>
      <c r="AD56" s="41">
        <v>0</v>
      </c>
      <c r="AE56" s="66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">
      <c r="A57" s="40" t="s">
        <v>31</v>
      </c>
      <c r="B57" s="40" t="s">
        <v>14</v>
      </c>
      <c r="D57" s="40">
        <v>0</v>
      </c>
      <c r="E57" s="40">
        <v>0</v>
      </c>
      <c r="F57" s="40">
        <v>0</v>
      </c>
      <c r="H57" s="42">
        <v>0</v>
      </c>
      <c r="I57" s="64">
        <v>0</v>
      </c>
      <c r="J57" s="42">
        <v>0</v>
      </c>
      <c r="K57" s="64">
        <v>0</v>
      </c>
      <c r="L57" s="42">
        <v>0</v>
      </c>
      <c r="M57" s="64">
        <v>0</v>
      </c>
      <c r="N57" s="42">
        <v>0</v>
      </c>
      <c r="O57" s="64">
        <v>0</v>
      </c>
      <c r="P57" s="42">
        <v>0</v>
      </c>
      <c r="Q57" s="64">
        <v>0</v>
      </c>
      <c r="R57" s="42">
        <v>0</v>
      </c>
      <c r="S57" s="64">
        <v>0</v>
      </c>
      <c r="T57" s="42">
        <v>0</v>
      </c>
      <c r="U57" s="64">
        <v>0</v>
      </c>
      <c r="V57" s="42">
        <v>0</v>
      </c>
      <c r="W57" s="64">
        <v>0</v>
      </c>
      <c r="X57" s="42">
        <v>0</v>
      </c>
      <c r="Y57" s="64">
        <v>0</v>
      </c>
      <c r="Z57" s="42">
        <v>0</v>
      </c>
      <c r="AA57" s="64">
        <v>0</v>
      </c>
      <c r="AB57" s="42">
        <v>0</v>
      </c>
      <c r="AC57" s="64">
        <v>0</v>
      </c>
      <c r="AD57" s="42">
        <v>0</v>
      </c>
      <c r="AE57" s="67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">
      <c r="A58" s="39" t="s">
        <v>32</v>
      </c>
      <c r="B58" s="39" t="s">
        <v>12</v>
      </c>
      <c r="D58" s="39">
        <v>0</v>
      </c>
      <c r="E58" s="39">
        <v>0</v>
      </c>
      <c r="F58" s="39">
        <v>0</v>
      </c>
      <c r="H58" s="41">
        <v>0</v>
      </c>
      <c r="I58" s="63">
        <v>0</v>
      </c>
      <c r="J58" s="41">
        <v>0</v>
      </c>
      <c r="K58" s="63">
        <v>0</v>
      </c>
      <c r="L58" s="41">
        <v>0</v>
      </c>
      <c r="M58" s="63">
        <v>0</v>
      </c>
      <c r="N58" s="41">
        <v>0</v>
      </c>
      <c r="O58" s="63">
        <v>0</v>
      </c>
      <c r="P58" s="41">
        <v>0</v>
      </c>
      <c r="Q58" s="63">
        <v>0</v>
      </c>
      <c r="R58" s="41">
        <v>0</v>
      </c>
      <c r="S58" s="63">
        <v>0</v>
      </c>
      <c r="T58" s="41">
        <v>0</v>
      </c>
      <c r="U58" s="63">
        <v>0</v>
      </c>
      <c r="V58" s="41">
        <v>0</v>
      </c>
      <c r="W58" s="63">
        <v>0</v>
      </c>
      <c r="X58" s="41">
        <v>0</v>
      </c>
      <c r="Y58" s="63">
        <v>0</v>
      </c>
      <c r="Z58" s="41">
        <v>0</v>
      </c>
      <c r="AA58" s="63">
        <v>0</v>
      </c>
      <c r="AB58" s="41">
        <v>0</v>
      </c>
      <c r="AC58" s="63">
        <v>0</v>
      </c>
      <c r="AD58" s="41">
        <v>0</v>
      </c>
      <c r="AE58" s="66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">
      <c r="A59" s="40" t="s">
        <v>32</v>
      </c>
      <c r="B59" s="40" t="s">
        <v>13</v>
      </c>
      <c r="D59" s="40">
        <v>0</v>
      </c>
      <c r="E59" s="40">
        <v>0</v>
      </c>
      <c r="F59" s="40">
        <v>0</v>
      </c>
      <c r="H59" s="42">
        <v>0</v>
      </c>
      <c r="I59" s="64">
        <v>0</v>
      </c>
      <c r="J59" s="42">
        <v>0</v>
      </c>
      <c r="K59" s="64">
        <v>0</v>
      </c>
      <c r="L59" s="42">
        <v>0</v>
      </c>
      <c r="M59" s="64">
        <v>0</v>
      </c>
      <c r="N59" s="42">
        <v>0</v>
      </c>
      <c r="O59" s="64">
        <v>0</v>
      </c>
      <c r="P59" s="42">
        <v>0</v>
      </c>
      <c r="Q59" s="64">
        <v>0</v>
      </c>
      <c r="R59" s="42">
        <v>0</v>
      </c>
      <c r="S59" s="64">
        <v>0</v>
      </c>
      <c r="T59" s="42">
        <v>0</v>
      </c>
      <c r="U59" s="64">
        <v>0</v>
      </c>
      <c r="V59" s="42">
        <v>0</v>
      </c>
      <c r="W59" s="64">
        <v>0</v>
      </c>
      <c r="X59" s="42">
        <v>0</v>
      </c>
      <c r="Y59" s="64">
        <v>0</v>
      </c>
      <c r="Z59" s="42">
        <v>0</v>
      </c>
      <c r="AA59" s="64">
        <v>0</v>
      </c>
      <c r="AB59" s="42">
        <v>0</v>
      </c>
      <c r="AC59" s="64">
        <v>0</v>
      </c>
      <c r="AD59" s="42">
        <v>0</v>
      </c>
      <c r="AE59" s="67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">
      <c r="A60" s="39" t="s">
        <v>32</v>
      </c>
      <c r="B60" s="39" t="s">
        <v>14</v>
      </c>
      <c r="D60" s="39">
        <v>0</v>
      </c>
      <c r="E60" s="39">
        <v>0</v>
      </c>
      <c r="F60" s="39">
        <v>0</v>
      </c>
      <c r="H60" s="41">
        <v>0</v>
      </c>
      <c r="I60" s="63">
        <v>0</v>
      </c>
      <c r="J60" s="41">
        <v>0</v>
      </c>
      <c r="K60" s="63">
        <v>0</v>
      </c>
      <c r="L60" s="41">
        <v>0</v>
      </c>
      <c r="M60" s="63">
        <v>0</v>
      </c>
      <c r="N60" s="41">
        <v>0</v>
      </c>
      <c r="O60" s="63">
        <v>0</v>
      </c>
      <c r="P60" s="41">
        <v>0</v>
      </c>
      <c r="Q60" s="63">
        <v>0</v>
      </c>
      <c r="R60" s="41">
        <v>0</v>
      </c>
      <c r="S60" s="63">
        <v>0</v>
      </c>
      <c r="T60" s="41">
        <v>0</v>
      </c>
      <c r="U60" s="63">
        <v>0</v>
      </c>
      <c r="V60" s="41">
        <v>0</v>
      </c>
      <c r="W60" s="63">
        <v>0</v>
      </c>
      <c r="X60" s="41">
        <v>0</v>
      </c>
      <c r="Y60" s="63">
        <v>0</v>
      </c>
      <c r="Z60" s="41">
        <v>0</v>
      </c>
      <c r="AA60" s="63">
        <v>0</v>
      </c>
      <c r="AB60" s="41">
        <v>0</v>
      </c>
      <c r="AC60" s="63">
        <v>0</v>
      </c>
      <c r="AD60" s="41">
        <v>0</v>
      </c>
      <c r="AE60" s="66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">
      <c r="A61" s="40" t="s">
        <v>33</v>
      </c>
      <c r="B61" s="40" t="s">
        <v>12</v>
      </c>
      <c r="D61" s="40">
        <v>2</v>
      </c>
      <c r="E61" s="40">
        <v>2</v>
      </c>
      <c r="F61" s="40">
        <v>3</v>
      </c>
      <c r="H61" s="42">
        <v>488.65</v>
      </c>
      <c r="I61" s="64">
        <v>2</v>
      </c>
      <c r="J61" s="42">
        <v>0</v>
      </c>
      <c r="K61" s="64">
        <v>0</v>
      </c>
      <c r="L61" s="42">
        <v>0</v>
      </c>
      <c r="M61" s="64">
        <v>0</v>
      </c>
      <c r="N61" s="42">
        <v>488.65</v>
      </c>
      <c r="O61" s="64">
        <v>2</v>
      </c>
      <c r="P61" s="42">
        <v>90.27</v>
      </c>
      <c r="Q61" s="64">
        <v>1</v>
      </c>
      <c r="R61" s="42">
        <v>0</v>
      </c>
      <c r="S61" s="64">
        <v>0</v>
      </c>
      <c r="T61" s="42">
        <v>0</v>
      </c>
      <c r="U61" s="64">
        <v>0</v>
      </c>
      <c r="V61" s="42">
        <v>90.27</v>
      </c>
      <c r="W61" s="64">
        <v>1</v>
      </c>
      <c r="X61" s="42">
        <v>805.49</v>
      </c>
      <c r="Y61" s="64">
        <v>2</v>
      </c>
      <c r="Z61" s="42">
        <v>311.89999999999998</v>
      </c>
      <c r="AA61" s="64">
        <v>1</v>
      </c>
      <c r="AB61" s="42">
        <v>0</v>
      </c>
      <c r="AC61" s="64">
        <v>0</v>
      </c>
      <c r="AD61" s="42">
        <v>1117.3900000000001</v>
      </c>
      <c r="AE61" s="67">
        <v>3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">
      <c r="A62" s="39" t="s">
        <v>33</v>
      </c>
      <c r="B62" s="39" t="s">
        <v>13</v>
      </c>
      <c r="D62" s="39">
        <v>0</v>
      </c>
      <c r="E62" s="39">
        <v>0</v>
      </c>
      <c r="F62" s="39">
        <v>0</v>
      </c>
      <c r="H62" s="41">
        <v>0</v>
      </c>
      <c r="I62" s="63">
        <v>0</v>
      </c>
      <c r="J62" s="41">
        <v>0</v>
      </c>
      <c r="K62" s="63">
        <v>0</v>
      </c>
      <c r="L62" s="41">
        <v>0</v>
      </c>
      <c r="M62" s="63">
        <v>0</v>
      </c>
      <c r="N62" s="41">
        <v>0</v>
      </c>
      <c r="O62" s="63">
        <v>0</v>
      </c>
      <c r="P62" s="41">
        <v>0</v>
      </c>
      <c r="Q62" s="63">
        <v>0</v>
      </c>
      <c r="R62" s="41">
        <v>0</v>
      </c>
      <c r="S62" s="63">
        <v>0</v>
      </c>
      <c r="T62" s="41">
        <v>0</v>
      </c>
      <c r="U62" s="63">
        <v>0</v>
      </c>
      <c r="V62" s="41">
        <v>0</v>
      </c>
      <c r="W62" s="63">
        <v>0</v>
      </c>
      <c r="X62" s="41">
        <v>0</v>
      </c>
      <c r="Y62" s="63">
        <v>0</v>
      </c>
      <c r="Z62" s="41">
        <v>0</v>
      </c>
      <c r="AA62" s="63">
        <v>0</v>
      </c>
      <c r="AB62" s="41">
        <v>0</v>
      </c>
      <c r="AC62" s="63">
        <v>0</v>
      </c>
      <c r="AD62" s="41">
        <v>0</v>
      </c>
      <c r="AE62" s="66">
        <v>0</v>
      </c>
      <c r="AG62" s="41">
        <v>0</v>
      </c>
      <c r="AH62" s="41">
        <v>0</v>
      </c>
      <c r="AI62" s="41">
        <v>0</v>
      </c>
      <c r="AJ62" s="41">
        <v>0</v>
      </c>
      <c r="AK62" s="41">
        <v>0</v>
      </c>
      <c r="AL62" s="41">
        <v>0</v>
      </c>
      <c r="AM62" s="41">
        <v>0</v>
      </c>
      <c r="AN62" s="41">
        <v>0</v>
      </c>
      <c r="AO62" s="41">
        <v>0</v>
      </c>
      <c r="AP62" s="41">
        <v>0</v>
      </c>
      <c r="AQ62" s="41">
        <v>0</v>
      </c>
      <c r="AR62" s="41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">
      <c r="A63" s="40" t="s">
        <v>33</v>
      </c>
      <c r="B63" s="40" t="s">
        <v>14</v>
      </c>
      <c r="D63" s="40">
        <v>20</v>
      </c>
      <c r="E63" s="40">
        <v>25</v>
      </c>
      <c r="F63" s="40">
        <v>26</v>
      </c>
      <c r="H63" s="42">
        <v>1254.54</v>
      </c>
      <c r="I63" s="64">
        <v>9</v>
      </c>
      <c r="J63" s="42">
        <v>313.31</v>
      </c>
      <c r="K63" s="64">
        <v>4</v>
      </c>
      <c r="L63" s="42">
        <v>384.51</v>
      </c>
      <c r="M63" s="64">
        <v>7</v>
      </c>
      <c r="N63" s="42">
        <v>1952.36</v>
      </c>
      <c r="O63" s="64">
        <v>20</v>
      </c>
      <c r="P63" s="42">
        <v>473.48</v>
      </c>
      <c r="Q63" s="64">
        <v>9</v>
      </c>
      <c r="R63" s="42">
        <v>66.150000000000006</v>
      </c>
      <c r="S63" s="64">
        <v>2</v>
      </c>
      <c r="T63" s="42">
        <v>552.41999999999996</v>
      </c>
      <c r="U63" s="64">
        <v>6</v>
      </c>
      <c r="V63" s="42">
        <v>1092.05</v>
      </c>
      <c r="W63" s="64">
        <v>17</v>
      </c>
      <c r="X63" s="42">
        <v>2073.66</v>
      </c>
      <c r="Y63" s="64">
        <v>9</v>
      </c>
      <c r="Z63" s="42">
        <v>742.11</v>
      </c>
      <c r="AA63" s="64">
        <v>13</v>
      </c>
      <c r="AB63" s="42">
        <v>510.06</v>
      </c>
      <c r="AC63" s="64">
        <v>4</v>
      </c>
      <c r="AD63" s="42">
        <v>3325.83</v>
      </c>
      <c r="AE63" s="67">
        <v>26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">
      <c r="A64" s="39" t="s">
        <v>34</v>
      </c>
      <c r="B64" s="39" t="s">
        <v>12</v>
      </c>
      <c r="D64" s="39">
        <v>5</v>
      </c>
      <c r="E64" s="39">
        <v>3</v>
      </c>
      <c r="F64" s="39">
        <v>2</v>
      </c>
      <c r="H64" s="41">
        <v>1644.23</v>
      </c>
      <c r="I64" s="63">
        <v>2</v>
      </c>
      <c r="J64" s="41">
        <v>277.31</v>
      </c>
      <c r="K64" s="63">
        <v>2</v>
      </c>
      <c r="L64" s="41">
        <v>27.4</v>
      </c>
      <c r="M64" s="63">
        <v>1</v>
      </c>
      <c r="N64" s="41">
        <v>1948.94</v>
      </c>
      <c r="O64" s="63">
        <v>5</v>
      </c>
      <c r="P64" s="41">
        <v>27.4</v>
      </c>
      <c r="Q64" s="63">
        <v>1</v>
      </c>
      <c r="R64" s="41">
        <v>0</v>
      </c>
      <c r="S64" s="63">
        <v>0</v>
      </c>
      <c r="T64" s="41">
        <v>0</v>
      </c>
      <c r="U64" s="63">
        <v>0</v>
      </c>
      <c r="V64" s="41">
        <v>27.4</v>
      </c>
      <c r="W64" s="63">
        <v>1</v>
      </c>
      <c r="X64" s="41">
        <v>101.59</v>
      </c>
      <c r="Y64" s="63">
        <v>2</v>
      </c>
      <c r="Z64" s="41">
        <v>0</v>
      </c>
      <c r="AA64" s="63">
        <v>0</v>
      </c>
      <c r="AB64" s="41">
        <v>0</v>
      </c>
      <c r="AC64" s="63">
        <v>0</v>
      </c>
      <c r="AD64" s="41">
        <v>101.59</v>
      </c>
      <c r="AE64" s="66">
        <v>2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0</v>
      </c>
      <c r="AQ64" s="41">
        <v>0</v>
      </c>
      <c r="AR64" s="41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">
      <c r="A65" s="40" t="s">
        <v>34</v>
      </c>
      <c r="B65" s="40" t="s">
        <v>13</v>
      </c>
      <c r="D65" s="40">
        <v>0</v>
      </c>
      <c r="E65" s="40">
        <v>0</v>
      </c>
      <c r="F65" s="40">
        <v>0</v>
      </c>
      <c r="H65" s="42">
        <v>0</v>
      </c>
      <c r="I65" s="64">
        <v>0</v>
      </c>
      <c r="J65" s="42">
        <v>0</v>
      </c>
      <c r="K65" s="64">
        <v>0</v>
      </c>
      <c r="L65" s="42">
        <v>0</v>
      </c>
      <c r="M65" s="64">
        <v>0</v>
      </c>
      <c r="N65" s="42">
        <v>0</v>
      </c>
      <c r="O65" s="64">
        <v>0</v>
      </c>
      <c r="P65" s="42">
        <v>0</v>
      </c>
      <c r="Q65" s="64">
        <v>0</v>
      </c>
      <c r="R65" s="42">
        <v>0</v>
      </c>
      <c r="S65" s="64">
        <v>0</v>
      </c>
      <c r="T65" s="42">
        <v>0</v>
      </c>
      <c r="U65" s="64">
        <v>0</v>
      </c>
      <c r="V65" s="42">
        <v>0</v>
      </c>
      <c r="W65" s="64">
        <v>0</v>
      </c>
      <c r="X65" s="42">
        <v>0</v>
      </c>
      <c r="Y65" s="64">
        <v>0</v>
      </c>
      <c r="Z65" s="42">
        <v>0</v>
      </c>
      <c r="AA65" s="64">
        <v>0</v>
      </c>
      <c r="AB65" s="42">
        <v>0</v>
      </c>
      <c r="AC65" s="64">
        <v>0</v>
      </c>
      <c r="AD65" s="42">
        <v>0</v>
      </c>
      <c r="AE65" s="67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">
      <c r="A66" s="39" t="s">
        <v>34</v>
      </c>
      <c r="B66" s="39" t="s">
        <v>14</v>
      </c>
      <c r="D66" s="39">
        <v>179</v>
      </c>
      <c r="E66" s="39">
        <v>74</v>
      </c>
      <c r="F66" s="39">
        <v>108</v>
      </c>
      <c r="H66" s="41">
        <v>21977.759999999998</v>
      </c>
      <c r="I66" s="63">
        <v>112</v>
      </c>
      <c r="J66" s="41">
        <v>4487.74</v>
      </c>
      <c r="K66" s="63">
        <v>37</v>
      </c>
      <c r="L66" s="41">
        <v>2365.96</v>
      </c>
      <c r="M66" s="63">
        <v>30</v>
      </c>
      <c r="N66" s="41">
        <v>28831.46</v>
      </c>
      <c r="O66" s="63">
        <v>179</v>
      </c>
      <c r="P66" s="41">
        <v>5360.58</v>
      </c>
      <c r="Q66" s="63">
        <v>64</v>
      </c>
      <c r="R66" s="41">
        <v>1367.89</v>
      </c>
      <c r="S66" s="63">
        <v>16</v>
      </c>
      <c r="T66" s="41">
        <v>3356.17</v>
      </c>
      <c r="U66" s="63">
        <v>43</v>
      </c>
      <c r="V66" s="41">
        <v>10084.64</v>
      </c>
      <c r="W66" s="63">
        <v>123</v>
      </c>
      <c r="X66" s="41">
        <v>8330.27</v>
      </c>
      <c r="Y66" s="63">
        <v>82</v>
      </c>
      <c r="Z66" s="41">
        <v>40.99</v>
      </c>
      <c r="AA66" s="63">
        <v>1</v>
      </c>
      <c r="AB66" s="41">
        <v>1775.76</v>
      </c>
      <c r="AC66" s="63">
        <v>25</v>
      </c>
      <c r="AD66" s="41">
        <v>10147.02</v>
      </c>
      <c r="AE66" s="66">
        <v>108</v>
      </c>
      <c r="AG66" s="41">
        <v>524.46</v>
      </c>
      <c r="AH66" s="41">
        <v>110.48</v>
      </c>
      <c r="AI66" s="41">
        <v>428.22</v>
      </c>
      <c r="AJ66" s="41">
        <v>1063.1600000000001</v>
      </c>
      <c r="AK66" s="41">
        <v>97.86</v>
      </c>
      <c r="AL66" s="41">
        <v>166.08</v>
      </c>
      <c r="AM66" s="41">
        <v>404.38</v>
      </c>
      <c r="AN66" s="41">
        <v>668.32</v>
      </c>
      <c r="AO66" s="41">
        <v>84.17</v>
      </c>
      <c r="AP66" s="41">
        <v>0</v>
      </c>
      <c r="AQ66" s="41">
        <v>201.36</v>
      </c>
      <c r="AR66" s="41">
        <v>285.52999999999997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">
      <c r="A67" s="40" t="s">
        <v>35</v>
      </c>
      <c r="B67" s="40" t="s">
        <v>12</v>
      </c>
      <c r="D67" s="40">
        <v>0</v>
      </c>
      <c r="E67" s="40">
        <v>0</v>
      </c>
      <c r="F67" s="40">
        <v>0</v>
      </c>
      <c r="H67" s="42">
        <v>0</v>
      </c>
      <c r="I67" s="64">
        <v>0</v>
      </c>
      <c r="J67" s="42">
        <v>0</v>
      </c>
      <c r="K67" s="64">
        <v>0</v>
      </c>
      <c r="L67" s="42">
        <v>0</v>
      </c>
      <c r="M67" s="64">
        <v>0</v>
      </c>
      <c r="N67" s="42">
        <v>0</v>
      </c>
      <c r="O67" s="64">
        <v>0</v>
      </c>
      <c r="P67" s="42">
        <v>0</v>
      </c>
      <c r="Q67" s="64">
        <v>0</v>
      </c>
      <c r="R67" s="42">
        <v>0</v>
      </c>
      <c r="S67" s="64">
        <v>0</v>
      </c>
      <c r="T67" s="42">
        <v>0</v>
      </c>
      <c r="U67" s="64">
        <v>0</v>
      </c>
      <c r="V67" s="42">
        <v>0</v>
      </c>
      <c r="W67" s="64">
        <v>0</v>
      </c>
      <c r="X67" s="42">
        <v>0</v>
      </c>
      <c r="Y67" s="64">
        <v>0</v>
      </c>
      <c r="Z67" s="42">
        <v>0</v>
      </c>
      <c r="AA67" s="64">
        <v>0</v>
      </c>
      <c r="AB67" s="42">
        <v>0</v>
      </c>
      <c r="AC67" s="64">
        <v>0</v>
      </c>
      <c r="AD67" s="42">
        <v>0</v>
      </c>
      <c r="AE67" s="67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">
      <c r="A68" s="39" t="s">
        <v>35</v>
      </c>
      <c r="B68" s="39" t="s">
        <v>13</v>
      </c>
      <c r="D68" s="39">
        <v>0</v>
      </c>
      <c r="E68" s="39">
        <v>0</v>
      </c>
      <c r="F68" s="39">
        <v>0</v>
      </c>
      <c r="H68" s="41">
        <v>0</v>
      </c>
      <c r="I68" s="63">
        <v>0</v>
      </c>
      <c r="J68" s="41">
        <v>0</v>
      </c>
      <c r="K68" s="63">
        <v>0</v>
      </c>
      <c r="L68" s="41">
        <v>0</v>
      </c>
      <c r="M68" s="63">
        <v>0</v>
      </c>
      <c r="N68" s="41">
        <v>0</v>
      </c>
      <c r="O68" s="63">
        <v>0</v>
      </c>
      <c r="P68" s="41">
        <v>0</v>
      </c>
      <c r="Q68" s="63">
        <v>0</v>
      </c>
      <c r="R68" s="41">
        <v>0</v>
      </c>
      <c r="S68" s="63">
        <v>0</v>
      </c>
      <c r="T68" s="41">
        <v>0</v>
      </c>
      <c r="U68" s="63">
        <v>0</v>
      </c>
      <c r="V68" s="41">
        <v>0</v>
      </c>
      <c r="W68" s="63">
        <v>0</v>
      </c>
      <c r="X68" s="41">
        <v>0</v>
      </c>
      <c r="Y68" s="63">
        <v>0</v>
      </c>
      <c r="Z68" s="41">
        <v>0</v>
      </c>
      <c r="AA68" s="63">
        <v>0</v>
      </c>
      <c r="AB68" s="41">
        <v>0</v>
      </c>
      <c r="AC68" s="63">
        <v>0</v>
      </c>
      <c r="AD68" s="41">
        <v>0</v>
      </c>
      <c r="AE68" s="66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">
      <c r="A69" s="40" t="s">
        <v>35</v>
      </c>
      <c r="B69" s="40" t="s">
        <v>14</v>
      </c>
      <c r="D69" s="40">
        <v>0</v>
      </c>
      <c r="E69" s="40">
        <v>0</v>
      </c>
      <c r="F69" s="40">
        <v>1</v>
      </c>
      <c r="H69" s="42">
        <v>0</v>
      </c>
      <c r="I69" s="64">
        <v>0</v>
      </c>
      <c r="J69" s="42">
        <v>0</v>
      </c>
      <c r="K69" s="64">
        <v>0</v>
      </c>
      <c r="L69" s="42">
        <v>0</v>
      </c>
      <c r="M69" s="64">
        <v>0</v>
      </c>
      <c r="N69" s="42">
        <v>0</v>
      </c>
      <c r="O69" s="64">
        <v>0</v>
      </c>
      <c r="P69" s="42">
        <v>0</v>
      </c>
      <c r="Q69" s="64">
        <v>0</v>
      </c>
      <c r="R69" s="42">
        <v>0</v>
      </c>
      <c r="S69" s="64">
        <v>0</v>
      </c>
      <c r="T69" s="42">
        <v>0</v>
      </c>
      <c r="U69" s="64">
        <v>0</v>
      </c>
      <c r="V69" s="42">
        <v>0</v>
      </c>
      <c r="W69" s="64">
        <v>0</v>
      </c>
      <c r="X69" s="42">
        <v>504.2</v>
      </c>
      <c r="Y69" s="64">
        <v>0</v>
      </c>
      <c r="Z69" s="42">
        <v>119.28</v>
      </c>
      <c r="AA69" s="64">
        <v>1</v>
      </c>
      <c r="AB69" s="42">
        <v>0</v>
      </c>
      <c r="AC69" s="64">
        <v>0</v>
      </c>
      <c r="AD69" s="42">
        <v>623.48</v>
      </c>
      <c r="AE69" s="67">
        <v>1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">
      <c r="A70" s="39" t="s">
        <v>36</v>
      </c>
      <c r="B70" s="39" t="s">
        <v>12</v>
      </c>
      <c r="D70" s="39">
        <v>6</v>
      </c>
      <c r="E70" s="39">
        <v>6</v>
      </c>
      <c r="F70" s="39">
        <v>4</v>
      </c>
      <c r="H70" s="41">
        <v>1726.12</v>
      </c>
      <c r="I70" s="63">
        <v>5</v>
      </c>
      <c r="J70" s="41">
        <v>85.93</v>
      </c>
      <c r="K70" s="63">
        <v>1</v>
      </c>
      <c r="L70" s="41">
        <v>0</v>
      </c>
      <c r="M70" s="63">
        <v>0</v>
      </c>
      <c r="N70" s="41">
        <v>1812.05</v>
      </c>
      <c r="O70" s="63">
        <v>6</v>
      </c>
      <c r="P70" s="41">
        <v>296.95999999999998</v>
      </c>
      <c r="Q70" s="63">
        <v>2</v>
      </c>
      <c r="R70" s="41">
        <v>35.450000000000003</v>
      </c>
      <c r="S70" s="63">
        <v>0</v>
      </c>
      <c r="T70" s="41">
        <v>165.12</v>
      </c>
      <c r="U70" s="63">
        <v>1</v>
      </c>
      <c r="V70" s="41">
        <v>497.53</v>
      </c>
      <c r="W70" s="63">
        <v>3</v>
      </c>
      <c r="X70" s="41">
        <v>2505.31</v>
      </c>
      <c r="Y70" s="63">
        <v>1</v>
      </c>
      <c r="Z70" s="41">
        <v>1154.1099999999999</v>
      </c>
      <c r="AA70" s="63">
        <v>1</v>
      </c>
      <c r="AB70" s="41">
        <v>290.81</v>
      </c>
      <c r="AC70" s="63">
        <v>2</v>
      </c>
      <c r="AD70" s="41">
        <v>3950.23</v>
      </c>
      <c r="AE70" s="66">
        <v>4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">
      <c r="A71" s="40" t="s">
        <v>36</v>
      </c>
      <c r="B71" s="40" t="s">
        <v>13</v>
      </c>
      <c r="D71" s="40">
        <v>0</v>
      </c>
      <c r="E71" s="40">
        <v>0</v>
      </c>
      <c r="F71" s="40">
        <v>0</v>
      </c>
      <c r="H71" s="42">
        <v>0</v>
      </c>
      <c r="I71" s="64">
        <v>0</v>
      </c>
      <c r="J71" s="42">
        <v>0</v>
      </c>
      <c r="K71" s="64">
        <v>0</v>
      </c>
      <c r="L71" s="42">
        <v>0</v>
      </c>
      <c r="M71" s="64">
        <v>0</v>
      </c>
      <c r="N71" s="42">
        <v>0</v>
      </c>
      <c r="O71" s="64">
        <v>0</v>
      </c>
      <c r="P71" s="42">
        <v>0</v>
      </c>
      <c r="Q71" s="64">
        <v>0</v>
      </c>
      <c r="R71" s="42">
        <v>0</v>
      </c>
      <c r="S71" s="64">
        <v>0</v>
      </c>
      <c r="T71" s="42">
        <v>0</v>
      </c>
      <c r="U71" s="64">
        <v>0</v>
      </c>
      <c r="V71" s="42">
        <v>0</v>
      </c>
      <c r="W71" s="64">
        <v>0</v>
      </c>
      <c r="X71" s="42">
        <v>0</v>
      </c>
      <c r="Y71" s="64">
        <v>0</v>
      </c>
      <c r="Z71" s="42">
        <v>0</v>
      </c>
      <c r="AA71" s="64">
        <v>0</v>
      </c>
      <c r="AB71" s="42">
        <v>0</v>
      </c>
      <c r="AC71" s="64">
        <v>0</v>
      </c>
      <c r="AD71" s="42">
        <v>0</v>
      </c>
      <c r="AE71" s="67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">
      <c r="A72" s="39" t="s">
        <v>36</v>
      </c>
      <c r="B72" s="39" t="s">
        <v>14</v>
      </c>
      <c r="D72" s="39">
        <v>36</v>
      </c>
      <c r="E72" s="39">
        <v>40</v>
      </c>
      <c r="F72" s="39">
        <v>45</v>
      </c>
      <c r="H72" s="41">
        <v>3942.71</v>
      </c>
      <c r="I72" s="63">
        <v>18</v>
      </c>
      <c r="J72" s="41">
        <v>935.96</v>
      </c>
      <c r="K72" s="63">
        <v>7</v>
      </c>
      <c r="L72" s="41">
        <v>1206.68</v>
      </c>
      <c r="M72" s="63">
        <v>11</v>
      </c>
      <c r="N72" s="41">
        <v>6085.35</v>
      </c>
      <c r="O72" s="63">
        <v>36</v>
      </c>
      <c r="P72" s="41">
        <v>751.19</v>
      </c>
      <c r="Q72" s="63">
        <v>5</v>
      </c>
      <c r="R72" s="41">
        <v>324.14999999999998</v>
      </c>
      <c r="S72" s="63">
        <v>3</v>
      </c>
      <c r="T72" s="41">
        <v>1207.3499999999999</v>
      </c>
      <c r="U72" s="63">
        <v>12</v>
      </c>
      <c r="V72" s="41">
        <v>2282.69</v>
      </c>
      <c r="W72" s="63">
        <v>20</v>
      </c>
      <c r="X72" s="41">
        <v>4018.94</v>
      </c>
      <c r="Y72" s="63">
        <v>21</v>
      </c>
      <c r="Z72" s="41">
        <v>1940.15</v>
      </c>
      <c r="AA72" s="63">
        <v>11</v>
      </c>
      <c r="AB72" s="41">
        <v>1957.74</v>
      </c>
      <c r="AC72" s="63">
        <v>13</v>
      </c>
      <c r="AD72" s="41">
        <v>7916.83</v>
      </c>
      <c r="AE72" s="66">
        <v>45</v>
      </c>
      <c r="AG72" s="41">
        <v>138.77000000000001</v>
      </c>
      <c r="AH72" s="41">
        <v>111.43</v>
      </c>
      <c r="AI72" s="41">
        <v>106.01</v>
      </c>
      <c r="AJ72" s="41">
        <v>356.21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">
      <c r="A73" s="40" t="s">
        <v>37</v>
      </c>
      <c r="B73" s="40" t="s">
        <v>12</v>
      </c>
      <c r="D73" s="40">
        <v>10</v>
      </c>
      <c r="E73" s="40">
        <v>8</v>
      </c>
      <c r="F73" s="40">
        <v>11</v>
      </c>
      <c r="H73" s="42">
        <v>4926.8100000000004</v>
      </c>
      <c r="I73" s="64">
        <v>7</v>
      </c>
      <c r="J73" s="42">
        <v>171.67</v>
      </c>
      <c r="K73" s="64">
        <v>2</v>
      </c>
      <c r="L73" s="42">
        <v>22</v>
      </c>
      <c r="M73" s="64">
        <v>1</v>
      </c>
      <c r="N73" s="42">
        <v>5120.4799999999996</v>
      </c>
      <c r="O73" s="64">
        <v>10</v>
      </c>
      <c r="P73" s="42">
        <v>5085.47</v>
      </c>
      <c r="Q73" s="64">
        <v>20</v>
      </c>
      <c r="R73" s="42">
        <v>211.3</v>
      </c>
      <c r="S73" s="64">
        <v>2</v>
      </c>
      <c r="T73" s="42">
        <v>313.54000000000002</v>
      </c>
      <c r="U73" s="64">
        <v>7</v>
      </c>
      <c r="V73" s="42">
        <v>5610.31</v>
      </c>
      <c r="W73" s="64">
        <v>29</v>
      </c>
      <c r="X73" s="42">
        <v>938.98</v>
      </c>
      <c r="Y73" s="64">
        <v>7</v>
      </c>
      <c r="Z73" s="42">
        <v>207.74</v>
      </c>
      <c r="AA73" s="64">
        <v>3</v>
      </c>
      <c r="AB73" s="42">
        <v>44</v>
      </c>
      <c r="AC73" s="64">
        <v>1</v>
      </c>
      <c r="AD73" s="42">
        <v>1190.72</v>
      </c>
      <c r="AE73" s="67">
        <v>11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">
      <c r="A74" s="39" t="s">
        <v>37</v>
      </c>
      <c r="B74" s="39" t="s">
        <v>13</v>
      </c>
      <c r="D74" s="39">
        <v>0</v>
      </c>
      <c r="E74" s="39">
        <v>0</v>
      </c>
      <c r="F74" s="39">
        <v>0</v>
      </c>
      <c r="H74" s="41">
        <v>0</v>
      </c>
      <c r="I74" s="63">
        <v>0</v>
      </c>
      <c r="J74" s="41">
        <v>0</v>
      </c>
      <c r="K74" s="63">
        <v>0</v>
      </c>
      <c r="L74" s="41">
        <v>0</v>
      </c>
      <c r="M74" s="63">
        <v>0</v>
      </c>
      <c r="N74" s="41">
        <v>0</v>
      </c>
      <c r="O74" s="63">
        <v>0</v>
      </c>
      <c r="P74" s="41">
        <v>0</v>
      </c>
      <c r="Q74" s="63">
        <v>0</v>
      </c>
      <c r="R74" s="41">
        <v>0</v>
      </c>
      <c r="S74" s="63">
        <v>0</v>
      </c>
      <c r="T74" s="41">
        <v>0</v>
      </c>
      <c r="U74" s="63">
        <v>0</v>
      </c>
      <c r="V74" s="41">
        <v>0</v>
      </c>
      <c r="W74" s="63">
        <v>0</v>
      </c>
      <c r="X74" s="41">
        <v>0</v>
      </c>
      <c r="Y74" s="63">
        <v>0</v>
      </c>
      <c r="Z74" s="41">
        <v>0</v>
      </c>
      <c r="AA74" s="63">
        <v>0</v>
      </c>
      <c r="AB74" s="41">
        <v>0</v>
      </c>
      <c r="AC74" s="63">
        <v>0</v>
      </c>
      <c r="AD74" s="41">
        <v>0</v>
      </c>
      <c r="AE74" s="66">
        <v>0</v>
      </c>
      <c r="AG74" s="41">
        <v>0</v>
      </c>
      <c r="AH74" s="41">
        <v>0</v>
      </c>
      <c r="AI74" s="41">
        <v>0</v>
      </c>
      <c r="AJ74" s="41">
        <v>0</v>
      </c>
      <c r="AK74" s="41">
        <v>0</v>
      </c>
      <c r="AL74" s="41">
        <v>0</v>
      </c>
      <c r="AM74" s="41">
        <v>0</v>
      </c>
      <c r="AN74" s="41">
        <v>0</v>
      </c>
      <c r="AO74" s="41">
        <v>0</v>
      </c>
      <c r="AP74" s="41">
        <v>0</v>
      </c>
      <c r="AQ74" s="41">
        <v>0</v>
      </c>
      <c r="AR74" s="41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">
      <c r="A75" s="40" t="s">
        <v>37</v>
      </c>
      <c r="B75" s="40" t="s">
        <v>14</v>
      </c>
      <c r="D75" s="40">
        <v>484</v>
      </c>
      <c r="E75" s="40">
        <v>357</v>
      </c>
      <c r="F75" s="40">
        <v>440</v>
      </c>
      <c r="H75" s="42">
        <v>26876.79</v>
      </c>
      <c r="I75" s="64">
        <v>160</v>
      </c>
      <c r="J75" s="42">
        <v>16443.54</v>
      </c>
      <c r="K75" s="64">
        <v>149</v>
      </c>
      <c r="L75" s="42">
        <v>11310.21</v>
      </c>
      <c r="M75" s="64">
        <v>175</v>
      </c>
      <c r="N75" s="42">
        <v>54630.54</v>
      </c>
      <c r="O75" s="64">
        <v>484</v>
      </c>
      <c r="P75" s="42">
        <v>22466.639999999999</v>
      </c>
      <c r="Q75" s="64">
        <v>249</v>
      </c>
      <c r="R75" s="42">
        <v>6379.66</v>
      </c>
      <c r="S75" s="64">
        <v>106</v>
      </c>
      <c r="T75" s="42">
        <v>13056.52</v>
      </c>
      <c r="U75" s="64">
        <v>201</v>
      </c>
      <c r="V75" s="42">
        <v>41902.82</v>
      </c>
      <c r="W75" s="64">
        <v>556</v>
      </c>
      <c r="X75" s="42">
        <v>27587.34</v>
      </c>
      <c r="Y75" s="64">
        <v>274</v>
      </c>
      <c r="Z75" s="42">
        <v>5286.06</v>
      </c>
      <c r="AA75" s="64">
        <v>51</v>
      </c>
      <c r="AB75" s="42">
        <v>7901.44</v>
      </c>
      <c r="AC75" s="64">
        <v>115</v>
      </c>
      <c r="AD75" s="42">
        <v>40774.839999999997</v>
      </c>
      <c r="AE75" s="67">
        <v>440</v>
      </c>
      <c r="AG75" s="42">
        <v>285.62</v>
      </c>
      <c r="AH75" s="42">
        <v>384.47</v>
      </c>
      <c r="AI75" s="42">
        <v>239.4</v>
      </c>
      <c r="AJ75" s="42">
        <v>909.49</v>
      </c>
      <c r="AK75" s="42">
        <v>487.44</v>
      </c>
      <c r="AL75" s="42">
        <v>109.75</v>
      </c>
      <c r="AM75" s="42">
        <v>349.88</v>
      </c>
      <c r="AN75" s="42">
        <v>947.07</v>
      </c>
      <c r="AO75" s="42">
        <v>394.14</v>
      </c>
      <c r="AP75" s="42">
        <v>60.28</v>
      </c>
      <c r="AQ75" s="42">
        <v>979.68</v>
      </c>
      <c r="AR75" s="42">
        <v>1434.1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">
      <c r="A76" s="39" t="s">
        <v>38</v>
      </c>
      <c r="B76" s="39" t="s">
        <v>12</v>
      </c>
      <c r="D76" s="39">
        <v>0</v>
      </c>
      <c r="E76" s="39">
        <v>0</v>
      </c>
      <c r="F76" s="39">
        <v>0</v>
      </c>
      <c r="H76" s="41">
        <v>0</v>
      </c>
      <c r="I76" s="63">
        <v>0</v>
      </c>
      <c r="J76" s="41">
        <v>0</v>
      </c>
      <c r="K76" s="63">
        <v>0</v>
      </c>
      <c r="L76" s="41">
        <v>0</v>
      </c>
      <c r="M76" s="63">
        <v>0</v>
      </c>
      <c r="N76" s="41">
        <v>0</v>
      </c>
      <c r="O76" s="63">
        <v>0</v>
      </c>
      <c r="P76" s="41">
        <v>0</v>
      </c>
      <c r="Q76" s="63">
        <v>0</v>
      </c>
      <c r="R76" s="41">
        <v>0</v>
      </c>
      <c r="S76" s="63">
        <v>0</v>
      </c>
      <c r="T76" s="41">
        <v>0</v>
      </c>
      <c r="U76" s="63">
        <v>0</v>
      </c>
      <c r="V76" s="41">
        <v>0</v>
      </c>
      <c r="W76" s="63">
        <v>0</v>
      </c>
      <c r="X76" s="41">
        <v>0</v>
      </c>
      <c r="Y76" s="63">
        <v>0</v>
      </c>
      <c r="Z76" s="41">
        <v>0</v>
      </c>
      <c r="AA76" s="63">
        <v>0</v>
      </c>
      <c r="AB76" s="41">
        <v>0</v>
      </c>
      <c r="AC76" s="63">
        <v>0</v>
      </c>
      <c r="AD76" s="41">
        <v>0</v>
      </c>
      <c r="AE76" s="66">
        <v>0</v>
      </c>
      <c r="AG76" s="41">
        <v>0</v>
      </c>
      <c r="AH76" s="41">
        <v>0</v>
      </c>
      <c r="AI76" s="41">
        <v>0</v>
      </c>
      <c r="AJ76" s="41">
        <v>0</v>
      </c>
      <c r="AK76" s="41">
        <v>0</v>
      </c>
      <c r="AL76" s="41">
        <v>0</v>
      </c>
      <c r="AM76" s="41">
        <v>0</v>
      </c>
      <c r="AN76" s="41">
        <v>0</v>
      </c>
      <c r="AO76" s="41">
        <v>0</v>
      </c>
      <c r="AP76" s="41">
        <v>0</v>
      </c>
      <c r="AQ76" s="41">
        <v>0</v>
      </c>
      <c r="AR76" s="41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">
      <c r="A77" s="40" t="s">
        <v>38</v>
      </c>
      <c r="B77" s="40" t="s">
        <v>13</v>
      </c>
      <c r="D77" s="40">
        <v>0</v>
      </c>
      <c r="E77" s="40">
        <v>0</v>
      </c>
      <c r="F77" s="40">
        <v>0</v>
      </c>
      <c r="H77" s="42">
        <v>0</v>
      </c>
      <c r="I77" s="64">
        <v>0</v>
      </c>
      <c r="J77" s="42">
        <v>0</v>
      </c>
      <c r="K77" s="64">
        <v>0</v>
      </c>
      <c r="L77" s="42">
        <v>0</v>
      </c>
      <c r="M77" s="64">
        <v>0</v>
      </c>
      <c r="N77" s="42">
        <v>0</v>
      </c>
      <c r="O77" s="64">
        <v>0</v>
      </c>
      <c r="P77" s="42">
        <v>0</v>
      </c>
      <c r="Q77" s="64">
        <v>0</v>
      </c>
      <c r="R77" s="42">
        <v>0</v>
      </c>
      <c r="S77" s="64">
        <v>0</v>
      </c>
      <c r="T77" s="42">
        <v>0</v>
      </c>
      <c r="U77" s="64">
        <v>0</v>
      </c>
      <c r="V77" s="42">
        <v>0</v>
      </c>
      <c r="W77" s="64">
        <v>0</v>
      </c>
      <c r="X77" s="42">
        <v>0</v>
      </c>
      <c r="Y77" s="64">
        <v>0</v>
      </c>
      <c r="Z77" s="42">
        <v>0</v>
      </c>
      <c r="AA77" s="64">
        <v>0</v>
      </c>
      <c r="AB77" s="42">
        <v>0</v>
      </c>
      <c r="AC77" s="64">
        <v>0</v>
      </c>
      <c r="AD77" s="42">
        <v>0</v>
      </c>
      <c r="AE77" s="67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">
      <c r="A78" s="39" t="s">
        <v>38</v>
      </c>
      <c r="B78" s="39" t="s">
        <v>14</v>
      </c>
      <c r="D78" s="39">
        <v>0</v>
      </c>
      <c r="E78" s="39">
        <v>0</v>
      </c>
      <c r="F78" s="39">
        <v>0</v>
      </c>
      <c r="H78" s="41">
        <v>0</v>
      </c>
      <c r="I78" s="63">
        <v>0</v>
      </c>
      <c r="J78" s="41">
        <v>0</v>
      </c>
      <c r="K78" s="63">
        <v>0</v>
      </c>
      <c r="L78" s="41">
        <v>0</v>
      </c>
      <c r="M78" s="63">
        <v>0</v>
      </c>
      <c r="N78" s="41">
        <v>0</v>
      </c>
      <c r="O78" s="63">
        <v>0</v>
      </c>
      <c r="P78" s="41">
        <v>0</v>
      </c>
      <c r="Q78" s="63">
        <v>0</v>
      </c>
      <c r="R78" s="41">
        <v>0</v>
      </c>
      <c r="S78" s="63">
        <v>0</v>
      </c>
      <c r="T78" s="41">
        <v>0</v>
      </c>
      <c r="U78" s="63">
        <v>0</v>
      </c>
      <c r="V78" s="41">
        <v>0</v>
      </c>
      <c r="W78" s="63">
        <v>0</v>
      </c>
      <c r="X78" s="41">
        <v>0</v>
      </c>
      <c r="Y78" s="63">
        <v>0</v>
      </c>
      <c r="Z78" s="41">
        <v>0</v>
      </c>
      <c r="AA78" s="63">
        <v>0</v>
      </c>
      <c r="AB78" s="41">
        <v>0</v>
      </c>
      <c r="AC78" s="63">
        <v>0</v>
      </c>
      <c r="AD78" s="41">
        <v>0</v>
      </c>
      <c r="AE78" s="66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">
      <c r="A79" s="40" t="s">
        <v>39</v>
      </c>
      <c r="B79" s="40" t="s">
        <v>12</v>
      </c>
      <c r="D79" s="40">
        <v>20</v>
      </c>
      <c r="E79" s="40">
        <v>25</v>
      </c>
      <c r="F79" s="40">
        <v>33</v>
      </c>
      <c r="H79" s="42">
        <v>6378.92</v>
      </c>
      <c r="I79" s="64">
        <v>16</v>
      </c>
      <c r="J79" s="42">
        <v>780</v>
      </c>
      <c r="K79" s="64">
        <v>2</v>
      </c>
      <c r="L79" s="42">
        <v>82.18</v>
      </c>
      <c r="M79" s="64">
        <v>2</v>
      </c>
      <c r="N79" s="42">
        <v>7241.1</v>
      </c>
      <c r="O79" s="64">
        <v>20</v>
      </c>
      <c r="P79" s="42">
        <v>5183.2</v>
      </c>
      <c r="Q79" s="64">
        <v>20</v>
      </c>
      <c r="R79" s="42">
        <v>273.56</v>
      </c>
      <c r="S79" s="64">
        <v>3</v>
      </c>
      <c r="T79" s="42">
        <v>212.33</v>
      </c>
      <c r="U79" s="64">
        <v>3</v>
      </c>
      <c r="V79" s="42">
        <v>5669.09</v>
      </c>
      <c r="W79" s="64">
        <v>26</v>
      </c>
      <c r="X79" s="42">
        <v>26981.1</v>
      </c>
      <c r="Y79" s="64">
        <v>24</v>
      </c>
      <c r="Z79" s="42">
        <v>490.64</v>
      </c>
      <c r="AA79" s="64">
        <v>8</v>
      </c>
      <c r="AB79" s="42">
        <v>38.22</v>
      </c>
      <c r="AC79" s="64">
        <v>1</v>
      </c>
      <c r="AD79" s="42">
        <v>27509.96</v>
      </c>
      <c r="AE79" s="67">
        <v>33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">
      <c r="A80" s="39" t="s">
        <v>39</v>
      </c>
      <c r="B80" s="39" t="s">
        <v>13</v>
      </c>
      <c r="D80" s="39">
        <v>0</v>
      </c>
      <c r="E80" s="39">
        <v>1</v>
      </c>
      <c r="F80" s="39">
        <v>0</v>
      </c>
      <c r="H80" s="41">
        <v>0</v>
      </c>
      <c r="I80" s="63">
        <v>0</v>
      </c>
      <c r="J80" s="41">
        <v>0</v>
      </c>
      <c r="K80" s="63">
        <v>0</v>
      </c>
      <c r="L80" s="41">
        <v>0</v>
      </c>
      <c r="M80" s="63">
        <v>0</v>
      </c>
      <c r="N80" s="41">
        <v>0</v>
      </c>
      <c r="O80" s="63">
        <v>0</v>
      </c>
      <c r="P80" s="41">
        <v>0</v>
      </c>
      <c r="Q80" s="63">
        <v>0</v>
      </c>
      <c r="R80" s="41">
        <v>0</v>
      </c>
      <c r="S80" s="63">
        <v>0</v>
      </c>
      <c r="T80" s="41">
        <v>0</v>
      </c>
      <c r="U80" s="63">
        <v>0</v>
      </c>
      <c r="V80" s="41">
        <v>0</v>
      </c>
      <c r="W80" s="63">
        <v>0</v>
      </c>
      <c r="X80" s="41">
        <v>0</v>
      </c>
      <c r="Y80" s="63">
        <v>0</v>
      </c>
      <c r="Z80" s="41">
        <v>0</v>
      </c>
      <c r="AA80" s="63">
        <v>0</v>
      </c>
      <c r="AB80" s="41">
        <v>0</v>
      </c>
      <c r="AC80" s="63">
        <v>0</v>
      </c>
      <c r="AD80" s="41">
        <v>0</v>
      </c>
      <c r="AE80" s="66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">
      <c r="A81" s="40" t="s">
        <v>39</v>
      </c>
      <c r="B81" s="40" t="s">
        <v>14</v>
      </c>
      <c r="D81" s="40">
        <v>308</v>
      </c>
      <c r="E81" s="40">
        <v>334</v>
      </c>
      <c r="F81" s="40">
        <v>390</v>
      </c>
      <c r="H81" s="42">
        <v>10574.69</v>
      </c>
      <c r="I81" s="64">
        <v>107</v>
      </c>
      <c r="J81" s="42">
        <v>2078.2800000000002</v>
      </c>
      <c r="K81" s="64">
        <v>26</v>
      </c>
      <c r="L81" s="42">
        <v>9365.67</v>
      </c>
      <c r="M81" s="64">
        <v>175</v>
      </c>
      <c r="N81" s="42">
        <v>22018.639999999999</v>
      </c>
      <c r="O81" s="64">
        <v>308</v>
      </c>
      <c r="P81" s="42">
        <v>12224.81</v>
      </c>
      <c r="Q81" s="64">
        <v>181</v>
      </c>
      <c r="R81" s="42">
        <v>2936.27</v>
      </c>
      <c r="S81" s="64">
        <v>58</v>
      </c>
      <c r="T81" s="42">
        <v>7495.63</v>
      </c>
      <c r="U81" s="64">
        <v>153</v>
      </c>
      <c r="V81" s="42">
        <v>22656.71</v>
      </c>
      <c r="W81" s="64">
        <v>392</v>
      </c>
      <c r="X81" s="42">
        <v>19659.21</v>
      </c>
      <c r="Y81" s="64">
        <v>187</v>
      </c>
      <c r="Z81" s="42">
        <v>5906.82</v>
      </c>
      <c r="AA81" s="64">
        <v>60</v>
      </c>
      <c r="AB81" s="42">
        <v>8122.72</v>
      </c>
      <c r="AC81" s="64">
        <v>143</v>
      </c>
      <c r="AD81" s="42">
        <v>33688.75</v>
      </c>
      <c r="AE81" s="67">
        <v>390</v>
      </c>
      <c r="AG81" s="42">
        <v>154.4</v>
      </c>
      <c r="AH81" s="42">
        <v>0</v>
      </c>
      <c r="AI81" s="42">
        <v>369.51</v>
      </c>
      <c r="AJ81" s="42">
        <v>523.91</v>
      </c>
      <c r="AK81" s="42">
        <v>59.95</v>
      </c>
      <c r="AL81" s="42">
        <v>22.25</v>
      </c>
      <c r="AM81" s="42">
        <v>11.53</v>
      </c>
      <c r="AN81" s="42">
        <v>93.73</v>
      </c>
      <c r="AO81" s="42">
        <v>104.11</v>
      </c>
      <c r="AP81" s="42">
        <v>53.35</v>
      </c>
      <c r="AQ81" s="42">
        <v>15.58</v>
      </c>
      <c r="AR81" s="42">
        <v>173.04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">
      <c r="A82" s="39" t="s">
        <v>40</v>
      </c>
      <c r="B82" s="39" t="s">
        <v>12</v>
      </c>
      <c r="D82" s="39">
        <v>49</v>
      </c>
      <c r="E82" s="39">
        <v>56</v>
      </c>
      <c r="F82" s="39">
        <v>74</v>
      </c>
      <c r="H82" s="41">
        <v>16538.2</v>
      </c>
      <c r="I82" s="63">
        <v>24</v>
      </c>
      <c r="J82" s="41">
        <v>1447.43</v>
      </c>
      <c r="K82" s="63">
        <v>7</v>
      </c>
      <c r="L82" s="41">
        <v>1168.6400000000001</v>
      </c>
      <c r="M82" s="63">
        <v>18</v>
      </c>
      <c r="N82" s="41">
        <v>19154.27</v>
      </c>
      <c r="O82" s="63">
        <v>49</v>
      </c>
      <c r="P82" s="41">
        <v>10695.96</v>
      </c>
      <c r="Q82" s="63">
        <v>30</v>
      </c>
      <c r="R82" s="41">
        <v>5210.93</v>
      </c>
      <c r="S82" s="63">
        <v>11</v>
      </c>
      <c r="T82" s="41">
        <v>1225.3499999999999</v>
      </c>
      <c r="U82" s="63">
        <v>20</v>
      </c>
      <c r="V82" s="41">
        <v>17132.240000000002</v>
      </c>
      <c r="W82" s="63">
        <v>61</v>
      </c>
      <c r="X82" s="41">
        <v>19475.55</v>
      </c>
      <c r="Y82" s="63">
        <v>53</v>
      </c>
      <c r="Z82" s="41">
        <v>1570.68</v>
      </c>
      <c r="AA82" s="63">
        <v>19</v>
      </c>
      <c r="AB82" s="41">
        <v>260.75</v>
      </c>
      <c r="AC82" s="63">
        <v>2</v>
      </c>
      <c r="AD82" s="41">
        <v>21306.98</v>
      </c>
      <c r="AE82" s="66">
        <v>74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">
      <c r="A83" s="40" t="s">
        <v>40</v>
      </c>
      <c r="B83" s="40" t="s">
        <v>13</v>
      </c>
      <c r="D83" s="40">
        <v>0</v>
      </c>
      <c r="E83" s="40">
        <v>0</v>
      </c>
      <c r="F83" s="40">
        <v>0</v>
      </c>
      <c r="H83" s="42">
        <v>0</v>
      </c>
      <c r="I83" s="64">
        <v>0</v>
      </c>
      <c r="J83" s="42">
        <v>0</v>
      </c>
      <c r="K83" s="64">
        <v>0</v>
      </c>
      <c r="L83" s="42">
        <v>0</v>
      </c>
      <c r="M83" s="64">
        <v>0</v>
      </c>
      <c r="N83" s="42">
        <v>0</v>
      </c>
      <c r="O83" s="64">
        <v>0</v>
      </c>
      <c r="P83" s="42">
        <v>0</v>
      </c>
      <c r="Q83" s="64">
        <v>0</v>
      </c>
      <c r="R83" s="42">
        <v>0</v>
      </c>
      <c r="S83" s="64">
        <v>0</v>
      </c>
      <c r="T83" s="42">
        <v>0</v>
      </c>
      <c r="U83" s="64">
        <v>0</v>
      </c>
      <c r="V83" s="42">
        <v>0</v>
      </c>
      <c r="W83" s="64">
        <v>0</v>
      </c>
      <c r="X83" s="42">
        <v>0</v>
      </c>
      <c r="Y83" s="64">
        <v>0</v>
      </c>
      <c r="Z83" s="42">
        <v>0</v>
      </c>
      <c r="AA83" s="64">
        <v>0</v>
      </c>
      <c r="AB83" s="42">
        <v>0</v>
      </c>
      <c r="AC83" s="64">
        <v>0</v>
      </c>
      <c r="AD83" s="42">
        <v>0</v>
      </c>
      <c r="AE83" s="67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">
      <c r="A84" s="39" t="s">
        <v>40</v>
      </c>
      <c r="B84" s="39" t="s">
        <v>14</v>
      </c>
      <c r="D84" s="39">
        <v>576</v>
      </c>
      <c r="E84" s="39">
        <v>748</v>
      </c>
      <c r="F84" s="39">
        <v>845</v>
      </c>
      <c r="H84" s="41">
        <v>36250.800000000003</v>
      </c>
      <c r="I84" s="63">
        <v>290</v>
      </c>
      <c r="J84" s="41">
        <v>3832.63</v>
      </c>
      <c r="K84" s="63">
        <v>43</v>
      </c>
      <c r="L84" s="41">
        <v>18923.73</v>
      </c>
      <c r="M84" s="63">
        <v>243</v>
      </c>
      <c r="N84" s="41">
        <v>59007.16</v>
      </c>
      <c r="O84" s="63">
        <v>576</v>
      </c>
      <c r="P84" s="41">
        <v>16106.65</v>
      </c>
      <c r="Q84" s="63">
        <v>220</v>
      </c>
      <c r="R84" s="41">
        <v>7359.4</v>
      </c>
      <c r="S84" s="63">
        <v>116</v>
      </c>
      <c r="T84" s="41">
        <v>19280.28</v>
      </c>
      <c r="U84" s="63">
        <v>261</v>
      </c>
      <c r="V84" s="41">
        <v>42746.33</v>
      </c>
      <c r="W84" s="63">
        <v>597</v>
      </c>
      <c r="X84" s="41">
        <v>73736.2</v>
      </c>
      <c r="Y84" s="63">
        <v>526</v>
      </c>
      <c r="Z84" s="41">
        <v>15902.02</v>
      </c>
      <c r="AA84" s="63">
        <v>168</v>
      </c>
      <c r="AB84" s="41">
        <v>12495.79</v>
      </c>
      <c r="AC84" s="63">
        <v>151</v>
      </c>
      <c r="AD84" s="41">
        <v>102134.01</v>
      </c>
      <c r="AE84" s="66">
        <v>845</v>
      </c>
      <c r="AG84" s="41">
        <v>498.03</v>
      </c>
      <c r="AH84" s="41">
        <v>0</v>
      </c>
      <c r="AI84" s="41">
        <v>156.26</v>
      </c>
      <c r="AJ84" s="41">
        <v>654.29</v>
      </c>
      <c r="AK84" s="41">
        <v>452.29</v>
      </c>
      <c r="AL84" s="41">
        <v>270.88</v>
      </c>
      <c r="AM84" s="41">
        <v>114.43</v>
      </c>
      <c r="AN84" s="41">
        <v>837.6</v>
      </c>
      <c r="AO84" s="41">
        <v>923.35</v>
      </c>
      <c r="AP84" s="41">
        <v>490.69</v>
      </c>
      <c r="AQ84" s="41">
        <v>172.76</v>
      </c>
      <c r="AR84" s="41">
        <v>1586.8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">
      <c r="A85" s="40" t="s">
        <v>41</v>
      </c>
      <c r="B85" s="40" t="s">
        <v>12</v>
      </c>
      <c r="D85" s="40">
        <v>43</v>
      </c>
      <c r="E85" s="40">
        <v>60</v>
      </c>
      <c r="F85" s="40">
        <v>47</v>
      </c>
      <c r="H85" s="42">
        <v>12710.49</v>
      </c>
      <c r="I85" s="64">
        <v>21</v>
      </c>
      <c r="J85" s="42">
        <v>5943.01</v>
      </c>
      <c r="K85" s="64">
        <v>10</v>
      </c>
      <c r="L85" s="42">
        <v>579</v>
      </c>
      <c r="M85" s="64">
        <v>12</v>
      </c>
      <c r="N85" s="42">
        <v>19232.5</v>
      </c>
      <c r="O85" s="64">
        <v>43</v>
      </c>
      <c r="P85" s="42">
        <v>6120.14</v>
      </c>
      <c r="Q85" s="64">
        <v>21</v>
      </c>
      <c r="R85" s="42">
        <v>520.86</v>
      </c>
      <c r="S85" s="64">
        <v>6</v>
      </c>
      <c r="T85" s="42">
        <v>839.07</v>
      </c>
      <c r="U85" s="64">
        <v>14</v>
      </c>
      <c r="V85" s="42">
        <v>7480.07</v>
      </c>
      <c r="W85" s="64">
        <v>41</v>
      </c>
      <c r="X85" s="42">
        <v>12087.85</v>
      </c>
      <c r="Y85" s="64">
        <v>24</v>
      </c>
      <c r="Z85" s="42">
        <v>3864.37</v>
      </c>
      <c r="AA85" s="64">
        <v>13</v>
      </c>
      <c r="AB85" s="42">
        <v>1830.96</v>
      </c>
      <c r="AC85" s="64">
        <v>10</v>
      </c>
      <c r="AD85" s="42">
        <v>17783.18</v>
      </c>
      <c r="AE85" s="67">
        <v>47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">
      <c r="A86" s="39" t="s">
        <v>41</v>
      </c>
      <c r="B86" s="39" t="s">
        <v>13</v>
      </c>
      <c r="D86" s="39">
        <v>0</v>
      </c>
      <c r="E86" s="39">
        <v>0</v>
      </c>
      <c r="F86" s="39">
        <v>0</v>
      </c>
      <c r="H86" s="41">
        <v>0</v>
      </c>
      <c r="I86" s="63">
        <v>0</v>
      </c>
      <c r="J86" s="41">
        <v>0</v>
      </c>
      <c r="K86" s="63">
        <v>0</v>
      </c>
      <c r="L86" s="41">
        <v>0</v>
      </c>
      <c r="M86" s="63">
        <v>0</v>
      </c>
      <c r="N86" s="41">
        <v>0</v>
      </c>
      <c r="O86" s="63">
        <v>0</v>
      </c>
      <c r="P86" s="41">
        <v>0</v>
      </c>
      <c r="Q86" s="63">
        <v>0</v>
      </c>
      <c r="R86" s="41">
        <v>0</v>
      </c>
      <c r="S86" s="63">
        <v>0</v>
      </c>
      <c r="T86" s="41">
        <v>0</v>
      </c>
      <c r="U86" s="63">
        <v>0</v>
      </c>
      <c r="V86" s="41">
        <v>0</v>
      </c>
      <c r="W86" s="63">
        <v>0</v>
      </c>
      <c r="X86" s="41">
        <v>0</v>
      </c>
      <c r="Y86" s="63">
        <v>0</v>
      </c>
      <c r="Z86" s="41">
        <v>0</v>
      </c>
      <c r="AA86" s="63">
        <v>0</v>
      </c>
      <c r="AB86" s="41">
        <v>0</v>
      </c>
      <c r="AC86" s="63">
        <v>0</v>
      </c>
      <c r="AD86" s="41">
        <v>0</v>
      </c>
      <c r="AE86" s="66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0</v>
      </c>
      <c r="AL86" s="41">
        <v>0</v>
      </c>
      <c r="AM86" s="41">
        <v>0</v>
      </c>
      <c r="AN86" s="41">
        <v>0</v>
      </c>
      <c r="AO86" s="41">
        <v>0</v>
      </c>
      <c r="AP86" s="41">
        <v>0</v>
      </c>
      <c r="AQ86" s="41">
        <v>0</v>
      </c>
      <c r="AR86" s="41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">
      <c r="A87" s="40" t="s">
        <v>41</v>
      </c>
      <c r="B87" s="40" t="s">
        <v>14</v>
      </c>
      <c r="D87" s="40">
        <v>784</v>
      </c>
      <c r="E87" s="40">
        <v>974</v>
      </c>
      <c r="F87" s="40">
        <v>1164</v>
      </c>
      <c r="H87" s="42">
        <v>63962.11</v>
      </c>
      <c r="I87" s="64">
        <v>426</v>
      </c>
      <c r="J87" s="42">
        <v>11859.37</v>
      </c>
      <c r="K87" s="64">
        <v>116</v>
      </c>
      <c r="L87" s="42">
        <v>18843.93</v>
      </c>
      <c r="M87" s="64">
        <v>242</v>
      </c>
      <c r="N87" s="42">
        <v>94665.41</v>
      </c>
      <c r="O87" s="64">
        <v>784</v>
      </c>
      <c r="P87" s="42">
        <v>19477.150000000001</v>
      </c>
      <c r="Q87" s="64">
        <v>258</v>
      </c>
      <c r="R87" s="42">
        <v>9190.9699999999993</v>
      </c>
      <c r="S87" s="64">
        <v>131</v>
      </c>
      <c r="T87" s="42">
        <v>20821.689999999999</v>
      </c>
      <c r="U87" s="64">
        <v>290</v>
      </c>
      <c r="V87" s="42">
        <v>49489.81</v>
      </c>
      <c r="W87" s="64">
        <v>679</v>
      </c>
      <c r="X87" s="42">
        <v>116700.84</v>
      </c>
      <c r="Y87" s="64">
        <v>663</v>
      </c>
      <c r="Z87" s="42">
        <v>29490.1</v>
      </c>
      <c r="AA87" s="64">
        <v>300</v>
      </c>
      <c r="AB87" s="42">
        <v>22675.9</v>
      </c>
      <c r="AC87" s="64">
        <v>201</v>
      </c>
      <c r="AD87" s="42">
        <v>168866.84</v>
      </c>
      <c r="AE87" s="67">
        <v>1164</v>
      </c>
      <c r="AG87" s="42">
        <v>502.93</v>
      </c>
      <c r="AH87" s="42">
        <v>128.58000000000001</v>
      </c>
      <c r="AI87" s="42">
        <v>115.47</v>
      </c>
      <c r="AJ87" s="42">
        <v>746.98</v>
      </c>
      <c r="AK87" s="42">
        <v>753.51</v>
      </c>
      <c r="AL87" s="42">
        <v>325.81</v>
      </c>
      <c r="AM87" s="42">
        <v>194.5</v>
      </c>
      <c r="AN87" s="42">
        <v>1273.82</v>
      </c>
      <c r="AO87" s="42">
        <v>476.5</v>
      </c>
      <c r="AP87" s="42">
        <v>147.32</v>
      </c>
      <c r="AQ87" s="42">
        <v>190.5</v>
      </c>
      <c r="AR87" s="42">
        <v>814.32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">
      <c r="A88" s="39" t="s">
        <v>42</v>
      </c>
      <c r="B88" s="39" t="s">
        <v>12</v>
      </c>
      <c r="D88" s="39">
        <v>4</v>
      </c>
      <c r="E88" s="39">
        <v>7</v>
      </c>
      <c r="F88" s="39">
        <v>13</v>
      </c>
      <c r="H88" s="41">
        <v>2614.33</v>
      </c>
      <c r="I88" s="63">
        <v>2</v>
      </c>
      <c r="J88" s="41">
        <v>127.19</v>
      </c>
      <c r="K88" s="63">
        <v>1</v>
      </c>
      <c r="L88" s="41">
        <v>27.61</v>
      </c>
      <c r="M88" s="63">
        <v>1</v>
      </c>
      <c r="N88" s="41">
        <v>2769.13</v>
      </c>
      <c r="O88" s="63">
        <v>4</v>
      </c>
      <c r="P88" s="41">
        <v>5331.81</v>
      </c>
      <c r="Q88" s="63">
        <v>11</v>
      </c>
      <c r="R88" s="41">
        <v>94.59</v>
      </c>
      <c r="S88" s="63">
        <v>1</v>
      </c>
      <c r="T88" s="41">
        <v>93.6</v>
      </c>
      <c r="U88" s="63">
        <v>2</v>
      </c>
      <c r="V88" s="41">
        <v>5520</v>
      </c>
      <c r="W88" s="63">
        <v>14</v>
      </c>
      <c r="X88" s="41">
        <v>1401.29</v>
      </c>
      <c r="Y88" s="63">
        <v>9</v>
      </c>
      <c r="Z88" s="41">
        <v>90.83</v>
      </c>
      <c r="AA88" s="63">
        <v>4</v>
      </c>
      <c r="AB88" s="41">
        <v>0</v>
      </c>
      <c r="AC88" s="63">
        <v>0</v>
      </c>
      <c r="AD88" s="41">
        <v>1492.12</v>
      </c>
      <c r="AE88" s="66">
        <v>13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">
      <c r="A89" s="40" t="s">
        <v>42</v>
      </c>
      <c r="B89" s="40" t="s">
        <v>13</v>
      </c>
      <c r="D89" s="40">
        <v>0</v>
      </c>
      <c r="E89" s="40">
        <v>0</v>
      </c>
      <c r="F89" s="40">
        <v>0</v>
      </c>
      <c r="H89" s="42">
        <v>0</v>
      </c>
      <c r="I89" s="64">
        <v>0</v>
      </c>
      <c r="J89" s="42">
        <v>0</v>
      </c>
      <c r="K89" s="64">
        <v>0</v>
      </c>
      <c r="L89" s="42">
        <v>0</v>
      </c>
      <c r="M89" s="64">
        <v>0</v>
      </c>
      <c r="N89" s="42">
        <v>0</v>
      </c>
      <c r="O89" s="64">
        <v>0</v>
      </c>
      <c r="P89" s="42">
        <v>0</v>
      </c>
      <c r="Q89" s="64">
        <v>0</v>
      </c>
      <c r="R89" s="42">
        <v>0</v>
      </c>
      <c r="S89" s="64">
        <v>0</v>
      </c>
      <c r="T89" s="42">
        <v>0</v>
      </c>
      <c r="U89" s="64">
        <v>0</v>
      </c>
      <c r="V89" s="42">
        <v>0</v>
      </c>
      <c r="W89" s="64">
        <v>0</v>
      </c>
      <c r="X89" s="42">
        <v>0</v>
      </c>
      <c r="Y89" s="64">
        <v>0</v>
      </c>
      <c r="Z89" s="42">
        <v>0</v>
      </c>
      <c r="AA89" s="64">
        <v>0</v>
      </c>
      <c r="AB89" s="42">
        <v>0</v>
      </c>
      <c r="AC89" s="64">
        <v>0</v>
      </c>
      <c r="AD89" s="42">
        <v>0</v>
      </c>
      <c r="AE89" s="67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">
      <c r="A90" s="39" t="s">
        <v>42</v>
      </c>
      <c r="B90" s="39" t="s">
        <v>14</v>
      </c>
      <c r="D90" s="39">
        <v>179</v>
      </c>
      <c r="E90" s="39">
        <v>239</v>
      </c>
      <c r="F90" s="39">
        <v>272</v>
      </c>
      <c r="H90" s="41">
        <v>10283</v>
      </c>
      <c r="I90" s="63">
        <v>99</v>
      </c>
      <c r="J90" s="41">
        <v>235.46</v>
      </c>
      <c r="K90" s="63">
        <v>5</v>
      </c>
      <c r="L90" s="41">
        <v>5022.25</v>
      </c>
      <c r="M90" s="63">
        <v>75</v>
      </c>
      <c r="N90" s="41">
        <v>15540.71</v>
      </c>
      <c r="O90" s="63">
        <v>179</v>
      </c>
      <c r="P90" s="41">
        <v>12603.89</v>
      </c>
      <c r="Q90" s="63">
        <v>173</v>
      </c>
      <c r="R90" s="41">
        <v>2182.86</v>
      </c>
      <c r="S90" s="63">
        <v>26</v>
      </c>
      <c r="T90" s="41">
        <v>5529.36</v>
      </c>
      <c r="U90" s="63">
        <v>86</v>
      </c>
      <c r="V90" s="41">
        <v>20316.11</v>
      </c>
      <c r="W90" s="63">
        <v>285</v>
      </c>
      <c r="X90" s="41">
        <v>22915.15</v>
      </c>
      <c r="Y90" s="63">
        <v>173</v>
      </c>
      <c r="Z90" s="41">
        <v>4666.84</v>
      </c>
      <c r="AA90" s="63">
        <v>53</v>
      </c>
      <c r="AB90" s="41">
        <v>2652.43</v>
      </c>
      <c r="AC90" s="63">
        <v>46</v>
      </c>
      <c r="AD90" s="41">
        <v>30234.42</v>
      </c>
      <c r="AE90" s="66">
        <v>272</v>
      </c>
      <c r="AG90" s="41">
        <v>62.73</v>
      </c>
      <c r="AH90" s="41">
        <v>0</v>
      </c>
      <c r="AI90" s="41">
        <v>0</v>
      </c>
      <c r="AJ90" s="41">
        <v>62.73</v>
      </c>
      <c r="AK90" s="41">
        <v>57.17</v>
      </c>
      <c r="AL90" s="41">
        <v>55.2</v>
      </c>
      <c r="AM90" s="41">
        <v>0</v>
      </c>
      <c r="AN90" s="41">
        <v>112.37</v>
      </c>
      <c r="AO90" s="41">
        <v>33.880000000000003</v>
      </c>
      <c r="AP90" s="41">
        <v>37.270000000000003</v>
      </c>
      <c r="AQ90" s="41">
        <v>35.979999999999997</v>
      </c>
      <c r="AR90" s="41">
        <v>107.13</v>
      </c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">
      <c r="A91" s="40" t="s">
        <v>43</v>
      </c>
      <c r="B91" s="40" t="s">
        <v>12</v>
      </c>
      <c r="D91" s="40">
        <v>8</v>
      </c>
      <c r="E91" s="40">
        <v>10</v>
      </c>
      <c r="F91" s="40">
        <v>11</v>
      </c>
      <c r="H91" s="42">
        <v>575.36</v>
      </c>
      <c r="I91" s="64">
        <v>4</v>
      </c>
      <c r="J91" s="42">
        <v>165.68</v>
      </c>
      <c r="K91" s="64">
        <v>3</v>
      </c>
      <c r="L91" s="42">
        <v>7.02</v>
      </c>
      <c r="M91" s="64">
        <v>1</v>
      </c>
      <c r="N91" s="42">
        <v>748.06</v>
      </c>
      <c r="O91" s="64">
        <v>8</v>
      </c>
      <c r="P91" s="42">
        <v>0</v>
      </c>
      <c r="Q91" s="64">
        <v>0</v>
      </c>
      <c r="R91" s="42">
        <v>0</v>
      </c>
      <c r="S91" s="64">
        <v>0</v>
      </c>
      <c r="T91" s="42">
        <v>0</v>
      </c>
      <c r="U91" s="64">
        <v>0</v>
      </c>
      <c r="V91" s="42">
        <v>0</v>
      </c>
      <c r="W91" s="64">
        <v>0</v>
      </c>
      <c r="X91" s="42">
        <v>7696.75</v>
      </c>
      <c r="Y91" s="64">
        <v>7</v>
      </c>
      <c r="Z91" s="42">
        <v>312.27999999999997</v>
      </c>
      <c r="AA91" s="64">
        <v>3</v>
      </c>
      <c r="AB91" s="42">
        <v>26.17</v>
      </c>
      <c r="AC91" s="64">
        <v>1</v>
      </c>
      <c r="AD91" s="42">
        <v>8035.2</v>
      </c>
      <c r="AE91" s="67">
        <v>11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">
      <c r="A92" s="39" t="s">
        <v>43</v>
      </c>
      <c r="B92" s="39" t="s">
        <v>13</v>
      </c>
      <c r="D92" s="39">
        <v>0</v>
      </c>
      <c r="E92" s="39">
        <v>0</v>
      </c>
      <c r="F92" s="39">
        <v>0</v>
      </c>
      <c r="H92" s="41">
        <v>0</v>
      </c>
      <c r="I92" s="63">
        <v>0</v>
      </c>
      <c r="J92" s="41">
        <v>0</v>
      </c>
      <c r="K92" s="63">
        <v>0</v>
      </c>
      <c r="L92" s="41">
        <v>0</v>
      </c>
      <c r="M92" s="63">
        <v>0</v>
      </c>
      <c r="N92" s="41">
        <v>0</v>
      </c>
      <c r="O92" s="63">
        <v>0</v>
      </c>
      <c r="P92" s="41">
        <v>0</v>
      </c>
      <c r="Q92" s="63">
        <v>0</v>
      </c>
      <c r="R92" s="41">
        <v>0</v>
      </c>
      <c r="S92" s="63">
        <v>0</v>
      </c>
      <c r="T92" s="41">
        <v>0</v>
      </c>
      <c r="U92" s="63">
        <v>0</v>
      </c>
      <c r="V92" s="41">
        <v>0</v>
      </c>
      <c r="W92" s="63">
        <v>0</v>
      </c>
      <c r="X92" s="41">
        <v>0</v>
      </c>
      <c r="Y92" s="63">
        <v>0</v>
      </c>
      <c r="Z92" s="41">
        <v>0</v>
      </c>
      <c r="AA92" s="63">
        <v>0</v>
      </c>
      <c r="AB92" s="41">
        <v>0</v>
      </c>
      <c r="AC92" s="63">
        <v>0</v>
      </c>
      <c r="AD92" s="41">
        <v>0</v>
      </c>
      <c r="AE92" s="66">
        <v>0</v>
      </c>
      <c r="AG92" s="41">
        <v>0</v>
      </c>
      <c r="AH92" s="41">
        <v>0</v>
      </c>
      <c r="AI92" s="41">
        <v>0</v>
      </c>
      <c r="AJ92" s="41">
        <v>0</v>
      </c>
      <c r="AK92" s="41">
        <v>0</v>
      </c>
      <c r="AL92" s="41">
        <v>0</v>
      </c>
      <c r="AM92" s="41">
        <v>0</v>
      </c>
      <c r="AN92" s="41">
        <v>0</v>
      </c>
      <c r="AO92" s="41">
        <v>0</v>
      </c>
      <c r="AP92" s="41">
        <v>0</v>
      </c>
      <c r="AQ92" s="41">
        <v>0</v>
      </c>
      <c r="AR92" s="41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">
      <c r="A93" s="40" t="s">
        <v>43</v>
      </c>
      <c r="B93" s="40" t="s">
        <v>14</v>
      </c>
      <c r="D93" s="40">
        <v>480</v>
      </c>
      <c r="E93" s="40">
        <v>558</v>
      </c>
      <c r="F93" s="40">
        <v>653</v>
      </c>
      <c r="H93" s="42">
        <v>33974.47</v>
      </c>
      <c r="I93" s="64">
        <v>272</v>
      </c>
      <c r="J93" s="42">
        <v>7476.85</v>
      </c>
      <c r="K93" s="64">
        <v>74</v>
      </c>
      <c r="L93" s="42">
        <v>8212.07</v>
      </c>
      <c r="M93" s="64">
        <v>134</v>
      </c>
      <c r="N93" s="42">
        <v>49663.39</v>
      </c>
      <c r="O93" s="64">
        <v>480</v>
      </c>
      <c r="P93" s="42">
        <v>0</v>
      </c>
      <c r="Q93" s="64">
        <v>0</v>
      </c>
      <c r="R93" s="42">
        <v>0</v>
      </c>
      <c r="S93" s="64">
        <v>0</v>
      </c>
      <c r="T93" s="42">
        <v>0</v>
      </c>
      <c r="U93" s="64">
        <v>0</v>
      </c>
      <c r="V93" s="42">
        <v>0</v>
      </c>
      <c r="W93" s="64">
        <v>0</v>
      </c>
      <c r="X93" s="42">
        <v>65592.83</v>
      </c>
      <c r="Y93" s="64">
        <v>356</v>
      </c>
      <c r="Z93" s="42">
        <v>14441.16</v>
      </c>
      <c r="AA93" s="64">
        <v>159</v>
      </c>
      <c r="AB93" s="42">
        <v>9349.74</v>
      </c>
      <c r="AC93" s="64">
        <v>138</v>
      </c>
      <c r="AD93" s="42">
        <v>89383.73</v>
      </c>
      <c r="AE93" s="67">
        <v>653</v>
      </c>
      <c r="AG93" s="42">
        <v>697.47</v>
      </c>
      <c r="AH93" s="42">
        <v>340.28</v>
      </c>
      <c r="AI93" s="42">
        <v>413.81</v>
      </c>
      <c r="AJ93" s="42">
        <v>1451.56</v>
      </c>
      <c r="AK93" s="42">
        <v>274.39</v>
      </c>
      <c r="AL93" s="42">
        <v>284.70999999999998</v>
      </c>
      <c r="AM93" s="42">
        <v>154.88</v>
      </c>
      <c r="AN93" s="42">
        <v>713.98</v>
      </c>
      <c r="AO93" s="42">
        <v>953.35</v>
      </c>
      <c r="AP93" s="42">
        <v>169.27</v>
      </c>
      <c r="AQ93" s="42">
        <v>154.41</v>
      </c>
      <c r="AR93" s="42">
        <v>1277.03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">
      <c r="A94" s="39" t="s">
        <v>44</v>
      </c>
      <c r="B94" s="39" t="s">
        <v>12</v>
      </c>
      <c r="D94" s="39">
        <v>34</v>
      </c>
      <c r="E94" s="39">
        <v>40</v>
      </c>
      <c r="F94" s="39">
        <v>45</v>
      </c>
      <c r="H94" s="41">
        <v>8379.83</v>
      </c>
      <c r="I94" s="63">
        <v>21</v>
      </c>
      <c r="J94" s="41">
        <v>1157.43</v>
      </c>
      <c r="K94" s="63">
        <v>4</v>
      </c>
      <c r="L94" s="41">
        <v>406.92</v>
      </c>
      <c r="M94" s="63">
        <v>9</v>
      </c>
      <c r="N94" s="41">
        <v>9944.18</v>
      </c>
      <c r="O94" s="63">
        <v>34</v>
      </c>
      <c r="P94" s="41">
        <v>0</v>
      </c>
      <c r="Q94" s="63">
        <v>0</v>
      </c>
      <c r="R94" s="41">
        <v>0</v>
      </c>
      <c r="S94" s="63">
        <v>0</v>
      </c>
      <c r="T94" s="41">
        <v>0</v>
      </c>
      <c r="U94" s="63">
        <v>0</v>
      </c>
      <c r="V94" s="41">
        <v>0</v>
      </c>
      <c r="W94" s="63">
        <v>0</v>
      </c>
      <c r="X94" s="41">
        <v>13881.11</v>
      </c>
      <c r="Y94" s="63">
        <v>28</v>
      </c>
      <c r="Z94" s="41">
        <v>672.15</v>
      </c>
      <c r="AA94" s="63">
        <v>11</v>
      </c>
      <c r="AB94" s="41">
        <v>368.94</v>
      </c>
      <c r="AC94" s="63">
        <v>6</v>
      </c>
      <c r="AD94" s="41">
        <v>14922.2</v>
      </c>
      <c r="AE94" s="66">
        <v>45</v>
      </c>
      <c r="AG94" s="41">
        <v>0</v>
      </c>
      <c r="AH94" s="41">
        <v>0</v>
      </c>
      <c r="AI94" s="41">
        <v>0</v>
      </c>
      <c r="AJ94" s="41">
        <v>0</v>
      </c>
      <c r="AK94" s="41">
        <v>0</v>
      </c>
      <c r="AL94" s="41">
        <v>0</v>
      </c>
      <c r="AM94" s="41">
        <v>0</v>
      </c>
      <c r="AN94" s="41">
        <v>0</v>
      </c>
      <c r="AO94" s="41">
        <v>0</v>
      </c>
      <c r="AP94" s="41">
        <v>0</v>
      </c>
      <c r="AQ94" s="41">
        <v>0</v>
      </c>
      <c r="AR94" s="41">
        <v>0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">
      <c r="A95" s="40" t="s">
        <v>44</v>
      </c>
      <c r="B95" s="40" t="s">
        <v>13</v>
      </c>
      <c r="D95" s="40">
        <v>0</v>
      </c>
      <c r="E95" s="40">
        <v>0</v>
      </c>
      <c r="F95" s="40">
        <v>0</v>
      </c>
      <c r="H95" s="42">
        <v>0</v>
      </c>
      <c r="I95" s="64">
        <v>0</v>
      </c>
      <c r="J95" s="42">
        <v>0</v>
      </c>
      <c r="K95" s="64">
        <v>0</v>
      </c>
      <c r="L95" s="42">
        <v>0</v>
      </c>
      <c r="M95" s="64">
        <v>0</v>
      </c>
      <c r="N95" s="42">
        <v>0</v>
      </c>
      <c r="O95" s="64">
        <v>0</v>
      </c>
      <c r="P95" s="42">
        <v>0</v>
      </c>
      <c r="Q95" s="64">
        <v>0</v>
      </c>
      <c r="R95" s="42">
        <v>0</v>
      </c>
      <c r="S95" s="64">
        <v>0</v>
      </c>
      <c r="T95" s="42">
        <v>0</v>
      </c>
      <c r="U95" s="64">
        <v>0</v>
      </c>
      <c r="V95" s="42">
        <v>0</v>
      </c>
      <c r="W95" s="64">
        <v>0</v>
      </c>
      <c r="X95" s="42">
        <v>0</v>
      </c>
      <c r="Y95" s="64">
        <v>0</v>
      </c>
      <c r="Z95" s="42">
        <v>0</v>
      </c>
      <c r="AA95" s="64">
        <v>0</v>
      </c>
      <c r="AB95" s="42">
        <v>0</v>
      </c>
      <c r="AC95" s="64">
        <v>0</v>
      </c>
      <c r="AD95" s="42">
        <v>0</v>
      </c>
      <c r="AE95" s="67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">
      <c r="A96" s="39" t="s">
        <v>44</v>
      </c>
      <c r="B96" s="39" t="s">
        <v>14</v>
      </c>
      <c r="D96" s="39">
        <v>527</v>
      </c>
      <c r="E96" s="39">
        <v>628</v>
      </c>
      <c r="F96" s="39">
        <v>749</v>
      </c>
      <c r="H96" s="41">
        <v>32810.300000000003</v>
      </c>
      <c r="I96" s="63">
        <v>282</v>
      </c>
      <c r="J96" s="41">
        <v>5663.6</v>
      </c>
      <c r="K96" s="63">
        <v>63</v>
      </c>
      <c r="L96" s="41">
        <v>10857.83</v>
      </c>
      <c r="M96" s="63">
        <v>182</v>
      </c>
      <c r="N96" s="41">
        <v>49331.73</v>
      </c>
      <c r="O96" s="63">
        <v>527</v>
      </c>
      <c r="P96" s="41">
        <v>0</v>
      </c>
      <c r="Q96" s="63">
        <v>0</v>
      </c>
      <c r="R96" s="41">
        <v>0</v>
      </c>
      <c r="S96" s="63">
        <v>0</v>
      </c>
      <c r="T96" s="41">
        <v>0</v>
      </c>
      <c r="U96" s="63">
        <v>0</v>
      </c>
      <c r="V96" s="41">
        <v>0</v>
      </c>
      <c r="W96" s="63">
        <v>0</v>
      </c>
      <c r="X96" s="41">
        <v>68691.179999999993</v>
      </c>
      <c r="Y96" s="63">
        <v>450</v>
      </c>
      <c r="Z96" s="41">
        <v>13786.51</v>
      </c>
      <c r="AA96" s="63">
        <v>151</v>
      </c>
      <c r="AB96" s="41">
        <v>9680.3700000000008</v>
      </c>
      <c r="AC96" s="63">
        <v>148</v>
      </c>
      <c r="AD96" s="41">
        <v>92158.06</v>
      </c>
      <c r="AE96" s="66">
        <v>749</v>
      </c>
      <c r="AG96" s="41">
        <v>647.66999999999996</v>
      </c>
      <c r="AH96" s="41">
        <v>42.7</v>
      </c>
      <c r="AI96" s="41">
        <v>193.08</v>
      </c>
      <c r="AJ96" s="41">
        <v>883.45</v>
      </c>
      <c r="AK96" s="41">
        <v>311.22000000000003</v>
      </c>
      <c r="AL96" s="41">
        <v>278.26</v>
      </c>
      <c r="AM96" s="41">
        <v>219.28</v>
      </c>
      <c r="AN96" s="41">
        <v>808.76</v>
      </c>
      <c r="AO96" s="41">
        <v>261.72000000000003</v>
      </c>
      <c r="AP96" s="41">
        <v>114.3</v>
      </c>
      <c r="AQ96" s="41">
        <v>6.57</v>
      </c>
      <c r="AR96" s="41">
        <v>382.59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">
      <c r="A97" s="40" t="s">
        <v>45</v>
      </c>
      <c r="B97" s="40" t="s">
        <v>12</v>
      </c>
      <c r="D97" s="40">
        <v>0</v>
      </c>
      <c r="E97" s="40">
        <v>0</v>
      </c>
      <c r="F97" s="40">
        <v>0</v>
      </c>
      <c r="H97" s="42">
        <v>0</v>
      </c>
      <c r="I97" s="64">
        <v>0</v>
      </c>
      <c r="J97" s="42">
        <v>0</v>
      </c>
      <c r="K97" s="64">
        <v>0</v>
      </c>
      <c r="L97" s="42">
        <v>0</v>
      </c>
      <c r="M97" s="64">
        <v>0</v>
      </c>
      <c r="N97" s="42">
        <v>0</v>
      </c>
      <c r="O97" s="64">
        <v>0</v>
      </c>
      <c r="P97" s="42">
        <v>0</v>
      </c>
      <c r="Q97" s="64">
        <v>0</v>
      </c>
      <c r="R97" s="42">
        <v>0</v>
      </c>
      <c r="S97" s="64">
        <v>0</v>
      </c>
      <c r="T97" s="42">
        <v>0</v>
      </c>
      <c r="U97" s="64">
        <v>0</v>
      </c>
      <c r="V97" s="42">
        <v>0</v>
      </c>
      <c r="W97" s="64">
        <v>0</v>
      </c>
      <c r="X97" s="42">
        <v>0</v>
      </c>
      <c r="Y97" s="64">
        <v>0</v>
      </c>
      <c r="Z97" s="42">
        <v>0</v>
      </c>
      <c r="AA97" s="64">
        <v>0</v>
      </c>
      <c r="AB97" s="42">
        <v>0</v>
      </c>
      <c r="AC97" s="64">
        <v>0</v>
      </c>
      <c r="AD97" s="42">
        <v>0</v>
      </c>
      <c r="AE97" s="67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">
      <c r="A98" s="39" t="s">
        <v>45</v>
      </c>
      <c r="B98" s="39" t="s">
        <v>13</v>
      </c>
      <c r="D98" s="39">
        <v>0</v>
      </c>
      <c r="E98" s="39">
        <v>0</v>
      </c>
      <c r="F98" s="39">
        <v>0</v>
      </c>
      <c r="H98" s="41">
        <v>0</v>
      </c>
      <c r="I98" s="63">
        <v>0</v>
      </c>
      <c r="J98" s="41">
        <v>0</v>
      </c>
      <c r="K98" s="63">
        <v>0</v>
      </c>
      <c r="L98" s="41">
        <v>0</v>
      </c>
      <c r="M98" s="63">
        <v>0</v>
      </c>
      <c r="N98" s="41">
        <v>0</v>
      </c>
      <c r="O98" s="63">
        <v>0</v>
      </c>
      <c r="P98" s="41">
        <v>0</v>
      </c>
      <c r="Q98" s="63">
        <v>0</v>
      </c>
      <c r="R98" s="41">
        <v>0</v>
      </c>
      <c r="S98" s="63">
        <v>0</v>
      </c>
      <c r="T98" s="41">
        <v>0</v>
      </c>
      <c r="U98" s="63">
        <v>0</v>
      </c>
      <c r="V98" s="41">
        <v>0</v>
      </c>
      <c r="W98" s="63">
        <v>0</v>
      </c>
      <c r="X98" s="41">
        <v>0</v>
      </c>
      <c r="Y98" s="63">
        <v>0</v>
      </c>
      <c r="Z98" s="41">
        <v>0</v>
      </c>
      <c r="AA98" s="63">
        <v>0</v>
      </c>
      <c r="AB98" s="41">
        <v>0</v>
      </c>
      <c r="AC98" s="63">
        <v>0</v>
      </c>
      <c r="AD98" s="41">
        <v>0</v>
      </c>
      <c r="AE98" s="66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">
      <c r="A99" s="40" t="s">
        <v>45</v>
      </c>
      <c r="B99" s="40" t="s">
        <v>14</v>
      </c>
      <c r="D99" s="40">
        <v>0</v>
      </c>
      <c r="E99" s="40">
        <v>0</v>
      </c>
      <c r="F99" s="40">
        <v>0</v>
      </c>
      <c r="H99" s="42">
        <v>0</v>
      </c>
      <c r="I99" s="64">
        <v>0</v>
      </c>
      <c r="J99" s="42">
        <v>0</v>
      </c>
      <c r="K99" s="64">
        <v>0</v>
      </c>
      <c r="L99" s="42">
        <v>0</v>
      </c>
      <c r="M99" s="64">
        <v>0</v>
      </c>
      <c r="N99" s="42">
        <v>0</v>
      </c>
      <c r="O99" s="64">
        <v>0</v>
      </c>
      <c r="P99" s="42">
        <v>0</v>
      </c>
      <c r="Q99" s="64">
        <v>0</v>
      </c>
      <c r="R99" s="42">
        <v>0</v>
      </c>
      <c r="S99" s="64">
        <v>0</v>
      </c>
      <c r="T99" s="42">
        <v>0</v>
      </c>
      <c r="U99" s="64">
        <v>0</v>
      </c>
      <c r="V99" s="42">
        <v>0</v>
      </c>
      <c r="W99" s="64">
        <v>0</v>
      </c>
      <c r="X99" s="42">
        <v>0</v>
      </c>
      <c r="Y99" s="64">
        <v>0</v>
      </c>
      <c r="Z99" s="42">
        <v>0</v>
      </c>
      <c r="AA99" s="64">
        <v>0</v>
      </c>
      <c r="AB99" s="42">
        <v>0</v>
      </c>
      <c r="AC99" s="64">
        <v>0</v>
      </c>
      <c r="AD99" s="42">
        <v>0</v>
      </c>
      <c r="AE99" s="67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">
      <c r="A100" s="39" t="s">
        <v>46</v>
      </c>
      <c r="B100" s="39" t="s">
        <v>12</v>
      </c>
      <c r="D100" s="39">
        <v>0</v>
      </c>
      <c r="E100" s="39">
        <v>0</v>
      </c>
      <c r="F100" s="39">
        <v>0</v>
      </c>
      <c r="H100" s="41">
        <v>0</v>
      </c>
      <c r="I100" s="63">
        <v>0</v>
      </c>
      <c r="J100" s="41">
        <v>0</v>
      </c>
      <c r="K100" s="63">
        <v>0</v>
      </c>
      <c r="L100" s="41">
        <v>0</v>
      </c>
      <c r="M100" s="63">
        <v>0</v>
      </c>
      <c r="N100" s="41">
        <v>0</v>
      </c>
      <c r="O100" s="63">
        <v>0</v>
      </c>
      <c r="P100" s="41">
        <v>0</v>
      </c>
      <c r="Q100" s="63">
        <v>0</v>
      </c>
      <c r="R100" s="41">
        <v>0</v>
      </c>
      <c r="S100" s="63">
        <v>0</v>
      </c>
      <c r="T100" s="41">
        <v>0</v>
      </c>
      <c r="U100" s="63">
        <v>0</v>
      </c>
      <c r="V100" s="41">
        <v>0</v>
      </c>
      <c r="W100" s="63">
        <v>0</v>
      </c>
      <c r="X100" s="41">
        <v>0</v>
      </c>
      <c r="Y100" s="63">
        <v>0</v>
      </c>
      <c r="Z100" s="41">
        <v>0</v>
      </c>
      <c r="AA100" s="63">
        <v>0</v>
      </c>
      <c r="AB100" s="41">
        <v>0</v>
      </c>
      <c r="AC100" s="63">
        <v>0</v>
      </c>
      <c r="AD100" s="41">
        <v>0</v>
      </c>
      <c r="AE100" s="66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">
      <c r="A101" s="40" t="s">
        <v>46</v>
      </c>
      <c r="B101" s="40" t="s">
        <v>13</v>
      </c>
      <c r="D101" s="40">
        <v>0</v>
      </c>
      <c r="E101" s="40">
        <v>0</v>
      </c>
      <c r="F101" s="40">
        <v>0</v>
      </c>
      <c r="H101" s="42">
        <v>0</v>
      </c>
      <c r="I101" s="64">
        <v>0</v>
      </c>
      <c r="J101" s="42">
        <v>0</v>
      </c>
      <c r="K101" s="64">
        <v>0</v>
      </c>
      <c r="L101" s="42">
        <v>0</v>
      </c>
      <c r="M101" s="64">
        <v>0</v>
      </c>
      <c r="N101" s="42">
        <v>0</v>
      </c>
      <c r="O101" s="64">
        <v>0</v>
      </c>
      <c r="P101" s="42">
        <v>0</v>
      </c>
      <c r="Q101" s="64">
        <v>0</v>
      </c>
      <c r="R101" s="42">
        <v>0</v>
      </c>
      <c r="S101" s="64">
        <v>0</v>
      </c>
      <c r="T101" s="42">
        <v>0</v>
      </c>
      <c r="U101" s="64">
        <v>0</v>
      </c>
      <c r="V101" s="42">
        <v>0</v>
      </c>
      <c r="W101" s="64">
        <v>0</v>
      </c>
      <c r="X101" s="42">
        <v>0</v>
      </c>
      <c r="Y101" s="64">
        <v>0</v>
      </c>
      <c r="Z101" s="42">
        <v>0</v>
      </c>
      <c r="AA101" s="64">
        <v>0</v>
      </c>
      <c r="AB101" s="42">
        <v>0</v>
      </c>
      <c r="AC101" s="64">
        <v>0</v>
      </c>
      <c r="AD101" s="42">
        <v>0</v>
      </c>
      <c r="AE101" s="67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">
      <c r="A102" s="39" t="s">
        <v>46</v>
      </c>
      <c r="B102" s="39" t="s">
        <v>14</v>
      </c>
      <c r="D102" s="39">
        <v>0</v>
      </c>
      <c r="E102" s="39">
        <v>0</v>
      </c>
      <c r="F102" s="39">
        <v>0</v>
      </c>
      <c r="H102" s="41">
        <v>0</v>
      </c>
      <c r="I102" s="63">
        <v>0</v>
      </c>
      <c r="J102" s="41">
        <v>0</v>
      </c>
      <c r="K102" s="63">
        <v>0</v>
      </c>
      <c r="L102" s="41">
        <v>0</v>
      </c>
      <c r="M102" s="63">
        <v>0</v>
      </c>
      <c r="N102" s="41">
        <v>0</v>
      </c>
      <c r="O102" s="63">
        <v>0</v>
      </c>
      <c r="P102" s="41">
        <v>0</v>
      </c>
      <c r="Q102" s="63">
        <v>0</v>
      </c>
      <c r="R102" s="41">
        <v>0</v>
      </c>
      <c r="S102" s="63">
        <v>0</v>
      </c>
      <c r="T102" s="41">
        <v>0</v>
      </c>
      <c r="U102" s="63">
        <v>0</v>
      </c>
      <c r="V102" s="41">
        <v>0</v>
      </c>
      <c r="W102" s="63">
        <v>0</v>
      </c>
      <c r="X102" s="41">
        <v>0</v>
      </c>
      <c r="Y102" s="63">
        <v>0</v>
      </c>
      <c r="Z102" s="41">
        <v>0</v>
      </c>
      <c r="AA102" s="63">
        <v>0</v>
      </c>
      <c r="AB102" s="41">
        <v>0</v>
      </c>
      <c r="AC102" s="63">
        <v>0</v>
      </c>
      <c r="AD102" s="41">
        <v>0</v>
      </c>
      <c r="AE102" s="66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">
      <c r="A103" s="40" t="s">
        <v>47</v>
      </c>
      <c r="B103" s="40" t="s">
        <v>12</v>
      </c>
      <c r="D103" s="40">
        <v>13</v>
      </c>
      <c r="E103" s="40">
        <v>26</v>
      </c>
      <c r="F103" s="40">
        <v>22</v>
      </c>
      <c r="H103" s="42">
        <v>733.08</v>
      </c>
      <c r="I103" s="64">
        <v>8</v>
      </c>
      <c r="J103" s="42">
        <v>89.98</v>
      </c>
      <c r="K103" s="64">
        <v>1</v>
      </c>
      <c r="L103" s="42">
        <v>103.14</v>
      </c>
      <c r="M103" s="64">
        <v>4</v>
      </c>
      <c r="N103" s="42">
        <v>926.2</v>
      </c>
      <c r="O103" s="64">
        <v>13</v>
      </c>
      <c r="P103" s="42">
        <v>0</v>
      </c>
      <c r="Q103" s="64">
        <v>0</v>
      </c>
      <c r="R103" s="42">
        <v>0</v>
      </c>
      <c r="S103" s="64">
        <v>0</v>
      </c>
      <c r="T103" s="42">
        <v>0</v>
      </c>
      <c r="U103" s="64">
        <v>0</v>
      </c>
      <c r="V103" s="42">
        <v>0</v>
      </c>
      <c r="W103" s="64">
        <v>0</v>
      </c>
      <c r="X103" s="42">
        <v>4808.37</v>
      </c>
      <c r="Y103" s="64">
        <v>13</v>
      </c>
      <c r="Z103" s="42">
        <v>365.62</v>
      </c>
      <c r="AA103" s="64">
        <v>5</v>
      </c>
      <c r="AB103" s="42">
        <v>189.46</v>
      </c>
      <c r="AC103" s="64">
        <v>4</v>
      </c>
      <c r="AD103" s="42">
        <v>5363.45</v>
      </c>
      <c r="AE103" s="67">
        <v>22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">
      <c r="A104" s="39" t="s">
        <v>47</v>
      </c>
      <c r="B104" s="39" t="s">
        <v>13</v>
      </c>
      <c r="D104" s="39">
        <v>0</v>
      </c>
      <c r="E104" s="39">
        <v>1</v>
      </c>
      <c r="F104" s="39">
        <v>0</v>
      </c>
      <c r="H104" s="41">
        <v>0</v>
      </c>
      <c r="I104" s="63">
        <v>0</v>
      </c>
      <c r="J104" s="41">
        <v>0</v>
      </c>
      <c r="K104" s="63">
        <v>0</v>
      </c>
      <c r="L104" s="41">
        <v>0</v>
      </c>
      <c r="M104" s="63">
        <v>0</v>
      </c>
      <c r="N104" s="41">
        <v>0</v>
      </c>
      <c r="O104" s="63">
        <v>0</v>
      </c>
      <c r="P104" s="41">
        <v>0</v>
      </c>
      <c r="Q104" s="63">
        <v>0</v>
      </c>
      <c r="R104" s="41">
        <v>0</v>
      </c>
      <c r="S104" s="63">
        <v>0</v>
      </c>
      <c r="T104" s="41">
        <v>0</v>
      </c>
      <c r="U104" s="63">
        <v>0</v>
      </c>
      <c r="V104" s="41">
        <v>0</v>
      </c>
      <c r="W104" s="63">
        <v>0</v>
      </c>
      <c r="X104" s="41">
        <v>0</v>
      </c>
      <c r="Y104" s="63">
        <v>0</v>
      </c>
      <c r="Z104" s="41">
        <v>0</v>
      </c>
      <c r="AA104" s="63">
        <v>0</v>
      </c>
      <c r="AB104" s="41">
        <v>0</v>
      </c>
      <c r="AC104" s="63">
        <v>0</v>
      </c>
      <c r="AD104" s="41">
        <v>0</v>
      </c>
      <c r="AE104" s="66">
        <v>0</v>
      </c>
      <c r="AG104" s="41">
        <v>0</v>
      </c>
      <c r="AH104" s="41">
        <v>0</v>
      </c>
      <c r="AI104" s="41">
        <v>0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0</v>
      </c>
      <c r="AR104" s="41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">
      <c r="A105" s="40" t="s">
        <v>47</v>
      </c>
      <c r="B105" s="40" t="s">
        <v>14</v>
      </c>
      <c r="D105" s="40">
        <v>409</v>
      </c>
      <c r="E105" s="40">
        <v>534</v>
      </c>
      <c r="F105" s="40">
        <v>647</v>
      </c>
      <c r="H105" s="42">
        <v>43654.79</v>
      </c>
      <c r="I105" s="64">
        <v>225</v>
      </c>
      <c r="J105" s="42">
        <v>9549.09</v>
      </c>
      <c r="K105" s="64">
        <v>74</v>
      </c>
      <c r="L105" s="42">
        <v>6085.34</v>
      </c>
      <c r="M105" s="64">
        <v>110</v>
      </c>
      <c r="N105" s="42">
        <v>59289.22</v>
      </c>
      <c r="O105" s="64">
        <v>409</v>
      </c>
      <c r="P105" s="42">
        <v>0</v>
      </c>
      <c r="Q105" s="64">
        <v>0</v>
      </c>
      <c r="R105" s="42">
        <v>0</v>
      </c>
      <c r="S105" s="64">
        <v>0</v>
      </c>
      <c r="T105" s="42">
        <v>0</v>
      </c>
      <c r="U105" s="64">
        <v>0</v>
      </c>
      <c r="V105" s="42">
        <v>0</v>
      </c>
      <c r="W105" s="64">
        <v>0</v>
      </c>
      <c r="X105" s="42">
        <v>76742.53</v>
      </c>
      <c r="Y105" s="64">
        <v>383</v>
      </c>
      <c r="Z105" s="42">
        <v>15248.79</v>
      </c>
      <c r="AA105" s="64">
        <v>195</v>
      </c>
      <c r="AB105" s="42">
        <v>5998.48</v>
      </c>
      <c r="AC105" s="64">
        <v>69</v>
      </c>
      <c r="AD105" s="42">
        <v>97989.8</v>
      </c>
      <c r="AE105" s="67">
        <v>647</v>
      </c>
      <c r="AG105" s="42">
        <v>282.33</v>
      </c>
      <c r="AH105" s="42">
        <v>105.71</v>
      </c>
      <c r="AI105" s="42">
        <v>260.44</v>
      </c>
      <c r="AJ105" s="42">
        <v>648.48</v>
      </c>
      <c r="AK105" s="42">
        <v>360.01</v>
      </c>
      <c r="AL105" s="42">
        <v>106.8</v>
      </c>
      <c r="AM105" s="42">
        <v>176.54</v>
      </c>
      <c r="AN105" s="42">
        <v>643.35</v>
      </c>
      <c r="AO105" s="42">
        <v>308.88</v>
      </c>
      <c r="AP105" s="42">
        <v>153.75</v>
      </c>
      <c r="AQ105" s="42">
        <v>201.94</v>
      </c>
      <c r="AR105" s="42">
        <v>664.57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">
      <c r="A106" s="39" t="s">
        <v>48</v>
      </c>
      <c r="B106" s="39" t="s">
        <v>12</v>
      </c>
      <c r="D106" s="39">
        <v>5</v>
      </c>
      <c r="E106" s="39">
        <v>17</v>
      </c>
      <c r="F106" s="39">
        <v>13</v>
      </c>
      <c r="H106" s="41">
        <v>1174.0899999999999</v>
      </c>
      <c r="I106" s="63">
        <v>4</v>
      </c>
      <c r="J106" s="41">
        <v>170.08</v>
      </c>
      <c r="K106" s="63">
        <v>0</v>
      </c>
      <c r="L106" s="41">
        <v>194.35</v>
      </c>
      <c r="M106" s="63">
        <v>1</v>
      </c>
      <c r="N106" s="41">
        <v>1538.52</v>
      </c>
      <c r="O106" s="63">
        <v>5</v>
      </c>
      <c r="P106" s="41">
        <v>0</v>
      </c>
      <c r="Q106" s="63">
        <v>0</v>
      </c>
      <c r="R106" s="41">
        <v>0</v>
      </c>
      <c r="S106" s="63">
        <v>0</v>
      </c>
      <c r="T106" s="41">
        <v>0</v>
      </c>
      <c r="U106" s="63">
        <v>0</v>
      </c>
      <c r="V106" s="41">
        <v>0</v>
      </c>
      <c r="W106" s="63">
        <v>0</v>
      </c>
      <c r="X106" s="41">
        <v>12412.85</v>
      </c>
      <c r="Y106" s="63">
        <v>10</v>
      </c>
      <c r="Z106" s="41">
        <v>494.83</v>
      </c>
      <c r="AA106" s="63">
        <v>1</v>
      </c>
      <c r="AB106" s="41">
        <v>637.79999999999995</v>
      </c>
      <c r="AC106" s="63">
        <v>2</v>
      </c>
      <c r="AD106" s="41">
        <v>13545.48</v>
      </c>
      <c r="AE106" s="66">
        <v>13</v>
      </c>
      <c r="AG106" s="41">
        <v>0</v>
      </c>
      <c r="AH106" s="41">
        <v>0</v>
      </c>
      <c r="AI106" s="41">
        <v>0</v>
      </c>
      <c r="AJ106" s="41">
        <v>0</v>
      </c>
      <c r="AK106" s="41">
        <v>0</v>
      </c>
      <c r="AL106" s="41">
        <v>0</v>
      </c>
      <c r="AM106" s="41">
        <v>0</v>
      </c>
      <c r="AN106" s="41">
        <v>0</v>
      </c>
      <c r="AO106" s="41">
        <v>0</v>
      </c>
      <c r="AP106" s="41">
        <v>0</v>
      </c>
      <c r="AQ106" s="41">
        <v>0</v>
      </c>
      <c r="AR106" s="41">
        <v>0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">
      <c r="A107" s="40" t="s">
        <v>48</v>
      </c>
      <c r="B107" s="40" t="s">
        <v>13</v>
      </c>
      <c r="D107" s="40">
        <v>0</v>
      </c>
      <c r="E107" s="40">
        <v>0</v>
      </c>
      <c r="F107" s="40">
        <v>0</v>
      </c>
      <c r="H107" s="42">
        <v>0</v>
      </c>
      <c r="I107" s="64">
        <v>0</v>
      </c>
      <c r="J107" s="42">
        <v>0</v>
      </c>
      <c r="K107" s="64">
        <v>0</v>
      </c>
      <c r="L107" s="42">
        <v>0</v>
      </c>
      <c r="M107" s="64">
        <v>0</v>
      </c>
      <c r="N107" s="42">
        <v>0</v>
      </c>
      <c r="O107" s="64">
        <v>0</v>
      </c>
      <c r="P107" s="42">
        <v>0</v>
      </c>
      <c r="Q107" s="64">
        <v>0</v>
      </c>
      <c r="R107" s="42">
        <v>0</v>
      </c>
      <c r="S107" s="64">
        <v>0</v>
      </c>
      <c r="T107" s="42">
        <v>0</v>
      </c>
      <c r="U107" s="64">
        <v>0</v>
      </c>
      <c r="V107" s="42">
        <v>0</v>
      </c>
      <c r="W107" s="64">
        <v>0</v>
      </c>
      <c r="X107" s="42">
        <v>0</v>
      </c>
      <c r="Y107" s="64">
        <v>0</v>
      </c>
      <c r="Z107" s="42">
        <v>0</v>
      </c>
      <c r="AA107" s="64">
        <v>0</v>
      </c>
      <c r="AB107" s="42">
        <v>0</v>
      </c>
      <c r="AC107" s="64">
        <v>0</v>
      </c>
      <c r="AD107" s="42">
        <v>0</v>
      </c>
      <c r="AE107" s="67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">
      <c r="A108" s="39" t="s">
        <v>48</v>
      </c>
      <c r="B108" s="39" t="s">
        <v>14</v>
      </c>
      <c r="D108" s="39">
        <v>88</v>
      </c>
      <c r="E108" s="39">
        <v>120</v>
      </c>
      <c r="F108" s="39">
        <v>119</v>
      </c>
      <c r="H108" s="41">
        <v>8195.49</v>
      </c>
      <c r="I108" s="63">
        <v>57</v>
      </c>
      <c r="J108" s="41">
        <v>1457.99</v>
      </c>
      <c r="K108" s="63">
        <v>15</v>
      </c>
      <c r="L108" s="41">
        <v>949.3</v>
      </c>
      <c r="M108" s="63">
        <v>16</v>
      </c>
      <c r="N108" s="41">
        <v>10602.78</v>
      </c>
      <c r="O108" s="63">
        <v>88</v>
      </c>
      <c r="P108" s="41">
        <v>0</v>
      </c>
      <c r="Q108" s="63">
        <v>0</v>
      </c>
      <c r="R108" s="41">
        <v>0</v>
      </c>
      <c r="S108" s="63">
        <v>0</v>
      </c>
      <c r="T108" s="41">
        <v>0</v>
      </c>
      <c r="U108" s="63">
        <v>0</v>
      </c>
      <c r="V108" s="41">
        <v>0</v>
      </c>
      <c r="W108" s="63">
        <v>0</v>
      </c>
      <c r="X108" s="41">
        <v>11679.85</v>
      </c>
      <c r="Y108" s="63">
        <v>63</v>
      </c>
      <c r="Z108" s="41">
        <v>4698.88</v>
      </c>
      <c r="AA108" s="63">
        <v>38</v>
      </c>
      <c r="AB108" s="41">
        <v>1968.36</v>
      </c>
      <c r="AC108" s="63">
        <v>18</v>
      </c>
      <c r="AD108" s="41">
        <v>18347.09</v>
      </c>
      <c r="AE108" s="66">
        <v>119</v>
      </c>
      <c r="AG108" s="41">
        <v>426.14</v>
      </c>
      <c r="AH108" s="41">
        <v>181.48</v>
      </c>
      <c r="AI108" s="41">
        <v>59.29</v>
      </c>
      <c r="AJ108" s="41">
        <v>666.91</v>
      </c>
      <c r="AK108" s="41">
        <v>500.97</v>
      </c>
      <c r="AL108" s="41">
        <v>109.04</v>
      </c>
      <c r="AM108" s="41">
        <v>75.900000000000006</v>
      </c>
      <c r="AN108" s="41">
        <v>685.91</v>
      </c>
      <c r="AO108" s="41">
        <v>126.53</v>
      </c>
      <c r="AP108" s="41">
        <v>468.97</v>
      </c>
      <c r="AQ108" s="41">
        <v>140.27000000000001</v>
      </c>
      <c r="AR108" s="41">
        <v>735.77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">
      <c r="A109" s="40" t="s">
        <v>49</v>
      </c>
      <c r="B109" s="40" t="s">
        <v>12</v>
      </c>
      <c r="D109" s="40">
        <v>0</v>
      </c>
      <c r="E109" s="40">
        <v>0</v>
      </c>
      <c r="F109" s="40">
        <v>0</v>
      </c>
      <c r="H109" s="42">
        <v>0</v>
      </c>
      <c r="I109" s="64">
        <v>0</v>
      </c>
      <c r="J109" s="42">
        <v>0</v>
      </c>
      <c r="K109" s="64">
        <v>0</v>
      </c>
      <c r="L109" s="42">
        <v>0</v>
      </c>
      <c r="M109" s="64">
        <v>0</v>
      </c>
      <c r="N109" s="42">
        <v>0</v>
      </c>
      <c r="O109" s="64">
        <v>0</v>
      </c>
      <c r="P109" s="42">
        <v>0</v>
      </c>
      <c r="Q109" s="64">
        <v>0</v>
      </c>
      <c r="R109" s="42">
        <v>0</v>
      </c>
      <c r="S109" s="64">
        <v>0</v>
      </c>
      <c r="T109" s="42">
        <v>0</v>
      </c>
      <c r="U109" s="64">
        <v>0</v>
      </c>
      <c r="V109" s="42">
        <v>0</v>
      </c>
      <c r="W109" s="64">
        <v>0</v>
      </c>
      <c r="X109" s="42">
        <v>0</v>
      </c>
      <c r="Y109" s="64">
        <v>0</v>
      </c>
      <c r="Z109" s="42">
        <v>0</v>
      </c>
      <c r="AA109" s="64">
        <v>0</v>
      </c>
      <c r="AB109" s="42">
        <v>0</v>
      </c>
      <c r="AC109" s="64">
        <v>0</v>
      </c>
      <c r="AD109" s="42">
        <v>0</v>
      </c>
      <c r="AE109" s="67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">
      <c r="A110" s="39" t="s">
        <v>49</v>
      </c>
      <c r="B110" s="39" t="s">
        <v>13</v>
      </c>
      <c r="D110" s="39">
        <v>0</v>
      </c>
      <c r="E110" s="39">
        <v>0</v>
      </c>
      <c r="F110" s="39">
        <v>0</v>
      </c>
      <c r="H110" s="41">
        <v>0</v>
      </c>
      <c r="I110" s="63">
        <v>0</v>
      </c>
      <c r="J110" s="41">
        <v>0</v>
      </c>
      <c r="K110" s="63">
        <v>0</v>
      </c>
      <c r="L110" s="41">
        <v>0</v>
      </c>
      <c r="M110" s="63">
        <v>0</v>
      </c>
      <c r="N110" s="41">
        <v>0</v>
      </c>
      <c r="O110" s="63">
        <v>0</v>
      </c>
      <c r="P110" s="41">
        <v>0</v>
      </c>
      <c r="Q110" s="63">
        <v>0</v>
      </c>
      <c r="R110" s="41">
        <v>0</v>
      </c>
      <c r="S110" s="63">
        <v>0</v>
      </c>
      <c r="T110" s="41">
        <v>0</v>
      </c>
      <c r="U110" s="63">
        <v>0</v>
      </c>
      <c r="V110" s="41">
        <v>0</v>
      </c>
      <c r="W110" s="63">
        <v>0</v>
      </c>
      <c r="X110" s="41">
        <v>0</v>
      </c>
      <c r="Y110" s="63">
        <v>0</v>
      </c>
      <c r="Z110" s="41">
        <v>0</v>
      </c>
      <c r="AA110" s="63">
        <v>0</v>
      </c>
      <c r="AB110" s="41">
        <v>0</v>
      </c>
      <c r="AC110" s="63">
        <v>0</v>
      </c>
      <c r="AD110" s="41">
        <v>0</v>
      </c>
      <c r="AE110" s="66">
        <v>0</v>
      </c>
      <c r="AG110" s="41">
        <v>0</v>
      </c>
      <c r="AH110" s="41">
        <v>0</v>
      </c>
      <c r="AI110" s="41">
        <v>0</v>
      </c>
      <c r="AJ110" s="41">
        <v>0</v>
      </c>
      <c r="AK110" s="41">
        <v>0</v>
      </c>
      <c r="AL110" s="41">
        <v>0</v>
      </c>
      <c r="AM110" s="41">
        <v>0</v>
      </c>
      <c r="AN110" s="41">
        <v>0</v>
      </c>
      <c r="AO110" s="41">
        <v>0</v>
      </c>
      <c r="AP110" s="41">
        <v>0</v>
      </c>
      <c r="AQ110" s="41">
        <v>0</v>
      </c>
      <c r="AR110" s="41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">
      <c r="A111" s="40" t="s">
        <v>49</v>
      </c>
      <c r="B111" s="40" t="s">
        <v>14</v>
      </c>
      <c r="D111" s="40">
        <v>0</v>
      </c>
      <c r="E111" s="40">
        <v>0</v>
      </c>
      <c r="F111" s="40">
        <v>0</v>
      </c>
      <c r="H111" s="42">
        <v>0</v>
      </c>
      <c r="I111" s="64">
        <v>0</v>
      </c>
      <c r="J111" s="42">
        <v>0</v>
      </c>
      <c r="K111" s="64">
        <v>0</v>
      </c>
      <c r="L111" s="42">
        <v>0</v>
      </c>
      <c r="M111" s="64">
        <v>0</v>
      </c>
      <c r="N111" s="42">
        <v>0</v>
      </c>
      <c r="O111" s="64">
        <v>0</v>
      </c>
      <c r="P111" s="42">
        <v>0</v>
      </c>
      <c r="Q111" s="64">
        <v>0</v>
      </c>
      <c r="R111" s="42">
        <v>0</v>
      </c>
      <c r="S111" s="64">
        <v>0</v>
      </c>
      <c r="T111" s="42">
        <v>0</v>
      </c>
      <c r="U111" s="64">
        <v>0</v>
      </c>
      <c r="V111" s="42">
        <v>0</v>
      </c>
      <c r="W111" s="64">
        <v>0</v>
      </c>
      <c r="X111" s="42">
        <v>0</v>
      </c>
      <c r="Y111" s="64">
        <v>0</v>
      </c>
      <c r="Z111" s="42">
        <v>0</v>
      </c>
      <c r="AA111" s="64">
        <v>0</v>
      </c>
      <c r="AB111" s="42">
        <v>0</v>
      </c>
      <c r="AC111" s="64">
        <v>0</v>
      </c>
      <c r="AD111" s="42">
        <v>0</v>
      </c>
      <c r="AE111" s="67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">
      <c r="A112" s="39" t="s">
        <v>50</v>
      </c>
      <c r="B112" s="39" t="s">
        <v>12</v>
      </c>
      <c r="D112" s="39">
        <v>0</v>
      </c>
      <c r="E112" s="39">
        <v>0</v>
      </c>
      <c r="F112" s="39">
        <v>0</v>
      </c>
      <c r="H112" s="41">
        <v>0</v>
      </c>
      <c r="I112" s="63">
        <v>0</v>
      </c>
      <c r="J112" s="41">
        <v>0</v>
      </c>
      <c r="K112" s="63">
        <v>0</v>
      </c>
      <c r="L112" s="41">
        <v>0</v>
      </c>
      <c r="M112" s="63">
        <v>0</v>
      </c>
      <c r="N112" s="41">
        <v>0</v>
      </c>
      <c r="O112" s="63">
        <v>0</v>
      </c>
      <c r="P112" s="41">
        <v>0</v>
      </c>
      <c r="Q112" s="63">
        <v>0</v>
      </c>
      <c r="R112" s="41">
        <v>0</v>
      </c>
      <c r="S112" s="63">
        <v>0</v>
      </c>
      <c r="T112" s="41">
        <v>0</v>
      </c>
      <c r="U112" s="63">
        <v>0</v>
      </c>
      <c r="V112" s="41">
        <v>0</v>
      </c>
      <c r="W112" s="63">
        <v>0</v>
      </c>
      <c r="X112" s="41">
        <v>0</v>
      </c>
      <c r="Y112" s="63">
        <v>0</v>
      </c>
      <c r="Z112" s="41">
        <v>0</v>
      </c>
      <c r="AA112" s="63">
        <v>0</v>
      </c>
      <c r="AB112" s="41">
        <v>0</v>
      </c>
      <c r="AC112" s="63">
        <v>0</v>
      </c>
      <c r="AD112" s="41">
        <v>0</v>
      </c>
      <c r="AE112" s="66">
        <v>0</v>
      </c>
      <c r="AG112" s="41">
        <v>0</v>
      </c>
      <c r="AH112" s="41">
        <v>0</v>
      </c>
      <c r="AI112" s="41">
        <v>0</v>
      </c>
      <c r="AJ112" s="41">
        <v>0</v>
      </c>
      <c r="AK112" s="41">
        <v>0</v>
      </c>
      <c r="AL112" s="41">
        <v>0</v>
      </c>
      <c r="AM112" s="41">
        <v>0</v>
      </c>
      <c r="AN112" s="41">
        <v>0</v>
      </c>
      <c r="AO112" s="41">
        <v>0</v>
      </c>
      <c r="AP112" s="41">
        <v>0</v>
      </c>
      <c r="AQ112" s="41">
        <v>0</v>
      </c>
      <c r="AR112" s="41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">
      <c r="A113" s="40" t="s">
        <v>50</v>
      </c>
      <c r="B113" s="40" t="s">
        <v>13</v>
      </c>
      <c r="D113" s="40">
        <v>0</v>
      </c>
      <c r="E113" s="40">
        <v>0</v>
      </c>
      <c r="F113" s="40">
        <v>0</v>
      </c>
      <c r="H113" s="42">
        <v>0</v>
      </c>
      <c r="I113" s="64">
        <v>0</v>
      </c>
      <c r="J113" s="42">
        <v>0</v>
      </c>
      <c r="K113" s="64">
        <v>0</v>
      </c>
      <c r="L113" s="42">
        <v>0</v>
      </c>
      <c r="M113" s="64">
        <v>0</v>
      </c>
      <c r="N113" s="42">
        <v>0</v>
      </c>
      <c r="O113" s="64">
        <v>0</v>
      </c>
      <c r="P113" s="42">
        <v>0</v>
      </c>
      <c r="Q113" s="64">
        <v>0</v>
      </c>
      <c r="R113" s="42">
        <v>0</v>
      </c>
      <c r="S113" s="64">
        <v>0</v>
      </c>
      <c r="T113" s="42">
        <v>0</v>
      </c>
      <c r="U113" s="64">
        <v>0</v>
      </c>
      <c r="V113" s="42">
        <v>0</v>
      </c>
      <c r="W113" s="64">
        <v>0</v>
      </c>
      <c r="X113" s="42">
        <v>0</v>
      </c>
      <c r="Y113" s="64">
        <v>0</v>
      </c>
      <c r="Z113" s="42">
        <v>0</v>
      </c>
      <c r="AA113" s="64">
        <v>0</v>
      </c>
      <c r="AB113" s="42">
        <v>0</v>
      </c>
      <c r="AC113" s="64">
        <v>0</v>
      </c>
      <c r="AD113" s="42">
        <v>0</v>
      </c>
      <c r="AE113" s="67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">
      <c r="A114" s="39" t="s">
        <v>50</v>
      </c>
      <c r="B114" s="39" t="s">
        <v>14</v>
      </c>
      <c r="D114" s="39">
        <v>0</v>
      </c>
      <c r="E114" s="39">
        <v>0</v>
      </c>
      <c r="F114" s="39">
        <v>0</v>
      </c>
      <c r="H114" s="41">
        <v>0</v>
      </c>
      <c r="I114" s="63">
        <v>0</v>
      </c>
      <c r="J114" s="41">
        <v>0</v>
      </c>
      <c r="K114" s="63">
        <v>0</v>
      </c>
      <c r="L114" s="41">
        <v>0</v>
      </c>
      <c r="M114" s="63">
        <v>0</v>
      </c>
      <c r="N114" s="41">
        <v>0</v>
      </c>
      <c r="O114" s="63">
        <v>0</v>
      </c>
      <c r="P114" s="41">
        <v>0</v>
      </c>
      <c r="Q114" s="63">
        <v>0</v>
      </c>
      <c r="R114" s="41">
        <v>0</v>
      </c>
      <c r="S114" s="63">
        <v>0</v>
      </c>
      <c r="T114" s="41">
        <v>0</v>
      </c>
      <c r="U114" s="63">
        <v>0</v>
      </c>
      <c r="V114" s="41">
        <v>0</v>
      </c>
      <c r="W114" s="63">
        <v>0</v>
      </c>
      <c r="X114" s="41">
        <v>0</v>
      </c>
      <c r="Y114" s="63">
        <v>0</v>
      </c>
      <c r="Z114" s="41">
        <v>0</v>
      </c>
      <c r="AA114" s="63">
        <v>0</v>
      </c>
      <c r="AB114" s="41">
        <v>0</v>
      </c>
      <c r="AC114" s="63">
        <v>0</v>
      </c>
      <c r="AD114" s="41">
        <v>0</v>
      </c>
      <c r="AE114" s="66">
        <v>0</v>
      </c>
      <c r="AG114" s="41">
        <v>0</v>
      </c>
      <c r="AH114" s="41">
        <v>0</v>
      </c>
      <c r="AI114" s="41">
        <v>0</v>
      </c>
      <c r="AJ114" s="41">
        <v>0</v>
      </c>
      <c r="AK114" s="41">
        <v>0</v>
      </c>
      <c r="AL114" s="41">
        <v>0</v>
      </c>
      <c r="AM114" s="41">
        <v>0</v>
      </c>
      <c r="AN114" s="41">
        <v>0</v>
      </c>
      <c r="AO114" s="41">
        <v>0</v>
      </c>
      <c r="AP114" s="41">
        <v>0</v>
      </c>
      <c r="AQ114" s="41">
        <v>0</v>
      </c>
      <c r="AR114" s="41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">
      <c r="A115" s="40" t="s">
        <v>51</v>
      </c>
      <c r="B115" s="40" t="s">
        <v>12</v>
      </c>
      <c r="D115" s="40">
        <v>94</v>
      </c>
      <c r="E115" s="40">
        <v>105</v>
      </c>
      <c r="F115" s="40">
        <v>90</v>
      </c>
      <c r="H115" s="42">
        <v>21632.55</v>
      </c>
      <c r="I115" s="64">
        <v>43</v>
      </c>
      <c r="J115" s="42">
        <v>4042.72</v>
      </c>
      <c r="K115" s="64">
        <v>27</v>
      </c>
      <c r="L115" s="42">
        <v>1758.78</v>
      </c>
      <c r="M115" s="64">
        <v>24</v>
      </c>
      <c r="N115" s="42">
        <v>27434.05</v>
      </c>
      <c r="O115" s="64">
        <v>94</v>
      </c>
      <c r="P115" s="42">
        <v>0</v>
      </c>
      <c r="Q115" s="64">
        <v>0</v>
      </c>
      <c r="R115" s="42">
        <v>0</v>
      </c>
      <c r="S115" s="64">
        <v>0</v>
      </c>
      <c r="T115" s="42">
        <v>0</v>
      </c>
      <c r="U115" s="64">
        <v>0</v>
      </c>
      <c r="V115" s="42">
        <v>0</v>
      </c>
      <c r="W115" s="64">
        <v>0</v>
      </c>
      <c r="X115" s="42">
        <v>18302.669999999998</v>
      </c>
      <c r="Y115" s="64">
        <v>34</v>
      </c>
      <c r="Z115" s="42">
        <v>9536.7800000000007</v>
      </c>
      <c r="AA115" s="64">
        <v>27</v>
      </c>
      <c r="AB115" s="42">
        <v>8030.24</v>
      </c>
      <c r="AC115" s="64">
        <v>29</v>
      </c>
      <c r="AD115" s="42">
        <v>35869.69</v>
      </c>
      <c r="AE115" s="67">
        <v>90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">
      <c r="A116" s="39" t="s">
        <v>51</v>
      </c>
      <c r="B116" s="39" t="s">
        <v>13</v>
      </c>
      <c r="D116" s="39">
        <v>0</v>
      </c>
      <c r="E116" s="39">
        <v>2</v>
      </c>
      <c r="F116" s="39">
        <v>1</v>
      </c>
      <c r="H116" s="41">
        <v>0</v>
      </c>
      <c r="I116" s="63">
        <v>0</v>
      </c>
      <c r="J116" s="41">
        <v>0</v>
      </c>
      <c r="K116" s="63">
        <v>0</v>
      </c>
      <c r="L116" s="41">
        <v>0</v>
      </c>
      <c r="M116" s="63">
        <v>0</v>
      </c>
      <c r="N116" s="41">
        <v>0</v>
      </c>
      <c r="O116" s="63">
        <v>0</v>
      </c>
      <c r="P116" s="41">
        <v>0</v>
      </c>
      <c r="Q116" s="63">
        <v>0</v>
      </c>
      <c r="R116" s="41">
        <v>0</v>
      </c>
      <c r="S116" s="63">
        <v>0</v>
      </c>
      <c r="T116" s="41">
        <v>0</v>
      </c>
      <c r="U116" s="63">
        <v>0</v>
      </c>
      <c r="V116" s="41">
        <v>0</v>
      </c>
      <c r="W116" s="63">
        <v>0</v>
      </c>
      <c r="X116" s="41">
        <v>7899.43</v>
      </c>
      <c r="Y116" s="63">
        <v>1</v>
      </c>
      <c r="Z116" s="41">
        <v>0</v>
      </c>
      <c r="AA116" s="63">
        <v>0</v>
      </c>
      <c r="AB116" s="41">
        <v>0</v>
      </c>
      <c r="AC116" s="63">
        <v>0</v>
      </c>
      <c r="AD116" s="41">
        <v>7899.43</v>
      </c>
      <c r="AE116" s="66">
        <v>1</v>
      </c>
      <c r="AG116" s="41">
        <v>0</v>
      </c>
      <c r="AH116" s="41">
        <v>0</v>
      </c>
      <c r="AI116" s="41">
        <v>0</v>
      </c>
      <c r="AJ116" s="41">
        <v>0</v>
      </c>
      <c r="AK116" s="41">
        <v>0</v>
      </c>
      <c r="AL116" s="41">
        <v>0</v>
      </c>
      <c r="AM116" s="41">
        <v>0</v>
      </c>
      <c r="AN116" s="41">
        <v>0</v>
      </c>
      <c r="AO116" s="41">
        <v>0</v>
      </c>
      <c r="AP116" s="41">
        <v>0</v>
      </c>
      <c r="AQ116" s="41">
        <v>0</v>
      </c>
      <c r="AR116" s="41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">
      <c r="A117" s="40" t="s">
        <v>51</v>
      </c>
      <c r="B117" s="40" t="s">
        <v>14</v>
      </c>
      <c r="D117" s="40">
        <v>1781</v>
      </c>
      <c r="E117" s="40">
        <v>2213</v>
      </c>
      <c r="F117" s="40">
        <v>2349</v>
      </c>
      <c r="H117" s="42">
        <v>177977.52</v>
      </c>
      <c r="I117" s="64">
        <v>1008</v>
      </c>
      <c r="J117" s="42">
        <v>45935.82</v>
      </c>
      <c r="K117" s="64">
        <v>368</v>
      </c>
      <c r="L117" s="42">
        <v>30784.92</v>
      </c>
      <c r="M117" s="64">
        <v>405</v>
      </c>
      <c r="N117" s="42">
        <v>254698.26</v>
      </c>
      <c r="O117" s="64">
        <v>1781</v>
      </c>
      <c r="P117" s="42">
        <v>0</v>
      </c>
      <c r="Q117" s="64">
        <v>0</v>
      </c>
      <c r="R117" s="42">
        <v>0</v>
      </c>
      <c r="S117" s="64">
        <v>0</v>
      </c>
      <c r="T117" s="42">
        <v>0</v>
      </c>
      <c r="U117" s="64">
        <v>0</v>
      </c>
      <c r="V117" s="42">
        <v>0</v>
      </c>
      <c r="W117" s="64">
        <v>0</v>
      </c>
      <c r="X117" s="42">
        <v>248934.57</v>
      </c>
      <c r="Y117" s="64">
        <v>1268</v>
      </c>
      <c r="Z117" s="42">
        <v>79927.240000000005</v>
      </c>
      <c r="AA117" s="64">
        <v>707</v>
      </c>
      <c r="AB117" s="42">
        <v>50521.87</v>
      </c>
      <c r="AC117" s="64">
        <v>374</v>
      </c>
      <c r="AD117" s="42">
        <v>379383.68</v>
      </c>
      <c r="AE117" s="67">
        <v>2349</v>
      </c>
      <c r="AG117" s="42">
        <v>2088.14</v>
      </c>
      <c r="AH117" s="42">
        <v>1023.86</v>
      </c>
      <c r="AI117" s="42">
        <v>1554.68</v>
      </c>
      <c r="AJ117" s="42">
        <v>4666.68</v>
      </c>
      <c r="AK117" s="42">
        <v>1355.1</v>
      </c>
      <c r="AL117" s="42">
        <v>1058.45</v>
      </c>
      <c r="AM117" s="42">
        <v>1321.32</v>
      </c>
      <c r="AN117" s="42">
        <v>3734.87</v>
      </c>
      <c r="AO117" s="42">
        <v>808.18</v>
      </c>
      <c r="AP117" s="42">
        <v>499.46</v>
      </c>
      <c r="AQ117" s="42">
        <v>795.3</v>
      </c>
      <c r="AR117" s="42">
        <v>2102.94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">
      <c r="A118" s="39" t="s">
        <v>52</v>
      </c>
      <c r="B118" s="39" t="s">
        <v>12</v>
      </c>
      <c r="D118" s="39">
        <v>20</v>
      </c>
      <c r="E118" s="39">
        <v>29</v>
      </c>
      <c r="F118" s="39">
        <v>23</v>
      </c>
      <c r="H118" s="41">
        <v>6246.87</v>
      </c>
      <c r="I118" s="63">
        <v>13</v>
      </c>
      <c r="J118" s="41">
        <v>488.97</v>
      </c>
      <c r="K118" s="63">
        <v>2</v>
      </c>
      <c r="L118" s="41">
        <v>382.11</v>
      </c>
      <c r="M118" s="63">
        <v>5</v>
      </c>
      <c r="N118" s="41">
        <v>7117.95</v>
      </c>
      <c r="O118" s="63">
        <v>20</v>
      </c>
      <c r="P118" s="41">
        <v>0</v>
      </c>
      <c r="Q118" s="63">
        <v>0</v>
      </c>
      <c r="R118" s="41">
        <v>0</v>
      </c>
      <c r="S118" s="63">
        <v>0</v>
      </c>
      <c r="T118" s="41">
        <v>0</v>
      </c>
      <c r="U118" s="63">
        <v>0</v>
      </c>
      <c r="V118" s="41">
        <v>0</v>
      </c>
      <c r="W118" s="63">
        <v>0</v>
      </c>
      <c r="X118" s="41">
        <v>8010.49</v>
      </c>
      <c r="Y118" s="63">
        <v>13</v>
      </c>
      <c r="Z118" s="41">
        <v>1068.56</v>
      </c>
      <c r="AA118" s="63">
        <v>8</v>
      </c>
      <c r="AB118" s="41">
        <v>347.31</v>
      </c>
      <c r="AC118" s="63">
        <v>2</v>
      </c>
      <c r="AD118" s="41">
        <v>9426.36</v>
      </c>
      <c r="AE118" s="66">
        <v>23</v>
      </c>
      <c r="AG118" s="41">
        <v>0</v>
      </c>
      <c r="AH118" s="41">
        <v>0</v>
      </c>
      <c r="AI118" s="41">
        <v>0</v>
      </c>
      <c r="AJ118" s="41">
        <v>0</v>
      </c>
      <c r="AK118" s="41">
        <v>0</v>
      </c>
      <c r="AL118" s="41">
        <v>0</v>
      </c>
      <c r="AM118" s="41">
        <v>0</v>
      </c>
      <c r="AN118" s="41">
        <v>0</v>
      </c>
      <c r="AO118" s="41">
        <v>0</v>
      </c>
      <c r="AP118" s="41">
        <v>0</v>
      </c>
      <c r="AQ118" s="41">
        <v>0</v>
      </c>
      <c r="AR118" s="41">
        <v>0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">
      <c r="A119" s="40" t="s">
        <v>52</v>
      </c>
      <c r="B119" s="40" t="s">
        <v>13</v>
      </c>
      <c r="D119" s="40">
        <v>0</v>
      </c>
      <c r="E119" s="40">
        <v>0</v>
      </c>
      <c r="F119" s="40">
        <v>0</v>
      </c>
      <c r="H119" s="42">
        <v>0</v>
      </c>
      <c r="I119" s="64">
        <v>0</v>
      </c>
      <c r="J119" s="42">
        <v>0</v>
      </c>
      <c r="K119" s="64">
        <v>0</v>
      </c>
      <c r="L119" s="42">
        <v>0</v>
      </c>
      <c r="M119" s="64">
        <v>0</v>
      </c>
      <c r="N119" s="42">
        <v>0</v>
      </c>
      <c r="O119" s="64">
        <v>0</v>
      </c>
      <c r="P119" s="42">
        <v>0</v>
      </c>
      <c r="Q119" s="64">
        <v>0</v>
      </c>
      <c r="R119" s="42">
        <v>0</v>
      </c>
      <c r="S119" s="64">
        <v>0</v>
      </c>
      <c r="T119" s="42">
        <v>0</v>
      </c>
      <c r="U119" s="64">
        <v>0</v>
      </c>
      <c r="V119" s="42">
        <v>0</v>
      </c>
      <c r="W119" s="64">
        <v>0</v>
      </c>
      <c r="X119" s="42">
        <v>0</v>
      </c>
      <c r="Y119" s="64">
        <v>0</v>
      </c>
      <c r="Z119" s="42">
        <v>0</v>
      </c>
      <c r="AA119" s="64">
        <v>0</v>
      </c>
      <c r="AB119" s="42">
        <v>0</v>
      </c>
      <c r="AC119" s="64">
        <v>0</v>
      </c>
      <c r="AD119" s="42">
        <v>0</v>
      </c>
      <c r="AE119" s="67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">
      <c r="A120" s="39" t="s">
        <v>52</v>
      </c>
      <c r="B120" s="39" t="s">
        <v>14</v>
      </c>
      <c r="D120" s="39">
        <v>583</v>
      </c>
      <c r="E120" s="39">
        <v>764</v>
      </c>
      <c r="F120" s="39">
        <v>967</v>
      </c>
      <c r="H120" s="41">
        <v>55696.34</v>
      </c>
      <c r="I120" s="63">
        <v>384</v>
      </c>
      <c r="J120" s="41">
        <v>8811.1299999999992</v>
      </c>
      <c r="K120" s="63">
        <v>81</v>
      </c>
      <c r="L120" s="41">
        <v>6665.67</v>
      </c>
      <c r="M120" s="63">
        <v>118</v>
      </c>
      <c r="N120" s="41">
        <v>71173.14</v>
      </c>
      <c r="O120" s="63">
        <v>583</v>
      </c>
      <c r="P120" s="41">
        <v>0</v>
      </c>
      <c r="Q120" s="63">
        <v>0</v>
      </c>
      <c r="R120" s="41">
        <v>0</v>
      </c>
      <c r="S120" s="63">
        <v>0</v>
      </c>
      <c r="T120" s="41">
        <v>0</v>
      </c>
      <c r="U120" s="63">
        <v>0</v>
      </c>
      <c r="V120" s="41">
        <v>0</v>
      </c>
      <c r="W120" s="63">
        <v>0</v>
      </c>
      <c r="X120" s="41">
        <v>123285.6</v>
      </c>
      <c r="Y120" s="63">
        <v>615</v>
      </c>
      <c r="Z120" s="41">
        <v>19813.259999999998</v>
      </c>
      <c r="AA120" s="63">
        <v>247</v>
      </c>
      <c r="AB120" s="41">
        <v>10719.5</v>
      </c>
      <c r="AC120" s="63">
        <v>105</v>
      </c>
      <c r="AD120" s="41">
        <v>153818.35999999999</v>
      </c>
      <c r="AE120" s="66">
        <v>967</v>
      </c>
      <c r="AG120" s="41">
        <v>466.14</v>
      </c>
      <c r="AH120" s="41">
        <v>117.28</v>
      </c>
      <c r="AI120" s="41">
        <v>117.59</v>
      </c>
      <c r="AJ120" s="41">
        <v>701.01</v>
      </c>
      <c r="AK120" s="41">
        <v>783.5</v>
      </c>
      <c r="AL120" s="41">
        <v>253.48</v>
      </c>
      <c r="AM120" s="41">
        <v>234.87</v>
      </c>
      <c r="AN120" s="41">
        <v>1271.8499999999999</v>
      </c>
      <c r="AO120" s="41">
        <v>931.15</v>
      </c>
      <c r="AP120" s="41">
        <v>186.14</v>
      </c>
      <c r="AQ120" s="41">
        <v>0</v>
      </c>
      <c r="AR120" s="41">
        <v>1117.29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">
      <c r="A121" s="40" t="s">
        <v>53</v>
      </c>
      <c r="B121" s="40" t="s">
        <v>12</v>
      </c>
      <c r="D121" s="40">
        <v>27</v>
      </c>
      <c r="E121" s="40">
        <v>35</v>
      </c>
      <c r="F121" s="40">
        <v>29</v>
      </c>
      <c r="H121" s="42">
        <v>4998.1899999999996</v>
      </c>
      <c r="I121" s="64">
        <v>12</v>
      </c>
      <c r="J121" s="42">
        <v>969.29</v>
      </c>
      <c r="K121" s="64">
        <v>9</v>
      </c>
      <c r="L121" s="42">
        <v>604</v>
      </c>
      <c r="M121" s="64">
        <v>6</v>
      </c>
      <c r="N121" s="42">
        <v>6571.48</v>
      </c>
      <c r="O121" s="64">
        <v>27</v>
      </c>
      <c r="P121" s="42">
        <v>173.17</v>
      </c>
      <c r="Q121" s="64">
        <v>3</v>
      </c>
      <c r="R121" s="42">
        <v>1710.41</v>
      </c>
      <c r="S121" s="64">
        <v>5</v>
      </c>
      <c r="T121" s="42">
        <v>5133.3</v>
      </c>
      <c r="U121" s="64">
        <v>11</v>
      </c>
      <c r="V121" s="42">
        <v>7016.88</v>
      </c>
      <c r="W121" s="64">
        <v>19</v>
      </c>
      <c r="X121" s="42">
        <v>9803.85</v>
      </c>
      <c r="Y121" s="64">
        <v>15</v>
      </c>
      <c r="Z121" s="42">
        <v>869.91</v>
      </c>
      <c r="AA121" s="64">
        <v>10</v>
      </c>
      <c r="AB121" s="42">
        <v>136.53</v>
      </c>
      <c r="AC121" s="64">
        <v>4</v>
      </c>
      <c r="AD121" s="42">
        <v>10810.29</v>
      </c>
      <c r="AE121" s="67">
        <v>29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">
      <c r="A122" s="39" t="s">
        <v>53</v>
      </c>
      <c r="B122" s="39" t="s">
        <v>13</v>
      </c>
      <c r="D122" s="39">
        <v>0</v>
      </c>
      <c r="E122" s="39">
        <v>0</v>
      </c>
      <c r="F122" s="39">
        <v>0</v>
      </c>
      <c r="H122" s="41">
        <v>0</v>
      </c>
      <c r="I122" s="63">
        <v>0</v>
      </c>
      <c r="J122" s="41">
        <v>0</v>
      </c>
      <c r="K122" s="63">
        <v>0</v>
      </c>
      <c r="L122" s="41">
        <v>0</v>
      </c>
      <c r="M122" s="63">
        <v>0</v>
      </c>
      <c r="N122" s="41">
        <v>0</v>
      </c>
      <c r="O122" s="63">
        <v>0</v>
      </c>
      <c r="P122" s="41">
        <v>0</v>
      </c>
      <c r="Q122" s="63">
        <v>0</v>
      </c>
      <c r="R122" s="41">
        <v>0</v>
      </c>
      <c r="S122" s="63">
        <v>0</v>
      </c>
      <c r="T122" s="41">
        <v>0</v>
      </c>
      <c r="U122" s="63">
        <v>0</v>
      </c>
      <c r="V122" s="41">
        <v>0</v>
      </c>
      <c r="W122" s="63">
        <v>0</v>
      </c>
      <c r="X122" s="41">
        <v>0</v>
      </c>
      <c r="Y122" s="63">
        <v>0</v>
      </c>
      <c r="Z122" s="41">
        <v>0</v>
      </c>
      <c r="AA122" s="63">
        <v>0</v>
      </c>
      <c r="AB122" s="41">
        <v>0</v>
      </c>
      <c r="AC122" s="63">
        <v>0</v>
      </c>
      <c r="AD122" s="41">
        <v>0</v>
      </c>
      <c r="AE122" s="66">
        <v>0</v>
      </c>
      <c r="AG122" s="41">
        <v>0</v>
      </c>
      <c r="AH122" s="41">
        <v>0</v>
      </c>
      <c r="AI122" s="41">
        <v>0</v>
      </c>
      <c r="AJ122" s="41">
        <v>0</v>
      </c>
      <c r="AK122" s="41">
        <v>0</v>
      </c>
      <c r="AL122" s="41">
        <v>0</v>
      </c>
      <c r="AM122" s="41">
        <v>0</v>
      </c>
      <c r="AN122" s="41">
        <v>0</v>
      </c>
      <c r="AO122" s="41">
        <v>0</v>
      </c>
      <c r="AP122" s="41">
        <v>0</v>
      </c>
      <c r="AQ122" s="41">
        <v>0</v>
      </c>
      <c r="AR122" s="41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">
      <c r="A123" s="40" t="s">
        <v>53</v>
      </c>
      <c r="B123" s="40" t="s">
        <v>14</v>
      </c>
      <c r="D123" s="40">
        <v>714</v>
      </c>
      <c r="E123" s="40">
        <v>873</v>
      </c>
      <c r="F123" s="40">
        <v>1033</v>
      </c>
      <c r="H123" s="42">
        <v>58855.43</v>
      </c>
      <c r="I123" s="64">
        <v>382</v>
      </c>
      <c r="J123" s="42">
        <v>17828.43</v>
      </c>
      <c r="K123" s="64">
        <v>132</v>
      </c>
      <c r="L123" s="42">
        <v>13005.35</v>
      </c>
      <c r="M123" s="64">
        <v>200</v>
      </c>
      <c r="N123" s="42">
        <v>89689.21</v>
      </c>
      <c r="O123" s="64">
        <v>714</v>
      </c>
      <c r="P123" s="42">
        <v>22756.16</v>
      </c>
      <c r="Q123" s="64">
        <v>121</v>
      </c>
      <c r="R123" s="42">
        <v>20299.349999999999</v>
      </c>
      <c r="S123" s="64">
        <v>209</v>
      </c>
      <c r="T123" s="42">
        <v>9475.08</v>
      </c>
      <c r="U123" s="64">
        <v>121</v>
      </c>
      <c r="V123" s="42">
        <v>52530.59</v>
      </c>
      <c r="W123" s="64">
        <v>451</v>
      </c>
      <c r="X123" s="42">
        <v>106781.46</v>
      </c>
      <c r="Y123" s="64">
        <v>564</v>
      </c>
      <c r="Z123" s="42">
        <v>29185.57</v>
      </c>
      <c r="AA123" s="64">
        <v>293</v>
      </c>
      <c r="AB123" s="42">
        <v>15454.7</v>
      </c>
      <c r="AC123" s="64">
        <v>176</v>
      </c>
      <c r="AD123" s="42">
        <v>151421.73000000001</v>
      </c>
      <c r="AE123" s="67">
        <v>1033</v>
      </c>
      <c r="AG123" s="42">
        <v>524.21</v>
      </c>
      <c r="AH123" s="42">
        <v>388.8</v>
      </c>
      <c r="AI123" s="42">
        <v>1001.89</v>
      </c>
      <c r="AJ123" s="42">
        <v>1914.9</v>
      </c>
      <c r="AK123" s="42">
        <v>473.02</v>
      </c>
      <c r="AL123" s="42">
        <v>342.13</v>
      </c>
      <c r="AM123" s="42">
        <v>858.34</v>
      </c>
      <c r="AN123" s="42">
        <v>1673.49</v>
      </c>
      <c r="AO123" s="42">
        <v>242.37</v>
      </c>
      <c r="AP123" s="42">
        <v>272.58</v>
      </c>
      <c r="AQ123" s="42">
        <v>665</v>
      </c>
      <c r="AR123" s="42">
        <v>1179.95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">
      <c r="A124" s="39" t="s">
        <v>54</v>
      </c>
      <c r="B124" s="39" t="s">
        <v>12</v>
      </c>
      <c r="D124" s="39">
        <v>9</v>
      </c>
      <c r="E124" s="39">
        <v>11</v>
      </c>
      <c r="F124" s="39">
        <v>12</v>
      </c>
      <c r="H124" s="41">
        <v>346.23</v>
      </c>
      <c r="I124" s="63">
        <v>3</v>
      </c>
      <c r="J124" s="41">
        <v>394.96</v>
      </c>
      <c r="K124" s="63">
        <v>0</v>
      </c>
      <c r="L124" s="41">
        <v>465.84</v>
      </c>
      <c r="M124" s="63">
        <v>6</v>
      </c>
      <c r="N124" s="41">
        <v>1207.03</v>
      </c>
      <c r="O124" s="63">
        <v>9</v>
      </c>
      <c r="P124" s="41">
        <v>4138.29</v>
      </c>
      <c r="Q124" s="63">
        <v>4</v>
      </c>
      <c r="R124" s="41">
        <v>992.44</v>
      </c>
      <c r="S124" s="63">
        <v>1</v>
      </c>
      <c r="T124" s="41">
        <v>94.12</v>
      </c>
      <c r="U124" s="63">
        <v>1</v>
      </c>
      <c r="V124" s="41">
        <v>5224.8500000000004</v>
      </c>
      <c r="W124" s="63">
        <v>6</v>
      </c>
      <c r="X124" s="41">
        <v>4590.63</v>
      </c>
      <c r="Y124" s="63">
        <v>5</v>
      </c>
      <c r="Z124" s="41">
        <v>276.49</v>
      </c>
      <c r="AA124" s="63">
        <v>3</v>
      </c>
      <c r="AB124" s="41">
        <v>514.17999999999995</v>
      </c>
      <c r="AC124" s="63">
        <v>4</v>
      </c>
      <c r="AD124" s="41">
        <v>5381.3</v>
      </c>
      <c r="AE124" s="66">
        <v>12</v>
      </c>
      <c r="AG124" s="41">
        <v>0</v>
      </c>
      <c r="AH124" s="41">
        <v>0</v>
      </c>
      <c r="AI124" s="41">
        <v>0</v>
      </c>
      <c r="AJ124" s="41">
        <v>0</v>
      </c>
      <c r="AK124" s="41">
        <v>0</v>
      </c>
      <c r="AL124" s="41">
        <v>0</v>
      </c>
      <c r="AM124" s="41">
        <v>0</v>
      </c>
      <c r="AN124" s="41">
        <v>0</v>
      </c>
      <c r="AO124" s="41">
        <v>0</v>
      </c>
      <c r="AP124" s="41">
        <v>0</v>
      </c>
      <c r="AQ124" s="41">
        <v>0</v>
      </c>
      <c r="AR124" s="41">
        <v>0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">
      <c r="A125" s="40" t="s">
        <v>54</v>
      </c>
      <c r="B125" s="40" t="s">
        <v>13</v>
      </c>
      <c r="D125" s="40">
        <v>0</v>
      </c>
      <c r="E125" s="40">
        <v>0</v>
      </c>
      <c r="F125" s="40">
        <v>0</v>
      </c>
      <c r="H125" s="42">
        <v>0</v>
      </c>
      <c r="I125" s="64">
        <v>0</v>
      </c>
      <c r="J125" s="42">
        <v>0</v>
      </c>
      <c r="K125" s="64">
        <v>0</v>
      </c>
      <c r="L125" s="42">
        <v>0</v>
      </c>
      <c r="M125" s="64">
        <v>0</v>
      </c>
      <c r="N125" s="42">
        <v>0</v>
      </c>
      <c r="O125" s="64">
        <v>0</v>
      </c>
      <c r="P125" s="42">
        <v>0</v>
      </c>
      <c r="Q125" s="64">
        <v>0</v>
      </c>
      <c r="R125" s="42">
        <v>0</v>
      </c>
      <c r="S125" s="64">
        <v>0</v>
      </c>
      <c r="T125" s="42">
        <v>0</v>
      </c>
      <c r="U125" s="64">
        <v>0</v>
      </c>
      <c r="V125" s="42">
        <v>0</v>
      </c>
      <c r="W125" s="64">
        <v>0</v>
      </c>
      <c r="X125" s="42">
        <v>0</v>
      </c>
      <c r="Y125" s="64">
        <v>0</v>
      </c>
      <c r="Z125" s="42">
        <v>0</v>
      </c>
      <c r="AA125" s="64">
        <v>0</v>
      </c>
      <c r="AB125" s="42">
        <v>0</v>
      </c>
      <c r="AC125" s="64">
        <v>0</v>
      </c>
      <c r="AD125" s="42">
        <v>0</v>
      </c>
      <c r="AE125" s="67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">
      <c r="A126" s="39" t="s">
        <v>54</v>
      </c>
      <c r="B126" s="39" t="s">
        <v>14</v>
      </c>
      <c r="D126" s="39">
        <v>362</v>
      </c>
      <c r="E126" s="39">
        <v>415</v>
      </c>
      <c r="F126" s="39">
        <v>598</v>
      </c>
      <c r="H126" s="41">
        <v>9287.5300000000007</v>
      </c>
      <c r="I126" s="63">
        <v>74</v>
      </c>
      <c r="J126" s="41">
        <v>18051.77</v>
      </c>
      <c r="K126" s="63">
        <v>176</v>
      </c>
      <c r="L126" s="41">
        <v>10490.47</v>
      </c>
      <c r="M126" s="63">
        <v>112</v>
      </c>
      <c r="N126" s="41">
        <v>37829.769999999997</v>
      </c>
      <c r="O126" s="63">
        <v>362</v>
      </c>
      <c r="P126" s="41">
        <v>2207.92</v>
      </c>
      <c r="Q126" s="63">
        <v>11</v>
      </c>
      <c r="R126" s="41">
        <v>789.33</v>
      </c>
      <c r="S126" s="63">
        <v>4</v>
      </c>
      <c r="T126" s="41">
        <v>545.49</v>
      </c>
      <c r="U126" s="63">
        <v>10</v>
      </c>
      <c r="V126" s="41">
        <v>3542.74</v>
      </c>
      <c r="W126" s="63">
        <v>25</v>
      </c>
      <c r="X126" s="41">
        <v>53544.9</v>
      </c>
      <c r="Y126" s="63">
        <v>466</v>
      </c>
      <c r="Z126" s="41">
        <v>9612.73</v>
      </c>
      <c r="AA126" s="63">
        <v>78</v>
      </c>
      <c r="AB126" s="41">
        <v>7088.46</v>
      </c>
      <c r="AC126" s="63">
        <v>54</v>
      </c>
      <c r="AD126" s="41">
        <v>70246.09</v>
      </c>
      <c r="AE126" s="66">
        <v>598</v>
      </c>
      <c r="AG126" s="41">
        <v>149.82</v>
      </c>
      <c r="AH126" s="41">
        <v>240.47</v>
      </c>
      <c r="AI126" s="41">
        <v>222.99</v>
      </c>
      <c r="AJ126" s="41">
        <v>613.28</v>
      </c>
      <c r="AK126" s="41">
        <v>411.19</v>
      </c>
      <c r="AL126" s="41">
        <v>213.74</v>
      </c>
      <c r="AM126" s="41">
        <v>192.24</v>
      </c>
      <c r="AN126" s="41">
        <v>817.17</v>
      </c>
      <c r="AO126" s="41">
        <v>339.37</v>
      </c>
      <c r="AP126" s="41">
        <v>182.48</v>
      </c>
      <c r="AQ126" s="41">
        <v>256.23</v>
      </c>
      <c r="AR126" s="41">
        <v>778.08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">
      <c r="A127" s="40" t="s">
        <v>55</v>
      </c>
      <c r="B127" s="40" t="s">
        <v>12</v>
      </c>
      <c r="D127" s="40">
        <v>9</v>
      </c>
      <c r="E127" s="40">
        <v>8</v>
      </c>
      <c r="F127" s="40">
        <v>9</v>
      </c>
      <c r="H127" s="42">
        <v>1598.82</v>
      </c>
      <c r="I127" s="64">
        <v>4</v>
      </c>
      <c r="J127" s="42">
        <v>288.52</v>
      </c>
      <c r="K127" s="64">
        <v>2</v>
      </c>
      <c r="L127" s="42">
        <v>298.60000000000002</v>
      </c>
      <c r="M127" s="64">
        <v>3</v>
      </c>
      <c r="N127" s="42">
        <v>2185.94</v>
      </c>
      <c r="O127" s="64">
        <v>9</v>
      </c>
      <c r="P127" s="42">
        <v>2291.59</v>
      </c>
      <c r="Q127" s="64">
        <v>0</v>
      </c>
      <c r="R127" s="42">
        <v>1576.95</v>
      </c>
      <c r="S127" s="64">
        <v>0</v>
      </c>
      <c r="T127" s="42">
        <v>213.28</v>
      </c>
      <c r="U127" s="64">
        <v>3</v>
      </c>
      <c r="V127" s="42">
        <v>4081.82</v>
      </c>
      <c r="W127" s="64">
        <v>3</v>
      </c>
      <c r="X127" s="42">
        <v>1755.78</v>
      </c>
      <c r="Y127" s="64">
        <v>4</v>
      </c>
      <c r="Z127" s="42">
        <v>285.32</v>
      </c>
      <c r="AA127" s="64">
        <v>4</v>
      </c>
      <c r="AB127" s="42">
        <v>55.61</v>
      </c>
      <c r="AC127" s="64">
        <v>1</v>
      </c>
      <c r="AD127" s="42">
        <v>2096.71</v>
      </c>
      <c r="AE127" s="67">
        <v>9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">
      <c r="A128" s="39" t="s">
        <v>55</v>
      </c>
      <c r="B128" s="39" t="s">
        <v>13</v>
      </c>
      <c r="D128" s="39">
        <v>0</v>
      </c>
      <c r="E128" s="39">
        <v>0</v>
      </c>
      <c r="F128" s="39">
        <v>0</v>
      </c>
      <c r="H128" s="41">
        <v>0</v>
      </c>
      <c r="I128" s="63">
        <v>0</v>
      </c>
      <c r="J128" s="41">
        <v>0</v>
      </c>
      <c r="K128" s="63">
        <v>0</v>
      </c>
      <c r="L128" s="41">
        <v>0</v>
      </c>
      <c r="M128" s="63">
        <v>0</v>
      </c>
      <c r="N128" s="41">
        <v>0</v>
      </c>
      <c r="O128" s="63">
        <v>0</v>
      </c>
      <c r="P128" s="41">
        <v>0</v>
      </c>
      <c r="Q128" s="63">
        <v>0</v>
      </c>
      <c r="R128" s="41">
        <v>0</v>
      </c>
      <c r="S128" s="63">
        <v>0</v>
      </c>
      <c r="T128" s="41">
        <v>0</v>
      </c>
      <c r="U128" s="63">
        <v>0</v>
      </c>
      <c r="V128" s="41">
        <v>0</v>
      </c>
      <c r="W128" s="63">
        <v>0</v>
      </c>
      <c r="X128" s="41">
        <v>0</v>
      </c>
      <c r="Y128" s="63">
        <v>0</v>
      </c>
      <c r="Z128" s="41">
        <v>0</v>
      </c>
      <c r="AA128" s="63">
        <v>0</v>
      </c>
      <c r="AB128" s="41">
        <v>0</v>
      </c>
      <c r="AC128" s="63">
        <v>0</v>
      </c>
      <c r="AD128" s="41">
        <v>0</v>
      </c>
      <c r="AE128" s="66">
        <v>0</v>
      </c>
      <c r="AG128" s="41">
        <v>0</v>
      </c>
      <c r="AH128" s="41">
        <v>0</v>
      </c>
      <c r="AI128" s="41">
        <v>0</v>
      </c>
      <c r="AJ128" s="41">
        <v>0</v>
      </c>
      <c r="AK128" s="41">
        <v>0</v>
      </c>
      <c r="AL128" s="41">
        <v>0</v>
      </c>
      <c r="AM128" s="41">
        <v>0</v>
      </c>
      <c r="AN128" s="41">
        <v>0</v>
      </c>
      <c r="AO128" s="41">
        <v>0</v>
      </c>
      <c r="AP128" s="41">
        <v>0</v>
      </c>
      <c r="AQ128" s="41">
        <v>0</v>
      </c>
      <c r="AR128" s="41">
        <v>0</v>
      </c>
    </row>
    <row r="129" spans="1:44" x14ac:dyDescent="0.2">
      <c r="A129" s="40" t="s">
        <v>55</v>
      </c>
      <c r="B129" s="40" t="s">
        <v>14</v>
      </c>
      <c r="D129" s="40">
        <v>359</v>
      </c>
      <c r="E129" s="40">
        <v>474</v>
      </c>
      <c r="F129" s="40">
        <v>640</v>
      </c>
      <c r="H129" s="42">
        <v>20692.21</v>
      </c>
      <c r="I129" s="64">
        <v>174</v>
      </c>
      <c r="J129" s="42">
        <v>9020.4</v>
      </c>
      <c r="K129" s="64">
        <v>78</v>
      </c>
      <c r="L129" s="42">
        <v>6692.56</v>
      </c>
      <c r="M129" s="64">
        <v>107</v>
      </c>
      <c r="N129" s="42">
        <v>36405.17</v>
      </c>
      <c r="O129" s="64">
        <v>359</v>
      </c>
      <c r="P129" s="42">
        <v>8348.4699999999993</v>
      </c>
      <c r="Q129" s="64">
        <v>41</v>
      </c>
      <c r="R129" s="42">
        <v>1727.48</v>
      </c>
      <c r="S129" s="64">
        <v>13</v>
      </c>
      <c r="T129" s="42">
        <v>1317.33</v>
      </c>
      <c r="U129" s="64">
        <v>15</v>
      </c>
      <c r="V129" s="42">
        <v>11393.28</v>
      </c>
      <c r="W129" s="64">
        <v>69</v>
      </c>
      <c r="X129" s="42">
        <v>69167.69</v>
      </c>
      <c r="Y129" s="64">
        <v>447</v>
      </c>
      <c r="Z129" s="42">
        <v>10073.82</v>
      </c>
      <c r="AA129" s="64">
        <v>122</v>
      </c>
      <c r="AB129" s="42">
        <v>4799.75</v>
      </c>
      <c r="AC129" s="64">
        <v>71</v>
      </c>
      <c r="AD129" s="42">
        <v>84041.26</v>
      </c>
      <c r="AE129" s="67">
        <v>640</v>
      </c>
      <c r="AG129" s="42">
        <v>258.39999999999998</v>
      </c>
      <c r="AH129" s="42">
        <v>363.45</v>
      </c>
      <c r="AI129" s="42">
        <v>322.36</v>
      </c>
      <c r="AJ129" s="42">
        <v>944.21</v>
      </c>
      <c r="AK129" s="42">
        <v>240.56</v>
      </c>
      <c r="AL129" s="42">
        <v>208.6</v>
      </c>
      <c r="AM129" s="42">
        <v>58.72</v>
      </c>
      <c r="AN129" s="42">
        <v>507.88</v>
      </c>
      <c r="AO129" s="42">
        <v>515.85</v>
      </c>
      <c r="AP129" s="42">
        <v>127.66</v>
      </c>
      <c r="AQ129" s="42">
        <v>0</v>
      </c>
      <c r="AR129" s="42">
        <v>643.51</v>
      </c>
    </row>
    <row r="130" spans="1:44" x14ac:dyDescent="0.2">
      <c r="A130" s="39" t="s">
        <v>56</v>
      </c>
      <c r="B130" s="39" t="s">
        <v>12</v>
      </c>
      <c r="D130" s="39">
        <v>0</v>
      </c>
      <c r="E130" s="39">
        <v>0</v>
      </c>
      <c r="F130" s="39">
        <v>0</v>
      </c>
      <c r="H130" s="41">
        <v>0</v>
      </c>
      <c r="I130" s="63">
        <v>0</v>
      </c>
      <c r="J130" s="41">
        <v>0</v>
      </c>
      <c r="K130" s="63">
        <v>0</v>
      </c>
      <c r="L130" s="41">
        <v>0</v>
      </c>
      <c r="M130" s="63">
        <v>0</v>
      </c>
      <c r="N130" s="41">
        <v>0</v>
      </c>
      <c r="O130" s="63">
        <v>0</v>
      </c>
      <c r="P130" s="41">
        <v>5476.34</v>
      </c>
      <c r="Q130" s="63">
        <v>37</v>
      </c>
      <c r="R130" s="41">
        <v>1126.21</v>
      </c>
      <c r="S130" s="63">
        <v>8</v>
      </c>
      <c r="T130" s="41">
        <v>607.92999999999995</v>
      </c>
      <c r="U130" s="63">
        <v>7</v>
      </c>
      <c r="V130" s="41">
        <v>7210.48</v>
      </c>
      <c r="W130" s="63">
        <v>52</v>
      </c>
      <c r="X130" s="41">
        <v>0</v>
      </c>
      <c r="Y130" s="63">
        <v>0</v>
      </c>
      <c r="Z130" s="41">
        <v>0</v>
      </c>
      <c r="AA130" s="63">
        <v>0</v>
      </c>
      <c r="AB130" s="41">
        <v>0</v>
      </c>
      <c r="AC130" s="63">
        <v>0</v>
      </c>
      <c r="AD130" s="41">
        <v>0</v>
      </c>
      <c r="AE130" s="66">
        <v>0</v>
      </c>
      <c r="AG130" s="41">
        <v>0</v>
      </c>
      <c r="AH130" s="41">
        <v>0</v>
      </c>
      <c r="AI130" s="41">
        <v>0</v>
      </c>
      <c r="AJ130" s="41">
        <v>0</v>
      </c>
      <c r="AK130" s="41">
        <v>0</v>
      </c>
      <c r="AL130" s="41">
        <v>0</v>
      </c>
      <c r="AM130" s="41">
        <v>0</v>
      </c>
      <c r="AN130" s="41">
        <v>0</v>
      </c>
      <c r="AO130" s="41">
        <v>0</v>
      </c>
      <c r="AP130" s="41">
        <v>0</v>
      </c>
      <c r="AQ130" s="41">
        <v>0</v>
      </c>
      <c r="AR130" s="41">
        <v>0</v>
      </c>
    </row>
    <row r="131" spans="1:44" x14ac:dyDescent="0.2">
      <c r="A131" s="40" t="s">
        <v>56</v>
      </c>
      <c r="B131" s="40" t="s">
        <v>13</v>
      </c>
      <c r="D131" s="40">
        <v>0</v>
      </c>
      <c r="E131" s="40">
        <v>0</v>
      </c>
      <c r="F131" s="40">
        <v>0</v>
      </c>
      <c r="H131" s="42">
        <v>0</v>
      </c>
      <c r="I131" s="64">
        <v>0</v>
      </c>
      <c r="J131" s="42">
        <v>0</v>
      </c>
      <c r="K131" s="64">
        <v>0</v>
      </c>
      <c r="L131" s="42">
        <v>0</v>
      </c>
      <c r="M131" s="64">
        <v>0</v>
      </c>
      <c r="N131" s="42">
        <v>0</v>
      </c>
      <c r="O131" s="64">
        <v>0</v>
      </c>
      <c r="P131" s="42">
        <v>0</v>
      </c>
      <c r="Q131" s="64">
        <v>0</v>
      </c>
      <c r="R131" s="42">
        <v>0</v>
      </c>
      <c r="S131" s="64">
        <v>0</v>
      </c>
      <c r="T131" s="42">
        <v>0</v>
      </c>
      <c r="U131" s="64">
        <v>0</v>
      </c>
      <c r="V131" s="42">
        <v>0</v>
      </c>
      <c r="W131" s="64">
        <v>0</v>
      </c>
      <c r="X131" s="42">
        <v>0</v>
      </c>
      <c r="Y131" s="64">
        <v>0</v>
      </c>
      <c r="Z131" s="42">
        <v>0</v>
      </c>
      <c r="AA131" s="64">
        <v>0</v>
      </c>
      <c r="AB131" s="42">
        <v>0</v>
      </c>
      <c r="AC131" s="64">
        <v>0</v>
      </c>
      <c r="AD131" s="42">
        <v>0</v>
      </c>
      <c r="AE131" s="67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</row>
    <row r="132" spans="1:44" x14ac:dyDescent="0.2">
      <c r="A132" s="39" t="s">
        <v>56</v>
      </c>
      <c r="B132" s="39" t="s">
        <v>14</v>
      </c>
      <c r="D132" s="39">
        <v>0</v>
      </c>
      <c r="E132" s="39">
        <v>0</v>
      </c>
      <c r="F132" s="39">
        <v>0</v>
      </c>
      <c r="H132" s="41">
        <v>0</v>
      </c>
      <c r="I132" s="63">
        <v>0</v>
      </c>
      <c r="J132" s="41">
        <v>0</v>
      </c>
      <c r="K132" s="63">
        <v>0</v>
      </c>
      <c r="L132" s="41">
        <v>0</v>
      </c>
      <c r="M132" s="63">
        <v>0</v>
      </c>
      <c r="N132" s="41">
        <v>0</v>
      </c>
      <c r="O132" s="63">
        <v>0</v>
      </c>
      <c r="P132" s="41">
        <v>99165.23</v>
      </c>
      <c r="Q132" s="63">
        <v>590</v>
      </c>
      <c r="R132" s="41">
        <v>21753.49</v>
      </c>
      <c r="S132" s="63">
        <v>158</v>
      </c>
      <c r="T132" s="41">
        <v>8489.9</v>
      </c>
      <c r="U132" s="63">
        <v>127</v>
      </c>
      <c r="V132" s="41">
        <v>129408.62</v>
      </c>
      <c r="W132" s="63">
        <v>875</v>
      </c>
      <c r="X132" s="41">
        <v>0</v>
      </c>
      <c r="Y132" s="63">
        <v>0</v>
      </c>
      <c r="Z132" s="41">
        <v>0</v>
      </c>
      <c r="AA132" s="63">
        <v>0</v>
      </c>
      <c r="AB132" s="41">
        <v>0</v>
      </c>
      <c r="AC132" s="63">
        <v>0</v>
      </c>
      <c r="AD132" s="41">
        <v>0</v>
      </c>
      <c r="AE132" s="66">
        <v>0</v>
      </c>
      <c r="AG132" s="41">
        <v>0</v>
      </c>
      <c r="AH132" s="41">
        <v>0</v>
      </c>
      <c r="AI132" s="41">
        <v>0</v>
      </c>
      <c r="AJ132" s="41">
        <v>0</v>
      </c>
      <c r="AK132" s="41">
        <v>0</v>
      </c>
      <c r="AL132" s="41">
        <v>0</v>
      </c>
      <c r="AM132" s="41">
        <v>0</v>
      </c>
      <c r="AN132" s="41">
        <v>0</v>
      </c>
      <c r="AO132" s="41">
        <v>0</v>
      </c>
      <c r="AP132" s="41">
        <v>0</v>
      </c>
      <c r="AQ132" s="41">
        <v>0</v>
      </c>
      <c r="AR132" s="41">
        <v>0</v>
      </c>
    </row>
    <row r="133" spans="1:44" x14ac:dyDescent="0.2"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</row>
    <row r="134" spans="1:44" x14ac:dyDescent="0.2">
      <c r="A134" s="22"/>
      <c r="B134" s="22"/>
      <c r="D134" s="22"/>
      <c r="E134" s="22"/>
      <c r="F134" s="22"/>
      <c r="H134" s="20"/>
      <c r="I134" s="65"/>
      <c r="J134" s="20"/>
      <c r="K134" s="65"/>
      <c r="L134" s="20"/>
      <c r="M134" s="65"/>
      <c r="N134" s="20"/>
      <c r="O134" s="65"/>
      <c r="P134" s="20"/>
      <c r="Q134" s="65"/>
      <c r="R134" s="20"/>
      <c r="S134" s="65"/>
      <c r="T134" s="20"/>
      <c r="U134" s="65"/>
      <c r="V134" s="20"/>
      <c r="W134" s="65"/>
      <c r="X134" s="20"/>
      <c r="Y134" s="65"/>
      <c r="Z134" s="20"/>
      <c r="AA134" s="65"/>
      <c r="AB134" s="20"/>
      <c r="AC134" s="65"/>
      <c r="AD134" s="20"/>
      <c r="AE134" s="65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44" x14ac:dyDescent="0.2">
      <c r="A136" s="22"/>
      <c r="B136" s="22"/>
      <c r="D136" s="22"/>
      <c r="E136" s="22"/>
      <c r="F136" s="22"/>
      <c r="H136" s="20"/>
      <c r="I136" s="65"/>
      <c r="J136" s="20"/>
      <c r="K136" s="65"/>
      <c r="L136" s="20"/>
      <c r="M136" s="65"/>
      <c r="N136" s="20"/>
      <c r="O136" s="65"/>
      <c r="P136" s="20"/>
      <c r="Q136" s="65"/>
      <c r="R136" s="20"/>
      <c r="S136" s="65"/>
      <c r="T136" s="20"/>
      <c r="U136" s="65"/>
      <c r="V136" s="20"/>
      <c r="W136" s="65"/>
      <c r="X136" s="20"/>
      <c r="Y136" s="65"/>
      <c r="Z136" s="20"/>
      <c r="AA136" s="65"/>
      <c r="AB136" s="20"/>
      <c r="AC136" s="65"/>
      <c r="AD136" s="20"/>
      <c r="AE136" s="65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x14ac:dyDescent="0.2">
      <c r="A137" s="22"/>
      <c r="B137" s="22"/>
      <c r="D137" s="22"/>
      <c r="E137" s="22"/>
      <c r="F137" s="22"/>
      <c r="H137" s="20"/>
      <c r="I137" s="65"/>
      <c r="J137" s="20"/>
      <c r="K137" s="65"/>
      <c r="L137" s="20"/>
      <c r="M137" s="65"/>
      <c r="N137" s="20"/>
      <c r="O137" s="65"/>
      <c r="P137" s="20"/>
      <c r="Q137" s="65"/>
      <c r="R137" s="20"/>
      <c r="S137" s="65"/>
      <c r="T137" s="20"/>
      <c r="U137" s="65"/>
      <c r="V137" s="20"/>
      <c r="W137" s="65"/>
      <c r="X137" s="20"/>
      <c r="Y137" s="65"/>
      <c r="Z137" s="20"/>
      <c r="AA137" s="65"/>
      <c r="AB137" s="20"/>
      <c r="AC137" s="65"/>
      <c r="AD137" s="20"/>
      <c r="AE137" s="65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44" x14ac:dyDescent="0.2">
      <c r="H139" s="61"/>
      <c r="J139" s="61"/>
      <c r="L139" s="61"/>
      <c r="N139" s="61"/>
      <c r="P139" s="61"/>
      <c r="R139" s="61"/>
      <c r="T139" s="61"/>
      <c r="V139" s="61"/>
      <c r="X139" s="61"/>
      <c r="Z139" s="61"/>
      <c r="AB139" s="61"/>
      <c r="AD139" s="61"/>
    </row>
  </sheetData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1Q and March 2025 COVID Data Rpt 
&amp;P of &amp;N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  <ignoredErrors>
    <ignoredError sqref="A4:A1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2025-04-30T07:00:00+00:00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52" ma:contentTypeDescription="" ma:contentTypeScope="" ma:versionID="ee4fb167d08b8a607e96316816fb63a9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0409FA-5271-49B8-9208-10E44131712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96BE0A-3FB0-4E45-9562-BBCCEFD3880D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BA32DC4E-1FD3-449F-9006-69CDC28A12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7914211-d565-4871-91bf-1007b89e9c7e}" enabled="0" method="" siteId="{67914211-d565-4871-91bf-1007b89e9c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2025</vt:lpstr>
      <vt:lpstr>2. Disconnections 2025</vt:lpstr>
      <vt:lpstr>3. Fees 2025</vt:lpstr>
      <vt:lpstr>4. Payment Arrangements 2025</vt:lpstr>
      <vt:lpstr>5. Medical Certificates 2025</vt:lpstr>
      <vt:lpstr>6. Deposits 2025</vt:lpstr>
      <vt:lpstr>7. Bill Assistance 2025</vt:lpstr>
      <vt:lpstr>8. Past Due Balances 2025</vt:lpstr>
      <vt:lpstr>'1. General 2025'!Print_Area</vt:lpstr>
      <vt:lpstr>'2. Disconnections 2025'!Print_Area</vt:lpstr>
      <vt:lpstr>'3. Fees 2025'!Print_Area</vt:lpstr>
      <vt:lpstr>'4. Payment Arrangements 2025'!Print_Area</vt:lpstr>
      <vt:lpstr>'5. Medical Certificates 2025'!Print_Area</vt:lpstr>
      <vt:lpstr>'6. Deposits 2025'!Print_Area</vt:lpstr>
      <vt:lpstr>'7. Bill Assistance 2025'!Print_Area</vt:lpstr>
      <vt:lpstr>'8. Past Due Balances 2025'!Print_Area</vt:lpstr>
      <vt:lpstr>'1. General 2025'!Print_Titles</vt:lpstr>
      <vt:lpstr>'2. Disconnections 2025'!Print_Titles</vt:lpstr>
      <vt:lpstr>'3. Fees 2025'!Print_Titles</vt:lpstr>
      <vt:lpstr>'4. Payment Arrangements 2025'!Print_Titles</vt:lpstr>
      <vt:lpstr>'5. Medical Certificates 2025'!Print_Titles</vt:lpstr>
      <vt:lpstr>'6. Deposits 2025'!Print_Titles</vt:lpstr>
      <vt:lpstr>'7. Bill Assistance 2025'!Print_Titles</vt:lpstr>
      <vt:lpstr>'8. Past Due Balances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Andrew (UTC)</dc:creator>
  <cp:keywords/>
  <dc:description/>
  <cp:lastModifiedBy>Charlee Thompson</cp:lastModifiedBy>
  <cp:revision/>
  <dcterms:created xsi:type="dcterms:W3CDTF">2020-11-12T18:23:50Z</dcterms:created>
  <dcterms:modified xsi:type="dcterms:W3CDTF">2025-09-20T00:06:58Z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de806579-be8f-4b59-83e1-0ecd34f24f59</vt:lpwstr>
  </property>
  <property fmtid="{D5CDD505-2E9C-101B-9397-08002B2CF9AE}" pid="4" name="_docset_NoMedatataSyncRequired">
    <vt:lpwstr>False</vt:lpwstr>
  </property>
</Properties>
</file>